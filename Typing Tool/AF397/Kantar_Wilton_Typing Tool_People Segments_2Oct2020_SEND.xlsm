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ehav-my.sharepoint.com/personal/brian_wheeler_behaviorally_com/Documents/"/>
    </mc:Choice>
  </mc:AlternateContent>
  <xr:revisionPtr revIDLastSave="0" documentId="8_{8068EF3F-E51F-4667-BBA3-021EA4EBB332}" xr6:coauthVersionLast="47" xr6:coauthVersionMax="47" xr10:uidLastSave="{00000000-0000-0000-0000-000000000000}"/>
  <bookViews>
    <workbookView xWindow="-108" yWindow="-108" windowWidth="23256" windowHeight="12576" firstSheet="1" activeTab="1" xr2:uid="{AFBA881A-26FF-444C-9F3D-F3A01407E189}"/>
  </bookViews>
  <sheets>
    <sheet name="Form" sheetId="1" state="hidden" r:id="rId1"/>
    <sheet name="Formulas" sheetId="3" r:id="rId2"/>
    <sheet name="Typing Tool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H3" i="1" s="1"/>
  <c r="A4" i="1"/>
  <c r="K4" i="1" s="1"/>
  <c r="A5" i="1"/>
  <c r="J5" i="1" s="1"/>
  <c r="A6" i="1"/>
  <c r="I6" i="1" s="1"/>
  <c r="A7" i="1"/>
  <c r="H7" i="1" s="1"/>
  <c r="A8" i="1"/>
  <c r="K8" i="1" s="1"/>
  <c r="A9" i="1"/>
  <c r="J9" i="1" s="1"/>
  <c r="A10" i="1"/>
  <c r="I10" i="1" s="1"/>
  <c r="A11" i="1"/>
  <c r="H11" i="1" s="1"/>
  <c r="A12" i="1"/>
  <c r="K12" i="1" s="1"/>
  <c r="A13" i="1"/>
  <c r="J13" i="1" s="1"/>
  <c r="A2" i="1"/>
  <c r="J2" i="1" s="1"/>
  <c r="J12" i="1" l="1"/>
  <c r="I8" i="1"/>
  <c r="J4" i="1"/>
  <c r="I13" i="1"/>
  <c r="J11" i="1"/>
  <c r="K7" i="1"/>
  <c r="I4" i="1"/>
  <c r="I9" i="1"/>
  <c r="K3" i="1"/>
  <c r="K11" i="1"/>
  <c r="J7" i="1"/>
  <c r="I12" i="1"/>
  <c r="J8" i="1"/>
  <c r="I5" i="1"/>
  <c r="J3" i="1"/>
  <c r="I2" i="1"/>
  <c r="L10" i="1"/>
  <c r="H6" i="1"/>
  <c r="L13" i="1"/>
  <c r="K10" i="1"/>
  <c r="H9" i="1"/>
  <c r="L5" i="1"/>
  <c r="K2" i="1"/>
  <c r="K13" i="1"/>
  <c r="L12" i="1"/>
  <c r="H12" i="1"/>
  <c r="I11" i="1"/>
  <c r="J10" i="1"/>
  <c r="K9" i="1"/>
  <c r="L8" i="1"/>
  <c r="H8" i="1"/>
  <c r="I7" i="1"/>
  <c r="J6" i="1"/>
  <c r="K5" i="1"/>
  <c r="L4" i="1"/>
  <c r="H4" i="1"/>
  <c r="I3" i="1"/>
  <c r="H2" i="1"/>
  <c r="H10" i="1"/>
  <c r="L6" i="1"/>
  <c r="L2" i="1"/>
  <c r="H13" i="1"/>
  <c r="L9" i="1"/>
  <c r="K6" i="1"/>
  <c r="H5" i="1"/>
  <c r="L11" i="1"/>
  <c r="L7" i="1"/>
  <c r="L3" i="1"/>
  <c r="L15" i="1" l="1"/>
  <c r="J15" i="1"/>
  <c r="I15" i="1"/>
  <c r="H15" i="1"/>
  <c r="K15" i="1"/>
  <c r="H16" i="1" l="1"/>
  <c r="I16" i="1"/>
  <c r="L16" i="1"/>
  <c r="K16" i="1"/>
  <c r="J16" i="1"/>
  <c r="B17" i="1" l="1"/>
  <c r="B1" i="2" s="1"/>
</calcChain>
</file>

<file path=xl/sharedStrings.xml><?xml version="1.0" encoding="utf-8"?>
<sst xmlns="http://schemas.openxmlformats.org/spreadsheetml/2006/main" count="107" uniqueCount="58">
  <si>
    <t>Modern Mom</t>
  </si>
  <si>
    <t>Disciplined Health Enthusiast</t>
  </si>
  <si>
    <t>Conscious Trendsetter</t>
  </si>
  <si>
    <t>Timid Amateur</t>
  </si>
  <si>
    <t>Nostalgic Expert</t>
  </si>
  <si>
    <t>It is important for me to keep up with the latest trends in home decorating, fashion and lifestyle</t>
  </si>
  <si>
    <t>I appreciate when brands show diversity in their advertising</t>
  </si>
  <si>
    <t>It is important to me that I find ways to express myself creatively</t>
  </si>
  <si>
    <t>Most of what I eat today was shaped by the recipes / meals I ate in my childhood</t>
  </si>
  <si>
    <t>I regularly connect with my friends and family over food / meals</t>
  </si>
  <si>
    <t>When I decide what food I choose to eat, nutrition plays a big role</t>
  </si>
  <si>
    <t>If there is a healthier option available, I usually try to take it</t>
  </si>
  <si>
    <t>I mostly learned how to bake/decorate from friends/family</t>
  </si>
  <si>
    <t>Making treats for family and friends shows them you care</t>
  </si>
  <si>
    <t>I consider baking/decorating a moment of self-care</t>
  </si>
  <si>
    <t>I typically try to incorporate healthier ingredients when baking / decorating</t>
  </si>
  <si>
    <t>I tend to do things by the book rather than improvise when baking / decorating</t>
  </si>
  <si>
    <t>(Constant)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</si>
  <si>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</si>
  <si>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</si>
  <si>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</si>
  <si>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</si>
  <si>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</si>
  <si>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</si>
  <si>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</si>
  <si>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</si>
  <si>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</si>
  <si>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</si>
  <si>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</si>
  <si>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</si>
  <si>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compute typo01=(a01*-0.850492128188074)+(a02*0.897735978371638)+(a03*2.15352701595093)+(a04*0.0287845103243318)+(a05*0.806011559307623)+(a06*1.28029170579719)+(a07*1.35570556214831)+(a08*-0.215288876270063)+(a09*5.4917342523864)+(a10*1.06171730364803)+(a11*0.468728447426755)+(a12*1.54847798263379)+-30.4004012655665.</t>
  </si>
  <si>
    <t>compute typo02=(a01*-1.96452880657156)+(a02*1.23153257499634)+(a03*2.07896686273847)+(a04*-0.183459797462519)+(a05*-0.0806614268950715)+(a06*1.86404740027987)+(a07*2.14695084443)+(a08*1.25069506997527)+(a09*4.47280664539292)+(a10*0.291514709177151)+(a11*1.08462349659759)+(a12*2.47113654530544)+-32.1998647206636.</t>
  </si>
  <si>
    <t>compute typo03=(a01*-0.617519610550262)+(a02*1.11026509624021)+(a03*1.8805231451909)+(a04*1.19458567800286)+(a05*0.901114042315445)+(a06*1.69784103470995)+(a07*2.02603490636701)+(a08*0.979743214551352)+(a09*2.40627584245586)+(a10*-0.398824202839299)+(a11*0.31590551746012)+(a12*2.0752918072858)+-26.9438408316424.</t>
  </si>
  <si>
    <t>compute typo04=(a01*-1.45293443034791)+(a02*0.998085514961556)+(a03*1.25219945609808)+(a04*1.34664438097327)+(a05*0.753991426648216)+(a06*0.555131934290605)+(a07*0.883983398398141)+(a08*1.49942864337238)+(a09*5.23513520946946)+(a10*0.132574484723313)+(a11*0.0687166162510903)+(a12*2.42968728309969)+-28.9083246194601.</t>
  </si>
  <si>
    <t>compute typo05=(a01*-1.69557038394816)+(a02*0.219414319589666)+(a03*1.21541743564777)+(a04*1.33868110288936)+(a05*0.530112979193842)+(a06*1.78191795830884)+(a07*1.98267889071792)+(a08*1.65299997827009)+(a09*4.84826347610262)+(a10*0.819154408731606)+(a11*1.02373921463281)+(a12*0.956801290046013)+-31.9927993905559.</t>
  </si>
  <si>
    <t>execute.</t>
  </si>
  <si>
    <t>if(typo01 = max(typo01 to typo05)) typology = 1.</t>
  </si>
  <si>
    <t>if(typo02 = max(typo01 to typo05)) typology = 2.</t>
  </si>
  <si>
    <t>if(typo03 = max(typo01 to typo05)) typology = 3.</t>
  </si>
  <si>
    <t>if(typo04 = max(typo01 to typo05)) typology = 4.</t>
  </si>
  <si>
    <t>if(typo05 = max(typo01 to typo05)) typology = 5.</t>
  </si>
  <si>
    <t>value labels typology</t>
  </si>
  <si>
    <t>1 'Modern Mom'</t>
  </si>
  <si>
    <t>2 'Disciplined Health Enthusiast'</t>
  </si>
  <si>
    <t>3 'Conscious Trendsetter'</t>
  </si>
  <si>
    <t>4 'Timid Amateur'</t>
  </si>
  <si>
    <t>5 'Nostalgic Expert'.</t>
  </si>
  <si>
    <t>Typology Algorithm</t>
  </si>
  <si>
    <t>ctrl+q clears sheet</t>
  </si>
  <si>
    <t>Life Attitudes</t>
  </si>
  <si>
    <t>Disagree Strongly</t>
  </si>
  <si>
    <t>Disagree Somewhat</t>
  </si>
  <si>
    <t>Neither Agree Nor Disagree</t>
  </si>
  <si>
    <t>Agree Somewhat</t>
  </si>
  <si>
    <t>Agree Strongly</t>
  </si>
  <si>
    <t>Response</t>
  </si>
  <si>
    <t>Food and Nutrition</t>
  </si>
  <si>
    <t>Baking and Decorating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</si>
</sst>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.000"/>
    <numFmt numFmtId="165" formatCode="###0.000"/>
  </numFmts>
  <fonts count="9">
    <font>
      <sz val="10"/>
      <color theme="1"/>
      <name val="Arial"/>
      <family val="2"/>
    </font>
    <font>
      <sz val="10"/>
      <name val="Arial"/>
    </font>
    <font>
      <sz val="8"/>
      <color indexed="8"/>
      <name val="Tahoma"/>
      <family val="2"/>
    </font>
    <font>
      <sz val="8"/>
      <name val="Tahoma"/>
      <family val="2"/>
    </font>
    <font>
      <sz val="8"/>
      <color theme="1"/>
      <name val="Tahoma"/>
      <family val="2"/>
    </font>
    <font>
      <sz val="14"/>
      <color theme="1"/>
      <name val="Tahoma"/>
      <family val="2"/>
    </font>
    <font>
      <b/>
      <sz val="16"/>
      <color theme="1"/>
      <name val="Tahoma"/>
      <family val="2"/>
    </font>
    <font>
      <b/>
      <sz val="8"/>
      <color theme="1"/>
      <name val="Tahoma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1" applyFont="1" applyAlignment="1">
      <alignment horizontal="left" vertical="top"/>
    </xf>
    <xf numFmtId="0" fontId="2" fillId="0" borderId="0" xfId="1" applyFont="1"/>
    <xf numFmtId="0" fontId="2" fillId="0" borderId="0" xfId="1" applyFont="1" applyAlignment="1">
      <alignment horizontal="center" wrapText="1"/>
    </xf>
    <xf numFmtId="0" fontId="3" fillId="0" borderId="0" xfId="1" applyFont="1"/>
    <xf numFmtId="164" fontId="2" fillId="0" borderId="0" xfId="1" applyNumberFormat="1" applyFont="1" applyAlignment="1">
      <alignment horizontal="center" vertical="center"/>
    </xf>
    <xf numFmtId="165" fontId="2" fillId="0" borderId="0" xfId="1" applyNumberFormat="1" applyFont="1" applyAlignment="1">
      <alignment horizontal="center" vertical="center"/>
    </xf>
    <xf numFmtId="0" fontId="3" fillId="0" borderId="0" xfId="1" applyFont="1" applyAlignment="1">
      <alignment horizontal="center"/>
    </xf>
    <xf numFmtId="165" fontId="4" fillId="0" borderId="0" xfId="0" applyNumberFormat="1" applyFont="1"/>
    <xf numFmtId="0" fontId="2" fillId="0" borderId="3" xfId="1" applyFont="1" applyBorder="1" applyAlignment="1">
      <alignment horizontal="left" vertical="top"/>
    </xf>
    <xf numFmtId="0" fontId="2" fillId="0" borderId="4" xfId="1" applyFont="1" applyBorder="1" applyAlignment="1">
      <alignment horizontal="left" vertical="top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7" fillId="2" borderId="12" xfId="0" applyFont="1" applyFill="1" applyBorder="1" applyAlignment="1">
      <alignment horizontal="center" wrapText="1"/>
    </xf>
    <xf numFmtId="0" fontId="7" fillId="2" borderId="13" xfId="0" applyFont="1" applyFill="1" applyBorder="1" applyAlignment="1">
      <alignment horizontal="center" wrapText="1"/>
    </xf>
    <xf numFmtId="0" fontId="7" fillId="2" borderId="14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/>
    <xf numFmtId="0" fontId="6" fillId="0" borderId="0" xfId="0" applyFont="1" applyAlignment="1">
      <alignment horizontal="left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</cellXfs>
  <cellStyles count="2">
    <cellStyle name="Normal" xfId="0" builtinId="0"/>
    <cellStyle name="Normal_Sheet1" xfId="1" xr:uid="{5A571E61-9578-4842-A0B2-C5B861AB7D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3773B-F0CA-47D8-9774-A3A8BF98A65F}">
  <dimension ref="A1:L17"/>
  <sheetViews>
    <sheetView topLeftCell="XFD1" workbookViewId="0">
      <selection sqref="A1:XFD1048576"/>
    </sheetView>
  </sheetViews>
  <sheetFormatPr defaultColWidth="0" defaultRowHeight="10.15"/>
  <cols>
    <col min="1" max="1" width="1.5703125" style="1" hidden="1" customWidth="1"/>
    <col min="2" max="2" width="62.85546875" style="1" hidden="1" customWidth="1"/>
    <col min="3" max="3" width="6.7109375" style="2" hidden="1" customWidth="1"/>
    <col min="4" max="4" width="8.7109375" style="2" hidden="1" customWidth="1"/>
    <col min="5" max="5" width="8.28515625" style="2" hidden="1" customWidth="1"/>
    <col min="6" max="6" width="6.28515625" style="2" hidden="1" customWidth="1"/>
    <col min="7" max="7" width="7.7109375" style="2" hidden="1" customWidth="1"/>
    <col min="8" max="12" width="0" style="1" hidden="1" customWidth="1"/>
    <col min="13" max="16384" width="8.85546875" style="1" hidden="1"/>
  </cols>
  <sheetData>
    <row r="1" spans="1:12" ht="275.45">
      <c r="B1" s="4"/>
      <c r="C1" s="5" t="s">
        <v>0</v>
      </c>
      <c r="D1" s="5" t="s">
        <v>1</v>
      </c>
      <c r="E1" s="5" t="s">
        <v>2</v>
      </c>
      <c r="F1" s="5" t="s">
        <v>3</v>
      </c>
      <c r="G1" s="5" t="s">
        <v>4</v>
      </c>
      <c r="H1" s="5" t="s">
        <v>0</v>
      </c>
      <c r="I1" s="5" t="s">
        <v>1</v>
      </c>
      <c r="J1" s="5" t="s">
        <v>2</v>
      </c>
      <c r="K1" s="5" t="s">
        <v>3</v>
      </c>
      <c r="L1" s="5" t="s">
        <v>4</v>
      </c>
    </row>
    <row r="2" spans="1:12">
      <c r="A2" s="1">
        <f>'Typing Tool'!G6</f>
        <v>0</v>
      </c>
      <c r="B2" s="3" t="s">
        <v>5</v>
      </c>
      <c r="C2" s="7">
        <v>-0.85049212818807429</v>
      </c>
      <c r="D2" s="8">
        <v>-1.9645288065715563</v>
      </c>
      <c r="E2" s="7">
        <v>-0.6175196105502625</v>
      </c>
      <c r="F2" s="8">
        <v>-1.452934430347913</v>
      </c>
      <c r="G2" s="8">
        <v>-1.6955703839481591</v>
      </c>
      <c r="H2" s="9">
        <f>($A2*C2)</f>
        <v>0</v>
      </c>
      <c r="I2" s="9">
        <f t="shared" ref="I2:L2" si="0">($A2*D2)</f>
        <v>0</v>
      </c>
      <c r="J2" s="9">
        <f t="shared" si="0"/>
        <v>0</v>
      </c>
      <c r="K2" s="9">
        <f t="shared" si="0"/>
        <v>0</v>
      </c>
      <c r="L2" s="9">
        <f t="shared" si="0"/>
        <v>0</v>
      </c>
    </row>
    <row r="3" spans="1:12">
      <c r="A3" s="1">
        <f>'Typing Tool'!G7</f>
        <v>0</v>
      </c>
      <c r="B3" s="3" t="s">
        <v>6</v>
      </c>
      <c r="C3" s="7">
        <v>0.89773597837163843</v>
      </c>
      <c r="D3" s="8">
        <v>1.2315325749963359</v>
      </c>
      <c r="E3" s="8">
        <v>1.1102650962402143</v>
      </c>
      <c r="F3" s="7">
        <v>0.99808551496155584</v>
      </c>
      <c r="G3" s="7">
        <v>0.21941431958966554</v>
      </c>
      <c r="H3" s="9">
        <f t="shared" ref="H3:H13" si="1">($A3*C3)</f>
        <v>0</v>
      </c>
      <c r="I3" s="9">
        <f t="shared" ref="I3:I13" si="2">($A3*D3)</f>
        <v>0</v>
      </c>
      <c r="J3" s="9">
        <f t="shared" ref="J3:J13" si="3">($A3*E3)</f>
        <v>0</v>
      </c>
      <c r="K3" s="9">
        <f t="shared" ref="K3:K13" si="4">($A3*F3)</f>
        <v>0</v>
      </c>
      <c r="L3" s="9">
        <f t="shared" ref="L3:L13" si="5">($A3*G3)</f>
        <v>0</v>
      </c>
    </row>
    <row r="4" spans="1:12">
      <c r="A4" s="1">
        <f>'Typing Tool'!G8</f>
        <v>0</v>
      </c>
      <c r="B4" s="3" t="s">
        <v>7</v>
      </c>
      <c r="C4" s="8">
        <v>2.1535270159509334</v>
      </c>
      <c r="D4" s="8">
        <v>2.078966862738473</v>
      </c>
      <c r="E4" s="8">
        <v>1.8805231451909006</v>
      </c>
      <c r="F4" s="8">
        <v>1.2521994560980838</v>
      </c>
      <c r="G4" s="8">
        <v>1.2154174356477736</v>
      </c>
      <c r="H4" s="9">
        <f t="shared" si="1"/>
        <v>0</v>
      </c>
      <c r="I4" s="9">
        <f t="shared" si="2"/>
        <v>0</v>
      </c>
      <c r="J4" s="9">
        <f t="shared" si="3"/>
        <v>0</v>
      </c>
      <c r="K4" s="9">
        <f t="shared" si="4"/>
        <v>0</v>
      </c>
      <c r="L4" s="9">
        <f t="shared" si="5"/>
        <v>0</v>
      </c>
    </row>
    <row r="5" spans="1:12">
      <c r="A5" s="1">
        <f>'Typing Tool'!G12</f>
        <v>0</v>
      </c>
      <c r="B5" s="3" t="s">
        <v>8</v>
      </c>
      <c r="C5" s="7">
        <v>2.8784510324331831E-2</v>
      </c>
      <c r="D5" s="7">
        <v>-0.18345979746251859</v>
      </c>
      <c r="E5" s="8">
        <v>1.1945856780028574</v>
      </c>
      <c r="F5" s="8">
        <v>1.3466443809732709</v>
      </c>
      <c r="G5" s="8">
        <v>1.3386811028893575</v>
      </c>
      <c r="H5" s="9">
        <f t="shared" si="1"/>
        <v>0</v>
      </c>
      <c r="I5" s="9">
        <f t="shared" si="2"/>
        <v>0</v>
      </c>
      <c r="J5" s="9">
        <f t="shared" si="3"/>
        <v>0</v>
      </c>
      <c r="K5" s="9">
        <f t="shared" si="4"/>
        <v>0</v>
      </c>
      <c r="L5" s="9">
        <f t="shared" si="5"/>
        <v>0</v>
      </c>
    </row>
    <row r="6" spans="1:12">
      <c r="A6" s="1">
        <f>'Typing Tool'!G13</f>
        <v>0</v>
      </c>
      <c r="B6" s="3" t="s">
        <v>9</v>
      </c>
      <c r="C6" s="7">
        <v>0.80601155930762347</v>
      </c>
      <c r="D6" s="7">
        <v>-8.0661426895071484E-2</v>
      </c>
      <c r="E6" s="7">
        <v>0.9011140423154449</v>
      </c>
      <c r="F6" s="7">
        <v>0.75399142664821628</v>
      </c>
      <c r="G6" s="7">
        <v>0.53011297919384193</v>
      </c>
      <c r="H6" s="9">
        <f t="shared" si="1"/>
        <v>0</v>
      </c>
      <c r="I6" s="9">
        <f t="shared" si="2"/>
        <v>0</v>
      </c>
      <c r="J6" s="9">
        <f t="shared" si="3"/>
        <v>0</v>
      </c>
      <c r="K6" s="9">
        <f t="shared" si="4"/>
        <v>0</v>
      </c>
      <c r="L6" s="9">
        <f t="shared" si="5"/>
        <v>0</v>
      </c>
    </row>
    <row r="7" spans="1:12">
      <c r="A7" s="1">
        <f>'Typing Tool'!G14</f>
        <v>0</v>
      </c>
      <c r="B7" s="3" t="s">
        <v>10</v>
      </c>
      <c r="C7" s="8">
        <v>1.2802917057971892</v>
      </c>
      <c r="D7" s="8">
        <v>1.8640474002798739</v>
      </c>
      <c r="E7" s="8">
        <v>1.6978410347099542</v>
      </c>
      <c r="F7" s="7">
        <v>0.55513193429060459</v>
      </c>
      <c r="G7" s="8">
        <v>1.7819179583088434</v>
      </c>
      <c r="H7" s="9">
        <f t="shared" si="1"/>
        <v>0</v>
      </c>
      <c r="I7" s="9">
        <f t="shared" si="2"/>
        <v>0</v>
      </c>
      <c r="J7" s="9">
        <f t="shared" si="3"/>
        <v>0</v>
      </c>
      <c r="K7" s="9">
        <f t="shared" si="4"/>
        <v>0</v>
      </c>
      <c r="L7" s="9">
        <f t="shared" si="5"/>
        <v>0</v>
      </c>
    </row>
    <row r="8" spans="1:12">
      <c r="A8" s="1">
        <f>'Typing Tool'!G15</f>
        <v>0</v>
      </c>
      <c r="B8" s="3" t="s">
        <v>11</v>
      </c>
      <c r="C8" s="8">
        <v>1.3557055621483101</v>
      </c>
      <c r="D8" s="8">
        <v>2.1469508444299965</v>
      </c>
      <c r="E8" s="8">
        <v>2.0260349063670069</v>
      </c>
      <c r="F8" s="7">
        <v>0.88398339839814144</v>
      </c>
      <c r="G8" s="8">
        <v>1.9826788907179198</v>
      </c>
      <c r="H8" s="9">
        <f t="shared" si="1"/>
        <v>0</v>
      </c>
      <c r="I8" s="9">
        <f t="shared" si="2"/>
        <v>0</v>
      </c>
      <c r="J8" s="9">
        <f t="shared" si="3"/>
        <v>0</v>
      </c>
      <c r="K8" s="9">
        <f t="shared" si="4"/>
        <v>0</v>
      </c>
      <c r="L8" s="9">
        <f t="shared" si="5"/>
        <v>0</v>
      </c>
    </row>
    <row r="9" spans="1:12">
      <c r="A9" s="1">
        <f>'Typing Tool'!G19</f>
        <v>0</v>
      </c>
      <c r="B9" s="3" t="s">
        <v>12</v>
      </c>
      <c r="C9" s="7">
        <v>-0.21528887627006327</v>
      </c>
      <c r="D9" s="8">
        <v>1.2506950699752675</v>
      </c>
      <c r="E9" s="7">
        <v>0.9797432145513516</v>
      </c>
      <c r="F9" s="8">
        <v>1.4994286433723769</v>
      </c>
      <c r="G9" s="8">
        <v>1.652999978270087</v>
      </c>
      <c r="H9" s="9">
        <f t="shared" si="1"/>
        <v>0</v>
      </c>
      <c r="I9" s="9">
        <f t="shared" si="2"/>
        <v>0</v>
      </c>
      <c r="J9" s="9">
        <f t="shared" si="3"/>
        <v>0</v>
      </c>
      <c r="K9" s="9">
        <f t="shared" si="4"/>
        <v>0</v>
      </c>
      <c r="L9" s="9">
        <f t="shared" si="5"/>
        <v>0</v>
      </c>
    </row>
    <row r="10" spans="1:12">
      <c r="A10" s="1">
        <f>'Typing Tool'!G20</f>
        <v>0</v>
      </c>
      <c r="B10" s="3" t="s">
        <v>13</v>
      </c>
      <c r="C10" s="8">
        <v>5.4917342523863963</v>
      </c>
      <c r="D10" s="8">
        <v>4.4728066453929207</v>
      </c>
      <c r="E10" s="8">
        <v>2.4062758424558588</v>
      </c>
      <c r="F10" s="8">
        <v>5.235135209469461</v>
      </c>
      <c r="G10" s="8">
        <v>4.8482634761026233</v>
      </c>
      <c r="H10" s="9">
        <f t="shared" si="1"/>
        <v>0</v>
      </c>
      <c r="I10" s="9">
        <f t="shared" si="2"/>
        <v>0</v>
      </c>
      <c r="J10" s="9">
        <f t="shared" si="3"/>
        <v>0</v>
      </c>
      <c r="K10" s="9">
        <f t="shared" si="4"/>
        <v>0</v>
      </c>
      <c r="L10" s="9">
        <f t="shared" si="5"/>
        <v>0</v>
      </c>
    </row>
    <row r="11" spans="1:12">
      <c r="A11" s="1">
        <f>'Typing Tool'!G21</f>
        <v>0</v>
      </c>
      <c r="B11" s="3" t="s">
        <v>14</v>
      </c>
      <c r="C11" s="8">
        <v>1.0617173036480267</v>
      </c>
      <c r="D11" s="7">
        <v>0.2915147091771515</v>
      </c>
      <c r="E11" s="7">
        <v>-0.39882420283929937</v>
      </c>
      <c r="F11" s="7">
        <v>0.13257448472331251</v>
      </c>
      <c r="G11" s="7">
        <v>0.8191544087316065</v>
      </c>
      <c r="H11" s="9">
        <f t="shared" si="1"/>
        <v>0</v>
      </c>
      <c r="I11" s="9">
        <f t="shared" si="2"/>
        <v>0</v>
      </c>
      <c r="J11" s="9">
        <f t="shared" si="3"/>
        <v>0</v>
      </c>
      <c r="K11" s="9">
        <f t="shared" si="4"/>
        <v>0</v>
      </c>
      <c r="L11" s="9">
        <f t="shared" si="5"/>
        <v>0</v>
      </c>
    </row>
    <row r="12" spans="1:12">
      <c r="A12" s="1">
        <f>'Typing Tool'!G22</f>
        <v>0</v>
      </c>
      <c r="B12" s="3" t="s">
        <v>15</v>
      </c>
      <c r="C12" s="7">
        <v>0.46872844742675462</v>
      </c>
      <c r="D12" s="8">
        <v>1.0846234965975858</v>
      </c>
      <c r="E12" s="7">
        <v>0.31590551746012019</v>
      </c>
      <c r="F12" s="7">
        <v>6.8716616251090254E-2</v>
      </c>
      <c r="G12" s="8">
        <v>1.023739214632805</v>
      </c>
      <c r="H12" s="9">
        <f t="shared" si="1"/>
        <v>0</v>
      </c>
      <c r="I12" s="9">
        <f t="shared" si="2"/>
        <v>0</v>
      </c>
      <c r="J12" s="9">
        <f t="shared" si="3"/>
        <v>0</v>
      </c>
      <c r="K12" s="9">
        <f t="shared" si="4"/>
        <v>0</v>
      </c>
      <c r="L12" s="9">
        <f t="shared" si="5"/>
        <v>0</v>
      </c>
    </row>
    <row r="13" spans="1:12">
      <c r="A13" s="1">
        <f>'Typing Tool'!G23</f>
        <v>0</v>
      </c>
      <c r="B13" s="3" t="s">
        <v>16</v>
      </c>
      <c r="C13" s="8">
        <v>1.5484779826337927</v>
      </c>
      <c r="D13" s="8">
        <v>2.4711365453054364</v>
      </c>
      <c r="E13" s="8">
        <v>2.0752918072857951</v>
      </c>
      <c r="F13" s="8">
        <v>2.429687283099689</v>
      </c>
      <c r="G13" s="7">
        <v>0.95680129004601255</v>
      </c>
      <c r="H13" s="9">
        <f t="shared" si="1"/>
        <v>0</v>
      </c>
      <c r="I13" s="9">
        <f t="shared" si="2"/>
        <v>0</v>
      </c>
      <c r="J13" s="9">
        <f t="shared" si="3"/>
        <v>0</v>
      </c>
      <c r="K13" s="9">
        <f t="shared" si="4"/>
        <v>0</v>
      </c>
      <c r="L13" s="9">
        <f t="shared" si="5"/>
        <v>0</v>
      </c>
    </row>
    <row r="14" spans="1:12">
      <c r="B14" s="3" t="s">
        <v>17</v>
      </c>
      <c r="C14" s="8">
        <v>-30.400401265566522</v>
      </c>
      <c r="D14" s="8">
        <v>-32.19986472066357</v>
      </c>
      <c r="E14" s="8">
        <v>-26.943840831642376</v>
      </c>
      <c r="F14" s="8">
        <v>-28.908324619460121</v>
      </c>
      <c r="G14" s="8">
        <v>-31.992799390555867</v>
      </c>
      <c r="H14" s="6"/>
    </row>
    <row r="15" spans="1:12">
      <c r="H15" s="10">
        <f>SUM(C14,H2:H13)</f>
        <v>-30.400401265566522</v>
      </c>
      <c r="I15" s="10">
        <f>SUM(D14,I2:I13)</f>
        <v>-32.19986472066357</v>
      </c>
      <c r="J15" s="10">
        <f>SUM(E14,J2:J13)</f>
        <v>-26.943840831642376</v>
      </c>
      <c r="K15" s="10">
        <f>SUM(F14,K2:K13)</f>
        <v>-28.908324619460121</v>
      </c>
      <c r="L15" s="10">
        <f>SUM(G14,L2:L13)</f>
        <v>-31.992799390555867</v>
      </c>
    </row>
    <row r="16" spans="1:12">
      <c r="H16" s="1" t="str">
        <f>IF(H15=MAX($H$15:$L$15),H1,"")</f>
        <v/>
      </c>
      <c r="I16" s="1" t="str">
        <f>IF(I15=MAX($H$15:$L$15),I1,"")</f>
        <v/>
      </c>
      <c r="J16" s="1" t="str">
        <f>IF(J15=MAX($H$15:$L$15),J1,"")</f>
        <v>Conscious Trendsetter</v>
      </c>
      <c r="K16" s="1" t="str">
        <f>IF(K15=MAX($H$15:$L$15),K1,"")</f>
        <v/>
      </c>
      <c r="L16" s="1" t="str">
        <f>IF(L15=MAX($H$15:$L$15),L1,"")</f>
        <v/>
      </c>
    </row>
    <row r="17" spans="2:2">
      <c r="B17" s="1" t="str">
        <f>IF(STDEV(A2:A13)=0,"ENTER VALID",IF(MAX(A2:A13)&gt;5,"ENTER VALID",IF(MIN(A2:A13)&lt;1,"ENTER VALID",CONCATENATE(H16,I16,J16,K16,L16))))</f>
        <v>ENTER VALID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9625A-648D-4B7C-B61C-03598F0DCE47}">
  <dimension ref="A1:G38"/>
  <sheetViews>
    <sheetView tabSelected="1" workbookViewId="0">
      <selection activeCell="D15" sqref="D15"/>
    </sheetView>
  </sheetViews>
  <sheetFormatPr defaultColWidth="8.85546875" defaultRowHeight="10.15"/>
  <cols>
    <col min="1" max="1" width="4" style="1" bestFit="1" customWidth="1"/>
    <col min="2" max="2" width="254.85546875" style="1" bestFit="1" customWidth="1"/>
    <col min="3" max="16384" width="8.85546875" style="1"/>
  </cols>
  <sheetData>
    <row r="1" spans="1:7" ht="30.6">
      <c r="B1" s="4"/>
      <c r="C1" s="5" t="s">
        <v>0</v>
      </c>
      <c r="D1" s="5" t="s">
        <v>1</v>
      </c>
      <c r="E1" s="5" t="s">
        <v>2</v>
      </c>
      <c r="F1" s="5" t="s">
        <v>3</v>
      </c>
      <c r="G1" s="5" t="s">
        <v>4</v>
      </c>
    </row>
    <row r="2" spans="1:7">
      <c r="A2" s="1" t="s">
        <v>18</v>
      </c>
      <c r="B2" s="3" t="s">
        <v>5</v>
      </c>
      <c r="C2" s="7">
        <v>-0.85049212818807429</v>
      </c>
      <c r="D2" s="8">
        <v>-1.9645288065715563</v>
      </c>
      <c r="E2" s="7">
        <v>-0.6175196105502625</v>
      </c>
      <c r="F2" s="8">
        <v>-1.452934430347913</v>
      </c>
      <c r="G2" s="8">
        <v>-1.6955703839481591</v>
      </c>
    </row>
    <row r="3" spans="1:7">
      <c r="A3" s="1" t="s">
        <v>19</v>
      </c>
      <c r="B3" s="3" t="s">
        <v>6</v>
      </c>
      <c r="C3" s="7">
        <v>0.89773597837163843</v>
      </c>
      <c r="D3" s="8">
        <v>1.2315325749963359</v>
      </c>
      <c r="E3" s="8">
        <v>1.1102650962402143</v>
      </c>
      <c r="F3" s="7">
        <v>0.99808551496155584</v>
      </c>
      <c r="G3" s="7">
        <v>0.21941431958966554</v>
      </c>
    </row>
    <row r="4" spans="1:7">
      <c r="A4" s="1" t="s">
        <v>20</v>
      </c>
      <c r="B4" s="3" t="s">
        <v>7</v>
      </c>
      <c r="C4" s="8">
        <v>2.1535270159509334</v>
      </c>
      <c r="D4" s="8">
        <v>2.078966862738473</v>
      </c>
      <c r="E4" s="8">
        <v>1.8805231451909006</v>
      </c>
      <c r="F4" s="8">
        <v>1.2521994560980838</v>
      </c>
      <c r="G4" s="8">
        <v>1.2154174356477736</v>
      </c>
    </row>
    <row r="5" spans="1:7">
      <c r="A5" s="1" t="s">
        <v>21</v>
      </c>
      <c r="B5" s="3" t="s">
        <v>8</v>
      </c>
      <c r="C5" s="7">
        <v>2.8784510324331831E-2</v>
      </c>
      <c r="D5" s="7">
        <v>-0.18345979746251859</v>
      </c>
      <c r="E5" s="8">
        <v>1.1945856780028574</v>
      </c>
      <c r="F5" s="8">
        <v>1.3466443809732709</v>
      </c>
      <c r="G5" s="8">
        <v>1.3386811028893575</v>
      </c>
    </row>
    <row r="6" spans="1:7">
      <c r="A6" s="1" t="s">
        <v>22</v>
      </c>
      <c r="B6" s="3" t="s">
        <v>9</v>
      </c>
      <c r="C6" s="7">
        <v>0.80601155930762347</v>
      </c>
      <c r="D6" s="7">
        <v>-8.0661426895071484E-2</v>
      </c>
      <c r="E6" s="7">
        <v>0.9011140423154449</v>
      </c>
      <c r="F6" s="7">
        <v>0.75399142664821628</v>
      </c>
      <c r="G6" s="7">
        <v>0.53011297919384193</v>
      </c>
    </row>
    <row r="7" spans="1:7">
      <c r="A7" s="1" t="s">
        <v>23</v>
      </c>
      <c r="B7" s="3" t="s">
        <v>10</v>
      </c>
      <c r="C7" s="8">
        <v>1.2802917057971892</v>
      </c>
      <c r="D7" s="8">
        <v>1.8640474002798739</v>
      </c>
      <c r="E7" s="8">
        <v>1.6978410347099542</v>
      </c>
      <c r="F7" s="7">
        <v>0.55513193429060459</v>
      </c>
      <c r="G7" s="8">
        <v>1.7819179583088434</v>
      </c>
    </row>
    <row r="8" spans="1:7">
      <c r="A8" s="1" t="s">
        <v>24</v>
      </c>
      <c r="B8" s="3" t="s">
        <v>11</v>
      </c>
      <c r="C8" s="8">
        <v>1.3557055621483101</v>
      </c>
      <c r="D8" s="8">
        <v>2.1469508444299965</v>
      </c>
      <c r="E8" s="8">
        <v>2.0260349063670069</v>
      </c>
      <c r="F8" s="7">
        <v>0.88398339839814144</v>
      </c>
      <c r="G8" s="8">
        <v>1.9826788907179198</v>
      </c>
    </row>
    <row r="9" spans="1:7">
      <c r="A9" s="1" t="s">
        <v>25</v>
      </c>
      <c r="B9" s="3" t="s">
        <v>12</v>
      </c>
      <c r="C9" s="7">
        <v>-0.21528887627006327</v>
      </c>
      <c r="D9" s="8">
        <v>1.2506950699752675</v>
      </c>
      <c r="E9" s="7">
        <v>0.9797432145513516</v>
      </c>
      <c r="F9" s="8">
        <v>1.4994286433723769</v>
      </c>
      <c r="G9" s="8">
        <v>1.652999978270087</v>
      </c>
    </row>
    <row r="10" spans="1:7">
      <c r="A10" s="1" t="s">
        <v>26</v>
      </c>
      <c r="B10" s="3" t="s">
        <v>13</v>
      </c>
      <c r="C10" s="8">
        <v>5.4917342523863963</v>
      </c>
      <c r="D10" s="8">
        <v>4.4728066453929207</v>
      </c>
      <c r="E10" s="8">
        <v>2.4062758424558588</v>
      </c>
      <c r="F10" s="8">
        <v>5.235135209469461</v>
      </c>
      <c r="G10" s="8">
        <v>4.8482634761026233</v>
      </c>
    </row>
    <row r="11" spans="1:7">
      <c r="A11" s="1" t="s">
        <v>27</v>
      </c>
      <c r="B11" s="3" t="s">
        <v>14</v>
      </c>
      <c r="C11" s="8">
        <v>1.0617173036480267</v>
      </c>
      <c r="D11" s="7">
        <v>0.2915147091771515</v>
      </c>
      <c r="E11" s="7">
        <v>-0.39882420283929937</v>
      </c>
      <c r="F11" s="7">
        <v>0.13257448472331251</v>
      </c>
      <c r="G11" s="7">
        <v>0.8191544087316065</v>
      </c>
    </row>
    <row r="12" spans="1:7">
      <c r="A12" s="1" t="s">
        <v>28</v>
      </c>
      <c r="B12" s="3" t="s">
        <v>15</v>
      </c>
      <c r="C12" s="7">
        <v>0.46872844742675462</v>
      </c>
      <c r="D12" s="8">
        <v>1.0846234965975858</v>
      </c>
      <c r="E12" s="7">
        <v>0.31590551746012019</v>
      </c>
      <c r="F12" s="7">
        <v>6.8716616251090254E-2</v>
      </c>
      <c r="G12" s="8">
        <v>1.023739214632805</v>
      </c>
    </row>
    <row r="13" spans="1:7">
      <c r="A13" s="1" t="s">
        <v>29</v>
      </c>
      <c r="B13" s="3" t="s">
        <v>16</v>
      </c>
      <c r="C13" s="8">
        <v>1.5484779826337927</v>
      </c>
      <c r="D13" s="8">
        <v>2.4711365453054364</v>
      </c>
      <c r="E13" s="8">
        <v>2.0752918072857951</v>
      </c>
      <c r="F13" s="8">
        <v>2.429687283099689</v>
      </c>
      <c r="G13" s="7">
        <v>0.95680129004601255</v>
      </c>
    </row>
    <row r="14" spans="1:7">
      <c r="B14" s="3" t="s">
        <v>17</v>
      </c>
      <c r="C14" s="8">
        <v>-30.400401265566522</v>
      </c>
      <c r="D14" s="8">
        <v>-32.19986472066357</v>
      </c>
      <c r="E14" s="8">
        <v>-26.943840831642376</v>
      </c>
      <c r="F14" s="8">
        <v>-28.908324619460121</v>
      </c>
      <c r="G14" s="8">
        <v>-31.992799390555867</v>
      </c>
    </row>
    <row r="17" spans="2:2">
      <c r="B17" s="1" t="s">
        <v>30</v>
      </c>
    </row>
    <row r="18" spans="2:2">
      <c r="B18" s="1" t="s">
        <v>31</v>
      </c>
    </row>
    <row r="19" spans="2:2">
      <c r="B19" s="1" t="s">
        <v>32</v>
      </c>
    </row>
    <row r="20" spans="2:2">
      <c r="B20" s="1" t="s">
        <v>33</v>
      </c>
    </row>
    <row r="21" spans="2:2">
      <c r="B21" s="1" t="s">
        <v>34</v>
      </c>
    </row>
    <row r="22" spans="2:2">
      <c r="B22" s="1" t="s">
        <v>35</v>
      </c>
    </row>
    <row r="24" spans="2:2">
      <c r="B24" s="1" t="s">
        <v>36</v>
      </c>
    </row>
    <row r="25" spans="2:2">
      <c r="B25" s="1" t="s">
        <v>37</v>
      </c>
    </row>
    <row r="26" spans="2:2">
      <c r="B26" s="1" t="s">
        <v>38</v>
      </c>
    </row>
    <row r="27" spans="2:2">
      <c r="B27" s="1" t="s">
        <v>39</v>
      </c>
    </row>
    <row r="28" spans="2:2">
      <c r="B28" s="1" t="s">
        <v>40</v>
      </c>
    </row>
    <row r="29" spans="2:2">
      <c r="B29" s="1" t="s">
        <v>35</v>
      </c>
    </row>
    <row r="32" spans="2:2">
      <c r="B32" s="1" t="s">
        <v>41</v>
      </c>
    </row>
    <row r="33" spans="2:2">
      <c r="B33" s="1" t="s">
        <v>42</v>
      </c>
    </row>
    <row r="34" spans="2:2">
      <c r="B34" s="1" t="s">
        <v>43</v>
      </c>
    </row>
    <row r="35" spans="2:2">
      <c r="B35" s="1" t="s">
        <v>44</v>
      </c>
    </row>
    <row r="36" spans="2:2">
      <c r="B36" s="1" t="s">
        <v>45</v>
      </c>
    </row>
    <row r="37" spans="2:2">
      <c r="B37" s="1" t="s">
        <v>46</v>
      </c>
    </row>
    <row r="38" spans="2:2">
      <c r="B38" s="1" t="s">
        <v>35</v>
      </c>
    </row>
  </sheetData>
  <phoneticPr fontId="8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AA05-7087-48BD-BB4C-9315169654AC}">
  <dimension ref="A1:G23"/>
  <sheetViews>
    <sheetView workbookViewId="0">
      <selection activeCell="B1" sqref="B1:F2"/>
    </sheetView>
  </sheetViews>
  <sheetFormatPr defaultColWidth="8.85546875" defaultRowHeight="10.15"/>
  <cols>
    <col min="1" max="1" width="62.85546875" style="1" bestFit="1" customWidth="1"/>
    <col min="2" max="6" width="9.7109375" style="2" customWidth="1"/>
    <col min="7" max="7" width="8.85546875" style="2"/>
    <col min="8" max="16384" width="8.85546875" style="1"/>
  </cols>
  <sheetData>
    <row r="1" spans="1:7">
      <c r="A1" s="24" t="s">
        <v>47</v>
      </c>
      <c r="B1" s="25" t="str">
        <f>Form!B17</f>
        <v>ENTER VALID</v>
      </c>
      <c r="C1" s="26"/>
      <c r="D1" s="26"/>
      <c r="E1" s="26"/>
      <c r="F1" s="27"/>
    </row>
    <row r="2" spans="1:7" ht="10.9" thickBot="1">
      <c r="A2" s="24"/>
      <c r="B2" s="28"/>
      <c r="C2" s="29"/>
      <c r="D2" s="29"/>
      <c r="E2" s="29"/>
      <c r="F2" s="30"/>
    </row>
    <row r="3" spans="1:7">
      <c r="B3" s="31" t="s">
        <v>48</v>
      </c>
      <c r="C3" s="31"/>
      <c r="D3" s="31"/>
      <c r="E3" s="31"/>
      <c r="F3" s="31"/>
    </row>
    <row r="4" spans="1:7" ht="10.9" thickBot="1"/>
    <row r="5" spans="1:7" ht="31.15" thickBot="1">
      <c r="A5" s="23" t="s">
        <v>49</v>
      </c>
      <c r="B5" s="19" t="s">
        <v>50</v>
      </c>
      <c r="C5" s="20" t="s">
        <v>51</v>
      </c>
      <c r="D5" s="20" t="s">
        <v>52</v>
      </c>
      <c r="E5" s="20" t="s">
        <v>53</v>
      </c>
      <c r="F5" s="21" t="s">
        <v>54</v>
      </c>
      <c r="G5" s="22" t="s">
        <v>55</v>
      </c>
    </row>
    <row r="6" spans="1:7">
      <c r="A6" s="11" t="s">
        <v>5</v>
      </c>
      <c r="B6" s="13">
        <v>1</v>
      </c>
      <c r="C6" s="2">
        <v>2</v>
      </c>
      <c r="D6" s="2">
        <v>3</v>
      </c>
      <c r="E6" s="2">
        <v>4</v>
      </c>
      <c r="F6" s="2">
        <v>5</v>
      </c>
      <c r="G6" s="16"/>
    </row>
    <row r="7" spans="1:7">
      <c r="A7" s="11" t="s">
        <v>6</v>
      </c>
      <c r="B7" s="13">
        <v>1</v>
      </c>
      <c r="C7" s="2">
        <v>2</v>
      </c>
      <c r="D7" s="2">
        <v>3</v>
      </c>
      <c r="E7" s="2">
        <v>4</v>
      </c>
      <c r="F7" s="2">
        <v>5</v>
      </c>
      <c r="G7" s="17"/>
    </row>
    <row r="8" spans="1:7" ht="10.9" thickBot="1">
      <c r="A8" s="12" t="s">
        <v>7</v>
      </c>
      <c r="B8" s="14">
        <v>1</v>
      </c>
      <c r="C8" s="15">
        <v>2</v>
      </c>
      <c r="D8" s="15">
        <v>3</v>
      </c>
      <c r="E8" s="15">
        <v>4</v>
      </c>
      <c r="F8" s="15">
        <v>5</v>
      </c>
      <c r="G8" s="18"/>
    </row>
    <row r="9" spans="1:7">
      <c r="A9" s="3"/>
    </row>
    <row r="10" spans="1:7" ht="10.9" thickBot="1">
      <c r="A10" s="3"/>
    </row>
    <row r="11" spans="1:7" ht="31.15" thickBot="1">
      <c r="A11" s="23" t="s">
        <v>56</v>
      </c>
      <c r="B11" s="19" t="s">
        <v>50</v>
      </c>
      <c r="C11" s="20" t="s">
        <v>51</v>
      </c>
      <c r="D11" s="20" t="s">
        <v>52</v>
      </c>
      <c r="E11" s="20" t="s">
        <v>53</v>
      </c>
      <c r="F11" s="21" t="s">
        <v>54</v>
      </c>
      <c r="G11" s="22" t="s">
        <v>55</v>
      </c>
    </row>
    <row r="12" spans="1:7">
      <c r="A12" s="11" t="s">
        <v>8</v>
      </c>
      <c r="B12" s="13">
        <v>1</v>
      </c>
      <c r="C12" s="2">
        <v>2</v>
      </c>
      <c r="D12" s="2">
        <v>3</v>
      </c>
      <c r="E12" s="2">
        <v>4</v>
      </c>
      <c r="F12" s="2">
        <v>5</v>
      </c>
      <c r="G12" s="16"/>
    </row>
    <row r="13" spans="1:7">
      <c r="A13" s="11" t="s">
        <v>9</v>
      </c>
      <c r="B13" s="13">
        <v>1</v>
      </c>
      <c r="C13" s="2">
        <v>2</v>
      </c>
      <c r="D13" s="2">
        <v>3</v>
      </c>
      <c r="E13" s="2">
        <v>4</v>
      </c>
      <c r="F13" s="2">
        <v>5</v>
      </c>
      <c r="G13" s="17"/>
    </row>
    <row r="14" spans="1:7">
      <c r="A14" s="11" t="s">
        <v>10</v>
      </c>
      <c r="B14" s="13">
        <v>1</v>
      </c>
      <c r="C14" s="2">
        <v>2</v>
      </c>
      <c r="D14" s="2">
        <v>3</v>
      </c>
      <c r="E14" s="2">
        <v>4</v>
      </c>
      <c r="F14" s="2">
        <v>5</v>
      </c>
      <c r="G14" s="17"/>
    </row>
    <row r="15" spans="1:7" ht="10.9" thickBot="1">
      <c r="A15" s="12" t="s">
        <v>11</v>
      </c>
      <c r="B15" s="14">
        <v>1</v>
      </c>
      <c r="C15" s="15">
        <v>2</v>
      </c>
      <c r="D15" s="15">
        <v>3</v>
      </c>
      <c r="E15" s="15">
        <v>4</v>
      </c>
      <c r="F15" s="15">
        <v>5</v>
      </c>
      <c r="G15" s="18"/>
    </row>
    <row r="16" spans="1:7">
      <c r="A16" s="3"/>
    </row>
    <row r="17" spans="1:7" ht="10.9" thickBot="1">
      <c r="A17" s="3"/>
    </row>
    <row r="18" spans="1:7" ht="31.15" thickBot="1">
      <c r="A18" s="23" t="s">
        <v>57</v>
      </c>
      <c r="B18" s="19" t="s">
        <v>50</v>
      </c>
      <c r="C18" s="20" t="s">
        <v>51</v>
      </c>
      <c r="D18" s="20" t="s">
        <v>52</v>
      </c>
      <c r="E18" s="20" t="s">
        <v>53</v>
      </c>
      <c r="F18" s="21" t="s">
        <v>54</v>
      </c>
      <c r="G18" s="22" t="s">
        <v>55</v>
      </c>
    </row>
    <row r="19" spans="1:7">
      <c r="A19" s="11" t="s">
        <v>12</v>
      </c>
      <c r="B19" s="13">
        <v>1</v>
      </c>
      <c r="C19" s="2">
        <v>2</v>
      </c>
      <c r="D19" s="2">
        <v>3</v>
      </c>
      <c r="E19" s="2">
        <v>4</v>
      </c>
      <c r="F19" s="2">
        <v>5</v>
      </c>
      <c r="G19" s="16"/>
    </row>
    <row r="20" spans="1:7">
      <c r="A20" s="11" t="s">
        <v>13</v>
      </c>
      <c r="B20" s="13">
        <v>1</v>
      </c>
      <c r="C20" s="2">
        <v>2</v>
      </c>
      <c r="D20" s="2">
        <v>3</v>
      </c>
      <c r="E20" s="2">
        <v>4</v>
      </c>
      <c r="F20" s="2">
        <v>5</v>
      </c>
      <c r="G20" s="17"/>
    </row>
    <row r="21" spans="1:7">
      <c r="A21" s="11" t="s">
        <v>14</v>
      </c>
      <c r="B21" s="13">
        <v>1</v>
      </c>
      <c r="C21" s="2">
        <v>2</v>
      </c>
      <c r="D21" s="2">
        <v>3</v>
      </c>
      <c r="E21" s="2">
        <v>4</v>
      </c>
      <c r="F21" s="2">
        <v>5</v>
      </c>
      <c r="G21" s="17"/>
    </row>
    <row r="22" spans="1:7">
      <c r="A22" s="11" t="s">
        <v>15</v>
      </c>
      <c r="B22" s="13">
        <v>1</v>
      </c>
      <c r="C22" s="2">
        <v>2</v>
      </c>
      <c r="D22" s="2">
        <v>3</v>
      </c>
      <c r="E22" s="2">
        <v>4</v>
      </c>
      <c r="F22" s="2">
        <v>5</v>
      </c>
      <c r="G22" s="17"/>
    </row>
    <row r="23" spans="1:7" ht="10.9" thickBot="1">
      <c r="A23" s="12" t="s">
        <v>16</v>
      </c>
      <c r="B23" s="14">
        <v>1</v>
      </c>
      <c r="C23" s="15">
        <v>2</v>
      </c>
      <c r="D23" s="15">
        <v>3</v>
      </c>
      <c r="E23" s="15">
        <v>4</v>
      </c>
      <c r="F23" s="15">
        <v>5</v>
      </c>
      <c r="G23" s="18"/>
    </row>
  </sheetData>
  <mergeCells count="3">
    <mergeCell ref="A1:A2"/>
    <mergeCell ref="B1:F2"/>
    <mergeCell ref="B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Huntley, Jason (AVALO)</dc:creator>
  <cp:keywords/>
  <dc:description/>
  <cp:lastModifiedBy/>
  <cp:revision/>
  <dcterms:created xsi:type="dcterms:W3CDTF">2020-10-02T12:00:42Z</dcterms:created>
  <dcterms:modified xsi:type="dcterms:W3CDTF">2023-07-31T18:49:52Z</dcterms:modified>
  <cp:category/>
  <cp:contentStatus/>
</cp:coreProperties>
</file>