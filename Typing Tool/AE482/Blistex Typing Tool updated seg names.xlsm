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kbha\Downloads\"/>
    </mc:Choice>
  </mc:AlternateContent>
  <bookViews>
    <workbookView xWindow="-120" yWindow="-120" windowWidth="24240" windowHeight="13140" activeTab="1"/>
  </bookViews>
  <sheets>
    <sheet name="individual tool" sheetId="3" r:id="rId1"/>
    <sheet name="individual classification" sheetId="10" r:id="rId2"/>
    <sheet name="batch tool" sheetId="9" r:id="rId3"/>
    <sheet name="batch classification" sheetId="5" state="hidden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11" i="5" l="1"/>
  <c r="B2011" i="5"/>
  <c r="C2011" i="5"/>
  <c r="D2011" i="5"/>
  <c r="E2011" i="5"/>
  <c r="F2011" i="5"/>
  <c r="G2011" i="5"/>
  <c r="H2011" i="5"/>
  <c r="I2011" i="5" s="1"/>
  <c r="J2011" i="5" s="1" a="1"/>
  <c r="J2011" i="5" s="1"/>
  <c r="A2012" i="5"/>
  <c r="B2012" i="5"/>
  <c r="C2012" i="5"/>
  <c r="D2012" i="5"/>
  <c r="E2012" i="5"/>
  <c r="F2012" i="5"/>
  <c r="G2012" i="5"/>
  <c r="A2013" i="5"/>
  <c r="B2013" i="5"/>
  <c r="C2013" i="5"/>
  <c r="D2013" i="5"/>
  <c r="E2013" i="5"/>
  <c r="F2013" i="5"/>
  <c r="G2013" i="5"/>
  <c r="A2014" i="5"/>
  <c r="B2014" i="5"/>
  <c r="C2014" i="5"/>
  <c r="D2014" i="5"/>
  <c r="E2014" i="5"/>
  <c r="F2014" i="5"/>
  <c r="G2014" i="5"/>
  <c r="A2015" i="5"/>
  <c r="B2015" i="5"/>
  <c r="C2015" i="5"/>
  <c r="D2015" i="5"/>
  <c r="E2015" i="5"/>
  <c r="F2015" i="5"/>
  <c r="G2015" i="5"/>
  <c r="A2016" i="5"/>
  <c r="B2016" i="5"/>
  <c r="C2016" i="5"/>
  <c r="D2016" i="5"/>
  <c r="E2016" i="5"/>
  <c r="F2016" i="5"/>
  <c r="G2016" i="5"/>
  <c r="A2017" i="5"/>
  <c r="B2017" i="5"/>
  <c r="C2017" i="5"/>
  <c r="D2017" i="5"/>
  <c r="E2017" i="5"/>
  <c r="F2017" i="5"/>
  <c r="G2017" i="5"/>
  <c r="A2018" i="5"/>
  <c r="B2018" i="5"/>
  <c r="C2018" i="5"/>
  <c r="D2018" i="5"/>
  <c r="E2018" i="5"/>
  <c r="F2018" i="5"/>
  <c r="G2018" i="5"/>
  <c r="A2019" i="5"/>
  <c r="B2019" i="5"/>
  <c r="C2019" i="5"/>
  <c r="D2019" i="5"/>
  <c r="E2019" i="5"/>
  <c r="F2019" i="5"/>
  <c r="G2019" i="5"/>
  <c r="A2020" i="5"/>
  <c r="B2020" i="5"/>
  <c r="C2020" i="5"/>
  <c r="D2020" i="5"/>
  <c r="E2020" i="5"/>
  <c r="F2020" i="5"/>
  <c r="G2020" i="5"/>
  <c r="A2021" i="5"/>
  <c r="B2021" i="5"/>
  <c r="C2021" i="5"/>
  <c r="D2021" i="5"/>
  <c r="E2021" i="5"/>
  <c r="F2021" i="5"/>
  <c r="G2021" i="5"/>
  <c r="A2022" i="5"/>
  <c r="B2022" i="5"/>
  <c r="C2022" i="5"/>
  <c r="D2022" i="5"/>
  <c r="E2022" i="5"/>
  <c r="F2022" i="5"/>
  <c r="G2022" i="5"/>
  <c r="A2023" i="5"/>
  <c r="B2023" i="5"/>
  <c r="C2023" i="5"/>
  <c r="D2023" i="5"/>
  <c r="E2023" i="5"/>
  <c r="F2023" i="5"/>
  <c r="G2023" i="5"/>
  <c r="A2024" i="5"/>
  <c r="B2024" i="5"/>
  <c r="C2024" i="5"/>
  <c r="D2024" i="5"/>
  <c r="E2024" i="5"/>
  <c r="F2024" i="5"/>
  <c r="G2024" i="5"/>
  <c r="A2025" i="5"/>
  <c r="B2025" i="5"/>
  <c r="C2025" i="5"/>
  <c r="D2025" i="5"/>
  <c r="E2025" i="5"/>
  <c r="F2025" i="5"/>
  <c r="G2025" i="5"/>
  <c r="A2026" i="5"/>
  <c r="B2026" i="5"/>
  <c r="C2026" i="5"/>
  <c r="D2026" i="5"/>
  <c r="E2026" i="5"/>
  <c r="F2026" i="5"/>
  <c r="G2026" i="5"/>
  <c r="A2027" i="5"/>
  <c r="B2027" i="5"/>
  <c r="C2027" i="5"/>
  <c r="D2027" i="5"/>
  <c r="E2027" i="5"/>
  <c r="F2027" i="5"/>
  <c r="G2027" i="5"/>
  <c r="A2028" i="5"/>
  <c r="B2028" i="5"/>
  <c r="C2028" i="5"/>
  <c r="D2028" i="5"/>
  <c r="E2028" i="5"/>
  <c r="F2028" i="5"/>
  <c r="G2028" i="5"/>
  <c r="A2029" i="5"/>
  <c r="B2029" i="5"/>
  <c r="C2029" i="5"/>
  <c r="D2029" i="5"/>
  <c r="E2029" i="5"/>
  <c r="F2029" i="5"/>
  <c r="G2029" i="5"/>
  <c r="A2030" i="5"/>
  <c r="B2030" i="5"/>
  <c r="C2030" i="5"/>
  <c r="D2030" i="5"/>
  <c r="E2030" i="5"/>
  <c r="F2030" i="5"/>
  <c r="G2030" i="5"/>
  <c r="A2031" i="5"/>
  <c r="B2031" i="5"/>
  <c r="C2031" i="5"/>
  <c r="D2031" i="5"/>
  <c r="E2031" i="5"/>
  <c r="F2031" i="5"/>
  <c r="G2031" i="5"/>
  <c r="A2032" i="5"/>
  <c r="B2032" i="5"/>
  <c r="C2032" i="5"/>
  <c r="D2032" i="5"/>
  <c r="E2032" i="5"/>
  <c r="F2032" i="5"/>
  <c r="G2032" i="5"/>
  <c r="A2033" i="5"/>
  <c r="B2033" i="5"/>
  <c r="C2033" i="5"/>
  <c r="D2033" i="5"/>
  <c r="E2033" i="5"/>
  <c r="F2033" i="5"/>
  <c r="G2033" i="5"/>
  <c r="A2034" i="5"/>
  <c r="B2034" i="5"/>
  <c r="C2034" i="5"/>
  <c r="D2034" i="5"/>
  <c r="E2034" i="5"/>
  <c r="F2034" i="5"/>
  <c r="G2034" i="5"/>
  <c r="A2035" i="5"/>
  <c r="B2035" i="5"/>
  <c r="C2035" i="5"/>
  <c r="D2035" i="5"/>
  <c r="E2035" i="5"/>
  <c r="F2035" i="5"/>
  <c r="G2035" i="5"/>
  <c r="A2036" i="5"/>
  <c r="B2036" i="5"/>
  <c r="C2036" i="5"/>
  <c r="D2036" i="5"/>
  <c r="E2036" i="5"/>
  <c r="F2036" i="5"/>
  <c r="G2036" i="5"/>
  <c r="A2037" i="5"/>
  <c r="B2037" i="5"/>
  <c r="C2037" i="5"/>
  <c r="D2037" i="5"/>
  <c r="E2037" i="5"/>
  <c r="F2037" i="5"/>
  <c r="G2037" i="5"/>
  <c r="A2038" i="5"/>
  <c r="B2038" i="5"/>
  <c r="C2038" i="5"/>
  <c r="D2038" i="5"/>
  <c r="E2038" i="5"/>
  <c r="F2038" i="5"/>
  <c r="G2038" i="5"/>
  <c r="A2039" i="5"/>
  <c r="B2039" i="5"/>
  <c r="C2039" i="5"/>
  <c r="D2039" i="5"/>
  <c r="E2039" i="5"/>
  <c r="F2039" i="5"/>
  <c r="G2039" i="5"/>
  <c r="A2040" i="5"/>
  <c r="B2040" i="5"/>
  <c r="C2040" i="5"/>
  <c r="D2040" i="5"/>
  <c r="E2040" i="5"/>
  <c r="F2040" i="5"/>
  <c r="G2040" i="5"/>
  <c r="A2041" i="5"/>
  <c r="B2041" i="5"/>
  <c r="C2041" i="5"/>
  <c r="D2041" i="5"/>
  <c r="E2041" i="5"/>
  <c r="F2041" i="5"/>
  <c r="G2041" i="5"/>
  <c r="A2042" i="5"/>
  <c r="B2042" i="5"/>
  <c r="C2042" i="5"/>
  <c r="D2042" i="5"/>
  <c r="E2042" i="5"/>
  <c r="F2042" i="5"/>
  <c r="G2042" i="5"/>
  <c r="A2043" i="5"/>
  <c r="B2043" i="5"/>
  <c r="C2043" i="5"/>
  <c r="D2043" i="5"/>
  <c r="E2043" i="5"/>
  <c r="F2043" i="5"/>
  <c r="G2043" i="5"/>
  <c r="A2044" i="5"/>
  <c r="B2044" i="5"/>
  <c r="C2044" i="5"/>
  <c r="D2044" i="5"/>
  <c r="E2044" i="5"/>
  <c r="F2044" i="5"/>
  <c r="G2044" i="5"/>
  <c r="A2045" i="5"/>
  <c r="B2045" i="5"/>
  <c r="C2045" i="5"/>
  <c r="D2045" i="5"/>
  <c r="E2045" i="5"/>
  <c r="F2045" i="5"/>
  <c r="G2045" i="5"/>
  <c r="A2046" i="5"/>
  <c r="B2046" i="5"/>
  <c r="C2046" i="5"/>
  <c r="D2046" i="5"/>
  <c r="E2046" i="5"/>
  <c r="F2046" i="5"/>
  <c r="G2046" i="5"/>
  <c r="A2047" i="5"/>
  <c r="B2047" i="5"/>
  <c r="C2047" i="5"/>
  <c r="D2047" i="5"/>
  <c r="E2047" i="5"/>
  <c r="F2047" i="5"/>
  <c r="G2047" i="5"/>
  <c r="A2048" i="5"/>
  <c r="B2048" i="5"/>
  <c r="C2048" i="5"/>
  <c r="D2048" i="5"/>
  <c r="E2048" i="5"/>
  <c r="F2048" i="5"/>
  <c r="G2048" i="5"/>
  <c r="A2049" i="5"/>
  <c r="B2049" i="5"/>
  <c r="C2049" i="5"/>
  <c r="D2049" i="5"/>
  <c r="E2049" i="5"/>
  <c r="F2049" i="5"/>
  <c r="G2049" i="5"/>
  <c r="A2050" i="5"/>
  <c r="B2050" i="5"/>
  <c r="C2050" i="5"/>
  <c r="D2050" i="5"/>
  <c r="E2050" i="5"/>
  <c r="F2050" i="5"/>
  <c r="G2050" i="5"/>
  <c r="A2051" i="5"/>
  <c r="B2051" i="5"/>
  <c r="C2051" i="5"/>
  <c r="D2051" i="5"/>
  <c r="E2051" i="5"/>
  <c r="F2051" i="5"/>
  <c r="G2051" i="5"/>
  <c r="A2052" i="5"/>
  <c r="B2052" i="5"/>
  <c r="C2052" i="5"/>
  <c r="D2052" i="5"/>
  <c r="E2052" i="5"/>
  <c r="F2052" i="5"/>
  <c r="G2052" i="5"/>
  <c r="A2053" i="5"/>
  <c r="B2053" i="5"/>
  <c r="C2053" i="5"/>
  <c r="D2053" i="5"/>
  <c r="E2053" i="5"/>
  <c r="F2053" i="5"/>
  <c r="G2053" i="5"/>
  <c r="A2054" i="5"/>
  <c r="B2054" i="5"/>
  <c r="C2054" i="5"/>
  <c r="D2054" i="5"/>
  <c r="E2054" i="5"/>
  <c r="F2054" i="5"/>
  <c r="G2054" i="5"/>
  <c r="A2055" i="5"/>
  <c r="B2055" i="5"/>
  <c r="C2055" i="5"/>
  <c r="D2055" i="5"/>
  <c r="E2055" i="5"/>
  <c r="F2055" i="5"/>
  <c r="G2055" i="5"/>
  <c r="A2056" i="5"/>
  <c r="B2056" i="5"/>
  <c r="C2056" i="5"/>
  <c r="D2056" i="5"/>
  <c r="E2056" i="5"/>
  <c r="F2056" i="5"/>
  <c r="G2056" i="5"/>
  <c r="A2057" i="5"/>
  <c r="B2057" i="5"/>
  <c r="C2057" i="5"/>
  <c r="D2057" i="5"/>
  <c r="E2057" i="5"/>
  <c r="F2057" i="5"/>
  <c r="G2057" i="5"/>
  <c r="A2058" i="5"/>
  <c r="B2058" i="5"/>
  <c r="C2058" i="5"/>
  <c r="D2058" i="5"/>
  <c r="E2058" i="5"/>
  <c r="F2058" i="5"/>
  <c r="G2058" i="5"/>
  <c r="A2059" i="5"/>
  <c r="B2059" i="5"/>
  <c r="C2059" i="5"/>
  <c r="D2059" i="5"/>
  <c r="E2059" i="5"/>
  <c r="F2059" i="5"/>
  <c r="G2059" i="5"/>
  <c r="A2060" i="5"/>
  <c r="B2060" i="5"/>
  <c r="C2060" i="5"/>
  <c r="D2060" i="5"/>
  <c r="E2060" i="5"/>
  <c r="F2060" i="5"/>
  <c r="G2060" i="5"/>
  <c r="A2061" i="5"/>
  <c r="B2061" i="5"/>
  <c r="C2061" i="5"/>
  <c r="D2061" i="5"/>
  <c r="E2061" i="5"/>
  <c r="F2061" i="5"/>
  <c r="G2061" i="5"/>
  <c r="A2062" i="5"/>
  <c r="B2062" i="5"/>
  <c r="C2062" i="5"/>
  <c r="D2062" i="5"/>
  <c r="E2062" i="5"/>
  <c r="F2062" i="5"/>
  <c r="G2062" i="5"/>
  <c r="A2063" i="5"/>
  <c r="B2063" i="5"/>
  <c r="C2063" i="5"/>
  <c r="D2063" i="5"/>
  <c r="E2063" i="5"/>
  <c r="F2063" i="5"/>
  <c r="G2063" i="5"/>
  <c r="A2064" i="5"/>
  <c r="B2064" i="5"/>
  <c r="C2064" i="5"/>
  <c r="D2064" i="5"/>
  <c r="E2064" i="5"/>
  <c r="F2064" i="5"/>
  <c r="G2064" i="5"/>
  <c r="A2065" i="5"/>
  <c r="B2065" i="5"/>
  <c r="C2065" i="5"/>
  <c r="D2065" i="5"/>
  <c r="E2065" i="5"/>
  <c r="F2065" i="5"/>
  <c r="G2065" i="5"/>
  <c r="A2066" i="5"/>
  <c r="B2066" i="5"/>
  <c r="C2066" i="5"/>
  <c r="D2066" i="5"/>
  <c r="E2066" i="5"/>
  <c r="F2066" i="5"/>
  <c r="G2066" i="5"/>
  <c r="A2067" i="5"/>
  <c r="B2067" i="5"/>
  <c r="C2067" i="5"/>
  <c r="D2067" i="5"/>
  <c r="E2067" i="5"/>
  <c r="F2067" i="5"/>
  <c r="G2067" i="5"/>
  <c r="A2068" i="5"/>
  <c r="B2068" i="5"/>
  <c r="C2068" i="5"/>
  <c r="D2068" i="5"/>
  <c r="E2068" i="5"/>
  <c r="F2068" i="5"/>
  <c r="G2068" i="5"/>
  <c r="A2069" i="5"/>
  <c r="B2069" i="5"/>
  <c r="C2069" i="5"/>
  <c r="D2069" i="5"/>
  <c r="E2069" i="5"/>
  <c r="F2069" i="5"/>
  <c r="G2069" i="5"/>
  <c r="A2070" i="5"/>
  <c r="B2070" i="5"/>
  <c r="C2070" i="5"/>
  <c r="D2070" i="5"/>
  <c r="E2070" i="5"/>
  <c r="F2070" i="5"/>
  <c r="G2070" i="5"/>
  <c r="A2071" i="5"/>
  <c r="B2071" i="5"/>
  <c r="C2071" i="5"/>
  <c r="D2071" i="5"/>
  <c r="E2071" i="5"/>
  <c r="F2071" i="5"/>
  <c r="G2071" i="5"/>
  <c r="A2072" i="5"/>
  <c r="B2072" i="5"/>
  <c r="C2072" i="5"/>
  <c r="D2072" i="5"/>
  <c r="E2072" i="5"/>
  <c r="F2072" i="5"/>
  <c r="G2072" i="5"/>
  <c r="A2073" i="5"/>
  <c r="B2073" i="5"/>
  <c r="C2073" i="5"/>
  <c r="D2073" i="5"/>
  <c r="E2073" i="5"/>
  <c r="F2073" i="5"/>
  <c r="G2073" i="5"/>
  <c r="A2074" i="5"/>
  <c r="B2074" i="5"/>
  <c r="C2074" i="5"/>
  <c r="D2074" i="5"/>
  <c r="E2074" i="5"/>
  <c r="F2074" i="5"/>
  <c r="G2074" i="5"/>
  <c r="A2075" i="5"/>
  <c r="B2075" i="5"/>
  <c r="C2075" i="5"/>
  <c r="D2075" i="5"/>
  <c r="E2075" i="5"/>
  <c r="F2075" i="5"/>
  <c r="G2075" i="5"/>
  <c r="A2076" i="5"/>
  <c r="B2076" i="5"/>
  <c r="C2076" i="5"/>
  <c r="D2076" i="5"/>
  <c r="E2076" i="5"/>
  <c r="F2076" i="5"/>
  <c r="G2076" i="5"/>
  <c r="A2077" i="5"/>
  <c r="B2077" i="5"/>
  <c r="C2077" i="5"/>
  <c r="D2077" i="5"/>
  <c r="E2077" i="5"/>
  <c r="F2077" i="5"/>
  <c r="G2077" i="5"/>
  <c r="A2078" i="5"/>
  <c r="B2078" i="5"/>
  <c r="C2078" i="5"/>
  <c r="D2078" i="5"/>
  <c r="E2078" i="5"/>
  <c r="F2078" i="5"/>
  <c r="G2078" i="5"/>
  <c r="A2079" i="5"/>
  <c r="B2079" i="5"/>
  <c r="C2079" i="5"/>
  <c r="D2079" i="5"/>
  <c r="E2079" i="5"/>
  <c r="F2079" i="5"/>
  <c r="G2079" i="5"/>
  <c r="A2080" i="5"/>
  <c r="B2080" i="5"/>
  <c r="C2080" i="5"/>
  <c r="D2080" i="5"/>
  <c r="E2080" i="5"/>
  <c r="F2080" i="5"/>
  <c r="G2080" i="5"/>
  <c r="A2081" i="5"/>
  <c r="B2081" i="5"/>
  <c r="C2081" i="5"/>
  <c r="D2081" i="5"/>
  <c r="E2081" i="5"/>
  <c r="F2081" i="5"/>
  <c r="G2081" i="5"/>
  <c r="A2082" i="5"/>
  <c r="B2082" i="5"/>
  <c r="C2082" i="5"/>
  <c r="D2082" i="5"/>
  <c r="E2082" i="5"/>
  <c r="F2082" i="5"/>
  <c r="G2082" i="5"/>
  <c r="A2083" i="5"/>
  <c r="B2083" i="5"/>
  <c r="C2083" i="5"/>
  <c r="D2083" i="5"/>
  <c r="E2083" i="5"/>
  <c r="F2083" i="5"/>
  <c r="G2083" i="5"/>
  <c r="A2084" i="5"/>
  <c r="B2084" i="5"/>
  <c r="C2084" i="5"/>
  <c r="D2084" i="5"/>
  <c r="E2084" i="5"/>
  <c r="F2084" i="5"/>
  <c r="G2084" i="5"/>
  <c r="A2085" i="5"/>
  <c r="B2085" i="5"/>
  <c r="C2085" i="5"/>
  <c r="D2085" i="5"/>
  <c r="E2085" i="5"/>
  <c r="F2085" i="5"/>
  <c r="G2085" i="5"/>
  <c r="A2086" i="5"/>
  <c r="B2086" i="5"/>
  <c r="C2086" i="5"/>
  <c r="D2086" i="5"/>
  <c r="E2086" i="5"/>
  <c r="F2086" i="5"/>
  <c r="G2086" i="5"/>
  <c r="A2087" i="5"/>
  <c r="B2087" i="5"/>
  <c r="C2087" i="5"/>
  <c r="D2087" i="5"/>
  <c r="E2087" i="5"/>
  <c r="F2087" i="5"/>
  <c r="G2087" i="5"/>
  <c r="A2088" i="5"/>
  <c r="B2088" i="5"/>
  <c r="C2088" i="5"/>
  <c r="D2088" i="5"/>
  <c r="E2088" i="5"/>
  <c r="F2088" i="5"/>
  <c r="G2088" i="5"/>
  <c r="A2089" i="5"/>
  <c r="B2089" i="5"/>
  <c r="C2089" i="5"/>
  <c r="D2089" i="5"/>
  <c r="E2089" i="5"/>
  <c r="F2089" i="5"/>
  <c r="G2089" i="5"/>
  <c r="A2090" i="5"/>
  <c r="B2090" i="5"/>
  <c r="C2090" i="5"/>
  <c r="D2090" i="5"/>
  <c r="E2090" i="5"/>
  <c r="F2090" i="5"/>
  <c r="G2090" i="5"/>
  <c r="A2091" i="5"/>
  <c r="B2091" i="5"/>
  <c r="C2091" i="5"/>
  <c r="D2091" i="5"/>
  <c r="E2091" i="5"/>
  <c r="F2091" i="5"/>
  <c r="G2091" i="5"/>
  <c r="A2092" i="5"/>
  <c r="B2092" i="5"/>
  <c r="C2092" i="5"/>
  <c r="D2092" i="5"/>
  <c r="E2092" i="5"/>
  <c r="F2092" i="5"/>
  <c r="G2092" i="5"/>
  <c r="A2093" i="5"/>
  <c r="B2093" i="5"/>
  <c r="C2093" i="5"/>
  <c r="D2093" i="5"/>
  <c r="E2093" i="5"/>
  <c r="F2093" i="5"/>
  <c r="G2093" i="5"/>
  <c r="A2094" i="5"/>
  <c r="B2094" i="5"/>
  <c r="C2094" i="5"/>
  <c r="D2094" i="5"/>
  <c r="E2094" i="5"/>
  <c r="F2094" i="5"/>
  <c r="G2094" i="5"/>
  <c r="A2095" i="5"/>
  <c r="B2095" i="5"/>
  <c r="C2095" i="5"/>
  <c r="D2095" i="5"/>
  <c r="E2095" i="5"/>
  <c r="F2095" i="5"/>
  <c r="G2095" i="5"/>
  <c r="A2096" i="5"/>
  <c r="B2096" i="5"/>
  <c r="C2096" i="5"/>
  <c r="D2096" i="5"/>
  <c r="E2096" i="5"/>
  <c r="F2096" i="5"/>
  <c r="G2096" i="5"/>
  <c r="A2097" i="5"/>
  <c r="B2097" i="5"/>
  <c r="C2097" i="5"/>
  <c r="D2097" i="5"/>
  <c r="E2097" i="5"/>
  <c r="F2097" i="5"/>
  <c r="G2097" i="5"/>
  <c r="A2098" i="5"/>
  <c r="B2098" i="5"/>
  <c r="C2098" i="5"/>
  <c r="D2098" i="5"/>
  <c r="E2098" i="5"/>
  <c r="F2098" i="5"/>
  <c r="G2098" i="5"/>
  <c r="A2099" i="5"/>
  <c r="B2099" i="5"/>
  <c r="C2099" i="5"/>
  <c r="D2099" i="5"/>
  <c r="E2099" i="5"/>
  <c r="F2099" i="5"/>
  <c r="G2099" i="5"/>
  <c r="A2100" i="5"/>
  <c r="B2100" i="5"/>
  <c r="C2100" i="5"/>
  <c r="D2100" i="5"/>
  <c r="E2100" i="5"/>
  <c r="F2100" i="5"/>
  <c r="G2100" i="5"/>
  <c r="A2101" i="5"/>
  <c r="B2101" i="5"/>
  <c r="C2101" i="5"/>
  <c r="D2101" i="5"/>
  <c r="E2101" i="5"/>
  <c r="F2101" i="5"/>
  <c r="G2101" i="5"/>
  <c r="A2102" i="5"/>
  <c r="B2102" i="5"/>
  <c r="C2102" i="5"/>
  <c r="D2102" i="5"/>
  <c r="E2102" i="5"/>
  <c r="F2102" i="5"/>
  <c r="G2102" i="5"/>
  <c r="A2103" i="5"/>
  <c r="B2103" i="5"/>
  <c r="C2103" i="5"/>
  <c r="D2103" i="5"/>
  <c r="E2103" i="5"/>
  <c r="F2103" i="5"/>
  <c r="G2103" i="5"/>
  <c r="A2104" i="5"/>
  <c r="B2104" i="5"/>
  <c r="C2104" i="5"/>
  <c r="D2104" i="5"/>
  <c r="E2104" i="5"/>
  <c r="F2104" i="5"/>
  <c r="G2104" i="5"/>
  <c r="A2105" i="5"/>
  <c r="B2105" i="5"/>
  <c r="C2105" i="5"/>
  <c r="D2105" i="5"/>
  <c r="E2105" i="5"/>
  <c r="F2105" i="5"/>
  <c r="G2105" i="5"/>
  <c r="A2106" i="5"/>
  <c r="B2106" i="5"/>
  <c r="C2106" i="5"/>
  <c r="D2106" i="5"/>
  <c r="E2106" i="5"/>
  <c r="F2106" i="5"/>
  <c r="G2106" i="5"/>
  <c r="A2107" i="5"/>
  <c r="B2107" i="5"/>
  <c r="C2107" i="5"/>
  <c r="D2107" i="5"/>
  <c r="E2107" i="5"/>
  <c r="F2107" i="5"/>
  <c r="G2107" i="5"/>
  <c r="A2108" i="5"/>
  <c r="B2108" i="5"/>
  <c r="C2108" i="5"/>
  <c r="D2108" i="5"/>
  <c r="E2108" i="5"/>
  <c r="F2108" i="5"/>
  <c r="G2108" i="5"/>
  <c r="A2109" i="5"/>
  <c r="B2109" i="5"/>
  <c r="C2109" i="5"/>
  <c r="D2109" i="5"/>
  <c r="E2109" i="5"/>
  <c r="F2109" i="5"/>
  <c r="G2109" i="5"/>
  <c r="A2110" i="5"/>
  <c r="B2110" i="5"/>
  <c r="C2110" i="5"/>
  <c r="D2110" i="5"/>
  <c r="E2110" i="5"/>
  <c r="F2110" i="5"/>
  <c r="G2110" i="5"/>
  <c r="A2111" i="5"/>
  <c r="B2111" i="5"/>
  <c r="C2111" i="5"/>
  <c r="D2111" i="5"/>
  <c r="E2111" i="5"/>
  <c r="F2111" i="5"/>
  <c r="G2111" i="5"/>
  <c r="A2112" i="5"/>
  <c r="B2112" i="5"/>
  <c r="C2112" i="5"/>
  <c r="D2112" i="5"/>
  <c r="E2112" i="5"/>
  <c r="F2112" i="5"/>
  <c r="G2112" i="5"/>
  <c r="A2113" i="5"/>
  <c r="B2113" i="5"/>
  <c r="C2113" i="5"/>
  <c r="D2113" i="5"/>
  <c r="E2113" i="5"/>
  <c r="F2113" i="5"/>
  <c r="G2113" i="5"/>
  <c r="A2114" i="5"/>
  <c r="B2114" i="5"/>
  <c r="C2114" i="5"/>
  <c r="D2114" i="5"/>
  <c r="E2114" i="5"/>
  <c r="F2114" i="5"/>
  <c r="G2114" i="5"/>
  <c r="A2115" i="5"/>
  <c r="B2115" i="5"/>
  <c r="C2115" i="5"/>
  <c r="D2115" i="5"/>
  <c r="E2115" i="5"/>
  <c r="F2115" i="5"/>
  <c r="G2115" i="5"/>
  <c r="A2116" i="5"/>
  <c r="B2116" i="5"/>
  <c r="C2116" i="5"/>
  <c r="D2116" i="5"/>
  <c r="E2116" i="5"/>
  <c r="F2116" i="5"/>
  <c r="G2116" i="5"/>
  <c r="A2117" i="5"/>
  <c r="B2117" i="5"/>
  <c r="C2117" i="5"/>
  <c r="D2117" i="5"/>
  <c r="E2117" i="5"/>
  <c r="F2117" i="5"/>
  <c r="G2117" i="5"/>
  <c r="A2118" i="5"/>
  <c r="B2118" i="5"/>
  <c r="C2118" i="5"/>
  <c r="D2118" i="5"/>
  <c r="E2118" i="5"/>
  <c r="F2118" i="5"/>
  <c r="G2118" i="5"/>
  <c r="A2119" i="5"/>
  <c r="B2119" i="5"/>
  <c r="C2119" i="5"/>
  <c r="D2119" i="5"/>
  <c r="E2119" i="5"/>
  <c r="F2119" i="5"/>
  <c r="G2119" i="5"/>
  <c r="A2120" i="5"/>
  <c r="B2120" i="5"/>
  <c r="C2120" i="5"/>
  <c r="D2120" i="5"/>
  <c r="E2120" i="5"/>
  <c r="F2120" i="5"/>
  <c r="G2120" i="5"/>
  <c r="A2121" i="5"/>
  <c r="B2121" i="5"/>
  <c r="C2121" i="5"/>
  <c r="D2121" i="5"/>
  <c r="E2121" i="5"/>
  <c r="F2121" i="5"/>
  <c r="G2121" i="5"/>
  <c r="A2122" i="5"/>
  <c r="B2122" i="5"/>
  <c r="C2122" i="5"/>
  <c r="D2122" i="5"/>
  <c r="E2122" i="5"/>
  <c r="F2122" i="5"/>
  <c r="G2122" i="5"/>
  <c r="A2123" i="5"/>
  <c r="B2123" i="5"/>
  <c r="C2123" i="5"/>
  <c r="D2123" i="5"/>
  <c r="E2123" i="5"/>
  <c r="F2123" i="5"/>
  <c r="G2123" i="5"/>
  <c r="A2124" i="5"/>
  <c r="B2124" i="5"/>
  <c r="C2124" i="5"/>
  <c r="D2124" i="5"/>
  <c r="E2124" i="5"/>
  <c r="F2124" i="5"/>
  <c r="G2124" i="5"/>
  <c r="A2125" i="5"/>
  <c r="B2125" i="5"/>
  <c r="C2125" i="5"/>
  <c r="D2125" i="5"/>
  <c r="E2125" i="5"/>
  <c r="F2125" i="5"/>
  <c r="G2125" i="5"/>
  <c r="A2126" i="5"/>
  <c r="B2126" i="5"/>
  <c r="C2126" i="5"/>
  <c r="D2126" i="5"/>
  <c r="E2126" i="5"/>
  <c r="F2126" i="5"/>
  <c r="G2126" i="5"/>
  <c r="A2127" i="5"/>
  <c r="B2127" i="5"/>
  <c r="C2127" i="5"/>
  <c r="D2127" i="5"/>
  <c r="E2127" i="5"/>
  <c r="F2127" i="5"/>
  <c r="G2127" i="5"/>
  <c r="A2128" i="5"/>
  <c r="B2128" i="5"/>
  <c r="C2128" i="5"/>
  <c r="D2128" i="5"/>
  <c r="E2128" i="5"/>
  <c r="F2128" i="5"/>
  <c r="G2128" i="5"/>
  <c r="A2129" i="5"/>
  <c r="B2129" i="5"/>
  <c r="C2129" i="5"/>
  <c r="D2129" i="5"/>
  <c r="E2129" i="5"/>
  <c r="F2129" i="5"/>
  <c r="G2129" i="5"/>
  <c r="A2130" i="5"/>
  <c r="B2130" i="5"/>
  <c r="H2130" i="5" s="1"/>
  <c r="I2130" i="5" s="1"/>
  <c r="J2130" i="5" s="1" a="1"/>
  <c r="J2130" i="5" s="1"/>
  <c r="C2130" i="5"/>
  <c r="D2130" i="5"/>
  <c r="E2130" i="5"/>
  <c r="F2130" i="5"/>
  <c r="G2130" i="5"/>
  <c r="A2131" i="5"/>
  <c r="B2131" i="5"/>
  <c r="C2131" i="5"/>
  <c r="D2131" i="5"/>
  <c r="E2131" i="5"/>
  <c r="F2131" i="5"/>
  <c r="G2131" i="5"/>
  <c r="A2132" i="5"/>
  <c r="B2132" i="5"/>
  <c r="C2132" i="5"/>
  <c r="D2132" i="5"/>
  <c r="E2132" i="5"/>
  <c r="F2132" i="5"/>
  <c r="G2132" i="5"/>
  <c r="A2133" i="5"/>
  <c r="B2133" i="5"/>
  <c r="C2133" i="5"/>
  <c r="D2133" i="5"/>
  <c r="E2133" i="5"/>
  <c r="F2133" i="5"/>
  <c r="G2133" i="5"/>
  <c r="A2134" i="5"/>
  <c r="B2134" i="5"/>
  <c r="C2134" i="5"/>
  <c r="D2134" i="5"/>
  <c r="E2134" i="5"/>
  <c r="F2134" i="5"/>
  <c r="G2134" i="5"/>
  <c r="A2135" i="5"/>
  <c r="B2135" i="5"/>
  <c r="C2135" i="5"/>
  <c r="D2135" i="5"/>
  <c r="E2135" i="5"/>
  <c r="F2135" i="5"/>
  <c r="G2135" i="5"/>
  <c r="A2136" i="5"/>
  <c r="B2136" i="5"/>
  <c r="C2136" i="5"/>
  <c r="D2136" i="5"/>
  <c r="E2136" i="5"/>
  <c r="F2136" i="5"/>
  <c r="G2136" i="5"/>
  <c r="A2137" i="5"/>
  <c r="B2137" i="5"/>
  <c r="C2137" i="5"/>
  <c r="D2137" i="5"/>
  <c r="E2137" i="5"/>
  <c r="F2137" i="5"/>
  <c r="G2137" i="5"/>
  <c r="A2138" i="5"/>
  <c r="B2138" i="5"/>
  <c r="C2138" i="5"/>
  <c r="D2138" i="5"/>
  <c r="E2138" i="5"/>
  <c r="F2138" i="5"/>
  <c r="G2138" i="5"/>
  <c r="A2139" i="5"/>
  <c r="B2139" i="5"/>
  <c r="C2139" i="5"/>
  <c r="D2139" i="5"/>
  <c r="E2139" i="5"/>
  <c r="F2139" i="5"/>
  <c r="G2139" i="5"/>
  <c r="A2140" i="5"/>
  <c r="B2140" i="5"/>
  <c r="C2140" i="5"/>
  <c r="D2140" i="5"/>
  <c r="E2140" i="5"/>
  <c r="F2140" i="5"/>
  <c r="G2140" i="5"/>
  <c r="A2141" i="5"/>
  <c r="B2141" i="5"/>
  <c r="C2141" i="5"/>
  <c r="D2141" i="5"/>
  <c r="E2141" i="5"/>
  <c r="F2141" i="5"/>
  <c r="G2141" i="5"/>
  <c r="A2142" i="5"/>
  <c r="B2142" i="5"/>
  <c r="C2142" i="5"/>
  <c r="D2142" i="5"/>
  <c r="E2142" i="5"/>
  <c r="F2142" i="5"/>
  <c r="G2142" i="5"/>
  <c r="A2143" i="5"/>
  <c r="B2143" i="5"/>
  <c r="C2143" i="5"/>
  <c r="D2143" i="5"/>
  <c r="E2143" i="5"/>
  <c r="F2143" i="5"/>
  <c r="G2143" i="5"/>
  <c r="A2144" i="5"/>
  <c r="B2144" i="5"/>
  <c r="C2144" i="5"/>
  <c r="D2144" i="5"/>
  <c r="E2144" i="5"/>
  <c r="F2144" i="5"/>
  <c r="G2144" i="5"/>
  <c r="A2145" i="5"/>
  <c r="B2145" i="5"/>
  <c r="C2145" i="5"/>
  <c r="D2145" i="5"/>
  <c r="E2145" i="5"/>
  <c r="F2145" i="5"/>
  <c r="G2145" i="5"/>
  <c r="A2146" i="5"/>
  <c r="B2146" i="5"/>
  <c r="C2146" i="5"/>
  <c r="D2146" i="5"/>
  <c r="E2146" i="5"/>
  <c r="F2146" i="5"/>
  <c r="G2146" i="5"/>
  <c r="A2147" i="5"/>
  <c r="B2147" i="5"/>
  <c r="C2147" i="5"/>
  <c r="D2147" i="5"/>
  <c r="E2147" i="5"/>
  <c r="F2147" i="5"/>
  <c r="G2147" i="5"/>
  <c r="A2148" i="5"/>
  <c r="B2148" i="5"/>
  <c r="C2148" i="5"/>
  <c r="D2148" i="5"/>
  <c r="E2148" i="5"/>
  <c r="F2148" i="5"/>
  <c r="G2148" i="5"/>
  <c r="A2149" i="5"/>
  <c r="B2149" i="5"/>
  <c r="C2149" i="5"/>
  <c r="D2149" i="5"/>
  <c r="E2149" i="5"/>
  <c r="F2149" i="5"/>
  <c r="G2149" i="5"/>
  <c r="A2150" i="5"/>
  <c r="B2150" i="5"/>
  <c r="C2150" i="5"/>
  <c r="D2150" i="5"/>
  <c r="E2150" i="5"/>
  <c r="F2150" i="5"/>
  <c r="G2150" i="5"/>
  <c r="A2151" i="5"/>
  <c r="B2151" i="5"/>
  <c r="C2151" i="5"/>
  <c r="D2151" i="5"/>
  <c r="E2151" i="5"/>
  <c r="F2151" i="5"/>
  <c r="G2151" i="5"/>
  <c r="A2152" i="5"/>
  <c r="B2152" i="5"/>
  <c r="C2152" i="5"/>
  <c r="D2152" i="5"/>
  <c r="E2152" i="5"/>
  <c r="F2152" i="5"/>
  <c r="G2152" i="5"/>
  <c r="A2153" i="5"/>
  <c r="B2153" i="5"/>
  <c r="C2153" i="5"/>
  <c r="D2153" i="5"/>
  <c r="E2153" i="5"/>
  <c r="F2153" i="5"/>
  <c r="G2153" i="5"/>
  <c r="A2154" i="5"/>
  <c r="B2154" i="5"/>
  <c r="C2154" i="5"/>
  <c r="D2154" i="5"/>
  <c r="E2154" i="5"/>
  <c r="F2154" i="5"/>
  <c r="G2154" i="5"/>
  <c r="A2155" i="5"/>
  <c r="B2155" i="5"/>
  <c r="C2155" i="5"/>
  <c r="D2155" i="5"/>
  <c r="E2155" i="5"/>
  <c r="F2155" i="5"/>
  <c r="G2155" i="5"/>
  <c r="A2156" i="5"/>
  <c r="B2156" i="5"/>
  <c r="C2156" i="5"/>
  <c r="D2156" i="5"/>
  <c r="E2156" i="5"/>
  <c r="F2156" i="5"/>
  <c r="G2156" i="5"/>
  <c r="A2157" i="5"/>
  <c r="B2157" i="5"/>
  <c r="C2157" i="5"/>
  <c r="D2157" i="5"/>
  <c r="E2157" i="5"/>
  <c r="F2157" i="5"/>
  <c r="G2157" i="5"/>
  <c r="A2158" i="5"/>
  <c r="B2158" i="5"/>
  <c r="C2158" i="5"/>
  <c r="D2158" i="5"/>
  <c r="E2158" i="5"/>
  <c r="F2158" i="5"/>
  <c r="G2158" i="5"/>
  <c r="A2159" i="5"/>
  <c r="B2159" i="5"/>
  <c r="C2159" i="5"/>
  <c r="D2159" i="5"/>
  <c r="E2159" i="5"/>
  <c r="F2159" i="5"/>
  <c r="G2159" i="5"/>
  <c r="A2160" i="5"/>
  <c r="B2160" i="5"/>
  <c r="C2160" i="5"/>
  <c r="D2160" i="5"/>
  <c r="E2160" i="5"/>
  <c r="F2160" i="5"/>
  <c r="G2160" i="5"/>
  <c r="A2161" i="5"/>
  <c r="B2161" i="5"/>
  <c r="C2161" i="5"/>
  <c r="D2161" i="5"/>
  <c r="E2161" i="5"/>
  <c r="F2161" i="5"/>
  <c r="G2161" i="5"/>
  <c r="A2162" i="5"/>
  <c r="B2162" i="5"/>
  <c r="C2162" i="5"/>
  <c r="D2162" i="5"/>
  <c r="E2162" i="5"/>
  <c r="F2162" i="5"/>
  <c r="G2162" i="5"/>
  <c r="A2163" i="5"/>
  <c r="B2163" i="5"/>
  <c r="C2163" i="5"/>
  <c r="D2163" i="5"/>
  <c r="E2163" i="5"/>
  <c r="F2163" i="5"/>
  <c r="G2163" i="5"/>
  <c r="A2164" i="5"/>
  <c r="B2164" i="5"/>
  <c r="C2164" i="5"/>
  <c r="D2164" i="5"/>
  <c r="E2164" i="5"/>
  <c r="F2164" i="5"/>
  <c r="G2164" i="5"/>
  <c r="A2165" i="5"/>
  <c r="B2165" i="5"/>
  <c r="C2165" i="5"/>
  <c r="D2165" i="5"/>
  <c r="E2165" i="5"/>
  <c r="F2165" i="5"/>
  <c r="G2165" i="5"/>
  <c r="A2166" i="5"/>
  <c r="B2166" i="5"/>
  <c r="C2166" i="5"/>
  <c r="D2166" i="5"/>
  <c r="E2166" i="5"/>
  <c r="F2166" i="5"/>
  <c r="G2166" i="5"/>
  <c r="A2167" i="5"/>
  <c r="B2167" i="5"/>
  <c r="C2167" i="5"/>
  <c r="D2167" i="5"/>
  <c r="E2167" i="5"/>
  <c r="F2167" i="5"/>
  <c r="G2167" i="5"/>
  <c r="A2168" i="5"/>
  <c r="B2168" i="5"/>
  <c r="C2168" i="5"/>
  <c r="D2168" i="5"/>
  <c r="E2168" i="5"/>
  <c r="F2168" i="5"/>
  <c r="G2168" i="5"/>
  <c r="A2169" i="5"/>
  <c r="B2169" i="5"/>
  <c r="C2169" i="5"/>
  <c r="D2169" i="5"/>
  <c r="E2169" i="5"/>
  <c r="F2169" i="5"/>
  <c r="G2169" i="5"/>
  <c r="A2170" i="5"/>
  <c r="B2170" i="5"/>
  <c r="C2170" i="5"/>
  <c r="D2170" i="5"/>
  <c r="E2170" i="5"/>
  <c r="F2170" i="5"/>
  <c r="G2170" i="5"/>
  <c r="A2171" i="5"/>
  <c r="B2171" i="5"/>
  <c r="C2171" i="5"/>
  <c r="D2171" i="5"/>
  <c r="E2171" i="5"/>
  <c r="F2171" i="5"/>
  <c r="G2171" i="5"/>
  <c r="A2172" i="5"/>
  <c r="B2172" i="5"/>
  <c r="C2172" i="5"/>
  <c r="D2172" i="5"/>
  <c r="E2172" i="5"/>
  <c r="F2172" i="5"/>
  <c r="G2172" i="5"/>
  <c r="A2173" i="5"/>
  <c r="B2173" i="5"/>
  <c r="C2173" i="5"/>
  <c r="D2173" i="5"/>
  <c r="E2173" i="5"/>
  <c r="F2173" i="5"/>
  <c r="G2173" i="5"/>
  <c r="A2174" i="5"/>
  <c r="B2174" i="5"/>
  <c r="C2174" i="5"/>
  <c r="D2174" i="5"/>
  <c r="E2174" i="5"/>
  <c r="F2174" i="5"/>
  <c r="G2174" i="5"/>
  <c r="A2175" i="5"/>
  <c r="B2175" i="5"/>
  <c r="C2175" i="5"/>
  <c r="D2175" i="5"/>
  <c r="E2175" i="5"/>
  <c r="F2175" i="5"/>
  <c r="G2175" i="5"/>
  <c r="A2176" i="5"/>
  <c r="B2176" i="5"/>
  <c r="C2176" i="5"/>
  <c r="D2176" i="5"/>
  <c r="E2176" i="5"/>
  <c r="F2176" i="5"/>
  <c r="G2176" i="5"/>
  <c r="A2177" i="5"/>
  <c r="B2177" i="5"/>
  <c r="C2177" i="5"/>
  <c r="D2177" i="5"/>
  <c r="E2177" i="5"/>
  <c r="F2177" i="5"/>
  <c r="G2177" i="5"/>
  <c r="A2178" i="5"/>
  <c r="B2178" i="5"/>
  <c r="C2178" i="5"/>
  <c r="D2178" i="5"/>
  <c r="E2178" i="5"/>
  <c r="F2178" i="5"/>
  <c r="G2178" i="5"/>
  <c r="A2179" i="5"/>
  <c r="B2179" i="5"/>
  <c r="C2179" i="5"/>
  <c r="D2179" i="5"/>
  <c r="E2179" i="5"/>
  <c r="F2179" i="5"/>
  <c r="G2179" i="5"/>
  <c r="A2180" i="5"/>
  <c r="B2180" i="5"/>
  <c r="C2180" i="5"/>
  <c r="D2180" i="5"/>
  <c r="E2180" i="5"/>
  <c r="F2180" i="5"/>
  <c r="G2180" i="5"/>
  <c r="A2181" i="5"/>
  <c r="B2181" i="5"/>
  <c r="C2181" i="5"/>
  <c r="D2181" i="5"/>
  <c r="E2181" i="5"/>
  <c r="F2181" i="5"/>
  <c r="G2181" i="5"/>
  <c r="A2182" i="5"/>
  <c r="B2182" i="5"/>
  <c r="C2182" i="5"/>
  <c r="D2182" i="5"/>
  <c r="E2182" i="5"/>
  <c r="F2182" i="5"/>
  <c r="G2182" i="5"/>
  <c r="A2183" i="5"/>
  <c r="B2183" i="5"/>
  <c r="C2183" i="5"/>
  <c r="D2183" i="5"/>
  <c r="E2183" i="5"/>
  <c r="F2183" i="5"/>
  <c r="G2183" i="5"/>
  <c r="A2184" i="5"/>
  <c r="B2184" i="5"/>
  <c r="C2184" i="5"/>
  <c r="D2184" i="5"/>
  <c r="E2184" i="5"/>
  <c r="F2184" i="5"/>
  <c r="G2184" i="5"/>
  <c r="A2185" i="5"/>
  <c r="B2185" i="5"/>
  <c r="C2185" i="5"/>
  <c r="D2185" i="5"/>
  <c r="E2185" i="5"/>
  <c r="F2185" i="5"/>
  <c r="G2185" i="5"/>
  <c r="A2186" i="5"/>
  <c r="B2186" i="5"/>
  <c r="C2186" i="5"/>
  <c r="D2186" i="5"/>
  <c r="E2186" i="5"/>
  <c r="F2186" i="5"/>
  <c r="G2186" i="5"/>
  <c r="A2187" i="5"/>
  <c r="B2187" i="5"/>
  <c r="C2187" i="5"/>
  <c r="D2187" i="5"/>
  <c r="E2187" i="5"/>
  <c r="F2187" i="5"/>
  <c r="G2187" i="5"/>
  <c r="A2188" i="5"/>
  <c r="B2188" i="5"/>
  <c r="C2188" i="5"/>
  <c r="D2188" i="5"/>
  <c r="E2188" i="5"/>
  <c r="F2188" i="5"/>
  <c r="G2188" i="5"/>
  <c r="A2189" i="5"/>
  <c r="B2189" i="5"/>
  <c r="C2189" i="5"/>
  <c r="D2189" i="5"/>
  <c r="E2189" i="5"/>
  <c r="F2189" i="5"/>
  <c r="G2189" i="5"/>
  <c r="A2190" i="5"/>
  <c r="B2190" i="5"/>
  <c r="C2190" i="5"/>
  <c r="D2190" i="5"/>
  <c r="E2190" i="5"/>
  <c r="F2190" i="5"/>
  <c r="G2190" i="5"/>
  <c r="A2191" i="5"/>
  <c r="B2191" i="5"/>
  <c r="C2191" i="5"/>
  <c r="D2191" i="5"/>
  <c r="E2191" i="5"/>
  <c r="F2191" i="5"/>
  <c r="G2191" i="5"/>
  <c r="A2192" i="5"/>
  <c r="B2192" i="5"/>
  <c r="C2192" i="5"/>
  <c r="D2192" i="5"/>
  <c r="E2192" i="5"/>
  <c r="F2192" i="5"/>
  <c r="G2192" i="5"/>
  <c r="A2193" i="5"/>
  <c r="B2193" i="5"/>
  <c r="C2193" i="5"/>
  <c r="D2193" i="5"/>
  <c r="E2193" i="5"/>
  <c r="F2193" i="5"/>
  <c r="G2193" i="5"/>
  <c r="A2194" i="5"/>
  <c r="B2194" i="5"/>
  <c r="C2194" i="5"/>
  <c r="D2194" i="5"/>
  <c r="E2194" i="5"/>
  <c r="F2194" i="5"/>
  <c r="G2194" i="5"/>
  <c r="A2195" i="5"/>
  <c r="B2195" i="5"/>
  <c r="C2195" i="5"/>
  <c r="D2195" i="5"/>
  <c r="E2195" i="5"/>
  <c r="F2195" i="5"/>
  <c r="G2195" i="5"/>
  <c r="A2196" i="5"/>
  <c r="B2196" i="5"/>
  <c r="C2196" i="5"/>
  <c r="D2196" i="5"/>
  <c r="E2196" i="5"/>
  <c r="F2196" i="5"/>
  <c r="G2196" i="5"/>
  <c r="A2197" i="5"/>
  <c r="B2197" i="5"/>
  <c r="C2197" i="5"/>
  <c r="D2197" i="5"/>
  <c r="E2197" i="5"/>
  <c r="F2197" i="5"/>
  <c r="G2197" i="5"/>
  <c r="A2198" i="5"/>
  <c r="B2198" i="5"/>
  <c r="C2198" i="5"/>
  <c r="D2198" i="5"/>
  <c r="E2198" i="5"/>
  <c r="F2198" i="5"/>
  <c r="G2198" i="5"/>
  <c r="A2199" i="5"/>
  <c r="B2199" i="5"/>
  <c r="C2199" i="5"/>
  <c r="D2199" i="5"/>
  <c r="E2199" i="5"/>
  <c r="F2199" i="5"/>
  <c r="G2199" i="5"/>
  <c r="A2200" i="5"/>
  <c r="B2200" i="5"/>
  <c r="C2200" i="5"/>
  <c r="D2200" i="5"/>
  <c r="E2200" i="5"/>
  <c r="F2200" i="5"/>
  <c r="G2200" i="5"/>
  <c r="A2201" i="5"/>
  <c r="B2201" i="5"/>
  <c r="C2201" i="5"/>
  <c r="D2201" i="5"/>
  <c r="E2201" i="5"/>
  <c r="F2201" i="5"/>
  <c r="G2201" i="5"/>
  <c r="A2202" i="5"/>
  <c r="B2202" i="5"/>
  <c r="C2202" i="5"/>
  <c r="D2202" i="5"/>
  <c r="E2202" i="5"/>
  <c r="F2202" i="5"/>
  <c r="G2202" i="5"/>
  <c r="A2203" i="5"/>
  <c r="B2203" i="5"/>
  <c r="C2203" i="5"/>
  <c r="D2203" i="5"/>
  <c r="E2203" i="5"/>
  <c r="F2203" i="5"/>
  <c r="G2203" i="5"/>
  <c r="A2204" i="5"/>
  <c r="B2204" i="5"/>
  <c r="C2204" i="5"/>
  <c r="D2204" i="5"/>
  <c r="E2204" i="5"/>
  <c r="F2204" i="5"/>
  <c r="G2204" i="5"/>
  <c r="A2205" i="5"/>
  <c r="B2205" i="5"/>
  <c r="C2205" i="5"/>
  <c r="D2205" i="5"/>
  <c r="E2205" i="5"/>
  <c r="F2205" i="5"/>
  <c r="G2205" i="5"/>
  <c r="A2206" i="5"/>
  <c r="B2206" i="5"/>
  <c r="C2206" i="5"/>
  <c r="D2206" i="5"/>
  <c r="E2206" i="5"/>
  <c r="F2206" i="5"/>
  <c r="G2206" i="5"/>
  <c r="A2207" i="5"/>
  <c r="B2207" i="5"/>
  <c r="C2207" i="5"/>
  <c r="D2207" i="5"/>
  <c r="E2207" i="5"/>
  <c r="F2207" i="5"/>
  <c r="G2207" i="5"/>
  <c r="A2208" i="5"/>
  <c r="B2208" i="5"/>
  <c r="C2208" i="5"/>
  <c r="D2208" i="5"/>
  <c r="E2208" i="5"/>
  <c r="F2208" i="5"/>
  <c r="G2208" i="5"/>
  <c r="A2209" i="5"/>
  <c r="B2209" i="5"/>
  <c r="C2209" i="5"/>
  <c r="D2209" i="5"/>
  <c r="E2209" i="5"/>
  <c r="F2209" i="5"/>
  <c r="G2209" i="5"/>
  <c r="A2210" i="5"/>
  <c r="B2210" i="5"/>
  <c r="C2210" i="5"/>
  <c r="D2210" i="5"/>
  <c r="E2210" i="5"/>
  <c r="F2210" i="5"/>
  <c r="G2210" i="5"/>
  <c r="A2211" i="5"/>
  <c r="B2211" i="5"/>
  <c r="C2211" i="5"/>
  <c r="D2211" i="5"/>
  <c r="E2211" i="5"/>
  <c r="F2211" i="5"/>
  <c r="G2211" i="5"/>
  <c r="A2212" i="5"/>
  <c r="B2212" i="5"/>
  <c r="C2212" i="5"/>
  <c r="D2212" i="5"/>
  <c r="E2212" i="5"/>
  <c r="F2212" i="5"/>
  <c r="G2212" i="5"/>
  <c r="A2213" i="5"/>
  <c r="B2213" i="5"/>
  <c r="C2213" i="5"/>
  <c r="D2213" i="5"/>
  <c r="E2213" i="5"/>
  <c r="F2213" i="5"/>
  <c r="G2213" i="5"/>
  <c r="A2214" i="5"/>
  <c r="B2214" i="5"/>
  <c r="C2214" i="5"/>
  <c r="D2214" i="5"/>
  <c r="E2214" i="5"/>
  <c r="F2214" i="5"/>
  <c r="G2214" i="5"/>
  <c r="A2215" i="5"/>
  <c r="B2215" i="5"/>
  <c r="C2215" i="5"/>
  <c r="D2215" i="5"/>
  <c r="E2215" i="5"/>
  <c r="F2215" i="5"/>
  <c r="G2215" i="5"/>
  <c r="A2216" i="5"/>
  <c r="B2216" i="5"/>
  <c r="C2216" i="5"/>
  <c r="D2216" i="5"/>
  <c r="E2216" i="5"/>
  <c r="F2216" i="5"/>
  <c r="G2216" i="5"/>
  <c r="A2217" i="5"/>
  <c r="B2217" i="5"/>
  <c r="C2217" i="5"/>
  <c r="D2217" i="5"/>
  <c r="E2217" i="5"/>
  <c r="F2217" i="5"/>
  <c r="G2217" i="5"/>
  <c r="A2218" i="5"/>
  <c r="B2218" i="5"/>
  <c r="C2218" i="5"/>
  <c r="D2218" i="5"/>
  <c r="E2218" i="5"/>
  <c r="F2218" i="5"/>
  <c r="G2218" i="5"/>
  <c r="A2219" i="5"/>
  <c r="B2219" i="5"/>
  <c r="C2219" i="5"/>
  <c r="D2219" i="5"/>
  <c r="E2219" i="5"/>
  <c r="F2219" i="5"/>
  <c r="G2219" i="5"/>
  <c r="A2220" i="5"/>
  <c r="B2220" i="5"/>
  <c r="C2220" i="5"/>
  <c r="D2220" i="5"/>
  <c r="E2220" i="5"/>
  <c r="F2220" i="5"/>
  <c r="G2220" i="5"/>
  <c r="A2221" i="5"/>
  <c r="B2221" i="5"/>
  <c r="C2221" i="5"/>
  <c r="D2221" i="5"/>
  <c r="E2221" i="5"/>
  <c r="F2221" i="5"/>
  <c r="G2221" i="5"/>
  <c r="A2222" i="5"/>
  <c r="B2222" i="5"/>
  <c r="C2222" i="5"/>
  <c r="D2222" i="5"/>
  <c r="E2222" i="5"/>
  <c r="F2222" i="5"/>
  <c r="G2222" i="5"/>
  <c r="A2223" i="5"/>
  <c r="B2223" i="5"/>
  <c r="C2223" i="5"/>
  <c r="D2223" i="5"/>
  <c r="E2223" i="5"/>
  <c r="F2223" i="5"/>
  <c r="G2223" i="5"/>
  <c r="A2224" i="5"/>
  <c r="B2224" i="5"/>
  <c r="C2224" i="5"/>
  <c r="D2224" i="5"/>
  <c r="E2224" i="5"/>
  <c r="F2224" i="5"/>
  <c r="G2224" i="5"/>
  <c r="A2225" i="5"/>
  <c r="B2225" i="5"/>
  <c r="C2225" i="5"/>
  <c r="D2225" i="5"/>
  <c r="E2225" i="5"/>
  <c r="F2225" i="5"/>
  <c r="G2225" i="5"/>
  <c r="A2226" i="5"/>
  <c r="B2226" i="5"/>
  <c r="C2226" i="5"/>
  <c r="D2226" i="5"/>
  <c r="E2226" i="5"/>
  <c r="F2226" i="5"/>
  <c r="G2226" i="5"/>
  <c r="A2227" i="5"/>
  <c r="B2227" i="5"/>
  <c r="C2227" i="5"/>
  <c r="D2227" i="5"/>
  <c r="E2227" i="5"/>
  <c r="F2227" i="5"/>
  <c r="G2227" i="5"/>
  <c r="A2228" i="5"/>
  <c r="B2228" i="5"/>
  <c r="C2228" i="5"/>
  <c r="D2228" i="5"/>
  <c r="E2228" i="5"/>
  <c r="F2228" i="5"/>
  <c r="G2228" i="5"/>
  <c r="A2229" i="5"/>
  <c r="B2229" i="5"/>
  <c r="C2229" i="5"/>
  <c r="D2229" i="5"/>
  <c r="E2229" i="5"/>
  <c r="F2229" i="5"/>
  <c r="G2229" i="5"/>
  <c r="A2230" i="5"/>
  <c r="B2230" i="5"/>
  <c r="C2230" i="5"/>
  <c r="D2230" i="5"/>
  <c r="E2230" i="5"/>
  <c r="F2230" i="5"/>
  <c r="G2230" i="5"/>
  <c r="A2231" i="5"/>
  <c r="B2231" i="5"/>
  <c r="C2231" i="5"/>
  <c r="D2231" i="5"/>
  <c r="E2231" i="5"/>
  <c r="F2231" i="5"/>
  <c r="G2231" i="5"/>
  <c r="A2232" i="5"/>
  <c r="B2232" i="5"/>
  <c r="C2232" i="5"/>
  <c r="D2232" i="5"/>
  <c r="E2232" i="5"/>
  <c r="F2232" i="5"/>
  <c r="G2232" i="5"/>
  <c r="A2233" i="5"/>
  <c r="B2233" i="5"/>
  <c r="C2233" i="5"/>
  <c r="D2233" i="5"/>
  <c r="E2233" i="5"/>
  <c r="F2233" i="5"/>
  <c r="G2233" i="5"/>
  <c r="A2234" i="5"/>
  <c r="B2234" i="5"/>
  <c r="C2234" i="5"/>
  <c r="D2234" i="5"/>
  <c r="E2234" i="5"/>
  <c r="F2234" i="5"/>
  <c r="G2234" i="5"/>
  <c r="A2235" i="5"/>
  <c r="B2235" i="5"/>
  <c r="C2235" i="5"/>
  <c r="D2235" i="5"/>
  <c r="E2235" i="5"/>
  <c r="F2235" i="5"/>
  <c r="G2235" i="5"/>
  <c r="A2236" i="5"/>
  <c r="B2236" i="5"/>
  <c r="C2236" i="5"/>
  <c r="D2236" i="5"/>
  <c r="E2236" i="5"/>
  <c r="F2236" i="5"/>
  <c r="G2236" i="5"/>
  <c r="A2237" i="5"/>
  <c r="B2237" i="5"/>
  <c r="C2237" i="5"/>
  <c r="D2237" i="5"/>
  <c r="E2237" i="5"/>
  <c r="F2237" i="5"/>
  <c r="G2237" i="5"/>
  <c r="A2238" i="5"/>
  <c r="B2238" i="5"/>
  <c r="C2238" i="5"/>
  <c r="D2238" i="5"/>
  <c r="E2238" i="5"/>
  <c r="F2238" i="5"/>
  <c r="G2238" i="5"/>
  <c r="A2239" i="5"/>
  <c r="B2239" i="5"/>
  <c r="C2239" i="5"/>
  <c r="D2239" i="5"/>
  <c r="E2239" i="5"/>
  <c r="F2239" i="5"/>
  <c r="G2239" i="5"/>
  <c r="A2240" i="5"/>
  <c r="B2240" i="5"/>
  <c r="C2240" i="5"/>
  <c r="D2240" i="5"/>
  <c r="E2240" i="5"/>
  <c r="F2240" i="5"/>
  <c r="G2240" i="5"/>
  <c r="A2241" i="5"/>
  <c r="B2241" i="5"/>
  <c r="C2241" i="5"/>
  <c r="D2241" i="5"/>
  <c r="E2241" i="5"/>
  <c r="F2241" i="5"/>
  <c r="G2241" i="5"/>
  <c r="A2242" i="5"/>
  <c r="B2242" i="5"/>
  <c r="C2242" i="5"/>
  <c r="D2242" i="5"/>
  <c r="E2242" i="5"/>
  <c r="F2242" i="5"/>
  <c r="G2242" i="5"/>
  <c r="A2243" i="5"/>
  <c r="B2243" i="5"/>
  <c r="C2243" i="5"/>
  <c r="D2243" i="5"/>
  <c r="E2243" i="5"/>
  <c r="F2243" i="5"/>
  <c r="G2243" i="5"/>
  <c r="A2244" i="5"/>
  <c r="B2244" i="5"/>
  <c r="C2244" i="5"/>
  <c r="D2244" i="5"/>
  <c r="E2244" i="5"/>
  <c r="F2244" i="5"/>
  <c r="G2244" i="5"/>
  <c r="A2245" i="5"/>
  <c r="B2245" i="5"/>
  <c r="C2245" i="5"/>
  <c r="D2245" i="5"/>
  <c r="E2245" i="5"/>
  <c r="F2245" i="5"/>
  <c r="G2245" i="5"/>
  <c r="A2246" i="5"/>
  <c r="B2246" i="5"/>
  <c r="C2246" i="5"/>
  <c r="D2246" i="5"/>
  <c r="E2246" i="5"/>
  <c r="F2246" i="5"/>
  <c r="G2246" i="5"/>
  <c r="A2247" i="5"/>
  <c r="B2247" i="5"/>
  <c r="C2247" i="5"/>
  <c r="D2247" i="5"/>
  <c r="E2247" i="5"/>
  <c r="F2247" i="5"/>
  <c r="G2247" i="5"/>
  <c r="A2248" i="5"/>
  <c r="B2248" i="5"/>
  <c r="C2248" i="5"/>
  <c r="D2248" i="5"/>
  <c r="E2248" i="5"/>
  <c r="F2248" i="5"/>
  <c r="G2248" i="5"/>
  <c r="A2249" i="5"/>
  <c r="B2249" i="5"/>
  <c r="C2249" i="5"/>
  <c r="D2249" i="5"/>
  <c r="E2249" i="5"/>
  <c r="F2249" i="5"/>
  <c r="G2249" i="5"/>
  <c r="A2250" i="5"/>
  <c r="B2250" i="5"/>
  <c r="C2250" i="5"/>
  <c r="D2250" i="5"/>
  <c r="E2250" i="5"/>
  <c r="F2250" i="5"/>
  <c r="G2250" i="5"/>
  <c r="A2251" i="5"/>
  <c r="B2251" i="5"/>
  <c r="C2251" i="5"/>
  <c r="D2251" i="5"/>
  <c r="E2251" i="5"/>
  <c r="F2251" i="5"/>
  <c r="G2251" i="5"/>
  <c r="A2252" i="5"/>
  <c r="B2252" i="5"/>
  <c r="C2252" i="5"/>
  <c r="D2252" i="5"/>
  <c r="E2252" i="5"/>
  <c r="F2252" i="5"/>
  <c r="G2252" i="5"/>
  <c r="A2253" i="5"/>
  <c r="B2253" i="5"/>
  <c r="C2253" i="5"/>
  <c r="D2253" i="5"/>
  <c r="E2253" i="5"/>
  <c r="F2253" i="5"/>
  <c r="G2253" i="5"/>
  <c r="A2254" i="5"/>
  <c r="B2254" i="5"/>
  <c r="C2254" i="5"/>
  <c r="D2254" i="5"/>
  <c r="E2254" i="5"/>
  <c r="F2254" i="5"/>
  <c r="G2254" i="5"/>
  <c r="A2255" i="5"/>
  <c r="B2255" i="5"/>
  <c r="C2255" i="5"/>
  <c r="D2255" i="5"/>
  <c r="E2255" i="5"/>
  <c r="F2255" i="5"/>
  <c r="G2255" i="5"/>
  <c r="A2256" i="5"/>
  <c r="B2256" i="5"/>
  <c r="C2256" i="5"/>
  <c r="D2256" i="5"/>
  <c r="E2256" i="5"/>
  <c r="F2256" i="5"/>
  <c r="G2256" i="5"/>
  <c r="A2257" i="5"/>
  <c r="B2257" i="5"/>
  <c r="C2257" i="5"/>
  <c r="D2257" i="5"/>
  <c r="E2257" i="5"/>
  <c r="F2257" i="5"/>
  <c r="G2257" i="5"/>
  <c r="A2258" i="5"/>
  <c r="B2258" i="5"/>
  <c r="C2258" i="5"/>
  <c r="D2258" i="5"/>
  <c r="E2258" i="5"/>
  <c r="F2258" i="5"/>
  <c r="G2258" i="5"/>
  <c r="A2259" i="5"/>
  <c r="B2259" i="5"/>
  <c r="C2259" i="5"/>
  <c r="D2259" i="5"/>
  <c r="E2259" i="5"/>
  <c r="F2259" i="5"/>
  <c r="G2259" i="5"/>
  <c r="A2260" i="5"/>
  <c r="B2260" i="5"/>
  <c r="C2260" i="5"/>
  <c r="D2260" i="5"/>
  <c r="E2260" i="5"/>
  <c r="F2260" i="5"/>
  <c r="G2260" i="5"/>
  <c r="A2261" i="5"/>
  <c r="B2261" i="5"/>
  <c r="C2261" i="5"/>
  <c r="D2261" i="5"/>
  <c r="E2261" i="5"/>
  <c r="F2261" i="5"/>
  <c r="G2261" i="5"/>
  <c r="A2262" i="5"/>
  <c r="B2262" i="5"/>
  <c r="C2262" i="5"/>
  <c r="D2262" i="5"/>
  <c r="E2262" i="5"/>
  <c r="F2262" i="5"/>
  <c r="G2262" i="5"/>
  <c r="A2263" i="5"/>
  <c r="B2263" i="5"/>
  <c r="C2263" i="5"/>
  <c r="D2263" i="5"/>
  <c r="E2263" i="5"/>
  <c r="F2263" i="5"/>
  <c r="G2263" i="5"/>
  <c r="A2264" i="5"/>
  <c r="B2264" i="5"/>
  <c r="C2264" i="5"/>
  <c r="D2264" i="5"/>
  <c r="E2264" i="5"/>
  <c r="F2264" i="5"/>
  <c r="G2264" i="5"/>
  <c r="A2265" i="5"/>
  <c r="B2265" i="5"/>
  <c r="C2265" i="5"/>
  <c r="D2265" i="5"/>
  <c r="E2265" i="5"/>
  <c r="F2265" i="5"/>
  <c r="G2265" i="5"/>
  <c r="A2266" i="5"/>
  <c r="B2266" i="5"/>
  <c r="C2266" i="5"/>
  <c r="D2266" i="5"/>
  <c r="E2266" i="5"/>
  <c r="F2266" i="5"/>
  <c r="G2266" i="5"/>
  <c r="A2267" i="5"/>
  <c r="B2267" i="5"/>
  <c r="C2267" i="5"/>
  <c r="D2267" i="5"/>
  <c r="E2267" i="5"/>
  <c r="F2267" i="5"/>
  <c r="G2267" i="5"/>
  <c r="A2268" i="5"/>
  <c r="B2268" i="5"/>
  <c r="C2268" i="5"/>
  <c r="D2268" i="5"/>
  <c r="E2268" i="5"/>
  <c r="F2268" i="5"/>
  <c r="G2268" i="5"/>
  <c r="A2269" i="5"/>
  <c r="B2269" i="5"/>
  <c r="C2269" i="5"/>
  <c r="D2269" i="5"/>
  <c r="E2269" i="5"/>
  <c r="F2269" i="5"/>
  <c r="G2269" i="5"/>
  <c r="A2270" i="5"/>
  <c r="B2270" i="5"/>
  <c r="C2270" i="5"/>
  <c r="D2270" i="5"/>
  <c r="E2270" i="5"/>
  <c r="F2270" i="5"/>
  <c r="G2270" i="5"/>
  <c r="A2271" i="5"/>
  <c r="B2271" i="5"/>
  <c r="C2271" i="5"/>
  <c r="D2271" i="5"/>
  <c r="E2271" i="5"/>
  <c r="F2271" i="5"/>
  <c r="G2271" i="5"/>
  <c r="A2272" i="5"/>
  <c r="B2272" i="5"/>
  <c r="C2272" i="5"/>
  <c r="D2272" i="5"/>
  <c r="E2272" i="5"/>
  <c r="F2272" i="5"/>
  <c r="G2272" i="5"/>
  <c r="A2273" i="5"/>
  <c r="B2273" i="5"/>
  <c r="C2273" i="5"/>
  <c r="D2273" i="5"/>
  <c r="E2273" i="5"/>
  <c r="F2273" i="5"/>
  <c r="G2273" i="5"/>
  <c r="A2274" i="5"/>
  <c r="B2274" i="5"/>
  <c r="C2274" i="5"/>
  <c r="D2274" i="5"/>
  <c r="E2274" i="5"/>
  <c r="F2274" i="5"/>
  <c r="G2274" i="5"/>
  <c r="A2275" i="5"/>
  <c r="B2275" i="5"/>
  <c r="C2275" i="5"/>
  <c r="D2275" i="5"/>
  <c r="E2275" i="5"/>
  <c r="F2275" i="5"/>
  <c r="G2275" i="5"/>
  <c r="A2276" i="5"/>
  <c r="B2276" i="5"/>
  <c r="C2276" i="5"/>
  <c r="D2276" i="5"/>
  <c r="E2276" i="5"/>
  <c r="F2276" i="5"/>
  <c r="G2276" i="5"/>
  <c r="A2277" i="5"/>
  <c r="B2277" i="5"/>
  <c r="C2277" i="5"/>
  <c r="D2277" i="5"/>
  <c r="E2277" i="5"/>
  <c r="F2277" i="5"/>
  <c r="G2277" i="5"/>
  <c r="A2278" i="5"/>
  <c r="B2278" i="5"/>
  <c r="C2278" i="5"/>
  <c r="D2278" i="5"/>
  <c r="E2278" i="5"/>
  <c r="F2278" i="5"/>
  <c r="G2278" i="5"/>
  <c r="A2279" i="5"/>
  <c r="B2279" i="5"/>
  <c r="C2279" i="5"/>
  <c r="D2279" i="5"/>
  <c r="E2279" i="5"/>
  <c r="F2279" i="5"/>
  <c r="G2279" i="5"/>
  <c r="A2280" i="5"/>
  <c r="B2280" i="5"/>
  <c r="C2280" i="5"/>
  <c r="D2280" i="5"/>
  <c r="E2280" i="5"/>
  <c r="F2280" i="5"/>
  <c r="G2280" i="5"/>
  <c r="A2281" i="5"/>
  <c r="B2281" i="5"/>
  <c r="C2281" i="5"/>
  <c r="D2281" i="5"/>
  <c r="E2281" i="5"/>
  <c r="F2281" i="5"/>
  <c r="G2281" i="5"/>
  <c r="A2282" i="5"/>
  <c r="B2282" i="5"/>
  <c r="C2282" i="5"/>
  <c r="D2282" i="5"/>
  <c r="E2282" i="5"/>
  <c r="F2282" i="5"/>
  <c r="G2282" i="5"/>
  <c r="A2283" i="5"/>
  <c r="B2283" i="5"/>
  <c r="C2283" i="5"/>
  <c r="D2283" i="5"/>
  <c r="E2283" i="5"/>
  <c r="F2283" i="5"/>
  <c r="G2283" i="5"/>
  <c r="A2284" i="5"/>
  <c r="B2284" i="5"/>
  <c r="C2284" i="5"/>
  <c r="D2284" i="5"/>
  <c r="E2284" i="5"/>
  <c r="F2284" i="5"/>
  <c r="G2284" i="5"/>
  <c r="A2285" i="5"/>
  <c r="B2285" i="5"/>
  <c r="C2285" i="5"/>
  <c r="D2285" i="5"/>
  <c r="E2285" i="5"/>
  <c r="F2285" i="5"/>
  <c r="G2285" i="5"/>
  <c r="H2285" i="5"/>
  <c r="I2285" i="5" s="1"/>
  <c r="J2285" i="5" s="1" a="1"/>
  <c r="J2285" i="5" s="1"/>
  <c r="A2286" i="5"/>
  <c r="B2286" i="5"/>
  <c r="C2286" i="5"/>
  <c r="D2286" i="5"/>
  <c r="E2286" i="5"/>
  <c r="F2286" i="5"/>
  <c r="G2286" i="5"/>
  <c r="A2287" i="5"/>
  <c r="B2287" i="5"/>
  <c r="C2287" i="5"/>
  <c r="D2287" i="5"/>
  <c r="E2287" i="5"/>
  <c r="F2287" i="5"/>
  <c r="G2287" i="5"/>
  <c r="A2288" i="5"/>
  <c r="B2288" i="5"/>
  <c r="C2288" i="5"/>
  <c r="D2288" i="5"/>
  <c r="E2288" i="5"/>
  <c r="F2288" i="5"/>
  <c r="G2288" i="5"/>
  <c r="A2289" i="5"/>
  <c r="B2289" i="5"/>
  <c r="C2289" i="5"/>
  <c r="D2289" i="5"/>
  <c r="E2289" i="5"/>
  <c r="F2289" i="5"/>
  <c r="G2289" i="5"/>
  <c r="A2290" i="5"/>
  <c r="B2290" i="5"/>
  <c r="C2290" i="5"/>
  <c r="D2290" i="5"/>
  <c r="E2290" i="5"/>
  <c r="F2290" i="5"/>
  <c r="G2290" i="5"/>
  <c r="A2291" i="5"/>
  <c r="B2291" i="5"/>
  <c r="C2291" i="5"/>
  <c r="D2291" i="5"/>
  <c r="E2291" i="5"/>
  <c r="F2291" i="5"/>
  <c r="G2291" i="5"/>
  <c r="A2292" i="5"/>
  <c r="B2292" i="5"/>
  <c r="C2292" i="5"/>
  <c r="D2292" i="5"/>
  <c r="E2292" i="5"/>
  <c r="F2292" i="5"/>
  <c r="G2292" i="5"/>
  <c r="A2293" i="5"/>
  <c r="B2293" i="5"/>
  <c r="C2293" i="5"/>
  <c r="D2293" i="5"/>
  <c r="E2293" i="5"/>
  <c r="F2293" i="5"/>
  <c r="G2293" i="5"/>
  <c r="A2294" i="5"/>
  <c r="B2294" i="5"/>
  <c r="C2294" i="5"/>
  <c r="D2294" i="5"/>
  <c r="E2294" i="5"/>
  <c r="F2294" i="5"/>
  <c r="G2294" i="5"/>
  <c r="A2295" i="5"/>
  <c r="B2295" i="5"/>
  <c r="C2295" i="5"/>
  <c r="D2295" i="5"/>
  <c r="E2295" i="5"/>
  <c r="F2295" i="5"/>
  <c r="G2295" i="5"/>
  <c r="A2296" i="5"/>
  <c r="B2296" i="5"/>
  <c r="C2296" i="5"/>
  <c r="D2296" i="5"/>
  <c r="E2296" i="5"/>
  <c r="F2296" i="5"/>
  <c r="G2296" i="5"/>
  <c r="A2297" i="5"/>
  <c r="B2297" i="5"/>
  <c r="C2297" i="5"/>
  <c r="D2297" i="5"/>
  <c r="E2297" i="5"/>
  <c r="F2297" i="5"/>
  <c r="G2297" i="5"/>
  <c r="A2298" i="5"/>
  <c r="B2298" i="5"/>
  <c r="C2298" i="5"/>
  <c r="D2298" i="5"/>
  <c r="E2298" i="5"/>
  <c r="F2298" i="5"/>
  <c r="G2298" i="5"/>
  <c r="A2299" i="5"/>
  <c r="B2299" i="5"/>
  <c r="C2299" i="5"/>
  <c r="D2299" i="5"/>
  <c r="E2299" i="5"/>
  <c r="F2299" i="5"/>
  <c r="G2299" i="5"/>
  <c r="A2300" i="5"/>
  <c r="B2300" i="5"/>
  <c r="C2300" i="5"/>
  <c r="D2300" i="5"/>
  <c r="E2300" i="5"/>
  <c r="F2300" i="5"/>
  <c r="G2300" i="5"/>
  <c r="A2301" i="5"/>
  <c r="B2301" i="5"/>
  <c r="C2301" i="5"/>
  <c r="D2301" i="5"/>
  <c r="E2301" i="5"/>
  <c r="F2301" i="5"/>
  <c r="G2301" i="5"/>
  <c r="A2302" i="5"/>
  <c r="B2302" i="5"/>
  <c r="C2302" i="5"/>
  <c r="D2302" i="5"/>
  <c r="E2302" i="5"/>
  <c r="F2302" i="5"/>
  <c r="G2302" i="5"/>
  <c r="A2303" i="5"/>
  <c r="B2303" i="5"/>
  <c r="C2303" i="5"/>
  <c r="D2303" i="5"/>
  <c r="E2303" i="5"/>
  <c r="F2303" i="5"/>
  <c r="G2303" i="5"/>
  <c r="A2304" i="5"/>
  <c r="B2304" i="5"/>
  <c r="C2304" i="5"/>
  <c r="D2304" i="5"/>
  <c r="E2304" i="5"/>
  <c r="F2304" i="5"/>
  <c r="G2304" i="5"/>
  <c r="A2305" i="5"/>
  <c r="B2305" i="5"/>
  <c r="C2305" i="5"/>
  <c r="D2305" i="5"/>
  <c r="E2305" i="5"/>
  <c r="F2305" i="5"/>
  <c r="G2305" i="5"/>
  <c r="A2306" i="5"/>
  <c r="B2306" i="5"/>
  <c r="C2306" i="5"/>
  <c r="D2306" i="5"/>
  <c r="E2306" i="5"/>
  <c r="F2306" i="5"/>
  <c r="G2306" i="5"/>
  <c r="A2307" i="5"/>
  <c r="B2307" i="5"/>
  <c r="C2307" i="5"/>
  <c r="D2307" i="5"/>
  <c r="E2307" i="5"/>
  <c r="F2307" i="5"/>
  <c r="G2307" i="5"/>
  <c r="A2308" i="5"/>
  <c r="B2308" i="5"/>
  <c r="C2308" i="5"/>
  <c r="D2308" i="5"/>
  <c r="E2308" i="5"/>
  <c r="F2308" i="5"/>
  <c r="G2308" i="5"/>
  <c r="A2309" i="5"/>
  <c r="B2309" i="5"/>
  <c r="C2309" i="5"/>
  <c r="D2309" i="5"/>
  <c r="E2309" i="5"/>
  <c r="F2309" i="5"/>
  <c r="G2309" i="5"/>
  <c r="A2310" i="5"/>
  <c r="B2310" i="5"/>
  <c r="C2310" i="5"/>
  <c r="D2310" i="5"/>
  <c r="E2310" i="5"/>
  <c r="F2310" i="5"/>
  <c r="G2310" i="5"/>
  <c r="A2311" i="5"/>
  <c r="B2311" i="5"/>
  <c r="C2311" i="5"/>
  <c r="D2311" i="5"/>
  <c r="E2311" i="5"/>
  <c r="F2311" i="5"/>
  <c r="G2311" i="5"/>
  <c r="A2312" i="5"/>
  <c r="B2312" i="5"/>
  <c r="C2312" i="5"/>
  <c r="D2312" i="5"/>
  <c r="E2312" i="5"/>
  <c r="F2312" i="5"/>
  <c r="G2312" i="5"/>
  <c r="A2313" i="5"/>
  <c r="B2313" i="5"/>
  <c r="C2313" i="5"/>
  <c r="D2313" i="5"/>
  <c r="E2313" i="5"/>
  <c r="F2313" i="5"/>
  <c r="G2313" i="5"/>
  <c r="A2314" i="5"/>
  <c r="B2314" i="5"/>
  <c r="C2314" i="5"/>
  <c r="D2314" i="5"/>
  <c r="E2314" i="5"/>
  <c r="F2314" i="5"/>
  <c r="G2314" i="5"/>
  <c r="A2315" i="5"/>
  <c r="B2315" i="5"/>
  <c r="C2315" i="5"/>
  <c r="D2315" i="5"/>
  <c r="E2315" i="5"/>
  <c r="F2315" i="5"/>
  <c r="G2315" i="5"/>
  <c r="A2316" i="5"/>
  <c r="B2316" i="5"/>
  <c r="C2316" i="5"/>
  <c r="D2316" i="5"/>
  <c r="E2316" i="5"/>
  <c r="F2316" i="5"/>
  <c r="G2316" i="5"/>
  <c r="A2317" i="5"/>
  <c r="B2317" i="5"/>
  <c r="C2317" i="5"/>
  <c r="D2317" i="5"/>
  <c r="E2317" i="5"/>
  <c r="F2317" i="5"/>
  <c r="G2317" i="5"/>
  <c r="A2318" i="5"/>
  <c r="B2318" i="5"/>
  <c r="C2318" i="5"/>
  <c r="D2318" i="5"/>
  <c r="E2318" i="5"/>
  <c r="F2318" i="5"/>
  <c r="G2318" i="5"/>
  <c r="A2319" i="5"/>
  <c r="B2319" i="5"/>
  <c r="C2319" i="5"/>
  <c r="D2319" i="5"/>
  <c r="E2319" i="5"/>
  <c r="F2319" i="5"/>
  <c r="G2319" i="5"/>
  <c r="A2320" i="5"/>
  <c r="B2320" i="5"/>
  <c r="C2320" i="5"/>
  <c r="D2320" i="5"/>
  <c r="E2320" i="5"/>
  <c r="F2320" i="5"/>
  <c r="G2320" i="5"/>
  <c r="A2321" i="5"/>
  <c r="B2321" i="5"/>
  <c r="C2321" i="5"/>
  <c r="D2321" i="5"/>
  <c r="E2321" i="5"/>
  <c r="F2321" i="5"/>
  <c r="G2321" i="5"/>
  <c r="A2322" i="5"/>
  <c r="B2322" i="5"/>
  <c r="C2322" i="5"/>
  <c r="D2322" i="5"/>
  <c r="E2322" i="5"/>
  <c r="F2322" i="5"/>
  <c r="G2322" i="5"/>
  <c r="A2323" i="5"/>
  <c r="B2323" i="5"/>
  <c r="C2323" i="5"/>
  <c r="D2323" i="5"/>
  <c r="E2323" i="5"/>
  <c r="F2323" i="5"/>
  <c r="G2323" i="5"/>
  <c r="A2324" i="5"/>
  <c r="B2324" i="5"/>
  <c r="C2324" i="5"/>
  <c r="D2324" i="5"/>
  <c r="E2324" i="5"/>
  <c r="F2324" i="5"/>
  <c r="G2324" i="5"/>
  <c r="A2325" i="5"/>
  <c r="B2325" i="5"/>
  <c r="C2325" i="5"/>
  <c r="D2325" i="5"/>
  <c r="E2325" i="5"/>
  <c r="F2325" i="5"/>
  <c r="G2325" i="5"/>
  <c r="A2326" i="5"/>
  <c r="B2326" i="5"/>
  <c r="C2326" i="5"/>
  <c r="D2326" i="5"/>
  <c r="E2326" i="5"/>
  <c r="F2326" i="5"/>
  <c r="G2326" i="5"/>
  <c r="A2327" i="5"/>
  <c r="B2327" i="5"/>
  <c r="C2327" i="5"/>
  <c r="D2327" i="5"/>
  <c r="E2327" i="5"/>
  <c r="F2327" i="5"/>
  <c r="G2327" i="5"/>
  <c r="A2328" i="5"/>
  <c r="B2328" i="5"/>
  <c r="C2328" i="5"/>
  <c r="D2328" i="5"/>
  <c r="E2328" i="5"/>
  <c r="F2328" i="5"/>
  <c r="G2328" i="5"/>
  <c r="A2329" i="5"/>
  <c r="B2329" i="5"/>
  <c r="C2329" i="5"/>
  <c r="D2329" i="5"/>
  <c r="E2329" i="5"/>
  <c r="F2329" i="5"/>
  <c r="G2329" i="5"/>
  <c r="A2330" i="5"/>
  <c r="B2330" i="5"/>
  <c r="C2330" i="5"/>
  <c r="D2330" i="5"/>
  <c r="E2330" i="5"/>
  <c r="F2330" i="5"/>
  <c r="G2330" i="5"/>
  <c r="A2331" i="5"/>
  <c r="B2331" i="5"/>
  <c r="C2331" i="5"/>
  <c r="D2331" i="5"/>
  <c r="E2331" i="5"/>
  <c r="F2331" i="5"/>
  <c r="G2331" i="5"/>
  <c r="A2332" i="5"/>
  <c r="B2332" i="5"/>
  <c r="C2332" i="5"/>
  <c r="D2332" i="5"/>
  <c r="E2332" i="5"/>
  <c r="F2332" i="5"/>
  <c r="G2332" i="5"/>
  <c r="A2333" i="5"/>
  <c r="B2333" i="5"/>
  <c r="C2333" i="5"/>
  <c r="D2333" i="5"/>
  <c r="E2333" i="5"/>
  <c r="F2333" i="5"/>
  <c r="G2333" i="5"/>
  <c r="A2334" i="5"/>
  <c r="B2334" i="5"/>
  <c r="C2334" i="5"/>
  <c r="D2334" i="5"/>
  <c r="E2334" i="5"/>
  <c r="F2334" i="5"/>
  <c r="G2334" i="5"/>
  <c r="A2335" i="5"/>
  <c r="B2335" i="5"/>
  <c r="C2335" i="5"/>
  <c r="D2335" i="5"/>
  <c r="E2335" i="5"/>
  <c r="F2335" i="5"/>
  <c r="G2335" i="5"/>
  <c r="A2336" i="5"/>
  <c r="B2336" i="5"/>
  <c r="C2336" i="5"/>
  <c r="D2336" i="5"/>
  <c r="E2336" i="5"/>
  <c r="F2336" i="5"/>
  <c r="G2336" i="5"/>
  <c r="A2337" i="5"/>
  <c r="B2337" i="5"/>
  <c r="C2337" i="5"/>
  <c r="D2337" i="5"/>
  <c r="E2337" i="5"/>
  <c r="F2337" i="5"/>
  <c r="G2337" i="5"/>
  <c r="A2338" i="5"/>
  <c r="B2338" i="5"/>
  <c r="C2338" i="5"/>
  <c r="D2338" i="5"/>
  <c r="E2338" i="5"/>
  <c r="F2338" i="5"/>
  <c r="G2338" i="5"/>
  <c r="A2339" i="5"/>
  <c r="B2339" i="5"/>
  <c r="C2339" i="5"/>
  <c r="D2339" i="5"/>
  <c r="E2339" i="5"/>
  <c r="F2339" i="5"/>
  <c r="G2339" i="5"/>
  <c r="A2340" i="5"/>
  <c r="B2340" i="5"/>
  <c r="C2340" i="5"/>
  <c r="D2340" i="5"/>
  <c r="E2340" i="5"/>
  <c r="F2340" i="5"/>
  <c r="G2340" i="5"/>
  <c r="A2341" i="5"/>
  <c r="B2341" i="5"/>
  <c r="C2341" i="5"/>
  <c r="D2341" i="5"/>
  <c r="E2341" i="5"/>
  <c r="F2341" i="5"/>
  <c r="G2341" i="5"/>
  <c r="A2342" i="5"/>
  <c r="B2342" i="5"/>
  <c r="C2342" i="5"/>
  <c r="D2342" i="5"/>
  <c r="E2342" i="5"/>
  <c r="F2342" i="5"/>
  <c r="G2342" i="5"/>
  <c r="A2343" i="5"/>
  <c r="B2343" i="5"/>
  <c r="C2343" i="5"/>
  <c r="D2343" i="5"/>
  <c r="E2343" i="5"/>
  <c r="F2343" i="5"/>
  <c r="G2343" i="5"/>
  <c r="A2344" i="5"/>
  <c r="B2344" i="5"/>
  <c r="C2344" i="5"/>
  <c r="D2344" i="5"/>
  <c r="E2344" i="5"/>
  <c r="F2344" i="5"/>
  <c r="G2344" i="5"/>
  <c r="A2345" i="5"/>
  <c r="B2345" i="5"/>
  <c r="C2345" i="5"/>
  <c r="D2345" i="5"/>
  <c r="E2345" i="5"/>
  <c r="F2345" i="5"/>
  <c r="G2345" i="5"/>
  <c r="A2346" i="5"/>
  <c r="B2346" i="5"/>
  <c r="C2346" i="5"/>
  <c r="D2346" i="5"/>
  <c r="E2346" i="5"/>
  <c r="F2346" i="5"/>
  <c r="G2346" i="5"/>
  <c r="A2347" i="5"/>
  <c r="B2347" i="5"/>
  <c r="C2347" i="5"/>
  <c r="D2347" i="5"/>
  <c r="E2347" i="5"/>
  <c r="F2347" i="5"/>
  <c r="G2347" i="5"/>
  <c r="A2348" i="5"/>
  <c r="B2348" i="5"/>
  <c r="C2348" i="5"/>
  <c r="D2348" i="5"/>
  <c r="E2348" i="5"/>
  <c r="F2348" i="5"/>
  <c r="G2348" i="5"/>
  <c r="A2349" i="5"/>
  <c r="B2349" i="5"/>
  <c r="C2349" i="5"/>
  <c r="D2349" i="5"/>
  <c r="E2349" i="5"/>
  <c r="F2349" i="5"/>
  <c r="G2349" i="5"/>
  <c r="A2350" i="5"/>
  <c r="B2350" i="5"/>
  <c r="C2350" i="5"/>
  <c r="D2350" i="5"/>
  <c r="E2350" i="5"/>
  <c r="F2350" i="5"/>
  <c r="G2350" i="5"/>
  <c r="A2351" i="5"/>
  <c r="B2351" i="5"/>
  <c r="C2351" i="5"/>
  <c r="D2351" i="5"/>
  <c r="E2351" i="5"/>
  <c r="F2351" i="5"/>
  <c r="G2351" i="5"/>
  <c r="A2352" i="5"/>
  <c r="B2352" i="5"/>
  <c r="C2352" i="5"/>
  <c r="D2352" i="5"/>
  <c r="E2352" i="5"/>
  <c r="F2352" i="5"/>
  <c r="G2352" i="5"/>
  <c r="A2353" i="5"/>
  <c r="B2353" i="5"/>
  <c r="C2353" i="5"/>
  <c r="D2353" i="5"/>
  <c r="E2353" i="5"/>
  <c r="F2353" i="5"/>
  <c r="G2353" i="5"/>
  <c r="A2354" i="5"/>
  <c r="B2354" i="5"/>
  <c r="C2354" i="5"/>
  <c r="D2354" i="5"/>
  <c r="E2354" i="5"/>
  <c r="F2354" i="5"/>
  <c r="G2354" i="5"/>
  <c r="A2355" i="5"/>
  <c r="B2355" i="5"/>
  <c r="C2355" i="5"/>
  <c r="D2355" i="5"/>
  <c r="E2355" i="5"/>
  <c r="F2355" i="5"/>
  <c r="G2355" i="5"/>
  <c r="A2356" i="5"/>
  <c r="B2356" i="5"/>
  <c r="C2356" i="5"/>
  <c r="D2356" i="5"/>
  <c r="E2356" i="5"/>
  <c r="F2356" i="5"/>
  <c r="G2356" i="5"/>
  <c r="A2357" i="5"/>
  <c r="B2357" i="5"/>
  <c r="C2357" i="5"/>
  <c r="D2357" i="5"/>
  <c r="E2357" i="5"/>
  <c r="F2357" i="5"/>
  <c r="G2357" i="5"/>
  <c r="A2358" i="5"/>
  <c r="B2358" i="5"/>
  <c r="C2358" i="5"/>
  <c r="D2358" i="5"/>
  <c r="E2358" i="5"/>
  <c r="F2358" i="5"/>
  <c r="G2358" i="5"/>
  <c r="A2359" i="5"/>
  <c r="B2359" i="5"/>
  <c r="C2359" i="5"/>
  <c r="D2359" i="5"/>
  <c r="E2359" i="5"/>
  <c r="F2359" i="5"/>
  <c r="G2359" i="5"/>
  <c r="A2360" i="5"/>
  <c r="B2360" i="5"/>
  <c r="C2360" i="5"/>
  <c r="D2360" i="5"/>
  <c r="E2360" i="5"/>
  <c r="F2360" i="5"/>
  <c r="G2360" i="5"/>
  <c r="A2361" i="5"/>
  <c r="B2361" i="5"/>
  <c r="C2361" i="5"/>
  <c r="D2361" i="5"/>
  <c r="E2361" i="5"/>
  <c r="F2361" i="5"/>
  <c r="G2361" i="5"/>
  <c r="A2362" i="5"/>
  <c r="B2362" i="5"/>
  <c r="C2362" i="5"/>
  <c r="D2362" i="5"/>
  <c r="E2362" i="5"/>
  <c r="F2362" i="5"/>
  <c r="G2362" i="5"/>
  <c r="A2363" i="5"/>
  <c r="B2363" i="5"/>
  <c r="C2363" i="5"/>
  <c r="D2363" i="5"/>
  <c r="E2363" i="5"/>
  <c r="F2363" i="5"/>
  <c r="G2363" i="5"/>
  <c r="A2364" i="5"/>
  <c r="B2364" i="5"/>
  <c r="C2364" i="5"/>
  <c r="D2364" i="5"/>
  <c r="E2364" i="5"/>
  <c r="F2364" i="5"/>
  <c r="G2364" i="5"/>
  <c r="A2365" i="5"/>
  <c r="B2365" i="5"/>
  <c r="C2365" i="5"/>
  <c r="D2365" i="5"/>
  <c r="E2365" i="5"/>
  <c r="F2365" i="5"/>
  <c r="G2365" i="5"/>
  <c r="A2366" i="5"/>
  <c r="B2366" i="5"/>
  <c r="C2366" i="5"/>
  <c r="D2366" i="5"/>
  <c r="E2366" i="5"/>
  <c r="F2366" i="5"/>
  <c r="G2366" i="5"/>
  <c r="A2367" i="5"/>
  <c r="B2367" i="5"/>
  <c r="C2367" i="5"/>
  <c r="D2367" i="5"/>
  <c r="E2367" i="5"/>
  <c r="F2367" i="5"/>
  <c r="G2367" i="5"/>
  <c r="A2368" i="5"/>
  <c r="B2368" i="5"/>
  <c r="C2368" i="5"/>
  <c r="D2368" i="5"/>
  <c r="E2368" i="5"/>
  <c r="F2368" i="5"/>
  <c r="G2368" i="5"/>
  <c r="A2369" i="5"/>
  <c r="B2369" i="5"/>
  <c r="C2369" i="5"/>
  <c r="D2369" i="5"/>
  <c r="E2369" i="5"/>
  <c r="F2369" i="5"/>
  <c r="G2369" i="5"/>
  <c r="A2370" i="5"/>
  <c r="B2370" i="5"/>
  <c r="C2370" i="5"/>
  <c r="D2370" i="5"/>
  <c r="E2370" i="5"/>
  <c r="F2370" i="5"/>
  <c r="G2370" i="5"/>
  <c r="A2371" i="5"/>
  <c r="B2371" i="5"/>
  <c r="C2371" i="5"/>
  <c r="D2371" i="5"/>
  <c r="E2371" i="5"/>
  <c r="H2371" i="5" s="1"/>
  <c r="I2371" i="5" s="1"/>
  <c r="J2371" i="5" s="1" a="1"/>
  <c r="J2371" i="5" s="1"/>
  <c r="F2371" i="5"/>
  <c r="G2371" i="5"/>
  <c r="A2372" i="5"/>
  <c r="B2372" i="5"/>
  <c r="C2372" i="5"/>
  <c r="D2372" i="5"/>
  <c r="E2372" i="5"/>
  <c r="F2372" i="5"/>
  <c r="G2372" i="5"/>
  <c r="A2373" i="5"/>
  <c r="B2373" i="5"/>
  <c r="C2373" i="5"/>
  <c r="D2373" i="5"/>
  <c r="E2373" i="5"/>
  <c r="F2373" i="5"/>
  <c r="G2373" i="5"/>
  <c r="A2374" i="5"/>
  <c r="B2374" i="5"/>
  <c r="C2374" i="5"/>
  <c r="D2374" i="5"/>
  <c r="E2374" i="5"/>
  <c r="F2374" i="5"/>
  <c r="G2374" i="5"/>
  <c r="A2375" i="5"/>
  <c r="B2375" i="5"/>
  <c r="C2375" i="5"/>
  <c r="D2375" i="5"/>
  <c r="E2375" i="5"/>
  <c r="F2375" i="5"/>
  <c r="G2375" i="5"/>
  <c r="A2376" i="5"/>
  <c r="B2376" i="5"/>
  <c r="C2376" i="5"/>
  <c r="D2376" i="5"/>
  <c r="E2376" i="5"/>
  <c r="F2376" i="5"/>
  <c r="G2376" i="5"/>
  <c r="A2377" i="5"/>
  <c r="B2377" i="5"/>
  <c r="C2377" i="5"/>
  <c r="D2377" i="5"/>
  <c r="E2377" i="5"/>
  <c r="F2377" i="5"/>
  <c r="G2377" i="5"/>
  <c r="A2378" i="5"/>
  <c r="B2378" i="5"/>
  <c r="C2378" i="5"/>
  <c r="D2378" i="5"/>
  <c r="E2378" i="5"/>
  <c r="F2378" i="5"/>
  <c r="G2378" i="5"/>
  <c r="A2379" i="5"/>
  <c r="B2379" i="5"/>
  <c r="C2379" i="5"/>
  <c r="D2379" i="5"/>
  <c r="E2379" i="5"/>
  <c r="F2379" i="5"/>
  <c r="G2379" i="5"/>
  <c r="A2380" i="5"/>
  <c r="B2380" i="5"/>
  <c r="C2380" i="5"/>
  <c r="D2380" i="5"/>
  <c r="E2380" i="5"/>
  <c r="F2380" i="5"/>
  <c r="G2380" i="5"/>
  <c r="A2381" i="5"/>
  <c r="B2381" i="5"/>
  <c r="C2381" i="5"/>
  <c r="D2381" i="5"/>
  <c r="E2381" i="5"/>
  <c r="F2381" i="5"/>
  <c r="G2381" i="5"/>
  <c r="A2382" i="5"/>
  <c r="B2382" i="5"/>
  <c r="C2382" i="5"/>
  <c r="D2382" i="5"/>
  <c r="E2382" i="5"/>
  <c r="F2382" i="5"/>
  <c r="G2382" i="5"/>
  <c r="A2383" i="5"/>
  <c r="B2383" i="5"/>
  <c r="C2383" i="5"/>
  <c r="D2383" i="5"/>
  <c r="E2383" i="5"/>
  <c r="F2383" i="5"/>
  <c r="G2383" i="5"/>
  <c r="A2384" i="5"/>
  <c r="B2384" i="5"/>
  <c r="C2384" i="5"/>
  <c r="D2384" i="5"/>
  <c r="E2384" i="5"/>
  <c r="F2384" i="5"/>
  <c r="G2384" i="5"/>
  <c r="A2385" i="5"/>
  <c r="B2385" i="5"/>
  <c r="C2385" i="5"/>
  <c r="D2385" i="5"/>
  <c r="E2385" i="5"/>
  <c r="F2385" i="5"/>
  <c r="G2385" i="5"/>
  <c r="A2386" i="5"/>
  <c r="B2386" i="5"/>
  <c r="C2386" i="5"/>
  <c r="D2386" i="5"/>
  <c r="E2386" i="5"/>
  <c r="F2386" i="5"/>
  <c r="G2386" i="5"/>
  <c r="A2387" i="5"/>
  <c r="B2387" i="5"/>
  <c r="C2387" i="5"/>
  <c r="D2387" i="5"/>
  <c r="E2387" i="5"/>
  <c r="F2387" i="5"/>
  <c r="G2387" i="5"/>
  <c r="A2388" i="5"/>
  <c r="B2388" i="5"/>
  <c r="C2388" i="5"/>
  <c r="D2388" i="5"/>
  <c r="E2388" i="5"/>
  <c r="F2388" i="5"/>
  <c r="G2388" i="5"/>
  <c r="A2389" i="5"/>
  <c r="B2389" i="5"/>
  <c r="C2389" i="5"/>
  <c r="D2389" i="5"/>
  <c r="E2389" i="5"/>
  <c r="F2389" i="5"/>
  <c r="G2389" i="5"/>
  <c r="A2390" i="5"/>
  <c r="B2390" i="5"/>
  <c r="C2390" i="5"/>
  <c r="D2390" i="5"/>
  <c r="E2390" i="5"/>
  <c r="F2390" i="5"/>
  <c r="G2390" i="5"/>
  <c r="A2391" i="5"/>
  <c r="B2391" i="5"/>
  <c r="C2391" i="5"/>
  <c r="D2391" i="5"/>
  <c r="E2391" i="5"/>
  <c r="F2391" i="5"/>
  <c r="G2391" i="5"/>
  <c r="A2392" i="5"/>
  <c r="B2392" i="5"/>
  <c r="C2392" i="5"/>
  <c r="D2392" i="5"/>
  <c r="E2392" i="5"/>
  <c r="F2392" i="5"/>
  <c r="G2392" i="5"/>
  <c r="A2393" i="5"/>
  <c r="B2393" i="5"/>
  <c r="C2393" i="5"/>
  <c r="D2393" i="5"/>
  <c r="E2393" i="5"/>
  <c r="F2393" i="5"/>
  <c r="G2393" i="5"/>
  <c r="A2394" i="5"/>
  <c r="B2394" i="5"/>
  <c r="C2394" i="5"/>
  <c r="D2394" i="5"/>
  <c r="E2394" i="5"/>
  <c r="F2394" i="5"/>
  <c r="G2394" i="5"/>
  <c r="A2395" i="5"/>
  <c r="B2395" i="5"/>
  <c r="C2395" i="5"/>
  <c r="D2395" i="5"/>
  <c r="E2395" i="5"/>
  <c r="F2395" i="5"/>
  <c r="G2395" i="5"/>
  <c r="A2396" i="5"/>
  <c r="B2396" i="5"/>
  <c r="C2396" i="5"/>
  <c r="D2396" i="5"/>
  <c r="E2396" i="5"/>
  <c r="F2396" i="5"/>
  <c r="G2396" i="5"/>
  <c r="A2397" i="5"/>
  <c r="B2397" i="5"/>
  <c r="C2397" i="5"/>
  <c r="D2397" i="5"/>
  <c r="E2397" i="5"/>
  <c r="F2397" i="5"/>
  <c r="G2397" i="5"/>
  <c r="A2398" i="5"/>
  <c r="B2398" i="5"/>
  <c r="C2398" i="5"/>
  <c r="D2398" i="5"/>
  <c r="E2398" i="5"/>
  <c r="F2398" i="5"/>
  <c r="G2398" i="5"/>
  <c r="A2399" i="5"/>
  <c r="B2399" i="5"/>
  <c r="C2399" i="5"/>
  <c r="D2399" i="5"/>
  <c r="E2399" i="5"/>
  <c r="F2399" i="5"/>
  <c r="G2399" i="5"/>
  <c r="A2400" i="5"/>
  <c r="B2400" i="5"/>
  <c r="C2400" i="5"/>
  <c r="D2400" i="5"/>
  <c r="E2400" i="5"/>
  <c r="F2400" i="5"/>
  <c r="G2400" i="5"/>
  <c r="A2401" i="5"/>
  <c r="B2401" i="5"/>
  <c r="C2401" i="5"/>
  <c r="D2401" i="5"/>
  <c r="E2401" i="5"/>
  <c r="F2401" i="5"/>
  <c r="G2401" i="5"/>
  <c r="A2402" i="5"/>
  <c r="B2402" i="5"/>
  <c r="C2402" i="5"/>
  <c r="D2402" i="5"/>
  <c r="E2402" i="5"/>
  <c r="F2402" i="5"/>
  <c r="G2402" i="5"/>
  <c r="A2403" i="5"/>
  <c r="B2403" i="5"/>
  <c r="C2403" i="5"/>
  <c r="D2403" i="5"/>
  <c r="E2403" i="5"/>
  <c r="F2403" i="5"/>
  <c r="G2403" i="5"/>
  <c r="A2404" i="5"/>
  <c r="B2404" i="5"/>
  <c r="C2404" i="5"/>
  <c r="D2404" i="5"/>
  <c r="E2404" i="5"/>
  <c r="F2404" i="5"/>
  <c r="G2404" i="5"/>
  <c r="A2405" i="5"/>
  <c r="B2405" i="5"/>
  <c r="C2405" i="5"/>
  <c r="D2405" i="5"/>
  <c r="E2405" i="5"/>
  <c r="F2405" i="5"/>
  <c r="G2405" i="5"/>
  <c r="A2406" i="5"/>
  <c r="B2406" i="5"/>
  <c r="C2406" i="5"/>
  <c r="D2406" i="5"/>
  <c r="E2406" i="5"/>
  <c r="F2406" i="5"/>
  <c r="G2406" i="5"/>
  <c r="A2407" i="5"/>
  <c r="B2407" i="5"/>
  <c r="C2407" i="5"/>
  <c r="D2407" i="5"/>
  <c r="E2407" i="5"/>
  <c r="F2407" i="5"/>
  <c r="G2407" i="5"/>
  <c r="A2408" i="5"/>
  <c r="B2408" i="5"/>
  <c r="C2408" i="5"/>
  <c r="D2408" i="5"/>
  <c r="E2408" i="5"/>
  <c r="F2408" i="5"/>
  <c r="G2408" i="5"/>
  <c r="A2409" i="5"/>
  <c r="B2409" i="5"/>
  <c r="C2409" i="5"/>
  <c r="D2409" i="5"/>
  <c r="E2409" i="5"/>
  <c r="F2409" i="5"/>
  <c r="G2409" i="5"/>
  <c r="A2410" i="5"/>
  <c r="B2410" i="5"/>
  <c r="C2410" i="5"/>
  <c r="D2410" i="5"/>
  <c r="E2410" i="5"/>
  <c r="F2410" i="5"/>
  <c r="G2410" i="5"/>
  <c r="A2411" i="5"/>
  <c r="B2411" i="5"/>
  <c r="C2411" i="5"/>
  <c r="D2411" i="5"/>
  <c r="E2411" i="5"/>
  <c r="F2411" i="5"/>
  <c r="G2411" i="5"/>
  <c r="A2412" i="5"/>
  <c r="B2412" i="5"/>
  <c r="C2412" i="5"/>
  <c r="D2412" i="5"/>
  <c r="E2412" i="5"/>
  <c r="F2412" i="5"/>
  <c r="G2412" i="5"/>
  <c r="A2413" i="5"/>
  <c r="B2413" i="5"/>
  <c r="C2413" i="5"/>
  <c r="D2413" i="5"/>
  <c r="E2413" i="5"/>
  <c r="F2413" i="5"/>
  <c r="G2413" i="5"/>
  <c r="A2414" i="5"/>
  <c r="B2414" i="5"/>
  <c r="C2414" i="5"/>
  <c r="D2414" i="5"/>
  <c r="E2414" i="5"/>
  <c r="F2414" i="5"/>
  <c r="G2414" i="5"/>
  <c r="A2415" i="5"/>
  <c r="B2415" i="5"/>
  <c r="C2415" i="5"/>
  <c r="D2415" i="5"/>
  <c r="E2415" i="5"/>
  <c r="F2415" i="5"/>
  <c r="G2415" i="5"/>
  <c r="A2416" i="5"/>
  <c r="B2416" i="5"/>
  <c r="C2416" i="5"/>
  <c r="D2416" i="5"/>
  <c r="E2416" i="5"/>
  <c r="F2416" i="5"/>
  <c r="G2416" i="5"/>
  <c r="A2417" i="5"/>
  <c r="B2417" i="5"/>
  <c r="C2417" i="5"/>
  <c r="D2417" i="5"/>
  <c r="E2417" i="5"/>
  <c r="F2417" i="5"/>
  <c r="G2417" i="5"/>
  <c r="A2418" i="5"/>
  <c r="B2418" i="5"/>
  <c r="C2418" i="5"/>
  <c r="D2418" i="5"/>
  <c r="E2418" i="5"/>
  <c r="F2418" i="5"/>
  <c r="G2418" i="5"/>
  <c r="A2419" i="5"/>
  <c r="B2419" i="5"/>
  <c r="C2419" i="5"/>
  <c r="D2419" i="5"/>
  <c r="E2419" i="5"/>
  <c r="F2419" i="5"/>
  <c r="G2419" i="5"/>
  <c r="A2420" i="5"/>
  <c r="B2420" i="5"/>
  <c r="C2420" i="5"/>
  <c r="D2420" i="5"/>
  <c r="E2420" i="5"/>
  <c r="F2420" i="5"/>
  <c r="G2420" i="5"/>
  <c r="A2421" i="5"/>
  <c r="B2421" i="5"/>
  <c r="C2421" i="5"/>
  <c r="D2421" i="5"/>
  <c r="E2421" i="5"/>
  <c r="F2421" i="5"/>
  <c r="G2421" i="5"/>
  <c r="A2422" i="5"/>
  <c r="B2422" i="5"/>
  <c r="C2422" i="5"/>
  <c r="D2422" i="5"/>
  <c r="E2422" i="5"/>
  <c r="F2422" i="5"/>
  <c r="G2422" i="5"/>
  <c r="A2423" i="5"/>
  <c r="B2423" i="5"/>
  <c r="C2423" i="5"/>
  <c r="D2423" i="5"/>
  <c r="E2423" i="5"/>
  <c r="F2423" i="5"/>
  <c r="G2423" i="5"/>
  <c r="A2424" i="5"/>
  <c r="B2424" i="5"/>
  <c r="C2424" i="5"/>
  <c r="D2424" i="5"/>
  <c r="E2424" i="5"/>
  <c r="F2424" i="5"/>
  <c r="G2424" i="5"/>
  <c r="A2425" i="5"/>
  <c r="B2425" i="5"/>
  <c r="C2425" i="5"/>
  <c r="D2425" i="5"/>
  <c r="E2425" i="5"/>
  <c r="F2425" i="5"/>
  <c r="G2425" i="5"/>
  <c r="A2426" i="5"/>
  <c r="B2426" i="5"/>
  <c r="C2426" i="5"/>
  <c r="D2426" i="5"/>
  <c r="E2426" i="5"/>
  <c r="F2426" i="5"/>
  <c r="G2426" i="5"/>
  <c r="A2427" i="5"/>
  <c r="B2427" i="5"/>
  <c r="C2427" i="5"/>
  <c r="D2427" i="5"/>
  <c r="E2427" i="5"/>
  <c r="F2427" i="5"/>
  <c r="G2427" i="5"/>
  <c r="A2428" i="5"/>
  <c r="B2428" i="5"/>
  <c r="C2428" i="5"/>
  <c r="D2428" i="5"/>
  <c r="E2428" i="5"/>
  <c r="F2428" i="5"/>
  <c r="G2428" i="5"/>
  <c r="A2429" i="5"/>
  <c r="B2429" i="5"/>
  <c r="C2429" i="5"/>
  <c r="D2429" i="5"/>
  <c r="E2429" i="5"/>
  <c r="F2429" i="5"/>
  <c r="G2429" i="5"/>
  <c r="A2430" i="5"/>
  <c r="B2430" i="5"/>
  <c r="C2430" i="5"/>
  <c r="D2430" i="5"/>
  <c r="E2430" i="5"/>
  <c r="F2430" i="5"/>
  <c r="G2430" i="5"/>
  <c r="A2431" i="5"/>
  <c r="B2431" i="5"/>
  <c r="C2431" i="5"/>
  <c r="D2431" i="5"/>
  <c r="E2431" i="5"/>
  <c r="F2431" i="5"/>
  <c r="G2431" i="5"/>
  <c r="A2432" i="5"/>
  <c r="B2432" i="5"/>
  <c r="C2432" i="5"/>
  <c r="D2432" i="5"/>
  <c r="E2432" i="5"/>
  <c r="F2432" i="5"/>
  <c r="G2432" i="5"/>
  <c r="A2433" i="5"/>
  <c r="B2433" i="5"/>
  <c r="C2433" i="5"/>
  <c r="D2433" i="5"/>
  <c r="E2433" i="5"/>
  <c r="F2433" i="5"/>
  <c r="G2433" i="5"/>
  <c r="A2434" i="5"/>
  <c r="B2434" i="5"/>
  <c r="C2434" i="5"/>
  <c r="D2434" i="5"/>
  <c r="E2434" i="5"/>
  <c r="F2434" i="5"/>
  <c r="G2434" i="5"/>
  <c r="A2435" i="5"/>
  <c r="B2435" i="5"/>
  <c r="C2435" i="5"/>
  <c r="D2435" i="5"/>
  <c r="E2435" i="5"/>
  <c r="F2435" i="5"/>
  <c r="G2435" i="5"/>
  <c r="A2436" i="5"/>
  <c r="B2436" i="5"/>
  <c r="C2436" i="5"/>
  <c r="D2436" i="5"/>
  <c r="E2436" i="5"/>
  <c r="F2436" i="5"/>
  <c r="G2436" i="5"/>
  <c r="A2437" i="5"/>
  <c r="B2437" i="5"/>
  <c r="C2437" i="5"/>
  <c r="D2437" i="5"/>
  <c r="E2437" i="5"/>
  <c r="F2437" i="5"/>
  <c r="G2437" i="5"/>
  <c r="A2438" i="5"/>
  <c r="B2438" i="5"/>
  <c r="C2438" i="5"/>
  <c r="D2438" i="5"/>
  <c r="E2438" i="5"/>
  <c r="F2438" i="5"/>
  <c r="G2438" i="5"/>
  <c r="A2439" i="5"/>
  <c r="B2439" i="5"/>
  <c r="C2439" i="5"/>
  <c r="D2439" i="5"/>
  <c r="E2439" i="5"/>
  <c r="F2439" i="5"/>
  <c r="G2439" i="5"/>
  <c r="A2440" i="5"/>
  <c r="B2440" i="5"/>
  <c r="C2440" i="5"/>
  <c r="D2440" i="5"/>
  <c r="E2440" i="5"/>
  <c r="F2440" i="5"/>
  <c r="G2440" i="5"/>
  <c r="A2441" i="5"/>
  <c r="B2441" i="5"/>
  <c r="C2441" i="5"/>
  <c r="D2441" i="5"/>
  <c r="E2441" i="5"/>
  <c r="F2441" i="5"/>
  <c r="G2441" i="5"/>
  <c r="A2442" i="5"/>
  <c r="B2442" i="5"/>
  <c r="C2442" i="5"/>
  <c r="D2442" i="5"/>
  <c r="E2442" i="5"/>
  <c r="F2442" i="5"/>
  <c r="G2442" i="5"/>
  <c r="A2443" i="5"/>
  <c r="B2443" i="5"/>
  <c r="C2443" i="5"/>
  <c r="D2443" i="5"/>
  <c r="E2443" i="5"/>
  <c r="F2443" i="5"/>
  <c r="G2443" i="5"/>
  <c r="A2444" i="5"/>
  <c r="B2444" i="5"/>
  <c r="C2444" i="5"/>
  <c r="D2444" i="5"/>
  <c r="E2444" i="5"/>
  <c r="F2444" i="5"/>
  <c r="G2444" i="5"/>
  <c r="A2445" i="5"/>
  <c r="B2445" i="5"/>
  <c r="C2445" i="5"/>
  <c r="D2445" i="5"/>
  <c r="E2445" i="5"/>
  <c r="F2445" i="5"/>
  <c r="G2445" i="5"/>
  <c r="A2446" i="5"/>
  <c r="B2446" i="5"/>
  <c r="C2446" i="5"/>
  <c r="D2446" i="5"/>
  <c r="E2446" i="5"/>
  <c r="F2446" i="5"/>
  <c r="G2446" i="5"/>
  <c r="A2447" i="5"/>
  <c r="B2447" i="5"/>
  <c r="C2447" i="5"/>
  <c r="D2447" i="5"/>
  <c r="E2447" i="5"/>
  <c r="F2447" i="5"/>
  <c r="G2447" i="5"/>
  <c r="A2448" i="5"/>
  <c r="B2448" i="5"/>
  <c r="C2448" i="5"/>
  <c r="D2448" i="5"/>
  <c r="E2448" i="5"/>
  <c r="F2448" i="5"/>
  <c r="G2448" i="5"/>
  <c r="A2449" i="5"/>
  <c r="B2449" i="5"/>
  <c r="C2449" i="5"/>
  <c r="D2449" i="5"/>
  <c r="E2449" i="5"/>
  <c r="F2449" i="5"/>
  <c r="G2449" i="5"/>
  <c r="A2450" i="5"/>
  <c r="B2450" i="5"/>
  <c r="C2450" i="5"/>
  <c r="D2450" i="5"/>
  <c r="E2450" i="5"/>
  <c r="F2450" i="5"/>
  <c r="G2450" i="5"/>
  <c r="A2451" i="5"/>
  <c r="B2451" i="5"/>
  <c r="C2451" i="5"/>
  <c r="D2451" i="5"/>
  <c r="E2451" i="5"/>
  <c r="F2451" i="5"/>
  <c r="G2451" i="5"/>
  <c r="A2452" i="5"/>
  <c r="B2452" i="5"/>
  <c r="C2452" i="5"/>
  <c r="D2452" i="5"/>
  <c r="E2452" i="5"/>
  <c r="F2452" i="5"/>
  <c r="G2452" i="5"/>
  <c r="A2453" i="5"/>
  <c r="B2453" i="5"/>
  <c r="C2453" i="5"/>
  <c r="D2453" i="5"/>
  <c r="E2453" i="5"/>
  <c r="F2453" i="5"/>
  <c r="G2453" i="5"/>
  <c r="A2454" i="5"/>
  <c r="B2454" i="5"/>
  <c r="C2454" i="5"/>
  <c r="D2454" i="5"/>
  <c r="E2454" i="5"/>
  <c r="F2454" i="5"/>
  <c r="G2454" i="5"/>
  <c r="A2455" i="5"/>
  <c r="B2455" i="5"/>
  <c r="C2455" i="5"/>
  <c r="D2455" i="5"/>
  <c r="E2455" i="5"/>
  <c r="F2455" i="5"/>
  <c r="G2455" i="5"/>
  <c r="A2456" i="5"/>
  <c r="B2456" i="5"/>
  <c r="C2456" i="5"/>
  <c r="D2456" i="5"/>
  <c r="E2456" i="5"/>
  <c r="F2456" i="5"/>
  <c r="G2456" i="5"/>
  <c r="A2457" i="5"/>
  <c r="B2457" i="5"/>
  <c r="C2457" i="5"/>
  <c r="D2457" i="5"/>
  <c r="E2457" i="5"/>
  <c r="F2457" i="5"/>
  <c r="G2457" i="5"/>
  <c r="A2458" i="5"/>
  <c r="B2458" i="5"/>
  <c r="C2458" i="5"/>
  <c r="D2458" i="5"/>
  <c r="E2458" i="5"/>
  <c r="F2458" i="5"/>
  <c r="G2458" i="5"/>
  <c r="A2459" i="5"/>
  <c r="B2459" i="5"/>
  <c r="C2459" i="5"/>
  <c r="D2459" i="5"/>
  <c r="E2459" i="5"/>
  <c r="F2459" i="5"/>
  <c r="G2459" i="5"/>
  <c r="A2460" i="5"/>
  <c r="B2460" i="5"/>
  <c r="C2460" i="5"/>
  <c r="D2460" i="5"/>
  <c r="E2460" i="5"/>
  <c r="F2460" i="5"/>
  <c r="G2460" i="5"/>
  <c r="A2461" i="5"/>
  <c r="B2461" i="5"/>
  <c r="C2461" i="5"/>
  <c r="D2461" i="5"/>
  <c r="E2461" i="5"/>
  <c r="F2461" i="5"/>
  <c r="G2461" i="5"/>
  <c r="A2462" i="5"/>
  <c r="B2462" i="5"/>
  <c r="C2462" i="5"/>
  <c r="D2462" i="5"/>
  <c r="E2462" i="5"/>
  <c r="F2462" i="5"/>
  <c r="G2462" i="5"/>
  <c r="A2463" i="5"/>
  <c r="B2463" i="5"/>
  <c r="C2463" i="5"/>
  <c r="D2463" i="5"/>
  <c r="E2463" i="5"/>
  <c r="F2463" i="5"/>
  <c r="G2463" i="5"/>
  <c r="A2464" i="5"/>
  <c r="B2464" i="5"/>
  <c r="C2464" i="5"/>
  <c r="D2464" i="5"/>
  <c r="E2464" i="5"/>
  <c r="F2464" i="5"/>
  <c r="G2464" i="5"/>
  <c r="A2465" i="5"/>
  <c r="B2465" i="5"/>
  <c r="C2465" i="5"/>
  <c r="D2465" i="5"/>
  <c r="E2465" i="5"/>
  <c r="F2465" i="5"/>
  <c r="G2465" i="5"/>
  <c r="A2466" i="5"/>
  <c r="B2466" i="5"/>
  <c r="C2466" i="5"/>
  <c r="D2466" i="5"/>
  <c r="E2466" i="5"/>
  <c r="F2466" i="5"/>
  <c r="G2466" i="5"/>
  <c r="A2467" i="5"/>
  <c r="B2467" i="5"/>
  <c r="C2467" i="5"/>
  <c r="D2467" i="5"/>
  <c r="E2467" i="5"/>
  <c r="F2467" i="5"/>
  <c r="G2467" i="5"/>
  <c r="A2468" i="5"/>
  <c r="B2468" i="5"/>
  <c r="C2468" i="5"/>
  <c r="D2468" i="5"/>
  <c r="E2468" i="5"/>
  <c r="F2468" i="5"/>
  <c r="G2468" i="5"/>
  <c r="A2469" i="5"/>
  <c r="B2469" i="5"/>
  <c r="C2469" i="5"/>
  <c r="D2469" i="5"/>
  <c r="E2469" i="5"/>
  <c r="F2469" i="5"/>
  <c r="G2469" i="5"/>
  <c r="A2470" i="5"/>
  <c r="B2470" i="5"/>
  <c r="C2470" i="5"/>
  <c r="D2470" i="5"/>
  <c r="E2470" i="5"/>
  <c r="F2470" i="5"/>
  <c r="G2470" i="5"/>
  <c r="A2471" i="5"/>
  <c r="B2471" i="5"/>
  <c r="C2471" i="5"/>
  <c r="D2471" i="5"/>
  <c r="E2471" i="5"/>
  <c r="F2471" i="5"/>
  <c r="G2471" i="5"/>
  <c r="H2471" i="5"/>
  <c r="I2471" i="5" s="1"/>
  <c r="J2471" i="5" s="1" a="1"/>
  <c r="J2471" i="5" s="1"/>
  <c r="X2465" i="9" s="1"/>
  <c r="A2472" i="5"/>
  <c r="B2472" i="5"/>
  <c r="C2472" i="5"/>
  <c r="D2472" i="5"/>
  <c r="E2472" i="5"/>
  <c r="F2472" i="5"/>
  <c r="G2472" i="5"/>
  <c r="A2473" i="5"/>
  <c r="B2473" i="5"/>
  <c r="C2473" i="5"/>
  <c r="D2473" i="5"/>
  <c r="E2473" i="5"/>
  <c r="F2473" i="5"/>
  <c r="G2473" i="5"/>
  <c r="A2474" i="5"/>
  <c r="B2474" i="5"/>
  <c r="C2474" i="5"/>
  <c r="D2474" i="5"/>
  <c r="E2474" i="5"/>
  <c r="F2474" i="5"/>
  <c r="G2474" i="5"/>
  <c r="A2475" i="5"/>
  <c r="B2475" i="5"/>
  <c r="C2475" i="5"/>
  <c r="D2475" i="5"/>
  <c r="E2475" i="5"/>
  <c r="F2475" i="5"/>
  <c r="G2475" i="5"/>
  <c r="A2476" i="5"/>
  <c r="B2476" i="5"/>
  <c r="C2476" i="5"/>
  <c r="D2476" i="5"/>
  <c r="E2476" i="5"/>
  <c r="F2476" i="5"/>
  <c r="G2476" i="5"/>
  <c r="A2477" i="5"/>
  <c r="B2477" i="5"/>
  <c r="C2477" i="5"/>
  <c r="D2477" i="5"/>
  <c r="E2477" i="5"/>
  <c r="F2477" i="5"/>
  <c r="G2477" i="5"/>
  <c r="A2478" i="5"/>
  <c r="B2478" i="5"/>
  <c r="C2478" i="5"/>
  <c r="D2478" i="5"/>
  <c r="E2478" i="5"/>
  <c r="F2478" i="5"/>
  <c r="G2478" i="5"/>
  <c r="A2479" i="5"/>
  <c r="B2479" i="5"/>
  <c r="C2479" i="5"/>
  <c r="D2479" i="5"/>
  <c r="E2479" i="5"/>
  <c r="F2479" i="5"/>
  <c r="G2479" i="5"/>
  <c r="A2480" i="5"/>
  <c r="B2480" i="5"/>
  <c r="C2480" i="5"/>
  <c r="D2480" i="5"/>
  <c r="E2480" i="5"/>
  <c r="F2480" i="5"/>
  <c r="G2480" i="5"/>
  <c r="A2481" i="5"/>
  <c r="B2481" i="5"/>
  <c r="C2481" i="5"/>
  <c r="D2481" i="5"/>
  <c r="E2481" i="5"/>
  <c r="F2481" i="5"/>
  <c r="G2481" i="5"/>
  <c r="A2482" i="5"/>
  <c r="B2482" i="5"/>
  <c r="C2482" i="5"/>
  <c r="D2482" i="5"/>
  <c r="E2482" i="5"/>
  <c r="F2482" i="5"/>
  <c r="G2482" i="5"/>
  <c r="A2483" i="5"/>
  <c r="B2483" i="5"/>
  <c r="C2483" i="5"/>
  <c r="D2483" i="5"/>
  <c r="E2483" i="5"/>
  <c r="F2483" i="5"/>
  <c r="G2483" i="5"/>
  <c r="A2484" i="5"/>
  <c r="B2484" i="5"/>
  <c r="C2484" i="5"/>
  <c r="D2484" i="5"/>
  <c r="E2484" i="5"/>
  <c r="F2484" i="5"/>
  <c r="G2484" i="5"/>
  <c r="A2485" i="5"/>
  <c r="B2485" i="5"/>
  <c r="C2485" i="5"/>
  <c r="D2485" i="5"/>
  <c r="E2485" i="5"/>
  <c r="F2485" i="5"/>
  <c r="G2485" i="5"/>
  <c r="A2486" i="5"/>
  <c r="B2486" i="5"/>
  <c r="C2486" i="5"/>
  <c r="D2486" i="5"/>
  <c r="E2486" i="5"/>
  <c r="F2486" i="5"/>
  <c r="G2486" i="5"/>
  <c r="A2487" i="5"/>
  <c r="B2487" i="5"/>
  <c r="C2487" i="5"/>
  <c r="D2487" i="5"/>
  <c r="E2487" i="5"/>
  <c r="F2487" i="5"/>
  <c r="G2487" i="5"/>
  <c r="A2488" i="5"/>
  <c r="B2488" i="5"/>
  <c r="C2488" i="5"/>
  <c r="D2488" i="5"/>
  <c r="E2488" i="5"/>
  <c r="F2488" i="5"/>
  <c r="G2488" i="5"/>
  <c r="A2489" i="5"/>
  <c r="B2489" i="5"/>
  <c r="C2489" i="5"/>
  <c r="D2489" i="5"/>
  <c r="E2489" i="5"/>
  <c r="F2489" i="5"/>
  <c r="G2489" i="5"/>
  <c r="A2490" i="5"/>
  <c r="B2490" i="5"/>
  <c r="C2490" i="5"/>
  <c r="D2490" i="5"/>
  <c r="E2490" i="5"/>
  <c r="F2490" i="5"/>
  <c r="G2490" i="5"/>
  <c r="A2491" i="5"/>
  <c r="B2491" i="5"/>
  <c r="C2491" i="5"/>
  <c r="D2491" i="5"/>
  <c r="E2491" i="5"/>
  <c r="F2491" i="5"/>
  <c r="G2491" i="5"/>
  <c r="A2492" i="5"/>
  <c r="B2492" i="5"/>
  <c r="C2492" i="5"/>
  <c r="D2492" i="5"/>
  <c r="E2492" i="5"/>
  <c r="F2492" i="5"/>
  <c r="G2492" i="5"/>
  <c r="A2493" i="5"/>
  <c r="B2493" i="5"/>
  <c r="C2493" i="5"/>
  <c r="D2493" i="5"/>
  <c r="E2493" i="5"/>
  <c r="F2493" i="5"/>
  <c r="G2493" i="5"/>
  <c r="A2494" i="5"/>
  <c r="B2494" i="5"/>
  <c r="C2494" i="5"/>
  <c r="D2494" i="5"/>
  <c r="E2494" i="5"/>
  <c r="F2494" i="5"/>
  <c r="G2494" i="5"/>
  <c r="A2495" i="5"/>
  <c r="B2495" i="5"/>
  <c r="C2495" i="5"/>
  <c r="D2495" i="5"/>
  <c r="E2495" i="5"/>
  <c r="F2495" i="5"/>
  <c r="G2495" i="5"/>
  <c r="A2496" i="5"/>
  <c r="B2496" i="5"/>
  <c r="C2496" i="5"/>
  <c r="D2496" i="5"/>
  <c r="E2496" i="5"/>
  <c r="F2496" i="5"/>
  <c r="G2496" i="5"/>
  <c r="A2497" i="5"/>
  <c r="B2497" i="5"/>
  <c r="C2497" i="5"/>
  <c r="D2497" i="5"/>
  <c r="E2497" i="5"/>
  <c r="F2497" i="5"/>
  <c r="G2497" i="5"/>
  <c r="A2498" i="5"/>
  <c r="B2498" i="5"/>
  <c r="C2498" i="5"/>
  <c r="D2498" i="5"/>
  <c r="E2498" i="5"/>
  <c r="F2498" i="5"/>
  <c r="G2498" i="5"/>
  <c r="A2499" i="5"/>
  <c r="B2499" i="5"/>
  <c r="C2499" i="5"/>
  <c r="D2499" i="5"/>
  <c r="E2499" i="5"/>
  <c r="F2499" i="5"/>
  <c r="G2499" i="5"/>
  <c r="A2500" i="5"/>
  <c r="B2500" i="5"/>
  <c r="C2500" i="5"/>
  <c r="D2500" i="5"/>
  <c r="E2500" i="5"/>
  <c r="F2500" i="5"/>
  <c r="G2500" i="5"/>
  <c r="A2501" i="5"/>
  <c r="B2501" i="5"/>
  <c r="C2501" i="5"/>
  <c r="D2501" i="5"/>
  <c r="E2501" i="5"/>
  <c r="F2501" i="5"/>
  <c r="G2501" i="5"/>
  <c r="A2502" i="5"/>
  <c r="B2502" i="5"/>
  <c r="C2502" i="5"/>
  <c r="D2502" i="5"/>
  <c r="E2502" i="5"/>
  <c r="F2502" i="5"/>
  <c r="G2502" i="5"/>
  <c r="A2503" i="5"/>
  <c r="B2503" i="5"/>
  <c r="C2503" i="5"/>
  <c r="D2503" i="5"/>
  <c r="E2503" i="5"/>
  <c r="F2503" i="5"/>
  <c r="G2503" i="5"/>
  <c r="A2504" i="5"/>
  <c r="B2504" i="5"/>
  <c r="C2504" i="5"/>
  <c r="D2504" i="5"/>
  <c r="E2504" i="5"/>
  <c r="F2504" i="5"/>
  <c r="G2504" i="5"/>
  <c r="A2505" i="5"/>
  <c r="B2505" i="5"/>
  <c r="C2505" i="5"/>
  <c r="D2505" i="5"/>
  <c r="E2505" i="5"/>
  <c r="F2505" i="5"/>
  <c r="G2505" i="5"/>
  <c r="A2506" i="5"/>
  <c r="B2506" i="5"/>
  <c r="C2506" i="5"/>
  <c r="D2506" i="5"/>
  <c r="E2506" i="5"/>
  <c r="F2506" i="5"/>
  <c r="G2506" i="5"/>
  <c r="A2507" i="5"/>
  <c r="B2507" i="5"/>
  <c r="C2507" i="5"/>
  <c r="D2507" i="5"/>
  <c r="E2507" i="5"/>
  <c r="F2507" i="5"/>
  <c r="G2507" i="5"/>
  <c r="A2508" i="5"/>
  <c r="B2508" i="5"/>
  <c r="C2508" i="5"/>
  <c r="D2508" i="5"/>
  <c r="E2508" i="5"/>
  <c r="F2508" i="5"/>
  <c r="G2508" i="5"/>
  <c r="A2509" i="5"/>
  <c r="B2509" i="5"/>
  <c r="C2509" i="5"/>
  <c r="D2509" i="5"/>
  <c r="E2509" i="5"/>
  <c r="F2509" i="5"/>
  <c r="G2509" i="5"/>
  <c r="A2510" i="5"/>
  <c r="B2510" i="5"/>
  <c r="C2510" i="5"/>
  <c r="D2510" i="5"/>
  <c r="E2510" i="5"/>
  <c r="F2510" i="5"/>
  <c r="G2510" i="5"/>
  <c r="A2511" i="5"/>
  <c r="B2511" i="5"/>
  <c r="C2511" i="5"/>
  <c r="D2511" i="5"/>
  <c r="E2511" i="5"/>
  <c r="F2511" i="5"/>
  <c r="G2511" i="5"/>
  <c r="A2512" i="5"/>
  <c r="B2512" i="5"/>
  <c r="C2512" i="5"/>
  <c r="D2512" i="5"/>
  <c r="E2512" i="5"/>
  <c r="F2512" i="5"/>
  <c r="G2512" i="5"/>
  <c r="A2513" i="5"/>
  <c r="B2513" i="5"/>
  <c r="C2513" i="5"/>
  <c r="D2513" i="5"/>
  <c r="E2513" i="5"/>
  <c r="F2513" i="5"/>
  <c r="G2513" i="5"/>
  <c r="A2514" i="5"/>
  <c r="B2514" i="5"/>
  <c r="C2514" i="5"/>
  <c r="D2514" i="5"/>
  <c r="E2514" i="5"/>
  <c r="F2514" i="5"/>
  <c r="G2514" i="5"/>
  <c r="A2515" i="5"/>
  <c r="B2515" i="5"/>
  <c r="C2515" i="5"/>
  <c r="D2515" i="5"/>
  <c r="E2515" i="5"/>
  <c r="F2515" i="5"/>
  <c r="G2515" i="5"/>
  <c r="A2516" i="5"/>
  <c r="B2516" i="5"/>
  <c r="C2516" i="5"/>
  <c r="D2516" i="5"/>
  <c r="E2516" i="5"/>
  <c r="F2516" i="5"/>
  <c r="G2516" i="5"/>
  <c r="A2517" i="5"/>
  <c r="B2517" i="5"/>
  <c r="C2517" i="5"/>
  <c r="D2517" i="5"/>
  <c r="E2517" i="5"/>
  <c r="F2517" i="5"/>
  <c r="G2517" i="5"/>
  <c r="A2518" i="5"/>
  <c r="B2518" i="5"/>
  <c r="C2518" i="5"/>
  <c r="D2518" i="5"/>
  <c r="E2518" i="5"/>
  <c r="F2518" i="5"/>
  <c r="G2518" i="5"/>
  <c r="A2519" i="5"/>
  <c r="B2519" i="5"/>
  <c r="C2519" i="5"/>
  <c r="D2519" i="5"/>
  <c r="E2519" i="5"/>
  <c r="F2519" i="5"/>
  <c r="G2519" i="5"/>
  <c r="A2520" i="5"/>
  <c r="B2520" i="5"/>
  <c r="C2520" i="5"/>
  <c r="D2520" i="5"/>
  <c r="E2520" i="5"/>
  <c r="F2520" i="5"/>
  <c r="G2520" i="5"/>
  <c r="A2521" i="5"/>
  <c r="B2521" i="5"/>
  <c r="C2521" i="5"/>
  <c r="D2521" i="5"/>
  <c r="E2521" i="5"/>
  <c r="F2521" i="5"/>
  <c r="G2521" i="5"/>
  <c r="A2522" i="5"/>
  <c r="B2522" i="5"/>
  <c r="C2522" i="5"/>
  <c r="D2522" i="5"/>
  <c r="E2522" i="5"/>
  <c r="F2522" i="5"/>
  <c r="G2522" i="5"/>
  <c r="A2523" i="5"/>
  <c r="B2523" i="5"/>
  <c r="C2523" i="5"/>
  <c r="D2523" i="5"/>
  <c r="E2523" i="5"/>
  <c r="F2523" i="5"/>
  <c r="G2523" i="5"/>
  <c r="A2524" i="5"/>
  <c r="B2524" i="5"/>
  <c r="C2524" i="5"/>
  <c r="D2524" i="5"/>
  <c r="E2524" i="5"/>
  <c r="F2524" i="5"/>
  <c r="G2524" i="5"/>
  <c r="A2525" i="5"/>
  <c r="B2525" i="5"/>
  <c r="C2525" i="5"/>
  <c r="D2525" i="5"/>
  <c r="E2525" i="5"/>
  <c r="F2525" i="5"/>
  <c r="G2525" i="5"/>
  <c r="A2526" i="5"/>
  <c r="B2526" i="5"/>
  <c r="C2526" i="5"/>
  <c r="D2526" i="5"/>
  <c r="E2526" i="5"/>
  <c r="F2526" i="5"/>
  <c r="G2526" i="5"/>
  <c r="A2527" i="5"/>
  <c r="B2527" i="5"/>
  <c r="C2527" i="5"/>
  <c r="D2527" i="5"/>
  <c r="E2527" i="5"/>
  <c r="F2527" i="5"/>
  <c r="G2527" i="5"/>
  <c r="A2528" i="5"/>
  <c r="B2528" i="5"/>
  <c r="C2528" i="5"/>
  <c r="D2528" i="5"/>
  <c r="E2528" i="5"/>
  <c r="F2528" i="5"/>
  <c r="G2528" i="5"/>
  <c r="A2529" i="5"/>
  <c r="B2529" i="5"/>
  <c r="C2529" i="5"/>
  <c r="D2529" i="5"/>
  <c r="E2529" i="5"/>
  <c r="F2529" i="5"/>
  <c r="G2529" i="5"/>
  <c r="A2530" i="5"/>
  <c r="B2530" i="5"/>
  <c r="C2530" i="5"/>
  <c r="D2530" i="5"/>
  <c r="E2530" i="5"/>
  <c r="F2530" i="5"/>
  <c r="G2530" i="5"/>
  <c r="A2531" i="5"/>
  <c r="B2531" i="5"/>
  <c r="C2531" i="5"/>
  <c r="D2531" i="5"/>
  <c r="E2531" i="5"/>
  <c r="F2531" i="5"/>
  <c r="G2531" i="5"/>
  <c r="A2532" i="5"/>
  <c r="B2532" i="5"/>
  <c r="C2532" i="5"/>
  <c r="D2532" i="5"/>
  <c r="E2532" i="5"/>
  <c r="F2532" i="5"/>
  <c r="G2532" i="5"/>
  <c r="A2533" i="5"/>
  <c r="B2533" i="5"/>
  <c r="C2533" i="5"/>
  <c r="D2533" i="5"/>
  <c r="E2533" i="5"/>
  <c r="F2533" i="5"/>
  <c r="G2533" i="5"/>
  <c r="A2534" i="5"/>
  <c r="B2534" i="5"/>
  <c r="C2534" i="5"/>
  <c r="D2534" i="5"/>
  <c r="E2534" i="5"/>
  <c r="F2534" i="5"/>
  <c r="G2534" i="5"/>
  <c r="A2535" i="5"/>
  <c r="B2535" i="5"/>
  <c r="C2535" i="5"/>
  <c r="D2535" i="5"/>
  <c r="E2535" i="5"/>
  <c r="F2535" i="5"/>
  <c r="G2535" i="5"/>
  <c r="A2536" i="5"/>
  <c r="B2536" i="5"/>
  <c r="C2536" i="5"/>
  <c r="D2536" i="5"/>
  <c r="E2536" i="5"/>
  <c r="F2536" i="5"/>
  <c r="G2536" i="5"/>
  <c r="A2537" i="5"/>
  <c r="B2537" i="5"/>
  <c r="C2537" i="5"/>
  <c r="D2537" i="5"/>
  <c r="E2537" i="5"/>
  <c r="F2537" i="5"/>
  <c r="G2537" i="5"/>
  <c r="A2538" i="5"/>
  <c r="B2538" i="5"/>
  <c r="C2538" i="5"/>
  <c r="D2538" i="5"/>
  <c r="E2538" i="5"/>
  <c r="F2538" i="5"/>
  <c r="G2538" i="5"/>
  <c r="A2539" i="5"/>
  <c r="B2539" i="5"/>
  <c r="C2539" i="5"/>
  <c r="D2539" i="5"/>
  <c r="E2539" i="5"/>
  <c r="F2539" i="5"/>
  <c r="G2539" i="5"/>
  <c r="A2540" i="5"/>
  <c r="B2540" i="5"/>
  <c r="C2540" i="5"/>
  <c r="D2540" i="5"/>
  <c r="E2540" i="5"/>
  <c r="F2540" i="5"/>
  <c r="G2540" i="5"/>
  <c r="A2541" i="5"/>
  <c r="B2541" i="5"/>
  <c r="C2541" i="5"/>
  <c r="D2541" i="5"/>
  <c r="E2541" i="5"/>
  <c r="F2541" i="5"/>
  <c r="G2541" i="5"/>
  <c r="A2542" i="5"/>
  <c r="B2542" i="5"/>
  <c r="C2542" i="5"/>
  <c r="D2542" i="5"/>
  <c r="E2542" i="5"/>
  <c r="F2542" i="5"/>
  <c r="G2542" i="5"/>
  <c r="A2543" i="5"/>
  <c r="B2543" i="5"/>
  <c r="C2543" i="5"/>
  <c r="D2543" i="5"/>
  <c r="E2543" i="5"/>
  <c r="F2543" i="5"/>
  <c r="G2543" i="5"/>
  <c r="A2544" i="5"/>
  <c r="B2544" i="5"/>
  <c r="C2544" i="5"/>
  <c r="D2544" i="5"/>
  <c r="E2544" i="5"/>
  <c r="F2544" i="5"/>
  <c r="G2544" i="5"/>
  <c r="A2545" i="5"/>
  <c r="B2545" i="5"/>
  <c r="C2545" i="5"/>
  <c r="D2545" i="5"/>
  <c r="E2545" i="5"/>
  <c r="F2545" i="5"/>
  <c r="G2545" i="5"/>
  <c r="A2546" i="5"/>
  <c r="B2546" i="5"/>
  <c r="C2546" i="5"/>
  <c r="D2546" i="5"/>
  <c r="E2546" i="5"/>
  <c r="F2546" i="5"/>
  <c r="G2546" i="5"/>
  <c r="A2547" i="5"/>
  <c r="B2547" i="5"/>
  <c r="C2547" i="5"/>
  <c r="D2547" i="5"/>
  <c r="E2547" i="5"/>
  <c r="F2547" i="5"/>
  <c r="G2547" i="5"/>
  <c r="A2548" i="5"/>
  <c r="B2548" i="5"/>
  <c r="C2548" i="5"/>
  <c r="D2548" i="5"/>
  <c r="E2548" i="5"/>
  <c r="F2548" i="5"/>
  <c r="G2548" i="5"/>
  <c r="A2549" i="5"/>
  <c r="B2549" i="5"/>
  <c r="C2549" i="5"/>
  <c r="D2549" i="5"/>
  <c r="E2549" i="5"/>
  <c r="F2549" i="5"/>
  <c r="G2549" i="5"/>
  <c r="A2550" i="5"/>
  <c r="B2550" i="5"/>
  <c r="C2550" i="5"/>
  <c r="D2550" i="5"/>
  <c r="E2550" i="5"/>
  <c r="F2550" i="5"/>
  <c r="G2550" i="5"/>
  <c r="A2551" i="5"/>
  <c r="B2551" i="5"/>
  <c r="C2551" i="5"/>
  <c r="D2551" i="5"/>
  <c r="E2551" i="5"/>
  <c r="F2551" i="5"/>
  <c r="G2551" i="5"/>
  <c r="A2552" i="5"/>
  <c r="B2552" i="5"/>
  <c r="C2552" i="5"/>
  <c r="D2552" i="5"/>
  <c r="E2552" i="5"/>
  <c r="F2552" i="5"/>
  <c r="G2552" i="5"/>
  <c r="A2553" i="5"/>
  <c r="B2553" i="5"/>
  <c r="C2553" i="5"/>
  <c r="D2553" i="5"/>
  <c r="E2553" i="5"/>
  <c r="F2553" i="5"/>
  <c r="G2553" i="5"/>
  <c r="A2554" i="5"/>
  <c r="B2554" i="5"/>
  <c r="C2554" i="5"/>
  <c r="D2554" i="5"/>
  <c r="E2554" i="5"/>
  <c r="F2554" i="5"/>
  <c r="G2554" i="5"/>
  <c r="A2555" i="5"/>
  <c r="B2555" i="5"/>
  <c r="C2555" i="5"/>
  <c r="D2555" i="5"/>
  <c r="E2555" i="5"/>
  <c r="F2555" i="5"/>
  <c r="G2555" i="5"/>
  <c r="A2556" i="5"/>
  <c r="B2556" i="5"/>
  <c r="C2556" i="5"/>
  <c r="D2556" i="5"/>
  <c r="E2556" i="5"/>
  <c r="F2556" i="5"/>
  <c r="G2556" i="5"/>
  <c r="A2557" i="5"/>
  <c r="B2557" i="5"/>
  <c r="C2557" i="5"/>
  <c r="D2557" i="5"/>
  <c r="E2557" i="5"/>
  <c r="F2557" i="5"/>
  <c r="G2557" i="5"/>
  <c r="A2558" i="5"/>
  <c r="B2558" i="5"/>
  <c r="C2558" i="5"/>
  <c r="D2558" i="5"/>
  <c r="E2558" i="5"/>
  <c r="F2558" i="5"/>
  <c r="G2558" i="5"/>
  <c r="A2559" i="5"/>
  <c r="B2559" i="5"/>
  <c r="C2559" i="5"/>
  <c r="D2559" i="5"/>
  <c r="E2559" i="5"/>
  <c r="F2559" i="5"/>
  <c r="G2559" i="5"/>
  <c r="A2560" i="5"/>
  <c r="B2560" i="5"/>
  <c r="C2560" i="5"/>
  <c r="D2560" i="5"/>
  <c r="E2560" i="5"/>
  <c r="F2560" i="5"/>
  <c r="G2560" i="5"/>
  <c r="A2561" i="5"/>
  <c r="B2561" i="5"/>
  <c r="C2561" i="5"/>
  <c r="D2561" i="5"/>
  <c r="E2561" i="5"/>
  <c r="F2561" i="5"/>
  <c r="G2561" i="5"/>
  <c r="A2562" i="5"/>
  <c r="B2562" i="5"/>
  <c r="C2562" i="5"/>
  <c r="D2562" i="5"/>
  <c r="E2562" i="5"/>
  <c r="F2562" i="5"/>
  <c r="G2562" i="5"/>
  <c r="A2563" i="5"/>
  <c r="B2563" i="5"/>
  <c r="C2563" i="5"/>
  <c r="D2563" i="5"/>
  <c r="E2563" i="5"/>
  <c r="F2563" i="5"/>
  <c r="G2563" i="5"/>
  <c r="A2564" i="5"/>
  <c r="B2564" i="5"/>
  <c r="C2564" i="5"/>
  <c r="D2564" i="5"/>
  <c r="E2564" i="5"/>
  <c r="F2564" i="5"/>
  <c r="G2564" i="5"/>
  <c r="A2565" i="5"/>
  <c r="B2565" i="5"/>
  <c r="C2565" i="5"/>
  <c r="D2565" i="5"/>
  <c r="E2565" i="5"/>
  <c r="F2565" i="5"/>
  <c r="G2565" i="5"/>
  <c r="A2566" i="5"/>
  <c r="B2566" i="5"/>
  <c r="C2566" i="5"/>
  <c r="D2566" i="5"/>
  <c r="E2566" i="5"/>
  <c r="F2566" i="5"/>
  <c r="G2566" i="5"/>
  <c r="A2567" i="5"/>
  <c r="B2567" i="5"/>
  <c r="C2567" i="5"/>
  <c r="D2567" i="5"/>
  <c r="E2567" i="5"/>
  <c r="F2567" i="5"/>
  <c r="G2567" i="5"/>
  <c r="A2568" i="5"/>
  <c r="B2568" i="5"/>
  <c r="C2568" i="5"/>
  <c r="D2568" i="5"/>
  <c r="E2568" i="5"/>
  <c r="F2568" i="5"/>
  <c r="G2568" i="5"/>
  <c r="A2569" i="5"/>
  <c r="B2569" i="5"/>
  <c r="C2569" i="5"/>
  <c r="D2569" i="5"/>
  <c r="E2569" i="5"/>
  <c r="F2569" i="5"/>
  <c r="G2569" i="5"/>
  <c r="A2570" i="5"/>
  <c r="B2570" i="5"/>
  <c r="C2570" i="5"/>
  <c r="D2570" i="5"/>
  <c r="E2570" i="5"/>
  <c r="F2570" i="5"/>
  <c r="G2570" i="5"/>
  <c r="A2571" i="5"/>
  <c r="B2571" i="5"/>
  <c r="C2571" i="5"/>
  <c r="D2571" i="5"/>
  <c r="E2571" i="5"/>
  <c r="F2571" i="5"/>
  <c r="G2571" i="5"/>
  <c r="A2572" i="5"/>
  <c r="B2572" i="5"/>
  <c r="C2572" i="5"/>
  <c r="D2572" i="5"/>
  <c r="E2572" i="5"/>
  <c r="F2572" i="5"/>
  <c r="G2572" i="5"/>
  <c r="A2573" i="5"/>
  <c r="B2573" i="5"/>
  <c r="C2573" i="5"/>
  <c r="D2573" i="5"/>
  <c r="E2573" i="5"/>
  <c r="F2573" i="5"/>
  <c r="G2573" i="5"/>
  <c r="A2574" i="5"/>
  <c r="B2574" i="5"/>
  <c r="C2574" i="5"/>
  <c r="D2574" i="5"/>
  <c r="E2574" i="5"/>
  <c r="F2574" i="5"/>
  <c r="G2574" i="5"/>
  <c r="A2575" i="5"/>
  <c r="B2575" i="5"/>
  <c r="C2575" i="5"/>
  <c r="D2575" i="5"/>
  <c r="E2575" i="5"/>
  <c r="F2575" i="5"/>
  <c r="G2575" i="5"/>
  <c r="A2576" i="5"/>
  <c r="B2576" i="5"/>
  <c r="C2576" i="5"/>
  <c r="D2576" i="5"/>
  <c r="E2576" i="5"/>
  <c r="F2576" i="5"/>
  <c r="G2576" i="5"/>
  <c r="A2577" i="5"/>
  <c r="B2577" i="5"/>
  <c r="C2577" i="5"/>
  <c r="D2577" i="5"/>
  <c r="E2577" i="5"/>
  <c r="F2577" i="5"/>
  <c r="G2577" i="5"/>
  <c r="A2578" i="5"/>
  <c r="B2578" i="5"/>
  <c r="C2578" i="5"/>
  <c r="D2578" i="5"/>
  <c r="E2578" i="5"/>
  <c r="F2578" i="5"/>
  <c r="G2578" i="5"/>
  <c r="A2579" i="5"/>
  <c r="B2579" i="5"/>
  <c r="C2579" i="5"/>
  <c r="D2579" i="5"/>
  <c r="E2579" i="5"/>
  <c r="F2579" i="5"/>
  <c r="G2579" i="5"/>
  <c r="A2580" i="5"/>
  <c r="B2580" i="5"/>
  <c r="C2580" i="5"/>
  <c r="D2580" i="5"/>
  <c r="E2580" i="5"/>
  <c r="F2580" i="5"/>
  <c r="G2580" i="5"/>
  <c r="A2581" i="5"/>
  <c r="B2581" i="5"/>
  <c r="C2581" i="5"/>
  <c r="D2581" i="5"/>
  <c r="E2581" i="5"/>
  <c r="F2581" i="5"/>
  <c r="G2581" i="5"/>
  <c r="A2582" i="5"/>
  <c r="B2582" i="5"/>
  <c r="C2582" i="5"/>
  <c r="D2582" i="5"/>
  <c r="E2582" i="5"/>
  <c r="F2582" i="5"/>
  <c r="G2582" i="5"/>
  <c r="A2583" i="5"/>
  <c r="B2583" i="5"/>
  <c r="C2583" i="5"/>
  <c r="D2583" i="5"/>
  <c r="E2583" i="5"/>
  <c r="F2583" i="5"/>
  <c r="G2583" i="5"/>
  <c r="A2584" i="5"/>
  <c r="B2584" i="5"/>
  <c r="C2584" i="5"/>
  <c r="D2584" i="5"/>
  <c r="E2584" i="5"/>
  <c r="F2584" i="5"/>
  <c r="G2584" i="5"/>
  <c r="A2585" i="5"/>
  <c r="B2585" i="5"/>
  <c r="C2585" i="5"/>
  <c r="D2585" i="5"/>
  <c r="E2585" i="5"/>
  <c r="F2585" i="5"/>
  <c r="G2585" i="5"/>
  <c r="A2586" i="5"/>
  <c r="B2586" i="5"/>
  <c r="C2586" i="5"/>
  <c r="D2586" i="5"/>
  <c r="E2586" i="5"/>
  <c r="F2586" i="5"/>
  <c r="G2586" i="5"/>
  <c r="A2587" i="5"/>
  <c r="B2587" i="5"/>
  <c r="C2587" i="5"/>
  <c r="D2587" i="5"/>
  <c r="E2587" i="5"/>
  <c r="F2587" i="5"/>
  <c r="G2587" i="5"/>
  <c r="A2588" i="5"/>
  <c r="B2588" i="5"/>
  <c r="C2588" i="5"/>
  <c r="D2588" i="5"/>
  <c r="E2588" i="5"/>
  <c r="F2588" i="5"/>
  <c r="G2588" i="5"/>
  <c r="A2589" i="5"/>
  <c r="B2589" i="5"/>
  <c r="C2589" i="5"/>
  <c r="D2589" i="5"/>
  <c r="E2589" i="5"/>
  <c r="F2589" i="5"/>
  <c r="G2589" i="5"/>
  <c r="A2590" i="5"/>
  <c r="B2590" i="5"/>
  <c r="C2590" i="5"/>
  <c r="D2590" i="5"/>
  <c r="E2590" i="5"/>
  <c r="F2590" i="5"/>
  <c r="G2590" i="5"/>
  <c r="A2591" i="5"/>
  <c r="B2591" i="5"/>
  <c r="C2591" i="5"/>
  <c r="D2591" i="5"/>
  <c r="E2591" i="5"/>
  <c r="F2591" i="5"/>
  <c r="G2591" i="5"/>
  <c r="A2592" i="5"/>
  <c r="B2592" i="5"/>
  <c r="C2592" i="5"/>
  <c r="D2592" i="5"/>
  <c r="E2592" i="5"/>
  <c r="F2592" i="5"/>
  <c r="G2592" i="5"/>
  <c r="A2593" i="5"/>
  <c r="B2593" i="5"/>
  <c r="C2593" i="5"/>
  <c r="D2593" i="5"/>
  <c r="E2593" i="5"/>
  <c r="F2593" i="5"/>
  <c r="G2593" i="5"/>
  <c r="A2594" i="5"/>
  <c r="B2594" i="5"/>
  <c r="C2594" i="5"/>
  <c r="D2594" i="5"/>
  <c r="E2594" i="5"/>
  <c r="F2594" i="5"/>
  <c r="G2594" i="5"/>
  <c r="A2595" i="5"/>
  <c r="B2595" i="5"/>
  <c r="C2595" i="5"/>
  <c r="D2595" i="5"/>
  <c r="E2595" i="5"/>
  <c r="F2595" i="5"/>
  <c r="G2595" i="5"/>
  <c r="A2596" i="5"/>
  <c r="B2596" i="5"/>
  <c r="C2596" i="5"/>
  <c r="D2596" i="5"/>
  <c r="E2596" i="5"/>
  <c r="F2596" i="5"/>
  <c r="G2596" i="5"/>
  <c r="A2597" i="5"/>
  <c r="B2597" i="5"/>
  <c r="C2597" i="5"/>
  <c r="D2597" i="5"/>
  <c r="E2597" i="5"/>
  <c r="F2597" i="5"/>
  <c r="G2597" i="5"/>
  <c r="A2598" i="5"/>
  <c r="B2598" i="5"/>
  <c r="C2598" i="5"/>
  <c r="D2598" i="5"/>
  <c r="E2598" i="5"/>
  <c r="F2598" i="5"/>
  <c r="G2598" i="5"/>
  <c r="A2599" i="5"/>
  <c r="B2599" i="5"/>
  <c r="C2599" i="5"/>
  <c r="D2599" i="5"/>
  <c r="E2599" i="5"/>
  <c r="F2599" i="5"/>
  <c r="G2599" i="5"/>
  <c r="A2600" i="5"/>
  <c r="B2600" i="5"/>
  <c r="C2600" i="5"/>
  <c r="D2600" i="5"/>
  <c r="E2600" i="5"/>
  <c r="F2600" i="5"/>
  <c r="G2600" i="5"/>
  <c r="A2601" i="5"/>
  <c r="B2601" i="5"/>
  <c r="C2601" i="5"/>
  <c r="D2601" i="5"/>
  <c r="E2601" i="5"/>
  <c r="F2601" i="5"/>
  <c r="G2601" i="5"/>
  <c r="A2602" i="5"/>
  <c r="B2602" i="5"/>
  <c r="C2602" i="5"/>
  <c r="D2602" i="5"/>
  <c r="E2602" i="5"/>
  <c r="F2602" i="5"/>
  <c r="G2602" i="5"/>
  <c r="A2603" i="5"/>
  <c r="B2603" i="5"/>
  <c r="C2603" i="5"/>
  <c r="D2603" i="5"/>
  <c r="E2603" i="5"/>
  <c r="F2603" i="5"/>
  <c r="G2603" i="5"/>
  <c r="A2604" i="5"/>
  <c r="B2604" i="5"/>
  <c r="C2604" i="5"/>
  <c r="D2604" i="5"/>
  <c r="E2604" i="5"/>
  <c r="F2604" i="5"/>
  <c r="G2604" i="5"/>
  <c r="A2605" i="5"/>
  <c r="B2605" i="5"/>
  <c r="C2605" i="5"/>
  <c r="D2605" i="5"/>
  <c r="E2605" i="5"/>
  <c r="F2605" i="5"/>
  <c r="G2605" i="5"/>
  <c r="A2606" i="5"/>
  <c r="B2606" i="5"/>
  <c r="C2606" i="5"/>
  <c r="D2606" i="5"/>
  <c r="E2606" i="5"/>
  <c r="F2606" i="5"/>
  <c r="G2606" i="5"/>
  <c r="A2607" i="5"/>
  <c r="B2607" i="5"/>
  <c r="C2607" i="5"/>
  <c r="D2607" i="5"/>
  <c r="E2607" i="5"/>
  <c r="F2607" i="5"/>
  <c r="G2607" i="5"/>
  <c r="A2608" i="5"/>
  <c r="B2608" i="5"/>
  <c r="C2608" i="5"/>
  <c r="D2608" i="5"/>
  <c r="E2608" i="5"/>
  <c r="F2608" i="5"/>
  <c r="G2608" i="5"/>
  <c r="A2609" i="5"/>
  <c r="B2609" i="5"/>
  <c r="C2609" i="5"/>
  <c r="D2609" i="5"/>
  <c r="E2609" i="5"/>
  <c r="F2609" i="5"/>
  <c r="G2609" i="5"/>
  <c r="A2610" i="5"/>
  <c r="B2610" i="5"/>
  <c r="C2610" i="5"/>
  <c r="D2610" i="5"/>
  <c r="E2610" i="5"/>
  <c r="F2610" i="5"/>
  <c r="G2610" i="5"/>
  <c r="A2611" i="5"/>
  <c r="B2611" i="5"/>
  <c r="C2611" i="5"/>
  <c r="D2611" i="5"/>
  <c r="E2611" i="5"/>
  <c r="F2611" i="5"/>
  <c r="G2611" i="5"/>
  <c r="A2612" i="5"/>
  <c r="B2612" i="5"/>
  <c r="C2612" i="5"/>
  <c r="D2612" i="5"/>
  <c r="E2612" i="5"/>
  <c r="F2612" i="5"/>
  <c r="G2612" i="5"/>
  <c r="A2613" i="5"/>
  <c r="B2613" i="5"/>
  <c r="C2613" i="5"/>
  <c r="D2613" i="5"/>
  <c r="E2613" i="5"/>
  <c r="F2613" i="5"/>
  <c r="G2613" i="5"/>
  <c r="A2614" i="5"/>
  <c r="B2614" i="5"/>
  <c r="C2614" i="5"/>
  <c r="D2614" i="5"/>
  <c r="E2614" i="5"/>
  <c r="F2614" i="5"/>
  <c r="G2614" i="5"/>
  <c r="A2615" i="5"/>
  <c r="B2615" i="5"/>
  <c r="C2615" i="5"/>
  <c r="D2615" i="5"/>
  <c r="E2615" i="5"/>
  <c r="F2615" i="5"/>
  <c r="G2615" i="5"/>
  <c r="A2616" i="5"/>
  <c r="B2616" i="5"/>
  <c r="C2616" i="5"/>
  <c r="D2616" i="5"/>
  <c r="E2616" i="5"/>
  <c r="F2616" i="5"/>
  <c r="G2616" i="5"/>
  <c r="A2617" i="5"/>
  <c r="B2617" i="5"/>
  <c r="C2617" i="5"/>
  <c r="D2617" i="5"/>
  <c r="E2617" i="5"/>
  <c r="F2617" i="5"/>
  <c r="G2617" i="5"/>
  <c r="A2618" i="5"/>
  <c r="B2618" i="5"/>
  <c r="C2618" i="5"/>
  <c r="D2618" i="5"/>
  <c r="E2618" i="5"/>
  <c r="F2618" i="5"/>
  <c r="G2618" i="5"/>
  <c r="A2619" i="5"/>
  <c r="B2619" i="5"/>
  <c r="C2619" i="5"/>
  <c r="D2619" i="5"/>
  <c r="E2619" i="5"/>
  <c r="F2619" i="5"/>
  <c r="G2619" i="5"/>
  <c r="A2620" i="5"/>
  <c r="B2620" i="5"/>
  <c r="C2620" i="5"/>
  <c r="D2620" i="5"/>
  <c r="E2620" i="5"/>
  <c r="F2620" i="5"/>
  <c r="G2620" i="5"/>
  <c r="A2621" i="5"/>
  <c r="B2621" i="5"/>
  <c r="C2621" i="5"/>
  <c r="D2621" i="5"/>
  <c r="E2621" i="5"/>
  <c r="F2621" i="5"/>
  <c r="G2621" i="5"/>
  <c r="A2622" i="5"/>
  <c r="B2622" i="5"/>
  <c r="C2622" i="5"/>
  <c r="D2622" i="5"/>
  <c r="E2622" i="5"/>
  <c r="F2622" i="5"/>
  <c r="G2622" i="5"/>
  <c r="A2623" i="5"/>
  <c r="B2623" i="5"/>
  <c r="C2623" i="5"/>
  <c r="D2623" i="5"/>
  <c r="E2623" i="5"/>
  <c r="F2623" i="5"/>
  <c r="G2623" i="5"/>
  <c r="A2624" i="5"/>
  <c r="B2624" i="5"/>
  <c r="C2624" i="5"/>
  <c r="D2624" i="5"/>
  <c r="E2624" i="5"/>
  <c r="F2624" i="5"/>
  <c r="G2624" i="5"/>
  <c r="A2625" i="5"/>
  <c r="B2625" i="5"/>
  <c r="C2625" i="5"/>
  <c r="D2625" i="5"/>
  <c r="E2625" i="5"/>
  <c r="F2625" i="5"/>
  <c r="G2625" i="5"/>
  <c r="A2626" i="5"/>
  <c r="B2626" i="5"/>
  <c r="C2626" i="5"/>
  <c r="D2626" i="5"/>
  <c r="E2626" i="5"/>
  <c r="F2626" i="5"/>
  <c r="G2626" i="5"/>
  <c r="A2627" i="5"/>
  <c r="B2627" i="5"/>
  <c r="C2627" i="5"/>
  <c r="D2627" i="5"/>
  <c r="E2627" i="5"/>
  <c r="F2627" i="5"/>
  <c r="G2627" i="5"/>
  <c r="A2628" i="5"/>
  <c r="B2628" i="5"/>
  <c r="C2628" i="5"/>
  <c r="D2628" i="5"/>
  <c r="E2628" i="5"/>
  <c r="F2628" i="5"/>
  <c r="G2628" i="5"/>
  <c r="A2629" i="5"/>
  <c r="B2629" i="5"/>
  <c r="C2629" i="5"/>
  <c r="D2629" i="5"/>
  <c r="E2629" i="5"/>
  <c r="F2629" i="5"/>
  <c r="G2629" i="5"/>
  <c r="A2630" i="5"/>
  <c r="B2630" i="5"/>
  <c r="C2630" i="5"/>
  <c r="D2630" i="5"/>
  <c r="E2630" i="5"/>
  <c r="F2630" i="5"/>
  <c r="G2630" i="5"/>
  <c r="A2631" i="5"/>
  <c r="B2631" i="5"/>
  <c r="C2631" i="5"/>
  <c r="D2631" i="5"/>
  <c r="E2631" i="5"/>
  <c r="F2631" i="5"/>
  <c r="G2631" i="5"/>
  <c r="A2632" i="5"/>
  <c r="B2632" i="5"/>
  <c r="C2632" i="5"/>
  <c r="D2632" i="5"/>
  <c r="E2632" i="5"/>
  <c r="F2632" i="5"/>
  <c r="G2632" i="5"/>
  <c r="A2633" i="5"/>
  <c r="B2633" i="5"/>
  <c r="C2633" i="5"/>
  <c r="D2633" i="5"/>
  <c r="E2633" i="5"/>
  <c r="F2633" i="5"/>
  <c r="G2633" i="5"/>
  <c r="A2634" i="5"/>
  <c r="B2634" i="5"/>
  <c r="C2634" i="5"/>
  <c r="D2634" i="5"/>
  <c r="E2634" i="5"/>
  <c r="F2634" i="5"/>
  <c r="G2634" i="5"/>
  <c r="A2635" i="5"/>
  <c r="B2635" i="5"/>
  <c r="C2635" i="5"/>
  <c r="D2635" i="5"/>
  <c r="E2635" i="5"/>
  <c r="F2635" i="5"/>
  <c r="G2635" i="5"/>
  <c r="A2636" i="5"/>
  <c r="B2636" i="5"/>
  <c r="C2636" i="5"/>
  <c r="D2636" i="5"/>
  <c r="E2636" i="5"/>
  <c r="F2636" i="5"/>
  <c r="G2636" i="5"/>
  <c r="A2637" i="5"/>
  <c r="B2637" i="5"/>
  <c r="C2637" i="5"/>
  <c r="D2637" i="5"/>
  <c r="E2637" i="5"/>
  <c r="F2637" i="5"/>
  <c r="G2637" i="5"/>
  <c r="A2638" i="5"/>
  <c r="B2638" i="5"/>
  <c r="C2638" i="5"/>
  <c r="D2638" i="5"/>
  <c r="E2638" i="5"/>
  <c r="F2638" i="5"/>
  <c r="G2638" i="5"/>
  <c r="A2639" i="5"/>
  <c r="B2639" i="5"/>
  <c r="C2639" i="5"/>
  <c r="D2639" i="5"/>
  <c r="E2639" i="5"/>
  <c r="F2639" i="5"/>
  <c r="G2639" i="5"/>
  <c r="A2640" i="5"/>
  <c r="B2640" i="5"/>
  <c r="C2640" i="5"/>
  <c r="D2640" i="5"/>
  <c r="E2640" i="5"/>
  <c r="F2640" i="5"/>
  <c r="G2640" i="5"/>
  <c r="A2641" i="5"/>
  <c r="B2641" i="5"/>
  <c r="C2641" i="5"/>
  <c r="D2641" i="5"/>
  <c r="E2641" i="5"/>
  <c r="F2641" i="5"/>
  <c r="G2641" i="5"/>
  <c r="A2642" i="5"/>
  <c r="B2642" i="5"/>
  <c r="C2642" i="5"/>
  <c r="D2642" i="5"/>
  <c r="E2642" i="5"/>
  <c r="F2642" i="5"/>
  <c r="G2642" i="5"/>
  <c r="A2643" i="5"/>
  <c r="B2643" i="5"/>
  <c r="C2643" i="5"/>
  <c r="D2643" i="5"/>
  <c r="E2643" i="5"/>
  <c r="F2643" i="5"/>
  <c r="G2643" i="5"/>
  <c r="A2644" i="5"/>
  <c r="B2644" i="5"/>
  <c r="C2644" i="5"/>
  <c r="D2644" i="5"/>
  <c r="E2644" i="5"/>
  <c r="F2644" i="5"/>
  <c r="G2644" i="5"/>
  <c r="A2645" i="5"/>
  <c r="B2645" i="5"/>
  <c r="C2645" i="5"/>
  <c r="D2645" i="5"/>
  <c r="E2645" i="5"/>
  <c r="F2645" i="5"/>
  <c r="G2645" i="5"/>
  <c r="A2646" i="5"/>
  <c r="B2646" i="5"/>
  <c r="C2646" i="5"/>
  <c r="D2646" i="5"/>
  <c r="E2646" i="5"/>
  <c r="F2646" i="5"/>
  <c r="G2646" i="5"/>
  <c r="A2647" i="5"/>
  <c r="B2647" i="5"/>
  <c r="C2647" i="5"/>
  <c r="D2647" i="5"/>
  <c r="E2647" i="5"/>
  <c r="F2647" i="5"/>
  <c r="G2647" i="5"/>
  <c r="A2648" i="5"/>
  <c r="B2648" i="5"/>
  <c r="C2648" i="5"/>
  <c r="D2648" i="5"/>
  <c r="E2648" i="5"/>
  <c r="F2648" i="5"/>
  <c r="G2648" i="5"/>
  <c r="A2649" i="5"/>
  <c r="B2649" i="5"/>
  <c r="C2649" i="5"/>
  <c r="D2649" i="5"/>
  <c r="E2649" i="5"/>
  <c r="F2649" i="5"/>
  <c r="G2649" i="5"/>
  <c r="A2650" i="5"/>
  <c r="B2650" i="5"/>
  <c r="C2650" i="5"/>
  <c r="D2650" i="5"/>
  <c r="E2650" i="5"/>
  <c r="F2650" i="5"/>
  <c r="G2650" i="5"/>
  <c r="A2651" i="5"/>
  <c r="B2651" i="5"/>
  <c r="C2651" i="5"/>
  <c r="D2651" i="5"/>
  <c r="E2651" i="5"/>
  <c r="F2651" i="5"/>
  <c r="G2651" i="5"/>
  <c r="A2652" i="5"/>
  <c r="B2652" i="5"/>
  <c r="C2652" i="5"/>
  <c r="D2652" i="5"/>
  <c r="E2652" i="5"/>
  <c r="F2652" i="5"/>
  <c r="G2652" i="5"/>
  <c r="A2653" i="5"/>
  <c r="B2653" i="5"/>
  <c r="C2653" i="5"/>
  <c r="D2653" i="5"/>
  <c r="E2653" i="5"/>
  <c r="F2653" i="5"/>
  <c r="G2653" i="5"/>
  <c r="A2654" i="5"/>
  <c r="B2654" i="5"/>
  <c r="C2654" i="5"/>
  <c r="D2654" i="5"/>
  <c r="E2654" i="5"/>
  <c r="F2654" i="5"/>
  <c r="G2654" i="5"/>
  <c r="A2655" i="5"/>
  <c r="B2655" i="5"/>
  <c r="C2655" i="5"/>
  <c r="D2655" i="5"/>
  <c r="E2655" i="5"/>
  <c r="F2655" i="5"/>
  <c r="G2655" i="5"/>
  <c r="A2656" i="5"/>
  <c r="B2656" i="5"/>
  <c r="C2656" i="5"/>
  <c r="D2656" i="5"/>
  <c r="E2656" i="5"/>
  <c r="F2656" i="5"/>
  <c r="G2656" i="5"/>
  <c r="A2657" i="5"/>
  <c r="B2657" i="5"/>
  <c r="C2657" i="5"/>
  <c r="D2657" i="5"/>
  <c r="E2657" i="5"/>
  <c r="F2657" i="5"/>
  <c r="G2657" i="5"/>
  <c r="A2658" i="5"/>
  <c r="B2658" i="5"/>
  <c r="C2658" i="5"/>
  <c r="D2658" i="5"/>
  <c r="E2658" i="5"/>
  <c r="F2658" i="5"/>
  <c r="G2658" i="5"/>
  <c r="A2659" i="5"/>
  <c r="B2659" i="5"/>
  <c r="C2659" i="5"/>
  <c r="D2659" i="5"/>
  <c r="E2659" i="5"/>
  <c r="F2659" i="5"/>
  <c r="G2659" i="5"/>
  <c r="A2660" i="5"/>
  <c r="B2660" i="5"/>
  <c r="C2660" i="5"/>
  <c r="D2660" i="5"/>
  <c r="E2660" i="5"/>
  <c r="F2660" i="5"/>
  <c r="G2660" i="5"/>
  <c r="A2661" i="5"/>
  <c r="B2661" i="5"/>
  <c r="C2661" i="5"/>
  <c r="D2661" i="5"/>
  <c r="E2661" i="5"/>
  <c r="F2661" i="5"/>
  <c r="G2661" i="5"/>
  <c r="A2662" i="5"/>
  <c r="B2662" i="5"/>
  <c r="C2662" i="5"/>
  <c r="D2662" i="5"/>
  <c r="E2662" i="5"/>
  <c r="F2662" i="5"/>
  <c r="G2662" i="5"/>
  <c r="A2663" i="5"/>
  <c r="B2663" i="5"/>
  <c r="C2663" i="5"/>
  <c r="D2663" i="5"/>
  <c r="E2663" i="5"/>
  <c r="F2663" i="5"/>
  <c r="G2663" i="5"/>
  <c r="A2664" i="5"/>
  <c r="B2664" i="5"/>
  <c r="C2664" i="5"/>
  <c r="D2664" i="5"/>
  <c r="E2664" i="5"/>
  <c r="F2664" i="5"/>
  <c r="G2664" i="5"/>
  <c r="A2665" i="5"/>
  <c r="B2665" i="5"/>
  <c r="C2665" i="5"/>
  <c r="D2665" i="5"/>
  <c r="E2665" i="5"/>
  <c r="F2665" i="5"/>
  <c r="G2665" i="5"/>
  <c r="A2666" i="5"/>
  <c r="B2666" i="5"/>
  <c r="C2666" i="5"/>
  <c r="D2666" i="5"/>
  <c r="E2666" i="5"/>
  <c r="F2666" i="5"/>
  <c r="G2666" i="5"/>
  <c r="A2667" i="5"/>
  <c r="B2667" i="5"/>
  <c r="C2667" i="5"/>
  <c r="D2667" i="5"/>
  <c r="E2667" i="5"/>
  <c r="F2667" i="5"/>
  <c r="G2667" i="5"/>
  <c r="A2668" i="5"/>
  <c r="B2668" i="5"/>
  <c r="C2668" i="5"/>
  <c r="D2668" i="5"/>
  <c r="E2668" i="5"/>
  <c r="F2668" i="5"/>
  <c r="G2668" i="5"/>
  <c r="A2669" i="5"/>
  <c r="B2669" i="5"/>
  <c r="C2669" i="5"/>
  <c r="D2669" i="5"/>
  <c r="E2669" i="5"/>
  <c r="F2669" i="5"/>
  <c r="G2669" i="5"/>
  <c r="A2670" i="5"/>
  <c r="B2670" i="5"/>
  <c r="C2670" i="5"/>
  <c r="D2670" i="5"/>
  <c r="E2670" i="5"/>
  <c r="F2670" i="5"/>
  <c r="G2670" i="5"/>
  <c r="A2671" i="5"/>
  <c r="B2671" i="5"/>
  <c r="C2671" i="5"/>
  <c r="D2671" i="5"/>
  <c r="E2671" i="5"/>
  <c r="F2671" i="5"/>
  <c r="G2671" i="5"/>
  <c r="A2672" i="5"/>
  <c r="B2672" i="5"/>
  <c r="C2672" i="5"/>
  <c r="D2672" i="5"/>
  <c r="E2672" i="5"/>
  <c r="F2672" i="5"/>
  <c r="G2672" i="5"/>
  <c r="A2673" i="5"/>
  <c r="B2673" i="5"/>
  <c r="C2673" i="5"/>
  <c r="D2673" i="5"/>
  <c r="E2673" i="5"/>
  <c r="F2673" i="5"/>
  <c r="G2673" i="5"/>
  <c r="A2674" i="5"/>
  <c r="B2674" i="5"/>
  <c r="C2674" i="5"/>
  <c r="D2674" i="5"/>
  <c r="E2674" i="5"/>
  <c r="F2674" i="5"/>
  <c r="G2674" i="5"/>
  <c r="A2675" i="5"/>
  <c r="B2675" i="5"/>
  <c r="C2675" i="5"/>
  <c r="D2675" i="5"/>
  <c r="E2675" i="5"/>
  <c r="F2675" i="5"/>
  <c r="G2675" i="5"/>
  <c r="A2676" i="5"/>
  <c r="B2676" i="5"/>
  <c r="C2676" i="5"/>
  <c r="D2676" i="5"/>
  <c r="E2676" i="5"/>
  <c r="F2676" i="5"/>
  <c r="G2676" i="5"/>
  <c r="A2677" i="5"/>
  <c r="B2677" i="5"/>
  <c r="C2677" i="5"/>
  <c r="D2677" i="5"/>
  <c r="E2677" i="5"/>
  <c r="F2677" i="5"/>
  <c r="G2677" i="5"/>
  <c r="A2678" i="5"/>
  <c r="B2678" i="5"/>
  <c r="C2678" i="5"/>
  <c r="D2678" i="5"/>
  <c r="E2678" i="5"/>
  <c r="F2678" i="5"/>
  <c r="G2678" i="5"/>
  <c r="A2679" i="5"/>
  <c r="B2679" i="5"/>
  <c r="C2679" i="5"/>
  <c r="D2679" i="5"/>
  <c r="E2679" i="5"/>
  <c r="F2679" i="5"/>
  <c r="G2679" i="5"/>
  <c r="A2680" i="5"/>
  <c r="B2680" i="5"/>
  <c r="C2680" i="5"/>
  <c r="D2680" i="5"/>
  <c r="E2680" i="5"/>
  <c r="F2680" i="5"/>
  <c r="G2680" i="5"/>
  <c r="A2681" i="5"/>
  <c r="B2681" i="5"/>
  <c r="C2681" i="5"/>
  <c r="D2681" i="5"/>
  <c r="E2681" i="5"/>
  <c r="F2681" i="5"/>
  <c r="G2681" i="5"/>
  <c r="A2682" i="5"/>
  <c r="B2682" i="5"/>
  <c r="C2682" i="5"/>
  <c r="D2682" i="5"/>
  <c r="E2682" i="5"/>
  <c r="F2682" i="5"/>
  <c r="G2682" i="5"/>
  <c r="A2683" i="5"/>
  <c r="B2683" i="5"/>
  <c r="C2683" i="5"/>
  <c r="D2683" i="5"/>
  <c r="E2683" i="5"/>
  <c r="F2683" i="5"/>
  <c r="G2683" i="5"/>
  <c r="A2684" i="5"/>
  <c r="B2684" i="5"/>
  <c r="C2684" i="5"/>
  <c r="D2684" i="5"/>
  <c r="E2684" i="5"/>
  <c r="F2684" i="5"/>
  <c r="G2684" i="5"/>
  <c r="A2685" i="5"/>
  <c r="B2685" i="5"/>
  <c r="C2685" i="5"/>
  <c r="D2685" i="5"/>
  <c r="E2685" i="5"/>
  <c r="F2685" i="5"/>
  <c r="G2685" i="5"/>
  <c r="A2686" i="5"/>
  <c r="B2686" i="5"/>
  <c r="C2686" i="5"/>
  <c r="D2686" i="5"/>
  <c r="E2686" i="5"/>
  <c r="F2686" i="5"/>
  <c r="G2686" i="5"/>
  <c r="A2687" i="5"/>
  <c r="B2687" i="5"/>
  <c r="C2687" i="5"/>
  <c r="D2687" i="5"/>
  <c r="E2687" i="5"/>
  <c r="F2687" i="5"/>
  <c r="G2687" i="5"/>
  <c r="A2688" i="5"/>
  <c r="B2688" i="5"/>
  <c r="C2688" i="5"/>
  <c r="D2688" i="5"/>
  <c r="E2688" i="5"/>
  <c r="F2688" i="5"/>
  <c r="G2688" i="5"/>
  <c r="A2689" i="5"/>
  <c r="B2689" i="5"/>
  <c r="C2689" i="5"/>
  <c r="D2689" i="5"/>
  <c r="E2689" i="5"/>
  <c r="F2689" i="5"/>
  <c r="G2689" i="5"/>
  <c r="A2690" i="5"/>
  <c r="B2690" i="5"/>
  <c r="C2690" i="5"/>
  <c r="D2690" i="5"/>
  <c r="E2690" i="5"/>
  <c r="F2690" i="5"/>
  <c r="G2690" i="5"/>
  <c r="A2691" i="5"/>
  <c r="B2691" i="5"/>
  <c r="C2691" i="5"/>
  <c r="D2691" i="5"/>
  <c r="E2691" i="5"/>
  <c r="F2691" i="5"/>
  <c r="G2691" i="5"/>
  <c r="A2692" i="5"/>
  <c r="B2692" i="5"/>
  <c r="C2692" i="5"/>
  <c r="D2692" i="5"/>
  <c r="E2692" i="5"/>
  <c r="F2692" i="5"/>
  <c r="G2692" i="5"/>
  <c r="A2693" i="5"/>
  <c r="B2693" i="5"/>
  <c r="C2693" i="5"/>
  <c r="D2693" i="5"/>
  <c r="E2693" i="5"/>
  <c r="F2693" i="5"/>
  <c r="G2693" i="5"/>
  <c r="A2694" i="5"/>
  <c r="B2694" i="5"/>
  <c r="C2694" i="5"/>
  <c r="D2694" i="5"/>
  <c r="E2694" i="5"/>
  <c r="F2694" i="5"/>
  <c r="G2694" i="5"/>
  <c r="A2695" i="5"/>
  <c r="B2695" i="5"/>
  <c r="C2695" i="5"/>
  <c r="D2695" i="5"/>
  <c r="E2695" i="5"/>
  <c r="F2695" i="5"/>
  <c r="G2695" i="5"/>
  <c r="A2696" i="5"/>
  <c r="B2696" i="5"/>
  <c r="C2696" i="5"/>
  <c r="D2696" i="5"/>
  <c r="E2696" i="5"/>
  <c r="F2696" i="5"/>
  <c r="G2696" i="5"/>
  <c r="A2697" i="5"/>
  <c r="B2697" i="5"/>
  <c r="C2697" i="5"/>
  <c r="D2697" i="5"/>
  <c r="E2697" i="5"/>
  <c r="F2697" i="5"/>
  <c r="G2697" i="5"/>
  <c r="A2698" i="5"/>
  <c r="B2698" i="5"/>
  <c r="C2698" i="5"/>
  <c r="D2698" i="5"/>
  <c r="E2698" i="5"/>
  <c r="F2698" i="5"/>
  <c r="G2698" i="5"/>
  <c r="A2699" i="5"/>
  <c r="B2699" i="5"/>
  <c r="C2699" i="5"/>
  <c r="D2699" i="5"/>
  <c r="E2699" i="5"/>
  <c r="F2699" i="5"/>
  <c r="G2699" i="5"/>
  <c r="A2700" i="5"/>
  <c r="B2700" i="5"/>
  <c r="C2700" i="5"/>
  <c r="D2700" i="5"/>
  <c r="E2700" i="5"/>
  <c r="F2700" i="5"/>
  <c r="G2700" i="5"/>
  <c r="A2701" i="5"/>
  <c r="B2701" i="5"/>
  <c r="C2701" i="5"/>
  <c r="D2701" i="5"/>
  <c r="E2701" i="5"/>
  <c r="F2701" i="5"/>
  <c r="G2701" i="5"/>
  <c r="A2702" i="5"/>
  <c r="B2702" i="5"/>
  <c r="C2702" i="5"/>
  <c r="D2702" i="5"/>
  <c r="E2702" i="5"/>
  <c r="F2702" i="5"/>
  <c r="G2702" i="5"/>
  <c r="A2703" i="5"/>
  <c r="B2703" i="5"/>
  <c r="C2703" i="5"/>
  <c r="D2703" i="5"/>
  <c r="E2703" i="5"/>
  <c r="F2703" i="5"/>
  <c r="G2703" i="5"/>
  <c r="A2704" i="5"/>
  <c r="B2704" i="5"/>
  <c r="C2704" i="5"/>
  <c r="D2704" i="5"/>
  <c r="E2704" i="5"/>
  <c r="F2704" i="5"/>
  <c r="G2704" i="5"/>
  <c r="A2705" i="5"/>
  <c r="B2705" i="5"/>
  <c r="C2705" i="5"/>
  <c r="D2705" i="5"/>
  <c r="E2705" i="5"/>
  <c r="F2705" i="5"/>
  <c r="G2705" i="5"/>
  <c r="A2706" i="5"/>
  <c r="B2706" i="5"/>
  <c r="C2706" i="5"/>
  <c r="D2706" i="5"/>
  <c r="E2706" i="5"/>
  <c r="F2706" i="5"/>
  <c r="G2706" i="5"/>
  <c r="A2707" i="5"/>
  <c r="B2707" i="5"/>
  <c r="C2707" i="5"/>
  <c r="D2707" i="5"/>
  <c r="E2707" i="5"/>
  <c r="F2707" i="5"/>
  <c r="G2707" i="5"/>
  <c r="A2708" i="5"/>
  <c r="B2708" i="5"/>
  <c r="C2708" i="5"/>
  <c r="D2708" i="5"/>
  <c r="E2708" i="5"/>
  <c r="F2708" i="5"/>
  <c r="G2708" i="5"/>
  <c r="A2709" i="5"/>
  <c r="B2709" i="5"/>
  <c r="C2709" i="5"/>
  <c r="D2709" i="5"/>
  <c r="E2709" i="5"/>
  <c r="F2709" i="5"/>
  <c r="G2709" i="5"/>
  <c r="A2710" i="5"/>
  <c r="B2710" i="5"/>
  <c r="C2710" i="5"/>
  <c r="D2710" i="5"/>
  <c r="E2710" i="5"/>
  <c r="F2710" i="5"/>
  <c r="G2710" i="5"/>
  <c r="A2711" i="5"/>
  <c r="B2711" i="5"/>
  <c r="C2711" i="5"/>
  <c r="D2711" i="5"/>
  <c r="E2711" i="5"/>
  <c r="F2711" i="5"/>
  <c r="G2711" i="5"/>
  <c r="A2712" i="5"/>
  <c r="B2712" i="5"/>
  <c r="C2712" i="5"/>
  <c r="D2712" i="5"/>
  <c r="E2712" i="5"/>
  <c r="F2712" i="5"/>
  <c r="G2712" i="5"/>
  <c r="A2713" i="5"/>
  <c r="B2713" i="5"/>
  <c r="C2713" i="5"/>
  <c r="D2713" i="5"/>
  <c r="E2713" i="5"/>
  <c r="F2713" i="5"/>
  <c r="G2713" i="5"/>
  <c r="A2714" i="5"/>
  <c r="B2714" i="5"/>
  <c r="C2714" i="5"/>
  <c r="D2714" i="5"/>
  <c r="E2714" i="5"/>
  <c r="F2714" i="5"/>
  <c r="G2714" i="5"/>
  <c r="A2715" i="5"/>
  <c r="B2715" i="5"/>
  <c r="C2715" i="5"/>
  <c r="D2715" i="5"/>
  <c r="E2715" i="5"/>
  <c r="F2715" i="5"/>
  <c r="G2715" i="5"/>
  <c r="A2716" i="5"/>
  <c r="B2716" i="5"/>
  <c r="C2716" i="5"/>
  <c r="D2716" i="5"/>
  <c r="E2716" i="5"/>
  <c r="F2716" i="5"/>
  <c r="G2716" i="5"/>
  <c r="A2717" i="5"/>
  <c r="B2717" i="5"/>
  <c r="C2717" i="5"/>
  <c r="D2717" i="5"/>
  <c r="E2717" i="5"/>
  <c r="F2717" i="5"/>
  <c r="G2717" i="5"/>
  <c r="A2718" i="5"/>
  <c r="B2718" i="5"/>
  <c r="C2718" i="5"/>
  <c r="D2718" i="5"/>
  <c r="E2718" i="5"/>
  <c r="F2718" i="5"/>
  <c r="G2718" i="5"/>
  <c r="A2719" i="5"/>
  <c r="B2719" i="5"/>
  <c r="C2719" i="5"/>
  <c r="D2719" i="5"/>
  <c r="E2719" i="5"/>
  <c r="F2719" i="5"/>
  <c r="G2719" i="5"/>
  <c r="A2720" i="5"/>
  <c r="B2720" i="5"/>
  <c r="C2720" i="5"/>
  <c r="D2720" i="5"/>
  <c r="E2720" i="5"/>
  <c r="F2720" i="5"/>
  <c r="G2720" i="5"/>
  <c r="A2721" i="5"/>
  <c r="B2721" i="5"/>
  <c r="C2721" i="5"/>
  <c r="D2721" i="5"/>
  <c r="E2721" i="5"/>
  <c r="F2721" i="5"/>
  <c r="G2721" i="5"/>
  <c r="A2722" i="5"/>
  <c r="B2722" i="5"/>
  <c r="C2722" i="5"/>
  <c r="D2722" i="5"/>
  <c r="E2722" i="5"/>
  <c r="F2722" i="5"/>
  <c r="G2722" i="5"/>
  <c r="A2723" i="5"/>
  <c r="B2723" i="5"/>
  <c r="C2723" i="5"/>
  <c r="D2723" i="5"/>
  <c r="E2723" i="5"/>
  <c r="F2723" i="5"/>
  <c r="G2723" i="5"/>
  <c r="A2724" i="5"/>
  <c r="B2724" i="5"/>
  <c r="C2724" i="5"/>
  <c r="D2724" i="5"/>
  <c r="E2724" i="5"/>
  <c r="F2724" i="5"/>
  <c r="G2724" i="5"/>
  <c r="A2725" i="5"/>
  <c r="B2725" i="5"/>
  <c r="C2725" i="5"/>
  <c r="D2725" i="5"/>
  <c r="E2725" i="5"/>
  <c r="F2725" i="5"/>
  <c r="G2725" i="5"/>
  <c r="A2726" i="5"/>
  <c r="B2726" i="5"/>
  <c r="C2726" i="5"/>
  <c r="D2726" i="5"/>
  <c r="E2726" i="5"/>
  <c r="F2726" i="5"/>
  <c r="G2726" i="5"/>
  <c r="A2727" i="5"/>
  <c r="B2727" i="5"/>
  <c r="C2727" i="5"/>
  <c r="D2727" i="5"/>
  <c r="E2727" i="5"/>
  <c r="F2727" i="5"/>
  <c r="G2727" i="5"/>
  <c r="A2728" i="5"/>
  <c r="B2728" i="5"/>
  <c r="C2728" i="5"/>
  <c r="D2728" i="5"/>
  <c r="E2728" i="5"/>
  <c r="F2728" i="5"/>
  <c r="G2728" i="5"/>
  <c r="A2729" i="5"/>
  <c r="B2729" i="5"/>
  <c r="C2729" i="5"/>
  <c r="D2729" i="5"/>
  <c r="E2729" i="5"/>
  <c r="F2729" i="5"/>
  <c r="G2729" i="5"/>
  <c r="A2730" i="5"/>
  <c r="B2730" i="5"/>
  <c r="C2730" i="5"/>
  <c r="D2730" i="5"/>
  <c r="E2730" i="5"/>
  <c r="F2730" i="5"/>
  <c r="G2730" i="5"/>
  <c r="A2731" i="5"/>
  <c r="B2731" i="5"/>
  <c r="C2731" i="5"/>
  <c r="D2731" i="5"/>
  <c r="E2731" i="5"/>
  <c r="F2731" i="5"/>
  <c r="G2731" i="5"/>
  <c r="A2732" i="5"/>
  <c r="B2732" i="5"/>
  <c r="C2732" i="5"/>
  <c r="D2732" i="5"/>
  <c r="E2732" i="5"/>
  <c r="F2732" i="5"/>
  <c r="G2732" i="5"/>
  <c r="A2733" i="5"/>
  <c r="B2733" i="5"/>
  <c r="C2733" i="5"/>
  <c r="D2733" i="5"/>
  <c r="E2733" i="5"/>
  <c r="F2733" i="5"/>
  <c r="G2733" i="5"/>
  <c r="A2734" i="5"/>
  <c r="B2734" i="5"/>
  <c r="C2734" i="5"/>
  <c r="D2734" i="5"/>
  <c r="E2734" i="5"/>
  <c r="F2734" i="5"/>
  <c r="G2734" i="5"/>
  <c r="A2735" i="5"/>
  <c r="B2735" i="5"/>
  <c r="C2735" i="5"/>
  <c r="D2735" i="5"/>
  <c r="E2735" i="5"/>
  <c r="F2735" i="5"/>
  <c r="G2735" i="5"/>
  <c r="A2736" i="5"/>
  <c r="B2736" i="5"/>
  <c r="C2736" i="5"/>
  <c r="D2736" i="5"/>
  <c r="E2736" i="5"/>
  <c r="F2736" i="5"/>
  <c r="G2736" i="5"/>
  <c r="A2737" i="5"/>
  <c r="B2737" i="5"/>
  <c r="C2737" i="5"/>
  <c r="D2737" i="5"/>
  <c r="E2737" i="5"/>
  <c r="F2737" i="5"/>
  <c r="G2737" i="5"/>
  <c r="A2738" i="5"/>
  <c r="B2738" i="5"/>
  <c r="C2738" i="5"/>
  <c r="D2738" i="5"/>
  <c r="E2738" i="5"/>
  <c r="F2738" i="5"/>
  <c r="G2738" i="5"/>
  <c r="A2739" i="5"/>
  <c r="B2739" i="5"/>
  <c r="C2739" i="5"/>
  <c r="D2739" i="5"/>
  <c r="E2739" i="5"/>
  <c r="F2739" i="5"/>
  <c r="G2739" i="5"/>
  <c r="A2740" i="5"/>
  <c r="B2740" i="5"/>
  <c r="C2740" i="5"/>
  <c r="D2740" i="5"/>
  <c r="E2740" i="5"/>
  <c r="F2740" i="5"/>
  <c r="G2740" i="5"/>
  <c r="A2741" i="5"/>
  <c r="B2741" i="5"/>
  <c r="C2741" i="5"/>
  <c r="D2741" i="5"/>
  <c r="E2741" i="5"/>
  <c r="F2741" i="5"/>
  <c r="G2741" i="5"/>
  <c r="A2742" i="5"/>
  <c r="B2742" i="5"/>
  <c r="C2742" i="5"/>
  <c r="D2742" i="5"/>
  <c r="E2742" i="5"/>
  <c r="F2742" i="5"/>
  <c r="G2742" i="5"/>
  <c r="A2743" i="5"/>
  <c r="B2743" i="5"/>
  <c r="C2743" i="5"/>
  <c r="D2743" i="5"/>
  <c r="E2743" i="5"/>
  <c r="F2743" i="5"/>
  <c r="G2743" i="5"/>
  <c r="A2744" i="5"/>
  <c r="B2744" i="5"/>
  <c r="C2744" i="5"/>
  <c r="D2744" i="5"/>
  <c r="E2744" i="5"/>
  <c r="F2744" i="5"/>
  <c r="G2744" i="5"/>
  <c r="A2745" i="5"/>
  <c r="B2745" i="5"/>
  <c r="C2745" i="5"/>
  <c r="D2745" i="5"/>
  <c r="E2745" i="5"/>
  <c r="F2745" i="5"/>
  <c r="G2745" i="5"/>
  <c r="A2746" i="5"/>
  <c r="B2746" i="5"/>
  <c r="C2746" i="5"/>
  <c r="D2746" i="5"/>
  <c r="E2746" i="5"/>
  <c r="F2746" i="5"/>
  <c r="G2746" i="5"/>
  <c r="A2747" i="5"/>
  <c r="B2747" i="5"/>
  <c r="C2747" i="5"/>
  <c r="D2747" i="5"/>
  <c r="E2747" i="5"/>
  <c r="F2747" i="5"/>
  <c r="G2747" i="5"/>
  <c r="A2748" i="5"/>
  <c r="B2748" i="5"/>
  <c r="C2748" i="5"/>
  <c r="D2748" i="5"/>
  <c r="E2748" i="5"/>
  <c r="F2748" i="5"/>
  <c r="G2748" i="5"/>
  <c r="A2749" i="5"/>
  <c r="B2749" i="5"/>
  <c r="C2749" i="5"/>
  <c r="D2749" i="5"/>
  <c r="E2749" i="5"/>
  <c r="F2749" i="5"/>
  <c r="G2749" i="5"/>
  <c r="A2750" i="5"/>
  <c r="B2750" i="5"/>
  <c r="C2750" i="5"/>
  <c r="D2750" i="5"/>
  <c r="E2750" i="5"/>
  <c r="F2750" i="5"/>
  <c r="G2750" i="5"/>
  <c r="A2751" i="5"/>
  <c r="B2751" i="5"/>
  <c r="C2751" i="5"/>
  <c r="D2751" i="5"/>
  <c r="E2751" i="5"/>
  <c r="F2751" i="5"/>
  <c r="G2751" i="5"/>
  <c r="A2752" i="5"/>
  <c r="B2752" i="5"/>
  <c r="C2752" i="5"/>
  <c r="D2752" i="5"/>
  <c r="E2752" i="5"/>
  <c r="F2752" i="5"/>
  <c r="G2752" i="5"/>
  <c r="A2753" i="5"/>
  <c r="B2753" i="5"/>
  <c r="C2753" i="5"/>
  <c r="D2753" i="5"/>
  <c r="E2753" i="5"/>
  <c r="F2753" i="5"/>
  <c r="G2753" i="5"/>
  <c r="A2754" i="5"/>
  <c r="B2754" i="5"/>
  <c r="C2754" i="5"/>
  <c r="D2754" i="5"/>
  <c r="E2754" i="5"/>
  <c r="F2754" i="5"/>
  <c r="G2754" i="5"/>
  <c r="A2755" i="5"/>
  <c r="B2755" i="5"/>
  <c r="C2755" i="5"/>
  <c r="D2755" i="5"/>
  <c r="E2755" i="5"/>
  <c r="F2755" i="5"/>
  <c r="G2755" i="5"/>
  <c r="A2756" i="5"/>
  <c r="B2756" i="5"/>
  <c r="C2756" i="5"/>
  <c r="D2756" i="5"/>
  <c r="E2756" i="5"/>
  <c r="F2756" i="5"/>
  <c r="G2756" i="5"/>
  <c r="A2757" i="5"/>
  <c r="B2757" i="5"/>
  <c r="C2757" i="5"/>
  <c r="D2757" i="5"/>
  <c r="E2757" i="5"/>
  <c r="F2757" i="5"/>
  <c r="G2757" i="5"/>
  <c r="A2758" i="5"/>
  <c r="B2758" i="5"/>
  <c r="C2758" i="5"/>
  <c r="D2758" i="5"/>
  <c r="E2758" i="5"/>
  <c r="F2758" i="5"/>
  <c r="G2758" i="5"/>
  <c r="A2759" i="5"/>
  <c r="B2759" i="5"/>
  <c r="C2759" i="5"/>
  <c r="D2759" i="5"/>
  <c r="E2759" i="5"/>
  <c r="F2759" i="5"/>
  <c r="G2759" i="5"/>
  <c r="A2760" i="5"/>
  <c r="B2760" i="5"/>
  <c r="C2760" i="5"/>
  <c r="D2760" i="5"/>
  <c r="E2760" i="5"/>
  <c r="F2760" i="5"/>
  <c r="G2760" i="5"/>
  <c r="A2761" i="5"/>
  <c r="B2761" i="5"/>
  <c r="C2761" i="5"/>
  <c r="D2761" i="5"/>
  <c r="E2761" i="5"/>
  <c r="F2761" i="5"/>
  <c r="G2761" i="5"/>
  <c r="A2762" i="5"/>
  <c r="B2762" i="5"/>
  <c r="C2762" i="5"/>
  <c r="D2762" i="5"/>
  <c r="E2762" i="5"/>
  <c r="F2762" i="5"/>
  <c r="G2762" i="5"/>
  <c r="A2763" i="5"/>
  <c r="B2763" i="5"/>
  <c r="C2763" i="5"/>
  <c r="D2763" i="5"/>
  <c r="E2763" i="5"/>
  <c r="F2763" i="5"/>
  <c r="G2763" i="5"/>
  <c r="A2764" i="5"/>
  <c r="B2764" i="5"/>
  <c r="C2764" i="5"/>
  <c r="D2764" i="5"/>
  <c r="E2764" i="5"/>
  <c r="F2764" i="5"/>
  <c r="G2764" i="5"/>
  <c r="A2765" i="5"/>
  <c r="B2765" i="5"/>
  <c r="C2765" i="5"/>
  <c r="D2765" i="5"/>
  <c r="E2765" i="5"/>
  <c r="F2765" i="5"/>
  <c r="G2765" i="5"/>
  <c r="A2766" i="5"/>
  <c r="B2766" i="5"/>
  <c r="C2766" i="5"/>
  <c r="D2766" i="5"/>
  <c r="E2766" i="5"/>
  <c r="F2766" i="5"/>
  <c r="G2766" i="5"/>
  <c r="A2767" i="5"/>
  <c r="B2767" i="5"/>
  <c r="C2767" i="5"/>
  <c r="D2767" i="5"/>
  <c r="E2767" i="5"/>
  <c r="F2767" i="5"/>
  <c r="G2767" i="5"/>
  <c r="A2768" i="5"/>
  <c r="B2768" i="5"/>
  <c r="C2768" i="5"/>
  <c r="D2768" i="5"/>
  <c r="E2768" i="5"/>
  <c r="F2768" i="5"/>
  <c r="G2768" i="5"/>
  <c r="A2769" i="5"/>
  <c r="B2769" i="5"/>
  <c r="C2769" i="5"/>
  <c r="D2769" i="5"/>
  <c r="E2769" i="5"/>
  <c r="F2769" i="5"/>
  <c r="G2769" i="5"/>
  <c r="A2770" i="5"/>
  <c r="B2770" i="5"/>
  <c r="C2770" i="5"/>
  <c r="D2770" i="5"/>
  <c r="E2770" i="5"/>
  <c r="F2770" i="5"/>
  <c r="G2770" i="5"/>
  <c r="A2771" i="5"/>
  <c r="B2771" i="5"/>
  <c r="C2771" i="5"/>
  <c r="D2771" i="5"/>
  <c r="E2771" i="5"/>
  <c r="F2771" i="5"/>
  <c r="G2771" i="5"/>
  <c r="A2772" i="5"/>
  <c r="B2772" i="5"/>
  <c r="C2772" i="5"/>
  <c r="D2772" i="5"/>
  <c r="E2772" i="5"/>
  <c r="F2772" i="5"/>
  <c r="G2772" i="5"/>
  <c r="A2773" i="5"/>
  <c r="B2773" i="5"/>
  <c r="C2773" i="5"/>
  <c r="D2773" i="5"/>
  <c r="E2773" i="5"/>
  <c r="F2773" i="5"/>
  <c r="G2773" i="5"/>
  <c r="A2774" i="5"/>
  <c r="B2774" i="5"/>
  <c r="C2774" i="5"/>
  <c r="D2774" i="5"/>
  <c r="E2774" i="5"/>
  <c r="F2774" i="5"/>
  <c r="G2774" i="5"/>
  <c r="A2775" i="5"/>
  <c r="B2775" i="5"/>
  <c r="C2775" i="5"/>
  <c r="D2775" i="5"/>
  <c r="E2775" i="5"/>
  <c r="F2775" i="5"/>
  <c r="G2775" i="5"/>
  <c r="A2776" i="5"/>
  <c r="B2776" i="5"/>
  <c r="C2776" i="5"/>
  <c r="D2776" i="5"/>
  <c r="E2776" i="5"/>
  <c r="F2776" i="5"/>
  <c r="G2776" i="5"/>
  <c r="A2777" i="5"/>
  <c r="B2777" i="5"/>
  <c r="C2777" i="5"/>
  <c r="D2777" i="5"/>
  <c r="E2777" i="5"/>
  <c r="F2777" i="5"/>
  <c r="G2777" i="5"/>
  <c r="A2778" i="5"/>
  <c r="B2778" i="5"/>
  <c r="C2778" i="5"/>
  <c r="D2778" i="5"/>
  <c r="E2778" i="5"/>
  <c r="F2778" i="5"/>
  <c r="G2778" i="5"/>
  <c r="A2779" i="5"/>
  <c r="B2779" i="5"/>
  <c r="C2779" i="5"/>
  <c r="D2779" i="5"/>
  <c r="E2779" i="5"/>
  <c r="F2779" i="5"/>
  <c r="G2779" i="5"/>
  <c r="A2780" i="5"/>
  <c r="B2780" i="5"/>
  <c r="C2780" i="5"/>
  <c r="D2780" i="5"/>
  <c r="E2780" i="5"/>
  <c r="F2780" i="5"/>
  <c r="G2780" i="5"/>
  <c r="A2781" i="5"/>
  <c r="B2781" i="5"/>
  <c r="C2781" i="5"/>
  <c r="D2781" i="5"/>
  <c r="E2781" i="5"/>
  <c r="F2781" i="5"/>
  <c r="G2781" i="5"/>
  <c r="A2782" i="5"/>
  <c r="B2782" i="5"/>
  <c r="C2782" i="5"/>
  <c r="D2782" i="5"/>
  <c r="E2782" i="5"/>
  <c r="F2782" i="5"/>
  <c r="G2782" i="5"/>
  <c r="A2783" i="5"/>
  <c r="B2783" i="5"/>
  <c r="C2783" i="5"/>
  <c r="D2783" i="5"/>
  <c r="E2783" i="5"/>
  <c r="F2783" i="5"/>
  <c r="G2783" i="5"/>
  <c r="A2784" i="5"/>
  <c r="B2784" i="5"/>
  <c r="C2784" i="5"/>
  <c r="D2784" i="5"/>
  <c r="E2784" i="5"/>
  <c r="F2784" i="5"/>
  <c r="G2784" i="5"/>
  <c r="A2785" i="5"/>
  <c r="B2785" i="5"/>
  <c r="C2785" i="5"/>
  <c r="D2785" i="5"/>
  <c r="E2785" i="5"/>
  <c r="F2785" i="5"/>
  <c r="G2785" i="5"/>
  <c r="A2786" i="5"/>
  <c r="B2786" i="5"/>
  <c r="C2786" i="5"/>
  <c r="D2786" i="5"/>
  <c r="E2786" i="5"/>
  <c r="F2786" i="5"/>
  <c r="G2786" i="5"/>
  <c r="A2787" i="5"/>
  <c r="B2787" i="5"/>
  <c r="C2787" i="5"/>
  <c r="D2787" i="5"/>
  <c r="E2787" i="5"/>
  <c r="F2787" i="5"/>
  <c r="G2787" i="5"/>
  <c r="A2788" i="5"/>
  <c r="B2788" i="5"/>
  <c r="C2788" i="5"/>
  <c r="D2788" i="5"/>
  <c r="E2788" i="5"/>
  <c r="F2788" i="5"/>
  <c r="G2788" i="5"/>
  <c r="A2789" i="5"/>
  <c r="B2789" i="5"/>
  <c r="C2789" i="5"/>
  <c r="D2789" i="5"/>
  <c r="E2789" i="5"/>
  <c r="F2789" i="5"/>
  <c r="G2789" i="5"/>
  <c r="A2790" i="5"/>
  <c r="B2790" i="5"/>
  <c r="C2790" i="5"/>
  <c r="D2790" i="5"/>
  <c r="E2790" i="5"/>
  <c r="F2790" i="5"/>
  <c r="G2790" i="5"/>
  <c r="A2791" i="5"/>
  <c r="B2791" i="5"/>
  <c r="C2791" i="5"/>
  <c r="D2791" i="5"/>
  <c r="E2791" i="5"/>
  <c r="F2791" i="5"/>
  <c r="G2791" i="5"/>
  <c r="A2792" i="5"/>
  <c r="B2792" i="5"/>
  <c r="C2792" i="5"/>
  <c r="D2792" i="5"/>
  <c r="E2792" i="5"/>
  <c r="F2792" i="5"/>
  <c r="G2792" i="5"/>
  <c r="A2793" i="5"/>
  <c r="B2793" i="5"/>
  <c r="C2793" i="5"/>
  <c r="D2793" i="5"/>
  <c r="E2793" i="5"/>
  <c r="F2793" i="5"/>
  <c r="G2793" i="5"/>
  <c r="A2794" i="5"/>
  <c r="B2794" i="5"/>
  <c r="C2794" i="5"/>
  <c r="D2794" i="5"/>
  <c r="E2794" i="5"/>
  <c r="F2794" i="5"/>
  <c r="G2794" i="5"/>
  <c r="A2795" i="5"/>
  <c r="B2795" i="5"/>
  <c r="C2795" i="5"/>
  <c r="D2795" i="5"/>
  <c r="E2795" i="5"/>
  <c r="F2795" i="5"/>
  <c r="G2795" i="5"/>
  <c r="A2796" i="5"/>
  <c r="B2796" i="5"/>
  <c r="C2796" i="5"/>
  <c r="D2796" i="5"/>
  <c r="E2796" i="5"/>
  <c r="F2796" i="5"/>
  <c r="G2796" i="5"/>
  <c r="A2797" i="5"/>
  <c r="B2797" i="5"/>
  <c r="C2797" i="5"/>
  <c r="D2797" i="5"/>
  <c r="E2797" i="5"/>
  <c r="F2797" i="5"/>
  <c r="G2797" i="5"/>
  <c r="A2798" i="5"/>
  <c r="B2798" i="5"/>
  <c r="C2798" i="5"/>
  <c r="D2798" i="5"/>
  <c r="E2798" i="5"/>
  <c r="F2798" i="5"/>
  <c r="G2798" i="5"/>
  <c r="A2799" i="5"/>
  <c r="B2799" i="5"/>
  <c r="C2799" i="5"/>
  <c r="D2799" i="5"/>
  <c r="E2799" i="5"/>
  <c r="F2799" i="5"/>
  <c r="G2799" i="5"/>
  <c r="A2800" i="5"/>
  <c r="B2800" i="5"/>
  <c r="C2800" i="5"/>
  <c r="D2800" i="5"/>
  <c r="E2800" i="5"/>
  <c r="F2800" i="5"/>
  <c r="G2800" i="5"/>
  <c r="A2801" i="5"/>
  <c r="B2801" i="5"/>
  <c r="C2801" i="5"/>
  <c r="D2801" i="5"/>
  <c r="E2801" i="5"/>
  <c r="F2801" i="5"/>
  <c r="G2801" i="5"/>
  <c r="A2802" i="5"/>
  <c r="B2802" i="5"/>
  <c r="C2802" i="5"/>
  <c r="D2802" i="5"/>
  <c r="E2802" i="5"/>
  <c r="F2802" i="5"/>
  <c r="G2802" i="5"/>
  <c r="A2803" i="5"/>
  <c r="B2803" i="5"/>
  <c r="C2803" i="5"/>
  <c r="D2803" i="5"/>
  <c r="E2803" i="5"/>
  <c r="F2803" i="5"/>
  <c r="G2803" i="5"/>
  <c r="A2804" i="5"/>
  <c r="B2804" i="5"/>
  <c r="C2804" i="5"/>
  <c r="D2804" i="5"/>
  <c r="E2804" i="5"/>
  <c r="F2804" i="5"/>
  <c r="G2804" i="5"/>
  <c r="A2805" i="5"/>
  <c r="B2805" i="5"/>
  <c r="C2805" i="5"/>
  <c r="D2805" i="5"/>
  <c r="E2805" i="5"/>
  <c r="F2805" i="5"/>
  <c r="G2805" i="5"/>
  <c r="A2806" i="5"/>
  <c r="B2806" i="5"/>
  <c r="C2806" i="5"/>
  <c r="D2806" i="5"/>
  <c r="E2806" i="5"/>
  <c r="F2806" i="5"/>
  <c r="G2806" i="5"/>
  <c r="A2807" i="5"/>
  <c r="B2807" i="5"/>
  <c r="C2807" i="5"/>
  <c r="D2807" i="5"/>
  <c r="E2807" i="5"/>
  <c r="F2807" i="5"/>
  <c r="G2807" i="5"/>
  <c r="A2808" i="5"/>
  <c r="B2808" i="5"/>
  <c r="C2808" i="5"/>
  <c r="D2808" i="5"/>
  <c r="E2808" i="5"/>
  <c r="F2808" i="5"/>
  <c r="G2808" i="5"/>
  <c r="A2809" i="5"/>
  <c r="B2809" i="5"/>
  <c r="C2809" i="5"/>
  <c r="D2809" i="5"/>
  <c r="E2809" i="5"/>
  <c r="F2809" i="5"/>
  <c r="G2809" i="5"/>
  <c r="A2810" i="5"/>
  <c r="B2810" i="5"/>
  <c r="C2810" i="5"/>
  <c r="D2810" i="5"/>
  <c r="E2810" i="5"/>
  <c r="F2810" i="5"/>
  <c r="G2810" i="5"/>
  <c r="A2811" i="5"/>
  <c r="B2811" i="5"/>
  <c r="C2811" i="5"/>
  <c r="D2811" i="5"/>
  <c r="E2811" i="5"/>
  <c r="F2811" i="5"/>
  <c r="G2811" i="5"/>
  <c r="A2812" i="5"/>
  <c r="B2812" i="5"/>
  <c r="C2812" i="5"/>
  <c r="D2812" i="5"/>
  <c r="E2812" i="5"/>
  <c r="F2812" i="5"/>
  <c r="G2812" i="5"/>
  <c r="A2813" i="5"/>
  <c r="B2813" i="5"/>
  <c r="C2813" i="5"/>
  <c r="D2813" i="5"/>
  <c r="E2813" i="5"/>
  <c r="F2813" i="5"/>
  <c r="G2813" i="5"/>
  <c r="A2814" i="5"/>
  <c r="B2814" i="5"/>
  <c r="C2814" i="5"/>
  <c r="D2814" i="5"/>
  <c r="E2814" i="5"/>
  <c r="F2814" i="5"/>
  <c r="G2814" i="5"/>
  <c r="A2815" i="5"/>
  <c r="B2815" i="5"/>
  <c r="C2815" i="5"/>
  <c r="D2815" i="5"/>
  <c r="E2815" i="5"/>
  <c r="F2815" i="5"/>
  <c r="G2815" i="5"/>
  <c r="A2816" i="5"/>
  <c r="B2816" i="5"/>
  <c r="C2816" i="5"/>
  <c r="D2816" i="5"/>
  <c r="E2816" i="5"/>
  <c r="F2816" i="5"/>
  <c r="G2816" i="5"/>
  <c r="A2817" i="5"/>
  <c r="B2817" i="5"/>
  <c r="C2817" i="5"/>
  <c r="D2817" i="5"/>
  <c r="E2817" i="5"/>
  <c r="F2817" i="5"/>
  <c r="G2817" i="5"/>
  <c r="A2818" i="5"/>
  <c r="B2818" i="5"/>
  <c r="C2818" i="5"/>
  <c r="D2818" i="5"/>
  <c r="E2818" i="5"/>
  <c r="F2818" i="5"/>
  <c r="G2818" i="5"/>
  <c r="A2819" i="5"/>
  <c r="B2819" i="5"/>
  <c r="C2819" i="5"/>
  <c r="D2819" i="5"/>
  <c r="E2819" i="5"/>
  <c r="F2819" i="5"/>
  <c r="G2819" i="5"/>
  <c r="A2820" i="5"/>
  <c r="B2820" i="5"/>
  <c r="C2820" i="5"/>
  <c r="D2820" i="5"/>
  <c r="E2820" i="5"/>
  <c r="F2820" i="5"/>
  <c r="G2820" i="5"/>
  <c r="A2821" i="5"/>
  <c r="B2821" i="5"/>
  <c r="C2821" i="5"/>
  <c r="D2821" i="5"/>
  <c r="E2821" i="5"/>
  <c r="F2821" i="5"/>
  <c r="G2821" i="5"/>
  <c r="A2822" i="5"/>
  <c r="B2822" i="5"/>
  <c r="C2822" i="5"/>
  <c r="D2822" i="5"/>
  <c r="E2822" i="5"/>
  <c r="F2822" i="5"/>
  <c r="G2822" i="5"/>
  <c r="A2823" i="5"/>
  <c r="B2823" i="5"/>
  <c r="C2823" i="5"/>
  <c r="D2823" i="5"/>
  <c r="E2823" i="5"/>
  <c r="F2823" i="5"/>
  <c r="G2823" i="5"/>
  <c r="A2824" i="5"/>
  <c r="B2824" i="5"/>
  <c r="C2824" i="5"/>
  <c r="D2824" i="5"/>
  <c r="E2824" i="5"/>
  <c r="F2824" i="5"/>
  <c r="G2824" i="5"/>
  <c r="A2825" i="5"/>
  <c r="B2825" i="5"/>
  <c r="C2825" i="5"/>
  <c r="D2825" i="5"/>
  <c r="E2825" i="5"/>
  <c r="F2825" i="5"/>
  <c r="G2825" i="5"/>
  <c r="A2826" i="5"/>
  <c r="B2826" i="5"/>
  <c r="C2826" i="5"/>
  <c r="D2826" i="5"/>
  <c r="E2826" i="5"/>
  <c r="F2826" i="5"/>
  <c r="G2826" i="5"/>
  <c r="A2827" i="5"/>
  <c r="B2827" i="5"/>
  <c r="C2827" i="5"/>
  <c r="D2827" i="5"/>
  <c r="E2827" i="5"/>
  <c r="F2827" i="5"/>
  <c r="G2827" i="5"/>
  <c r="A2828" i="5"/>
  <c r="B2828" i="5"/>
  <c r="C2828" i="5"/>
  <c r="D2828" i="5"/>
  <c r="E2828" i="5"/>
  <c r="F2828" i="5"/>
  <c r="G2828" i="5"/>
  <c r="A2829" i="5"/>
  <c r="B2829" i="5"/>
  <c r="C2829" i="5"/>
  <c r="D2829" i="5"/>
  <c r="E2829" i="5"/>
  <c r="F2829" i="5"/>
  <c r="G2829" i="5"/>
  <c r="A2830" i="5"/>
  <c r="B2830" i="5"/>
  <c r="C2830" i="5"/>
  <c r="D2830" i="5"/>
  <c r="E2830" i="5"/>
  <c r="F2830" i="5"/>
  <c r="G2830" i="5"/>
  <c r="A2831" i="5"/>
  <c r="B2831" i="5"/>
  <c r="C2831" i="5"/>
  <c r="D2831" i="5"/>
  <c r="E2831" i="5"/>
  <c r="F2831" i="5"/>
  <c r="G2831" i="5"/>
  <c r="A2832" i="5"/>
  <c r="B2832" i="5"/>
  <c r="C2832" i="5"/>
  <c r="D2832" i="5"/>
  <c r="E2832" i="5"/>
  <c r="F2832" i="5"/>
  <c r="G2832" i="5"/>
  <c r="A2833" i="5"/>
  <c r="B2833" i="5"/>
  <c r="C2833" i="5"/>
  <c r="D2833" i="5"/>
  <c r="E2833" i="5"/>
  <c r="F2833" i="5"/>
  <c r="G2833" i="5"/>
  <c r="A2834" i="5"/>
  <c r="B2834" i="5"/>
  <c r="C2834" i="5"/>
  <c r="D2834" i="5"/>
  <c r="E2834" i="5"/>
  <c r="F2834" i="5"/>
  <c r="G2834" i="5"/>
  <c r="A2835" i="5"/>
  <c r="B2835" i="5"/>
  <c r="C2835" i="5"/>
  <c r="D2835" i="5"/>
  <c r="E2835" i="5"/>
  <c r="F2835" i="5"/>
  <c r="G2835" i="5"/>
  <c r="A2836" i="5"/>
  <c r="B2836" i="5"/>
  <c r="C2836" i="5"/>
  <c r="D2836" i="5"/>
  <c r="E2836" i="5"/>
  <c r="F2836" i="5"/>
  <c r="G2836" i="5"/>
  <c r="A2837" i="5"/>
  <c r="B2837" i="5"/>
  <c r="C2837" i="5"/>
  <c r="D2837" i="5"/>
  <c r="E2837" i="5"/>
  <c r="F2837" i="5"/>
  <c r="G2837" i="5"/>
  <c r="A2838" i="5"/>
  <c r="B2838" i="5"/>
  <c r="C2838" i="5"/>
  <c r="D2838" i="5"/>
  <c r="E2838" i="5"/>
  <c r="F2838" i="5"/>
  <c r="G2838" i="5"/>
  <c r="A2839" i="5"/>
  <c r="B2839" i="5"/>
  <c r="C2839" i="5"/>
  <c r="D2839" i="5"/>
  <c r="E2839" i="5"/>
  <c r="F2839" i="5"/>
  <c r="G2839" i="5"/>
  <c r="A2840" i="5"/>
  <c r="B2840" i="5"/>
  <c r="C2840" i="5"/>
  <c r="D2840" i="5"/>
  <c r="E2840" i="5"/>
  <c r="F2840" i="5"/>
  <c r="G2840" i="5"/>
  <c r="A2841" i="5"/>
  <c r="B2841" i="5"/>
  <c r="C2841" i="5"/>
  <c r="D2841" i="5"/>
  <c r="E2841" i="5"/>
  <c r="F2841" i="5"/>
  <c r="G2841" i="5"/>
  <c r="A2842" i="5"/>
  <c r="B2842" i="5"/>
  <c r="C2842" i="5"/>
  <c r="D2842" i="5"/>
  <c r="E2842" i="5"/>
  <c r="F2842" i="5"/>
  <c r="G2842" i="5"/>
  <c r="A2843" i="5"/>
  <c r="B2843" i="5"/>
  <c r="C2843" i="5"/>
  <c r="D2843" i="5"/>
  <c r="E2843" i="5"/>
  <c r="F2843" i="5"/>
  <c r="G2843" i="5"/>
  <c r="A2844" i="5"/>
  <c r="B2844" i="5"/>
  <c r="C2844" i="5"/>
  <c r="D2844" i="5"/>
  <c r="E2844" i="5"/>
  <c r="F2844" i="5"/>
  <c r="G2844" i="5"/>
  <c r="A2845" i="5"/>
  <c r="B2845" i="5"/>
  <c r="C2845" i="5"/>
  <c r="D2845" i="5"/>
  <c r="E2845" i="5"/>
  <c r="F2845" i="5"/>
  <c r="G2845" i="5"/>
  <c r="A2846" i="5"/>
  <c r="B2846" i="5"/>
  <c r="C2846" i="5"/>
  <c r="D2846" i="5"/>
  <c r="E2846" i="5"/>
  <c r="F2846" i="5"/>
  <c r="G2846" i="5"/>
  <c r="A2847" i="5"/>
  <c r="B2847" i="5"/>
  <c r="C2847" i="5"/>
  <c r="D2847" i="5"/>
  <c r="E2847" i="5"/>
  <c r="F2847" i="5"/>
  <c r="G2847" i="5"/>
  <c r="A2848" i="5"/>
  <c r="B2848" i="5"/>
  <c r="C2848" i="5"/>
  <c r="D2848" i="5"/>
  <c r="E2848" i="5"/>
  <c r="F2848" i="5"/>
  <c r="G2848" i="5"/>
  <c r="A2849" i="5"/>
  <c r="B2849" i="5"/>
  <c r="C2849" i="5"/>
  <c r="D2849" i="5"/>
  <c r="E2849" i="5"/>
  <c r="F2849" i="5"/>
  <c r="G2849" i="5"/>
  <c r="A2850" i="5"/>
  <c r="B2850" i="5"/>
  <c r="C2850" i="5"/>
  <c r="D2850" i="5"/>
  <c r="E2850" i="5"/>
  <c r="F2850" i="5"/>
  <c r="G2850" i="5"/>
  <c r="A2851" i="5"/>
  <c r="B2851" i="5"/>
  <c r="C2851" i="5"/>
  <c r="D2851" i="5"/>
  <c r="E2851" i="5"/>
  <c r="F2851" i="5"/>
  <c r="G2851" i="5"/>
  <c r="A2852" i="5"/>
  <c r="B2852" i="5"/>
  <c r="C2852" i="5"/>
  <c r="D2852" i="5"/>
  <c r="E2852" i="5"/>
  <c r="F2852" i="5"/>
  <c r="G2852" i="5"/>
  <c r="A2853" i="5"/>
  <c r="B2853" i="5"/>
  <c r="C2853" i="5"/>
  <c r="D2853" i="5"/>
  <c r="E2853" i="5"/>
  <c r="F2853" i="5"/>
  <c r="G2853" i="5"/>
  <c r="A2854" i="5"/>
  <c r="B2854" i="5"/>
  <c r="C2854" i="5"/>
  <c r="D2854" i="5"/>
  <c r="E2854" i="5"/>
  <c r="F2854" i="5"/>
  <c r="G2854" i="5"/>
  <c r="A2855" i="5"/>
  <c r="B2855" i="5"/>
  <c r="C2855" i="5"/>
  <c r="D2855" i="5"/>
  <c r="E2855" i="5"/>
  <c r="F2855" i="5"/>
  <c r="G2855" i="5"/>
  <c r="A2856" i="5"/>
  <c r="B2856" i="5"/>
  <c r="C2856" i="5"/>
  <c r="D2856" i="5"/>
  <c r="E2856" i="5"/>
  <c r="F2856" i="5"/>
  <c r="G2856" i="5"/>
  <c r="A2857" i="5"/>
  <c r="B2857" i="5"/>
  <c r="C2857" i="5"/>
  <c r="D2857" i="5"/>
  <c r="E2857" i="5"/>
  <c r="F2857" i="5"/>
  <c r="G2857" i="5"/>
  <c r="A2858" i="5"/>
  <c r="B2858" i="5"/>
  <c r="C2858" i="5"/>
  <c r="D2858" i="5"/>
  <c r="E2858" i="5"/>
  <c r="F2858" i="5"/>
  <c r="G2858" i="5"/>
  <c r="A2859" i="5"/>
  <c r="B2859" i="5"/>
  <c r="C2859" i="5"/>
  <c r="D2859" i="5"/>
  <c r="E2859" i="5"/>
  <c r="F2859" i="5"/>
  <c r="G2859" i="5"/>
  <c r="A2860" i="5"/>
  <c r="B2860" i="5"/>
  <c r="C2860" i="5"/>
  <c r="D2860" i="5"/>
  <c r="E2860" i="5"/>
  <c r="F2860" i="5"/>
  <c r="G2860" i="5"/>
  <c r="A2861" i="5"/>
  <c r="B2861" i="5"/>
  <c r="C2861" i="5"/>
  <c r="D2861" i="5"/>
  <c r="E2861" i="5"/>
  <c r="F2861" i="5"/>
  <c r="G2861" i="5"/>
  <c r="A2862" i="5"/>
  <c r="B2862" i="5"/>
  <c r="C2862" i="5"/>
  <c r="D2862" i="5"/>
  <c r="E2862" i="5"/>
  <c r="F2862" i="5"/>
  <c r="G2862" i="5"/>
  <c r="A2863" i="5"/>
  <c r="B2863" i="5"/>
  <c r="C2863" i="5"/>
  <c r="D2863" i="5"/>
  <c r="E2863" i="5"/>
  <c r="F2863" i="5"/>
  <c r="G2863" i="5"/>
  <c r="A2864" i="5"/>
  <c r="B2864" i="5"/>
  <c r="C2864" i="5"/>
  <c r="D2864" i="5"/>
  <c r="E2864" i="5"/>
  <c r="F2864" i="5"/>
  <c r="G2864" i="5"/>
  <c r="A2865" i="5"/>
  <c r="B2865" i="5"/>
  <c r="C2865" i="5"/>
  <c r="D2865" i="5"/>
  <c r="E2865" i="5"/>
  <c r="F2865" i="5"/>
  <c r="G2865" i="5"/>
  <c r="A2866" i="5"/>
  <c r="B2866" i="5"/>
  <c r="C2866" i="5"/>
  <c r="D2866" i="5"/>
  <c r="E2866" i="5"/>
  <c r="F2866" i="5"/>
  <c r="G2866" i="5"/>
  <c r="A2867" i="5"/>
  <c r="B2867" i="5"/>
  <c r="C2867" i="5"/>
  <c r="D2867" i="5"/>
  <c r="E2867" i="5"/>
  <c r="F2867" i="5"/>
  <c r="G2867" i="5"/>
  <c r="A2868" i="5"/>
  <c r="B2868" i="5"/>
  <c r="C2868" i="5"/>
  <c r="D2868" i="5"/>
  <c r="E2868" i="5"/>
  <c r="F2868" i="5"/>
  <c r="G2868" i="5"/>
  <c r="A2869" i="5"/>
  <c r="B2869" i="5"/>
  <c r="C2869" i="5"/>
  <c r="D2869" i="5"/>
  <c r="E2869" i="5"/>
  <c r="F2869" i="5"/>
  <c r="G2869" i="5"/>
  <c r="A2870" i="5"/>
  <c r="B2870" i="5"/>
  <c r="C2870" i="5"/>
  <c r="D2870" i="5"/>
  <c r="E2870" i="5"/>
  <c r="F2870" i="5"/>
  <c r="G2870" i="5"/>
  <c r="A2871" i="5"/>
  <c r="B2871" i="5"/>
  <c r="C2871" i="5"/>
  <c r="D2871" i="5"/>
  <c r="E2871" i="5"/>
  <c r="F2871" i="5"/>
  <c r="G2871" i="5"/>
  <c r="A2872" i="5"/>
  <c r="B2872" i="5"/>
  <c r="C2872" i="5"/>
  <c r="D2872" i="5"/>
  <c r="E2872" i="5"/>
  <c r="F2872" i="5"/>
  <c r="G2872" i="5"/>
  <c r="A2873" i="5"/>
  <c r="B2873" i="5"/>
  <c r="C2873" i="5"/>
  <c r="D2873" i="5"/>
  <c r="E2873" i="5"/>
  <c r="F2873" i="5"/>
  <c r="G2873" i="5"/>
  <c r="A2874" i="5"/>
  <c r="B2874" i="5"/>
  <c r="C2874" i="5"/>
  <c r="D2874" i="5"/>
  <c r="E2874" i="5"/>
  <c r="F2874" i="5"/>
  <c r="G2874" i="5"/>
  <c r="A2875" i="5"/>
  <c r="B2875" i="5"/>
  <c r="C2875" i="5"/>
  <c r="D2875" i="5"/>
  <c r="E2875" i="5"/>
  <c r="F2875" i="5"/>
  <c r="G2875" i="5"/>
  <c r="A2876" i="5"/>
  <c r="B2876" i="5"/>
  <c r="C2876" i="5"/>
  <c r="D2876" i="5"/>
  <c r="E2876" i="5"/>
  <c r="F2876" i="5"/>
  <c r="G2876" i="5"/>
  <c r="A2877" i="5"/>
  <c r="B2877" i="5"/>
  <c r="C2877" i="5"/>
  <c r="D2877" i="5"/>
  <c r="E2877" i="5"/>
  <c r="F2877" i="5"/>
  <c r="G2877" i="5"/>
  <c r="A2878" i="5"/>
  <c r="B2878" i="5"/>
  <c r="C2878" i="5"/>
  <c r="D2878" i="5"/>
  <c r="E2878" i="5"/>
  <c r="F2878" i="5"/>
  <c r="G2878" i="5"/>
  <c r="A2879" i="5"/>
  <c r="B2879" i="5"/>
  <c r="C2879" i="5"/>
  <c r="D2879" i="5"/>
  <c r="E2879" i="5"/>
  <c r="F2879" i="5"/>
  <c r="G2879" i="5"/>
  <c r="A2880" i="5"/>
  <c r="B2880" i="5"/>
  <c r="C2880" i="5"/>
  <c r="D2880" i="5"/>
  <c r="E2880" i="5"/>
  <c r="F2880" i="5"/>
  <c r="G2880" i="5"/>
  <c r="A2881" i="5"/>
  <c r="B2881" i="5"/>
  <c r="C2881" i="5"/>
  <c r="D2881" i="5"/>
  <c r="E2881" i="5"/>
  <c r="F2881" i="5"/>
  <c r="G2881" i="5"/>
  <c r="A2882" i="5"/>
  <c r="B2882" i="5"/>
  <c r="C2882" i="5"/>
  <c r="D2882" i="5"/>
  <c r="E2882" i="5"/>
  <c r="F2882" i="5"/>
  <c r="G2882" i="5"/>
  <c r="A2883" i="5"/>
  <c r="B2883" i="5"/>
  <c r="C2883" i="5"/>
  <c r="D2883" i="5"/>
  <c r="E2883" i="5"/>
  <c r="F2883" i="5"/>
  <c r="G2883" i="5"/>
  <c r="A2884" i="5"/>
  <c r="B2884" i="5"/>
  <c r="C2884" i="5"/>
  <c r="D2884" i="5"/>
  <c r="E2884" i="5"/>
  <c r="F2884" i="5"/>
  <c r="G2884" i="5"/>
  <c r="A2885" i="5"/>
  <c r="B2885" i="5"/>
  <c r="C2885" i="5"/>
  <c r="D2885" i="5"/>
  <c r="E2885" i="5"/>
  <c r="F2885" i="5"/>
  <c r="G2885" i="5"/>
  <c r="A2886" i="5"/>
  <c r="B2886" i="5"/>
  <c r="C2886" i="5"/>
  <c r="D2886" i="5"/>
  <c r="E2886" i="5"/>
  <c r="F2886" i="5"/>
  <c r="G2886" i="5"/>
  <c r="A2887" i="5"/>
  <c r="B2887" i="5"/>
  <c r="C2887" i="5"/>
  <c r="D2887" i="5"/>
  <c r="E2887" i="5"/>
  <c r="F2887" i="5"/>
  <c r="G2887" i="5"/>
  <c r="A2888" i="5"/>
  <c r="B2888" i="5"/>
  <c r="C2888" i="5"/>
  <c r="D2888" i="5"/>
  <c r="E2888" i="5"/>
  <c r="F2888" i="5"/>
  <c r="G2888" i="5"/>
  <c r="A2889" i="5"/>
  <c r="B2889" i="5"/>
  <c r="C2889" i="5"/>
  <c r="D2889" i="5"/>
  <c r="E2889" i="5"/>
  <c r="F2889" i="5"/>
  <c r="G2889" i="5"/>
  <c r="A2890" i="5"/>
  <c r="B2890" i="5"/>
  <c r="C2890" i="5"/>
  <c r="D2890" i="5"/>
  <c r="E2890" i="5"/>
  <c r="F2890" i="5"/>
  <c r="G2890" i="5"/>
  <c r="A2891" i="5"/>
  <c r="B2891" i="5"/>
  <c r="C2891" i="5"/>
  <c r="D2891" i="5"/>
  <c r="E2891" i="5"/>
  <c r="F2891" i="5"/>
  <c r="G2891" i="5"/>
  <c r="A2892" i="5"/>
  <c r="B2892" i="5"/>
  <c r="C2892" i="5"/>
  <c r="D2892" i="5"/>
  <c r="E2892" i="5"/>
  <c r="F2892" i="5"/>
  <c r="G2892" i="5"/>
  <c r="A2893" i="5"/>
  <c r="B2893" i="5"/>
  <c r="C2893" i="5"/>
  <c r="D2893" i="5"/>
  <c r="E2893" i="5"/>
  <c r="F2893" i="5"/>
  <c r="G2893" i="5"/>
  <c r="A2894" i="5"/>
  <c r="B2894" i="5"/>
  <c r="C2894" i="5"/>
  <c r="D2894" i="5"/>
  <c r="E2894" i="5"/>
  <c r="F2894" i="5"/>
  <c r="G2894" i="5"/>
  <c r="A2895" i="5"/>
  <c r="B2895" i="5"/>
  <c r="C2895" i="5"/>
  <c r="D2895" i="5"/>
  <c r="E2895" i="5"/>
  <c r="F2895" i="5"/>
  <c r="G2895" i="5"/>
  <c r="A2896" i="5"/>
  <c r="B2896" i="5"/>
  <c r="C2896" i="5"/>
  <c r="D2896" i="5"/>
  <c r="E2896" i="5"/>
  <c r="F2896" i="5"/>
  <c r="G2896" i="5"/>
  <c r="A2897" i="5"/>
  <c r="B2897" i="5"/>
  <c r="C2897" i="5"/>
  <c r="D2897" i="5"/>
  <c r="E2897" i="5"/>
  <c r="F2897" i="5"/>
  <c r="G2897" i="5"/>
  <c r="A2898" i="5"/>
  <c r="B2898" i="5"/>
  <c r="C2898" i="5"/>
  <c r="D2898" i="5"/>
  <c r="E2898" i="5"/>
  <c r="F2898" i="5"/>
  <c r="G2898" i="5"/>
  <c r="A2899" i="5"/>
  <c r="B2899" i="5"/>
  <c r="C2899" i="5"/>
  <c r="D2899" i="5"/>
  <c r="E2899" i="5"/>
  <c r="F2899" i="5"/>
  <c r="G2899" i="5"/>
  <c r="A2900" i="5"/>
  <c r="B2900" i="5"/>
  <c r="C2900" i="5"/>
  <c r="D2900" i="5"/>
  <c r="E2900" i="5"/>
  <c r="F2900" i="5"/>
  <c r="G2900" i="5"/>
  <c r="A2901" i="5"/>
  <c r="B2901" i="5"/>
  <c r="C2901" i="5"/>
  <c r="D2901" i="5"/>
  <c r="E2901" i="5"/>
  <c r="F2901" i="5"/>
  <c r="G2901" i="5"/>
  <c r="A2902" i="5"/>
  <c r="B2902" i="5"/>
  <c r="C2902" i="5"/>
  <c r="D2902" i="5"/>
  <c r="E2902" i="5"/>
  <c r="F2902" i="5"/>
  <c r="G2902" i="5"/>
  <c r="A2903" i="5"/>
  <c r="B2903" i="5"/>
  <c r="C2903" i="5"/>
  <c r="D2903" i="5"/>
  <c r="E2903" i="5"/>
  <c r="F2903" i="5"/>
  <c r="G2903" i="5"/>
  <c r="A2904" i="5"/>
  <c r="B2904" i="5"/>
  <c r="C2904" i="5"/>
  <c r="D2904" i="5"/>
  <c r="E2904" i="5"/>
  <c r="F2904" i="5"/>
  <c r="G2904" i="5"/>
  <c r="A2905" i="5"/>
  <c r="B2905" i="5"/>
  <c r="C2905" i="5"/>
  <c r="D2905" i="5"/>
  <c r="E2905" i="5"/>
  <c r="F2905" i="5"/>
  <c r="G2905" i="5"/>
  <c r="A2906" i="5"/>
  <c r="B2906" i="5"/>
  <c r="C2906" i="5"/>
  <c r="D2906" i="5"/>
  <c r="E2906" i="5"/>
  <c r="F2906" i="5"/>
  <c r="G2906" i="5"/>
  <c r="A2907" i="5"/>
  <c r="B2907" i="5"/>
  <c r="C2907" i="5"/>
  <c r="D2907" i="5"/>
  <c r="E2907" i="5"/>
  <c r="F2907" i="5"/>
  <c r="G2907" i="5"/>
  <c r="A2908" i="5"/>
  <c r="B2908" i="5"/>
  <c r="C2908" i="5"/>
  <c r="D2908" i="5"/>
  <c r="E2908" i="5"/>
  <c r="F2908" i="5"/>
  <c r="G2908" i="5"/>
  <c r="A2909" i="5"/>
  <c r="B2909" i="5"/>
  <c r="C2909" i="5"/>
  <c r="D2909" i="5"/>
  <c r="E2909" i="5"/>
  <c r="F2909" i="5"/>
  <c r="G2909" i="5"/>
  <c r="A2910" i="5"/>
  <c r="B2910" i="5"/>
  <c r="C2910" i="5"/>
  <c r="D2910" i="5"/>
  <c r="E2910" i="5"/>
  <c r="F2910" i="5"/>
  <c r="G2910" i="5"/>
  <c r="A2911" i="5"/>
  <c r="B2911" i="5"/>
  <c r="C2911" i="5"/>
  <c r="D2911" i="5"/>
  <c r="E2911" i="5"/>
  <c r="F2911" i="5"/>
  <c r="G2911" i="5"/>
  <c r="A2912" i="5"/>
  <c r="B2912" i="5"/>
  <c r="C2912" i="5"/>
  <c r="D2912" i="5"/>
  <c r="E2912" i="5"/>
  <c r="F2912" i="5"/>
  <c r="G2912" i="5"/>
  <c r="A2913" i="5"/>
  <c r="B2913" i="5"/>
  <c r="C2913" i="5"/>
  <c r="D2913" i="5"/>
  <c r="E2913" i="5"/>
  <c r="F2913" i="5"/>
  <c r="G2913" i="5"/>
  <c r="A2914" i="5"/>
  <c r="B2914" i="5"/>
  <c r="C2914" i="5"/>
  <c r="D2914" i="5"/>
  <c r="E2914" i="5"/>
  <c r="F2914" i="5"/>
  <c r="G2914" i="5"/>
  <c r="A2915" i="5"/>
  <c r="B2915" i="5"/>
  <c r="C2915" i="5"/>
  <c r="D2915" i="5"/>
  <c r="E2915" i="5"/>
  <c r="F2915" i="5"/>
  <c r="G2915" i="5"/>
  <c r="A2916" i="5"/>
  <c r="B2916" i="5"/>
  <c r="C2916" i="5"/>
  <c r="D2916" i="5"/>
  <c r="E2916" i="5"/>
  <c r="F2916" i="5"/>
  <c r="G2916" i="5"/>
  <c r="A2917" i="5"/>
  <c r="B2917" i="5"/>
  <c r="C2917" i="5"/>
  <c r="D2917" i="5"/>
  <c r="E2917" i="5"/>
  <c r="F2917" i="5"/>
  <c r="G2917" i="5"/>
  <c r="A2918" i="5"/>
  <c r="B2918" i="5"/>
  <c r="C2918" i="5"/>
  <c r="D2918" i="5"/>
  <c r="E2918" i="5"/>
  <c r="F2918" i="5"/>
  <c r="G2918" i="5"/>
  <c r="A2919" i="5"/>
  <c r="B2919" i="5"/>
  <c r="C2919" i="5"/>
  <c r="D2919" i="5"/>
  <c r="E2919" i="5"/>
  <c r="F2919" i="5"/>
  <c r="G2919" i="5"/>
  <c r="A2920" i="5"/>
  <c r="B2920" i="5"/>
  <c r="C2920" i="5"/>
  <c r="D2920" i="5"/>
  <c r="E2920" i="5"/>
  <c r="F2920" i="5"/>
  <c r="G2920" i="5"/>
  <c r="A2921" i="5"/>
  <c r="B2921" i="5"/>
  <c r="C2921" i="5"/>
  <c r="D2921" i="5"/>
  <c r="E2921" i="5"/>
  <c r="F2921" i="5"/>
  <c r="G2921" i="5"/>
  <c r="A2922" i="5"/>
  <c r="B2922" i="5"/>
  <c r="C2922" i="5"/>
  <c r="D2922" i="5"/>
  <c r="E2922" i="5"/>
  <c r="F2922" i="5"/>
  <c r="G2922" i="5"/>
  <c r="A2923" i="5"/>
  <c r="B2923" i="5"/>
  <c r="C2923" i="5"/>
  <c r="D2923" i="5"/>
  <c r="E2923" i="5"/>
  <c r="F2923" i="5"/>
  <c r="G2923" i="5"/>
  <c r="A2924" i="5"/>
  <c r="B2924" i="5"/>
  <c r="C2924" i="5"/>
  <c r="D2924" i="5"/>
  <c r="E2924" i="5"/>
  <c r="F2924" i="5"/>
  <c r="G2924" i="5"/>
  <c r="A2925" i="5"/>
  <c r="B2925" i="5"/>
  <c r="C2925" i="5"/>
  <c r="D2925" i="5"/>
  <c r="E2925" i="5"/>
  <c r="F2925" i="5"/>
  <c r="G2925" i="5"/>
  <c r="A2926" i="5"/>
  <c r="B2926" i="5"/>
  <c r="C2926" i="5"/>
  <c r="D2926" i="5"/>
  <c r="E2926" i="5"/>
  <c r="F2926" i="5"/>
  <c r="G2926" i="5"/>
  <c r="A2927" i="5"/>
  <c r="B2927" i="5"/>
  <c r="C2927" i="5"/>
  <c r="D2927" i="5"/>
  <c r="E2927" i="5"/>
  <c r="F2927" i="5"/>
  <c r="G2927" i="5"/>
  <c r="A2928" i="5"/>
  <c r="B2928" i="5"/>
  <c r="C2928" i="5"/>
  <c r="D2928" i="5"/>
  <c r="E2928" i="5"/>
  <c r="F2928" i="5"/>
  <c r="G2928" i="5"/>
  <c r="A2929" i="5"/>
  <c r="B2929" i="5"/>
  <c r="C2929" i="5"/>
  <c r="D2929" i="5"/>
  <c r="E2929" i="5"/>
  <c r="F2929" i="5"/>
  <c r="G2929" i="5"/>
  <c r="A2930" i="5"/>
  <c r="B2930" i="5"/>
  <c r="C2930" i="5"/>
  <c r="D2930" i="5"/>
  <c r="E2930" i="5"/>
  <c r="F2930" i="5"/>
  <c r="G2930" i="5"/>
  <c r="A2931" i="5"/>
  <c r="B2931" i="5"/>
  <c r="C2931" i="5"/>
  <c r="D2931" i="5"/>
  <c r="E2931" i="5"/>
  <c r="F2931" i="5"/>
  <c r="G2931" i="5"/>
  <c r="A2932" i="5"/>
  <c r="B2932" i="5"/>
  <c r="C2932" i="5"/>
  <c r="D2932" i="5"/>
  <c r="E2932" i="5"/>
  <c r="F2932" i="5"/>
  <c r="G2932" i="5"/>
  <c r="A2933" i="5"/>
  <c r="B2933" i="5"/>
  <c r="C2933" i="5"/>
  <c r="D2933" i="5"/>
  <c r="E2933" i="5"/>
  <c r="F2933" i="5"/>
  <c r="G2933" i="5"/>
  <c r="A2934" i="5"/>
  <c r="B2934" i="5"/>
  <c r="C2934" i="5"/>
  <c r="D2934" i="5"/>
  <c r="E2934" i="5"/>
  <c r="F2934" i="5"/>
  <c r="G2934" i="5"/>
  <c r="A2935" i="5"/>
  <c r="B2935" i="5"/>
  <c r="C2935" i="5"/>
  <c r="D2935" i="5"/>
  <c r="E2935" i="5"/>
  <c r="F2935" i="5"/>
  <c r="G2935" i="5"/>
  <c r="A2936" i="5"/>
  <c r="B2936" i="5"/>
  <c r="C2936" i="5"/>
  <c r="D2936" i="5"/>
  <c r="E2936" i="5"/>
  <c r="F2936" i="5"/>
  <c r="G2936" i="5"/>
  <c r="A2937" i="5"/>
  <c r="B2937" i="5"/>
  <c r="C2937" i="5"/>
  <c r="D2937" i="5"/>
  <c r="E2937" i="5"/>
  <c r="F2937" i="5"/>
  <c r="G2937" i="5"/>
  <c r="A2938" i="5"/>
  <c r="B2938" i="5"/>
  <c r="C2938" i="5"/>
  <c r="D2938" i="5"/>
  <c r="E2938" i="5"/>
  <c r="F2938" i="5"/>
  <c r="G2938" i="5"/>
  <c r="A2939" i="5"/>
  <c r="B2939" i="5"/>
  <c r="C2939" i="5"/>
  <c r="D2939" i="5"/>
  <c r="E2939" i="5"/>
  <c r="F2939" i="5"/>
  <c r="G2939" i="5"/>
  <c r="A2940" i="5"/>
  <c r="B2940" i="5"/>
  <c r="C2940" i="5"/>
  <c r="D2940" i="5"/>
  <c r="E2940" i="5"/>
  <c r="F2940" i="5"/>
  <c r="G2940" i="5"/>
  <c r="A2941" i="5"/>
  <c r="B2941" i="5"/>
  <c r="C2941" i="5"/>
  <c r="D2941" i="5"/>
  <c r="E2941" i="5"/>
  <c r="F2941" i="5"/>
  <c r="G2941" i="5"/>
  <c r="A2942" i="5"/>
  <c r="B2942" i="5"/>
  <c r="C2942" i="5"/>
  <c r="D2942" i="5"/>
  <c r="E2942" i="5"/>
  <c r="F2942" i="5"/>
  <c r="G2942" i="5"/>
  <c r="A2943" i="5"/>
  <c r="B2943" i="5"/>
  <c r="C2943" i="5"/>
  <c r="D2943" i="5"/>
  <c r="E2943" i="5"/>
  <c r="F2943" i="5"/>
  <c r="G2943" i="5"/>
  <c r="A2944" i="5"/>
  <c r="B2944" i="5"/>
  <c r="C2944" i="5"/>
  <c r="D2944" i="5"/>
  <c r="E2944" i="5"/>
  <c r="F2944" i="5"/>
  <c r="G2944" i="5"/>
  <c r="A2945" i="5"/>
  <c r="B2945" i="5"/>
  <c r="C2945" i="5"/>
  <c r="D2945" i="5"/>
  <c r="E2945" i="5"/>
  <c r="F2945" i="5"/>
  <c r="G2945" i="5"/>
  <c r="A2946" i="5"/>
  <c r="B2946" i="5"/>
  <c r="C2946" i="5"/>
  <c r="D2946" i="5"/>
  <c r="E2946" i="5"/>
  <c r="F2946" i="5"/>
  <c r="G2946" i="5"/>
  <c r="A2947" i="5"/>
  <c r="B2947" i="5"/>
  <c r="C2947" i="5"/>
  <c r="D2947" i="5"/>
  <c r="E2947" i="5"/>
  <c r="F2947" i="5"/>
  <c r="G2947" i="5"/>
  <c r="A2948" i="5"/>
  <c r="B2948" i="5"/>
  <c r="C2948" i="5"/>
  <c r="D2948" i="5"/>
  <c r="E2948" i="5"/>
  <c r="F2948" i="5"/>
  <c r="G2948" i="5"/>
  <c r="A2949" i="5"/>
  <c r="B2949" i="5"/>
  <c r="C2949" i="5"/>
  <c r="D2949" i="5"/>
  <c r="E2949" i="5"/>
  <c r="F2949" i="5"/>
  <c r="G2949" i="5"/>
  <c r="A2950" i="5"/>
  <c r="B2950" i="5"/>
  <c r="C2950" i="5"/>
  <c r="D2950" i="5"/>
  <c r="E2950" i="5"/>
  <c r="F2950" i="5"/>
  <c r="G2950" i="5"/>
  <c r="A2951" i="5"/>
  <c r="B2951" i="5"/>
  <c r="C2951" i="5"/>
  <c r="D2951" i="5"/>
  <c r="E2951" i="5"/>
  <c r="F2951" i="5"/>
  <c r="G2951" i="5"/>
  <c r="A2952" i="5"/>
  <c r="B2952" i="5"/>
  <c r="C2952" i="5"/>
  <c r="D2952" i="5"/>
  <c r="E2952" i="5"/>
  <c r="F2952" i="5"/>
  <c r="G2952" i="5"/>
  <c r="A2953" i="5"/>
  <c r="B2953" i="5"/>
  <c r="C2953" i="5"/>
  <c r="D2953" i="5"/>
  <c r="E2953" i="5"/>
  <c r="F2953" i="5"/>
  <c r="G2953" i="5"/>
  <c r="A2954" i="5"/>
  <c r="B2954" i="5"/>
  <c r="C2954" i="5"/>
  <c r="D2954" i="5"/>
  <c r="E2954" i="5"/>
  <c r="F2954" i="5"/>
  <c r="G2954" i="5"/>
  <c r="A2955" i="5"/>
  <c r="B2955" i="5"/>
  <c r="C2955" i="5"/>
  <c r="D2955" i="5"/>
  <c r="E2955" i="5"/>
  <c r="F2955" i="5"/>
  <c r="G2955" i="5"/>
  <c r="A2956" i="5"/>
  <c r="B2956" i="5"/>
  <c r="C2956" i="5"/>
  <c r="D2956" i="5"/>
  <c r="E2956" i="5"/>
  <c r="F2956" i="5"/>
  <c r="G2956" i="5"/>
  <c r="A2957" i="5"/>
  <c r="B2957" i="5"/>
  <c r="C2957" i="5"/>
  <c r="D2957" i="5"/>
  <c r="E2957" i="5"/>
  <c r="F2957" i="5"/>
  <c r="G2957" i="5"/>
  <c r="A2958" i="5"/>
  <c r="B2958" i="5"/>
  <c r="C2958" i="5"/>
  <c r="D2958" i="5"/>
  <c r="E2958" i="5"/>
  <c r="F2958" i="5"/>
  <c r="G2958" i="5"/>
  <c r="A2959" i="5"/>
  <c r="B2959" i="5"/>
  <c r="C2959" i="5"/>
  <c r="D2959" i="5"/>
  <c r="E2959" i="5"/>
  <c r="F2959" i="5"/>
  <c r="G2959" i="5"/>
  <c r="A2960" i="5"/>
  <c r="B2960" i="5"/>
  <c r="C2960" i="5"/>
  <c r="D2960" i="5"/>
  <c r="E2960" i="5"/>
  <c r="F2960" i="5"/>
  <c r="G2960" i="5"/>
  <c r="A2961" i="5"/>
  <c r="B2961" i="5"/>
  <c r="C2961" i="5"/>
  <c r="D2961" i="5"/>
  <c r="E2961" i="5"/>
  <c r="F2961" i="5"/>
  <c r="G2961" i="5"/>
  <c r="A2962" i="5"/>
  <c r="B2962" i="5"/>
  <c r="C2962" i="5"/>
  <c r="D2962" i="5"/>
  <c r="E2962" i="5"/>
  <c r="F2962" i="5"/>
  <c r="G2962" i="5"/>
  <c r="A2963" i="5"/>
  <c r="B2963" i="5"/>
  <c r="C2963" i="5"/>
  <c r="D2963" i="5"/>
  <c r="E2963" i="5"/>
  <c r="F2963" i="5"/>
  <c r="G2963" i="5"/>
  <c r="A2964" i="5"/>
  <c r="B2964" i="5"/>
  <c r="C2964" i="5"/>
  <c r="D2964" i="5"/>
  <c r="E2964" i="5"/>
  <c r="F2964" i="5"/>
  <c r="G2964" i="5"/>
  <c r="A2965" i="5"/>
  <c r="B2965" i="5"/>
  <c r="C2965" i="5"/>
  <c r="D2965" i="5"/>
  <c r="E2965" i="5"/>
  <c r="F2965" i="5"/>
  <c r="G2965" i="5"/>
  <c r="A2966" i="5"/>
  <c r="B2966" i="5"/>
  <c r="C2966" i="5"/>
  <c r="D2966" i="5"/>
  <c r="E2966" i="5"/>
  <c r="F2966" i="5"/>
  <c r="G2966" i="5"/>
  <c r="A2967" i="5"/>
  <c r="B2967" i="5"/>
  <c r="C2967" i="5"/>
  <c r="D2967" i="5"/>
  <c r="E2967" i="5"/>
  <c r="F2967" i="5"/>
  <c r="G2967" i="5"/>
  <c r="A2968" i="5"/>
  <c r="B2968" i="5"/>
  <c r="C2968" i="5"/>
  <c r="D2968" i="5"/>
  <c r="E2968" i="5"/>
  <c r="F2968" i="5"/>
  <c r="G2968" i="5"/>
  <c r="A2969" i="5"/>
  <c r="B2969" i="5"/>
  <c r="C2969" i="5"/>
  <c r="D2969" i="5"/>
  <c r="E2969" i="5"/>
  <c r="F2969" i="5"/>
  <c r="G2969" i="5"/>
  <c r="A2970" i="5"/>
  <c r="B2970" i="5"/>
  <c r="C2970" i="5"/>
  <c r="D2970" i="5"/>
  <c r="E2970" i="5"/>
  <c r="F2970" i="5"/>
  <c r="G2970" i="5"/>
  <c r="A2971" i="5"/>
  <c r="B2971" i="5"/>
  <c r="C2971" i="5"/>
  <c r="D2971" i="5"/>
  <c r="E2971" i="5"/>
  <c r="F2971" i="5"/>
  <c r="G2971" i="5"/>
  <c r="A2972" i="5"/>
  <c r="B2972" i="5"/>
  <c r="C2972" i="5"/>
  <c r="D2972" i="5"/>
  <c r="E2972" i="5"/>
  <c r="F2972" i="5"/>
  <c r="G2972" i="5"/>
  <c r="A2973" i="5"/>
  <c r="B2973" i="5"/>
  <c r="C2973" i="5"/>
  <c r="D2973" i="5"/>
  <c r="E2973" i="5"/>
  <c r="F2973" i="5"/>
  <c r="G2973" i="5"/>
  <c r="A2974" i="5"/>
  <c r="B2974" i="5"/>
  <c r="C2974" i="5"/>
  <c r="D2974" i="5"/>
  <c r="E2974" i="5"/>
  <c r="F2974" i="5"/>
  <c r="G2974" i="5"/>
  <c r="A2975" i="5"/>
  <c r="B2975" i="5"/>
  <c r="C2975" i="5"/>
  <c r="D2975" i="5"/>
  <c r="E2975" i="5"/>
  <c r="F2975" i="5"/>
  <c r="G2975" i="5"/>
  <c r="A2976" i="5"/>
  <c r="B2976" i="5"/>
  <c r="C2976" i="5"/>
  <c r="D2976" i="5"/>
  <c r="E2976" i="5"/>
  <c r="F2976" i="5"/>
  <c r="G2976" i="5"/>
  <c r="A2977" i="5"/>
  <c r="B2977" i="5"/>
  <c r="C2977" i="5"/>
  <c r="D2977" i="5"/>
  <c r="E2977" i="5"/>
  <c r="F2977" i="5"/>
  <c r="G2977" i="5"/>
  <c r="A2978" i="5"/>
  <c r="B2978" i="5"/>
  <c r="C2978" i="5"/>
  <c r="D2978" i="5"/>
  <c r="E2978" i="5"/>
  <c r="F2978" i="5"/>
  <c r="G2978" i="5"/>
  <c r="A2979" i="5"/>
  <c r="B2979" i="5"/>
  <c r="C2979" i="5"/>
  <c r="D2979" i="5"/>
  <c r="E2979" i="5"/>
  <c r="F2979" i="5"/>
  <c r="G2979" i="5"/>
  <c r="A2980" i="5"/>
  <c r="B2980" i="5"/>
  <c r="C2980" i="5"/>
  <c r="D2980" i="5"/>
  <c r="E2980" i="5"/>
  <c r="F2980" i="5"/>
  <c r="G2980" i="5"/>
  <c r="A2981" i="5"/>
  <c r="B2981" i="5"/>
  <c r="C2981" i="5"/>
  <c r="D2981" i="5"/>
  <c r="E2981" i="5"/>
  <c r="F2981" i="5"/>
  <c r="G2981" i="5"/>
  <c r="A2982" i="5"/>
  <c r="B2982" i="5"/>
  <c r="C2982" i="5"/>
  <c r="D2982" i="5"/>
  <c r="E2982" i="5"/>
  <c r="F2982" i="5"/>
  <c r="G2982" i="5"/>
  <c r="A2983" i="5"/>
  <c r="B2983" i="5"/>
  <c r="C2983" i="5"/>
  <c r="D2983" i="5"/>
  <c r="E2983" i="5"/>
  <c r="F2983" i="5"/>
  <c r="G2983" i="5"/>
  <c r="A2984" i="5"/>
  <c r="B2984" i="5"/>
  <c r="C2984" i="5"/>
  <c r="D2984" i="5"/>
  <c r="E2984" i="5"/>
  <c r="F2984" i="5"/>
  <c r="G2984" i="5"/>
  <c r="A2985" i="5"/>
  <c r="B2985" i="5"/>
  <c r="C2985" i="5"/>
  <c r="D2985" i="5"/>
  <c r="E2985" i="5"/>
  <c r="F2985" i="5"/>
  <c r="G2985" i="5"/>
  <c r="A2986" i="5"/>
  <c r="B2986" i="5"/>
  <c r="C2986" i="5"/>
  <c r="D2986" i="5"/>
  <c r="E2986" i="5"/>
  <c r="F2986" i="5"/>
  <c r="G2986" i="5"/>
  <c r="A2987" i="5"/>
  <c r="B2987" i="5"/>
  <c r="C2987" i="5"/>
  <c r="D2987" i="5"/>
  <c r="E2987" i="5"/>
  <c r="F2987" i="5"/>
  <c r="G2987" i="5"/>
  <c r="A2988" i="5"/>
  <c r="B2988" i="5"/>
  <c r="C2988" i="5"/>
  <c r="D2988" i="5"/>
  <c r="E2988" i="5"/>
  <c r="F2988" i="5"/>
  <c r="G2988" i="5"/>
  <c r="A2989" i="5"/>
  <c r="B2989" i="5"/>
  <c r="C2989" i="5"/>
  <c r="D2989" i="5"/>
  <c r="E2989" i="5"/>
  <c r="F2989" i="5"/>
  <c r="G2989" i="5"/>
  <c r="A2990" i="5"/>
  <c r="B2990" i="5"/>
  <c r="C2990" i="5"/>
  <c r="D2990" i="5"/>
  <c r="E2990" i="5"/>
  <c r="F2990" i="5"/>
  <c r="G2990" i="5"/>
  <c r="A2991" i="5"/>
  <c r="B2991" i="5"/>
  <c r="C2991" i="5"/>
  <c r="D2991" i="5"/>
  <c r="E2991" i="5"/>
  <c r="F2991" i="5"/>
  <c r="G2991" i="5"/>
  <c r="A2992" i="5"/>
  <c r="B2992" i="5"/>
  <c r="C2992" i="5"/>
  <c r="D2992" i="5"/>
  <c r="E2992" i="5"/>
  <c r="F2992" i="5"/>
  <c r="G2992" i="5"/>
  <c r="A2993" i="5"/>
  <c r="B2993" i="5"/>
  <c r="C2993" i="5"/>
  <c r="D2993" i="5"/>
  <c r="E2993" i="5"/>
  <c r="F2993" i="5"/>
  <c r="G2993" i="5"/>
  <c r="A2994" i="5"/>
  <c r="B2994" i="5"/>
  <c r="C2994" i="5"/>
  <c r="D2994" i="5"/>
  <c r="E2994" i="5"/>
  <c r="F2994" i="5"/>
  <c r="G2994" i="5"/>
  <c r="A2995" i="5"/>
  <c r="B2995" i="5"/>
  <c r="C2995" i="5"/>
  <c r="D2995" i="5"/>
  <c r="E2995" i="5"/>
  <c r="F2995" i="5"/>
  <c r="G2995" i="5"/>
  <c r="A2996" i="5"/>
  <c r="B2996" i="5"/>
  <c r="C2996" i="5"/>
  <c r="D2996" i="5"/>
  <c r="E2996" i="5"/>
  <c r="F2996" i="5"/>
  <c r="G2996" i="5"/>
  <c r="X2005" i="9"/>
  <c r="X2124" i="9"/>
  <c r="X2172" i="9"/>
  <c r="X2236" i="9"/>
  <c r="X2279" i="9"/>
  <c r="X2343" i="9"/>
  <c r="X2365" i="9"/>
  <c r="X2397" i="9"/>
  <c r="X2618" i="9"/>
  <c r="X2622" i="9"/>
  <c r="X2626" i="9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10" i="5"/>
  <c r="G2010" i="5"/>
  <c r="G2009" i="5"/>
  <c r="G2008" i="5"/>
  <c r="G2007" i="5"/>
  <c r="G2006" i="5"/>
  <c r="G2005" i="5"/>
  <c r="G2004" i="5"/>
  <c r="G2003" i="5"/>
  <c r="G2002" i="5"/>
  <c r="G2001" i="5"/>
  <c r="G2000" i="5"/>
  <c r="G1999" i="5"/>
  <c r="G1998" i="5"/>
  <c r="G1997" i="5"/>
  <c r="G1996" i="5"/>
  <c r="G1995" i="5"/>
  <c r="G1994" i="5"/>
  <c r="G1993" i="5"/>
  <c r="G1992" i="5"/>
  <c r="G1991" i="5"/>
  <c r="G1990" i="5"/>
  <c r="G1989" i="5"/>
  <c r="G1988" i="5"/>
  <c r="G1987" i="5"/>
  <c r="G1986" i="5"/>
  <c r="G1985" i="5"/>
  <c r="G1984" i="5"/>
  <c r="G1983" i="5"/>
  <c r="G1982" i="5"/>
  <c r="G1981" i="5"/>
  <c r="G1980" i="5"/>
  <c r="G1979" i="5"/>
  <c r="G1978" i="5"/>
  <c r="G1977" i="5"/>
  <c r="G1976" i="5"/>
  <c r="G1975" i="5"/>
  <c r="G1974" i="5"/>
  <c r="G1973" i="5"/>
  <c r="G1972" i="5"/>
  <c r="G1971" i="5"/>
  <c r="G1970" i="5"/>
  <c r="G1969" i="5"/>
  <c r="G1968" i="5"/>
  <c r="G1967" i="5"/>
  <c r="G1966" i="5"/>
  <c r="G1965" i="5"/>
  <c r="G1964" i="5"/>
  <c r="G1963" i="5"/>
  <c r="G1962" i="5"/>
  <c r="G1961" i="5"/>
  <c r="G1960" i="5"/>
  <c r="G1959" i="5"/>
  <c r="G1958" i="5"/>
  <c r="G1957" i="5"/>
  <c r="G1956" i="5"/>
  <c r="G1955" i="5"/>
  <c r="G1954" i="5"/>
  <c r="G1953" i="5"/>
  <c r="G1952" i="5"/>
  <c r="G1951" i="5"/>
  <c r="G1950" i="5"/>
  <c r="G1949" i="5"/>
  <c r="G1948" i="5"/>
  <c r="G1947" i="5"/>
  <c r="G1946" i="5"/>
  <c r="G1945" i="5"/>
  <c r="G1944" i="5"/>
  <c r="G1943" i="5"/>
  <c r="G1942" i="5"/>
  <c r="G1941" i="5"/>
  <c r="G1940" i="5"/>
  <c r="G1939" i="5"/>
  <c r="G1938" i="5"/>
  <c r="G1937" i="5"/>
  <c r="G1936" i="5"/>
  <c r="G1935" i="5"/>
  <c r="G1934" i="5"/>
  <c r="G1933" i="5"/>
  <c r="G1932" i="5"/>
  <c r="G1931" i="5"/>
  <c r="G1930" i="5"/>
  <c r="G1929" i="5"/>
  <c r="G1928" i="5"/>
  <c r="G1927" i="5"/>
  <c r="G1926" i="5"/>
  <c r="G1925" i="5"/>
  <c r="G1924" i="5"/>
  <c r="G1923" i="5"/>
  <c r="G1922" i="5"/>
  <c r="G1921" i="5"/>
  <c r="G1920" i="5"/>
  <c r="G1919" i="5"/>
  <c r="G1918" i="5"/>
  <c r="G1917" i="5"/>
  <c r="G1916" i="5"/>
  <c r="G1915" i="5"/>
  <c r="G1914" i="5"/>
  <c r="G1913" i="5"/>
  <c r="G1912" i="5"/>
  <c r="G1911" i="5"/>
  <c r="G1910" i="5"/>
  <c r="G1909" i="5"/>
  <c r="G1908" i="5"/>
  <c r="G1907" i="5"/>
  <c r="G1906" i="5"/>
  <c r="G1905" i="5"/>
  <c r="G1904" i="5"/>
  <c r="G1903" i="5"/>
  <c r="G1902" i="5"/>
  <c r="G1901" i="5"/>
  <c r="G1900" i="5"/>
  <c r="G1899" i="5"/>
  <c r="G1898" i="5"/>
  <c r="G1897" i="5"/>
  <c r="G1896" i="5"/>
  <c r="G1895" i="5"/>
  <c r="G1894" i="5"/>
  <c r="G1893" i="5"/>
  <c r="G1892" i="5"/>
  <c r="G1891" i="5"/>
  <c r="G1890" i="5"/>
  <c r="G1889" i="5"/>
  <c r="G1888" i="5"/>
  <c r="G1887" i="5"/>
  <c r="G1886" i="5"/>
  <c r="G1885" i="5"/>
  <c r="G1884" i="5"/>
  <c r="G1883" i="5"/>
  <c r="G1882" i="5"/>
  <c r="G1881" i="5"/>
  <c r="G1880" i="5"/>
  <c r="G1879" i="5"/>
  <c r="G1878" i="5"/>
  <c r="G1877" i="5"/>
  <c r="G1876" i="5"/>
  <c r="G1875" i="5"/>
  <c r="G1874" i="5"/>
  <c r="G1873" i="5"/>
  <c r="G1872" i="5"/>
  <c r="G1871" i="5"/>
  <c r="G1870" i="5"/>
  <c r="G1869" i="5"/>
  <c r="G1868" i="5"/>
  <c r="G1867" i="5"/>
  <c r="G1866" i="5"/>
  <c r="G1865" i="5"/>
  <c r="G1864" i="5"/>
  <c r="G1863" i="5"/>
  <c r="G1862" i="5"/>
  <c r="G1861" i="5"/>
  <c r="G1860" i="5"/>
  <c r="G1859" i="5"/>
  <c r="G1858" i="5"/>
  <c r="G1857" i="5"/>
  <c r="G1856" i="5"/>
  <c r="G1855" i="5"/>
  <c r="G1854" i="5"/>
  <c r="G1853" i="5"/>
  <c r="G1852" i="5"/>
  <c r="G1851" i="5"/>
  <c r="G1850" i="5"/>
  <c r="G1849" i="5"/>
  <c r="G1848" i="5"/>
  <c r="G1847" i="5"/>
  <c r="G1846" i="5"/>
  <c r="G1845" i="5"/>
  <c r="G1844" i="5"/>
  <c r="G1843" i="5"/>
  <c r="G1842" i="5"/>
  <c r="G1841" i="5"/>
  <c r="G1840" i="5"/>
  <c r="G1839" i="5"/>
  <c r="G1838" i="5"/>
  <c r="G1837" i="5"/>
  <c r="G1836" i="5"/>
  <c r="G1835" i="5"/>
  <c r="G1834" i="5"/>
  <c r="G1833" i="5"/>
  <c r="G1832" i="5"/>
  <c r="G1831" i="5"/>
  <c r="G1830" i="5"/>
  <c r="G1829" i="5"/>
  <c r="G1828" i="5"/>
  <c r="G1827" i="5"/>
  <c r="G1826" i="5"/>
  <c r="G1825" i="5"/>
  <c r="G1824" i="5"/>
  <c r="G1823" i="5"/>
  <c r="G1822" i="5"/>
  <c r="G1821" i="5"/>
  <c r="G1820" i="5"/>
  <c r="G1819" i="5"/>
  <c r="G1818" i="5"/>
  <c r="G1817" i="5"/>
  <c r="G1816" i="5"/>
  <c r="G1815" i="5"/>
  <c r="G1814" i="5"/>
  <c r="G1813" i="5"/>
  <c r="G1812" i="5"/>
  <c r="G1811" i="5"/>
  <c r="G1810" i="5"/>
  <c r="G1809" i="5"/>
  <c r="G1808" i="5"/>
  <c r="G1807" i="5"/>
  <c r="G1806" i="5"/>
  <c r="G1805" i="5"/>
  <c r="G1804" i="5"/>
  <c r="G1803" i="5"/>
  <c r="G1802" i="5"/>
  <c r="G1801" i="5"/>
  <c r="G1800" i="5"/>
  <c r="G1799" i="5"/>
  <c r="G1798" i="5"/>
  <c r="G1797" i="5"/>
  <c r="G1796" i="5"/>
  <c r="G1795" i="5"/>
  <c r="G1794" i="5"/>
  <c r="G1793" i="5"/>
  <c r="G1792" i="5"/>
  <c r="G1791" i="5"/>
  <c r="G1790" i="5"/>
  <c r="G1789" i="5"/>
  <c r="G1788" i="5"/>
  <c r="G1787" i="5"/>
  <c r="G1786" i="5"/>
  <c r="G1785" i="5"/>
  <c r="G1784" i="5"/>
  <c r="G1783" i="5"/>
  <c r="G1782" i="5"/>
  <c r="G1781" i="5"/>
  <c r="G1780" i="5"/>
  <c r="G1779" i="5"/>
  <c r="G1778" i="5"/>
  <c r="G1777" i="5"/>
  <c r="G1776" i="5"/>
  <c r="G1775" i="5"/>
  <c r="G1774" i="5"/>
  <c r="G1773" i="5"/>
  <c r="G1772" i="5"/>
  <c r="G1771" i="5"/>
  <c r="G1770" i="5"/>
  <c r="G1769" i="5"/>
  <c r="G1768" i="5"/>
  <c r="G1767" i="5"/>
  <c r="G1766" i="5"/>
  <c r="G1765" i="5"/>
  <c r="G1764" i="5"/>
  <c r="G1763" i="5"/>
  <c r="G1762" i="5"/>
  <c r="G1761" i="5"/>
  <c r="G1760" i="5"/>
  <c r="G1759" i="5"/>
  <c r="G1758" i="5"/>
  <c r="G1757" i="5"/>
  <c r="G1756" i="5"/>
  <c r="G1755" i="5"/>
  <c r="G1754" i="5"/>
  <c r="G1753" i="5"/>
  <c r="G1752" i="5"/>
  <c r="G1751" i="5"/>
  <c r="G1750" i="5"/>
  <c r="G1749" i="5"/>
  <c r="G1748" i="5"/>
  <c r="G1747" i="5"/>
  <c r="G1746" i="5"/>
  <c r="G1745" i="5"/>
  <c r="G1744" i="5"/>
  <c r="G1743" i="5"/>
  <c r="G1742" i="5"/>
  <c r="G1741" i="5"/>
  <c r="G1740" i="5"/>
  <c r="G1739" i="5"/>
  <c r="G1738" i="5"/>
  <c r="G1737" i="5"/>
  <c r="G1736" i="5"/>
  <c r="G1735" i="5"/>
  <c r="G1734" i="5"/>
  <c r="G1733" i="5"/>
  <c r="G1732" i="5"/>
  <c r="G1731" i="5"/>
  <c r="G1730" i="5"/>
  <c r="G1729" i="5"/>
  <c r="G1728" i="5"/>
  <c r="G1727" i="5"/>
  <c r="G1726" i="5"/>
  <c r="G1725" i="5"/>
  <c r="G1724" i="5"/>
  <c r="G1723" i="5"/>
  <c r="G1722" i="5"/>
  <c r="G1721" i="5"/>
  <c r="G1720" i="5"/>
  <c r="G1719" i="5"/>
  <c r="G1718" i="5"/>
  <c r="G1717" i="5"/>
  <c r="G1716" i="5"/>
  <c r="G1715" i="5"/>
  <c r="G1714" i="5"/>
  <c r="G1713" i="5"/>
  <c r="G1712" i="5"/>
  <c r="G1711" i="5"/>
  <c r="G1710" i="5"/>
  <c r="G1709" i="5"/>
  <c r="G1708" i="5"/>
  <c r="G1707" i="5"/>
  <c r="G1706" i="5"/>
  <c r="G1705" i="5"/>
  <c r="G1704" i="5"/>
  <c r="G1703" i="5"/>
  <c r="G1702" i="5"/>
  <c r="G1701" i="5"/>
  <c r="G1700" i="5"/>
  <c r="G1699" i="5"/>
  <c r="G1698" i="5"/>
  <c r="G1697" i="5"/>
  <c r="G1696" i="5"/>
  <c r="G1695" i="5"/>
  <c r="G1694" i="5"/>
  <c r="G1693" i="5"/>
  <c r="G1692" i="5"/>
  <c r="G1691" i="5"/>
  <c r="G1690" i="5"/>
  <c r="G1689" i="5"/>
  <c r="G1688" i="5"/>
  <c r="G1687" i="5"/>
  <c r="G1686" i="5"/>
  <c r="G1685" i="5"/>
  <c r="G1684" i="5"/>
  <c r="G1683" i="5"/>
  <c r="G1682" i="5"/>
  <c r="G1681" i="5"/>
  <c r="G1680" i="5"/>
  <c r="G1679" i="5"/>
  <c r="G1678" i="5"/>
  <c r="G1677" i="5"/>
  <c r="G1676" i="5"/>
  <c r="G1675" i="5"/>
  <c r="G1674" i="5"/>
  <c r="G1673" i="5"/>
  <c r="G1672" i="5"/>
  <c r="G1671" i="5"/>
  <c r="G1670" i="5"/>
  <c r="G1669" i="5"/>
  <c r="G1668" i="5"/>
  <c r="G1667" i="5"/>
  <c r="G1666" i="5"/>
  <c r="G1665" i="5"/>
  <c r="G1664" i="5"/>
  <c r="G1663" i="5"/>
  <c r="G1662" i="5"/>
  <c r="G1661" i="5"/>
  <c r="G1660" i="5"/>
  <c r="G1659" i="5"/>
  <c r="G1658" i="5"/>
  <c r="G1657" i="5"/>
  <c r="G1656" i="5"/>
  <c r="G1655" i="5"/>
  <c r="G1654" i="5"/>
  <c r="G1653" i="5"/>
  <c r="G1652" i="5"/>
  <c r="G1651" i="5"/>
  <c r="G1650" i="5"/>
  <c r="G1649" i="5"/>
  <c r="G1648" i="5"/>
  <c r="G1647" i="5"/>
  <c r="G1646" i="5"/>
  <c r="G1645" i="5"/>
  <c r="G1644" i="5"/>
  <c r="G1643" i="5"/>
  <c r="G1642" i="5"/>
  <c r="G1641" i="5"/>
  <c r="G1640" i="5"/>
  <c r="G1639" i="5"/>
  <c r="G1638" i="5"/>
  <c r="G1637" i="5"/>
  <c r="G1636" i="5"/>
  <c r="G1635" i="5"/>
  <c r="G1634" i="5"/>
  <c r="G1633" i="5"/>
  <c r="G1632" i="5"/>
  <c r="G1631" i="5"/>
  <c r="G1630" i="5"/>
  <c r="G1629" i="5"/>
  <c r="G1628" i="5"/>
  <c r="G1627" i="5"/>
  <c r="G1626" i="5"/>
  <c r="G1625" i="5"/>
  <c r="G1624" i="5"/>
  <c r="G1623" i="5"/>
  <c r="G1622" i="5"/>
  <c r="G1621" i="5"/>
  <c r="G1620" i="5"/>
  <c r="G1619" i="5"/>
  <c r="G1618" i="5"/>
  <c r="G1617" i="5"/>
  <c r="G1616" i="5"/>
  <c r="G1615" i="5"/>
  <c r="G1614" i="5"/>
  <c r="G1613" i="5"/>
  <c r="G1612" i="5"/>
  <c r="G1611" i="5"/>
  <c r="G1610" i="5"/>
  <c r="G1609" i="5"/>
  <c r="G1608" i="5"/>
  <c r="G1607" i="5"/>
  <c r="G1606" i="5"/>
  <c r="G1605" i="5"/>
  <c r="G1604" i="5"/>
  <c r="G1603" i="5"/>
  <c r="G1602" i="5"/>
  <c r="G1601" i="5"/>
  <c r="G1600" i="5"/>
  <c r="G1599" i="5"/>
  <c r="G1598" i="5"/>
  <c r="G1597" i="5"/>
  <c r="G1596" i="5"/>
  <c r="G1595" i="5"/>
  <c r="G1594" i="5"/>
  <c r="G1593" i="5"/>
  <c r="G1592" i="5"/>
  <c r="G1591" i="5"/>
  <c r="G1590" i="5"/>
  <c r="G1589" i="5"/>
  <c r="G1588" i="5"/>
  <c r="G1587" i="5"/>
  <c r="G1586" i="5"/>
  <c r="G1585" i="5"/>
  <c r="G1584" i="5"/>
  <c r="G1583" i="5"/>
  <c r="G1582" i="5"/>
  <c r="G1581" i="5"/>
  <c r="G1580" i="5"/>
  <c r="G1579" i="5"/>
  <c r="G1578" i="5"/>
  <c r="G1577" i="5"/>
  <c r="G1576" i="5"/>
  <c r="G1575" i="5"/>
  <c r="G1574" i="5"/>
  <c r="G1573" i="5"/>
  <c r="G1572" i="5"/>
  <c r="G1571" i="5"/>
  <c r="G1570" i="5"/>
  <c r="G1569" i="5"/>
  <c r="G1568" i="5"/>
  <c r="G1567" i="5"/>
  <c r="G1566" i="5"/>
  <c r="G1565" i="5"/>
  <c r="G1564" i="5"/>
  <c r="G1563" i="5"/>
  <c r="G1562" i="5"/>
  <c r="G1561" i="5"/>
  <c r="G1560" i="5"/>
  <c r="G1559" i="5"/>
  <c r="G1558" i="5"/>
  <c r="G1557" i="5"/>
  <c r="G1556" i="5"/>
  <c r="G1555" i="5"/>
  <c r="G1554" i="5"/>
  <c r="G1553" i="5"/>
  <c r="G1552" i="5"/>
  <c r="G1551" i="5"/>
  <c r="G1550" i="5"/>
  <c r="G1549" i="5"/>
  <c r="G1548" i="5"/>
  <c r="G1547" i="5"/>
  <c r="G1546" i="5"/>
  <c r="G1545" i="5"/>
  <c r="G1544" i="5"/>
  <c r="G1543" i="5"/>
  <c r="G1542" i="5"/>
  <c r="G1541" i="5"/>
  <c r="G1540" i="5"/>
  <c r="G1539" i="5"/>
  <c r="G1538" i="5"/>
  <c r="G1537" i="5"/>
  <c r="G1536" i="5"/>
  <c r="G1535" i="5"/>
  <c r="G1534" i="5"/>
  <c r="G1533" i="5"/>
  <c r="G1532" i="5"/>
  <c r="G1531" i="5"/>
  <c r="G1530" i="5"/>
  <c r="G1529" i="5"/>
  <c r="G1528" i="5"/>
  <c r="G1527" i="5"/>
  <c r="G1526" i="5"/>
  <c r="G1525" i="5"/>
  <c r="G1524" i="5"/>
  <c r="G1523" i="5"/>
  <c r="G1522" i="5"/>
  <c r="G1521" i="5"/>
  <c r="G1520" i="5"/>
  <c r="G1519" i="5"/>
  <c r="G1518" i="5"/>
  <c r="G1517" i="5"/>
  <c r="G1516" i="5"/>
  <c r="G1515" i="5"/>
  <c r="G1514" i="5"/>
  <c r="G1513" i="5"/>
  <c r="G1512" i="5"/>
  <c r="G1511" i="5"/>
  <c r="G1510" i="5"/>
  <c r="G1509" i="5"/>
  <c r="G1508" i="5"/>
  <c r="G1507" i="5"/>
  <c r="G1506" i="5"/>
  <c r="G1505" i="5"/>
  <c r="G1504" i="5"/>
  <c r="G1503" i="5"/>
  <c r="G1502" i="5"/>
  <c r="G1501" i="5"/>
  <c r="G1500" i="5"/>
  <c r="G1499" i="5"/>
  <c r="G1498" i="5"/>
  <c r="G1497" i="5"/>
  <c r="G1496" i="5"/>
  <c r="G1495" i="5"/>
  <c r="G1494" i="5"/>
  <c r="G1493" i="5"/>
  <c r="G1492" i="5"/>
  <c r="G1491" i="5"/>
  <c r="G1490" i="5"/>
  <c r="G1489" i="5"/>
  <c r="G1488" i="5"/>
  <c r="G1487" i="5"/>
  <c r="G1486" i="5"/>
  <c r="G1485" i="5"/>
  <c r="G1484" i="5"/>
  <c r="G1483" i="5"/>
  <c r="G1482" i="5"/>
  <c r="G1481" i="5"/>
  <c r="G1480" i="5"/>
  <c r="G1479" i="5"/>
  <c r="G1478" i="5"/>
  <c r="G1477" i="5"/>
  <c r="G1476" i="5"/>
  <c r="G1475" i="5"/>
  <c r="G1474" i="5"/>
  <c r="G1473" i="5"/>
  <c r="G1472" i="5"/>
  <c r="G1471" i="5"/>
  <c r="G1470" i="5"/>
  <c r="G1469" i="5"/>
  <c r="G1468" i="5"/>
  <c r="G1467" i="5"/>
  <c r="G1466" i="5"/>
  <c r="G1465" i="5"/>
  <c r="G1464" i="5"/>
  <c r="G1463" i="5"/>
  <c r="G1462" i="5"/>
  <c r="G1461" i="5"/>
  <c r="G1460" i="5"/>
  <c r="G1459" i="5"/>
  <c r="G1458" i="5"/>
  <c r="G1457" i="5"/>
  <c r="G1456" i="5"/>
  <c r="G1455" i="5"/>
  <c r="G1454" i="5"/>
  <c r="G1453" i="5"/>
  <c r="G1452" i="5"/>
  <c r="G1451" i="5"/>
  <c r="G1450" i="5"/>
  <c r="G1449" i="5"/>
  <c r="G1448" i="5"/>
  <c r="G1447" i="5"/>
  <c r="G1446" i="5"/>
  <c r="G1445" i="5"/>
  <c r="G1444" i="5"/>
  <c r="G1443" i="5"/>
  <c r="G1442" i="5"/>
  <c r="G1441" i="5"/>
  <c r="G1440" i="5"/>
  <c r="G1439" i="5"/>
  <c r="G1438" i="5"/>
  <c r="G1437" i="5"/>
  <c r="G1436" i="5"/>
  <c r="G1435" i="5"/>
  <c r="G1434" i="5"/>
  <c r="G1433" i="5"/>
  <c r="G1432" i="5"/>
  <c r="G1431" i="5"/>
  <c r="G1430" i="5"/>
  <c r="G1429" i="5"/>
  <c r="G1428" i="5"/>
  <c r="G1427" i="5"/>
  <c r="G1426" i="5"/>
  <c r="G1425" i="5"/>
  <c r="G1424" i="5"/>
  <c r="G1423" i="5"/>
  <c r="G1422" i="5"/>
  <c r="G1421" i="5"/>
  <c r="G1420" i="5"/>
  <c r="G1419" i="5"/>
  <c r="G1418" i="5"/>
  <c r="G1417" i="5"/>
  <c r="G1416" i="5"/>
  <c r="G1415" i="5"/>
  <c r="G1414" i="5"/>
  <c r="G1413" i="5"/>
  <c r="G1412" i="5"/>
  <c r="G1411" i="5"/>
  <c r="G1410" i="5"/>
  <c r="G1409" i="5"/>
  <c r="G1408" i="5"/>
  <c r="G1407" i="5"/>
  <c r="G1406" i="5"/>
  <c r="G1405" i="5"/>
  <c r="G1404" i="5"/>
  <c r="G1403" i="5"/>
  <c r="G1402" i="5"/>
  <c r="G1401" i="5"/>
  <c r="G1400" i="5"/>
  <c r="G1399" i="5"/>
  <c r="G1398" i="5"/>
  <c r="G1397" i="5"/>
  <c r="G1396" i="5"/>
  <c r="G1395" i="5"/>
  <c r="G1394" i="5"/>
  <c r="G1393" i="5"/>
  <c r="G1392" i="5"/>
  <c r="G1391" i="5"/>
  <c r="G1390" i="5"/>
  <c r="G1389" i="5"/>
  <c r="G1388" i="5"/>
  <c r="G1387" i="5"/>
  <c r="G1386" i="5"/>
  <c r="G1385" i="5"/>
  <c r="G1384" i="5"/>
  <c r="G1383" i="5"/>
  <c r="G1382" i="5"/>
  <c r="G1381" i="5"/>
  <c r="G1380" i="5"/>
  <c r="G1379" i="5"/>
  <c r="G1378" i="5"/>
  <c r="G1377" i="5"/>
  <c r="G1376" i="5"/>
  <c r="G1375" i="5"/>
  <c r="G1374" i="5"/>
  <c r="G1373" i="5"/>
  <c r="G1372" i="5"/>
  <c r="G1371" i="5"/>
  <c r="G1370" i="5"/>
  <c r="G1369" i="5"/>
  <c r="G1368" i="5"/>
  <c r="G1367" i="5"/>
  <c r="G1366" i="5"/>
  <c r="G1365" i="5"/>
  <c r="G1364" i="5"/>
  <c r="G1363" i="5"/>
  <c r="G1362" i="5"/>
  <c r="G1361" i="5"/>
  <c r="G1360" i="5"/>
  <c r="G1359" i="5"/>
  <c r="G1358" i="5"/>
  <c r="G1357" i="5"/>
  <c r="G1356" i="5"/>
  <c r="G1355" i="5"/>
  <c r="G1354" i="5"/>
  <c r="G1353" i="5"/>
  <c r="G1352" i="5"/>
  <c r="G1351" i="5"/>
  <c r="G1350" i="5"/>
  <c r="G1349" i="5"/>
  <c r="G1348" i="5"/>
  <c r="G1347" i="5"/>
  <c r="G1346" i="5"/>
  <c r="G1345" i="5"/>
  <c r="G1344" i="5"/>
  <c r="G1343" i="5"/>
  <c r="G1342" i="5"/>
  <c r="G1341" i="5"/>
  <c r="G1340" i="5"/>
  <c r="G1339" i="5"/>
  <c r="G1338" i="5"/>
  <c r="G1337" i="5"/>
  <c r="G1336" i="5"/>
  <c r="G1335" i="5"/>
  <c r="G1334" i="5"/>
  <c r="G1333" i="5"/>
  <c r="G1332" i="5"/>
  <c r="G1331" i="5"/>
  <c r="G1330" i="5"/>
  <c r="G1329" i="5"/>
  <c r="G1328" i="5"/>
  <c r="G1327" i="5"/>
  <c r="G1326" i="5"/>
  <c r="G1325" i="5"/>
  <c r="G1324" i="5"/>
  <c r="G1323" i="5"/>
  <c r="G1322" i="5"/>
  <c r="G1321" i="5"/>
  <c r="G1320" i="5"/>
  <c r="G1319" i="5"/>
  <c r="G1318" i="5"/>
  <c r="G1317" i="5"/>
  <c r="G1316" i="5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B10" i="5"/>
  <c r="H28" i="3"/>
  <c r="H22" i="3"/>
  <c r="I20" i="10" s="1"/>
  <c r="H23" i="3"/>
  <c r="I21" i="10" s="1"/>
  <c r="H24" i="3"/>
  <c r="H25" i="3"/>
  <c r="I23" i="10" s="1"/>
  <c r="H26" i="3"/>
  <c r="I24" i="10" s="1"/>
  <c r="H27" i="3"/>
  <c r="I25" i="10" s="1"/>
  <c r="H21" i="3"/>
  <c r="I19" i="10" s="1"/>
  <c r="H7" i="3"/>
  <c r="I7" i="10" s="1"/>
  <c r="H8" i="3"/>
  <c r="I8" i="10" s="1"/>
  <c r="H9" i="3"/>
  <c r="I9" i="10" s="1"/>
  <c r="H10" i="3"/>
  <c r="I10" i="10" s="1"/>
  <c r="H11" i="3"/>
  <c r="I11" i="10" s="1"/>
  <c r="H12" i="3"/>
  <c r="I12" i="10" s="1"/>
  <c r="H13" i="3"/>
  <c r="I13" i="10" s="1"/>
  <c r="H14" i="3"/>
  <c r="I14" i="10" s="1"/>
  <c r="H15" i="3"/>
  <c r="I15" i="10" s="1"/>
  <c r="H16" i="3"/>
  <c r="I16" i="10" s="1"/>
  <c r="H17" i="3"/>
  <c r="I17" i="10" s="1"/>
  <c r="H18" i="3"/>
  <c r="I18" i="10" s="1"/>
  <c r="H2349" i="5" l="1"/>
  <c r="I2349" i="5" s="1"/>
  <c r="J2349" i="5" s="1" a="1"/>
  <c r="J2349" i="5" s="1"/>
  <c r="H2403" i="5"/>
  <c r="I2403" i="5" s="1"/>
  <c r="J2403" i="5" s="1" a="1"/>
  <c r="J2403" i="5" s="1"/>
  <c r="H2079" i="5"/>
  <c r="I2079" i="5" s="1"/>
  <c r="J2079" i="5" s="1" a="1"/>
  <c r="J2079" i="5" s="1"/>
  <c r="X2073" i="9" s="1"/>
  <c r="H2043" i="5"/>
  <c r="I2043" i="5" s="1"/>
  <c r="J2043" i="5" s="1" a="1"/>
  <c r="J2043" i="5" s="1"/>
  <c r="X2037" i="9" s="1"/>
  <c r="H2439" i="5"/>
  <c r="I2439" i="5" s="1"/>
  <c r="J2439" i="5" s="1" a="1"/>
  <c r="J2439" i="5" s="1"/>
  <c r="X2433" i="9" s="1"/>
  <c r="H2632" i="5"/>
  <c r="I2632" i="5" s="1"/>
  <c r="J2632" i="5" s="1" a="1"/>
  <c r="J2632" i="5" s="1"/>
  <c r="H2628" i="5"/>
  <c r="I2628" i="5" s="1"/>
  <c r="J2628" i="5" s="1" a="1"/>
  <c r="J2628" i="5" s="1"/>
  <c r="H2624" i="5"/>
  <c r="I2624" i="5" s="1"/>
  <c r="J2624" i="5" s="1" a="1"/>
  <c r="J2624" i="5" s="1"/>
  <c r="H2242" i="5"/>
  <c r="I2242" i="5" s="1"/>
  <c r="J2242" i="5" s="1" a="1"/>
  <c r="J2242" i="5" s="1"/>
  <c r="H2178" i="5"/>
  <c r="I2178" i="5" s="1"/>
  <c r="J2178" i="5" s="1" a="1"/>
  <c r="J2178" i="5" s="1"/>
  <c r="H2978" i="5"/>
  <c r="I2978" i="5" s="1"/>
  <c r="J2978" i="5" s="1" a="1"/>
  <c r="J2978" i="5" s="1"/>
  <c r="X2972" i="9" s="1"/>
  <c r="H2875" i="5"/>
  <c r="I2875" i="5" s="1"/>
  <c r="J2875" i="5" s="1" a="1"/>
  <c r="J2875" i="5" s="1"/>
  <c r="X2869" i="9" s="1"/>
  <c r="H2503" i="5"/>
  <c r="I2503" i="5" s="1"/>
  <c r="J2503" i="5" s="1" a="1"/>
  <c r="J2503" i="5" s="1"/>
  <c r="X2497" i="9" s="1"/>
  <c r="H2479" i="5"/>
  <c r="I2479" i="5" s="1"/>
  <c r="J2479" i="5" s="1" a="1"/>
  <c r="J2479" i="5" s="1"/>
  <c r="X2473" i="9" s="1"/>
  <c r="H2919" i="5"/>
  <c r="I2919" i="5" s="1"/>
  <c r="J2919" i="5" s="1" a="1"/>
  <c r="J2919" i="5" s="1"/>
  <c r="X2913" i="9" s="1"/>
  <c r="H2903" i="5"/>
  <c r="I2903" i="5" s="1"/>
  <c r="J2903" i="5" s="1" a="1"/>
  <c r="J2903" i="5" s="1"/>
  <c r="X2897" i="9" s="1"/>
  <c r="H2887" i="5"/>
  <c r="I2887" i="5" s="1"/>
  <c r="J2887" i="5" s="1" a="1"/>
  <c r="J2887" i="5" s="1"/>
  <c r="X2881" i="9" s="1"/>
  <c r="H2520" i="5"/>
  <c r="I2520" i="5" s="1"/>
  <c r="J2520" i="5" s="1" a="1"/>
  <c r="J2520" i="5" s="1"/>
  <c r="X2514" i="9" s="1"/>
  <c r="H2962" i="5"/>
  <c r="I2962" i="5" s="1"/>
  <c r="J2962" i="5" s="1" a="1"/>
  <c r="J2962" i="5" s="1"/>
  <c r="X2956" i="9" s="1"/>
  <c r="H2924" i="5"/>
  <c r="I2924" i="5" s="1"/>
  <c r="J2924" i="5" s="1" a="1"/>
  <c r="J2924" i="5" s="1"/>
  <c r="X2918" i="9" s="1"/>
  <c r="H2584" i="5"/>
  <c r="I2584" i="5" s="1"/>
  <c r="J2584" i="5" s="1" a="1"/>
  <c r="J2584" i="5" s="1"/>
  <c r="X2578" i="9" s="1"/>
  <c r="H2576" i="5"/>
  <c r="I2576" i="5" s="1"/>
  <c r="J2576" i="5" s="1" a="1"/>
  <c r="J2576" i="5" s="1"/>
  <c r="X2570" i="9" s="1"/>
  <c r="H2552" i="5"/>
  <c r="I2552" i="5" s="1"/>
  <c r="J2552" i="5" s="1" a="1"/>
  <c r="J2552" i="5" s="1"/>
  <c r="X2546" i="9" s="1"/>
  <c r="H2745" i="5"/>
  <c r="I2745" i="5" s="1"/>
  <c r="J2745" i="5" s="1" a="1"/>
  <c r="J2745" i="5" s="1"/>
  <c r="X2739" i="9" s="1"/>
  <c r="H2737" i="5"/>
  <c r="I2737" i="5" s="1"/>
  <c r="J2737" i="5" s="1" a="1"/>
  <c r="J2737" i="5" s="1"/>
  <c r="X2731" i="9" s="1"/>
  <c r="H2940" i="5"/>
  <c r="I2940" i="5" s="1"/>
  <c r="J2940" i="5" s="1" a="1"/>
  <c r="J2940" i="5" s="1"/>
  <c r="X2934" i="9" s="1"/>
  <c r="H2761" i="5"/>
  <c r="I2761" i="5" s="1"/>
  <c r="J2761" i="5" s="1" a="1"/>
  <c r="J2761" i="5" s="1"/>
  <c r="X2755" i="9" s="1"/>
  <c r="H2648" i="5"/>
  <c r="I2648" i="5" s="1"/>
  <c r="J2648" i="5" s="1" a="1"/>
  <c r="J2648" i="5" s="1"/>
  <c r="X2642" i="9" s="1"/>
  <c r="H2616" i="5"/>
  <c r="I2616" i="5" s="1"/>
  <c r="J2616" i="5" s="1" a="1"/>
  <c r="J2616" i="5" s="1"/>
  <c r="X2610" i="9" s="1"/>
  <c r="H2544" i="5"/>
  <c r="I2544" i="5" s="1"/>
  <c r="J2544" i="5" s="1" a="1"/>
  <c r="J2544" i="5" s="1"/>
  <c r="X2538" i="9" s="1"/>
  <c r="H2427" i="5"/>
  <c r="I2427" i="5" s="1"/>
  <c r="J2427" i="5" s="1" a="1"/>
  <c r="J2427" i="5" s="1"/>
  <c r="X2421" i="9" s="1"/>
  <c r="H2419" i="5"/>
  <c r="I2419" i="5" s="1"/>
  <c r="J2419" i="5" s="1" a="1"/>
  <c r="J2419" i="5" s="1"/>
  <c r="X2413" i="9" s="1"/>
  <c r="H2379" i="5"/>
  <c r="I2379" i="5" s="1"/>
  <c r="J2379" i="5" s="1" a="1"/>
  <c r="J2379" i="5" s="1"/>
  <c r="X2373" i="9" s="1"/>
  <c r="H2210" i="5"/>
  <c r="I2210" i="5" s="1"/>
  <c r="J2210" i="5" s="1" a="1"/>
  <c r="J2210" i="5" s="1"/>
  <c r="X2204" i="9" s="1"/>
  <c r="H2194" i="5"/>
  <c r="I2194" i="5" s="1"/>
  <c r="J2194" i="5" s="1" a="1"/>
  <c r="J2194" i="5" s="1"/>
  <c r="X2188" i="9" s="1"/>
  <c r="H2059" i="5"/>
  <c r="I2059" i="5" s="1"/>
  <c r="J2059" i="5" s="1" a="1"/>
  <c r="J2059" i="5" s="1"/>
  <c r="X2053" i="9" s="1"/>
  <c r="H2051" i="5"/>
  <c r="I2051" i="5" s="1"/>
  <c r="J2051" i="5" s="1" a="1"/>
  <c r="J2051" i="5" s="1"/>
  <c r="X2045" i="9" s="1"/>
  <c r="H2395" i="5"/>
  <c r="I2395" i="5" s="1"/>
  <c r="J2395" i="5" s="1" a="1"/>
  <c r="J2395" i="5" s="1"/>
  <c r="X2389" i="9" s="1"/>
  <c r="H2387" i="5"/>
  <c r="I2387" i="5" s="1"/>
  <c r="J2387" i="5" s="1" a="1"/>
  <c r="J2387" i="5" s="1"/>
  <c r="X2381" i="9" s="1"/>
  <c r="H2333" i="5"/>
  <c r="I2333" i="5" s="1"/>
  <c r="J2333" i="5" s="1" a="1"/>
  <c r="J2333" i="5" s="1"/>
  <c r="X2327" i="9" s="1"/>
  <c r="H2317" i="5"/>
  <c r="I2317" i="5" s="1"/>
  <c r="J2317" i="5" s="1" a="1"/>
  <c r="J2317" i="5" s="1"/>
  <c r="X2311" i="9" s="1"/>
  <c r="H2301" i="5"/>
  <c r="I2301" i="5" s="1"/>
  <c r="J2301" i="5" s="1" a="1"/>
  <c r="J2301" i="5" s="1"/>
  <c r="X2295" i="9" s="1"/>
  <c r="H2226" i="5"/>
  <c r="I2226" i="5" s="1"/>
  <c r="J2226" i="5" s="1" a="1"/>
  <c r="J2226" i="5" s="1"/>
  <c r="X2220" i="9" s="1"/>
  <c r="H2162" i="5"/>
  <c r="I2162" i="5" s="1"/>
  <c r="J2162" i="5" s="1" a="1"/>
  <c r="J2162" i="5" s="1"/>
  <c r="X2156" i="9" s="1"/>
  <c r="H2146" i="5"/>
  <c r="I2146" i="5" s="1"/>
  <c r="J2146" i="5" s="1" a="1"/>
  <c r="J2146" i="5" s="1"/>
  <c r="X2140" i="9" s="1"/>
  <c r="H2067" i="5"/>
  <c r="I2067" i="5" s="1"/>
  <c r="J2067" i="5" s="1" a="1"/>
  <c r="J2067" i="5" s="1"/>
  <c r="X2061" i="9" s="1"/>
  <c r="H2027" i="5"/>
  <c r="I2027" i="5" s="1"/>
  <c r="J2027" i="5" s="1" a="1"/>
  <c r="J2027" i="5" s="1"/>
  <c r="X2021" i="9" s="1"/>
  <c r="H2019" i="5"/>
  <c r="I2019" i="5" s="1"/>
  <c r="J2019" i="5" s="1" a="1"/>
  <c r="J2019" i="5" s="1"/>
  <c r="X2013" i="9" s="1"/>
  <c r="H2495" i="5"/>
  <c r="I2495" i="5" s="1"/>
  <c r="J2495" i="5" s="1" a="1"/>
  <c r="J2495" i="5" s="1"/>
  <c r="X2489" i="9" s="1"/>
  <c r="H2487" i="5"/>
  <c r="I2487" i="5" s="1"/>
  <c r="J2487" i="5" s="1" a="1"/>
  <c r="J2487" i="5" s="1"/>
  <c r="X2481" i="9" s="1"/>
  <c r="H2447" i="5"/>
  <c r="I2447" i="5" s="1"/>
  <c r="J2447" i="5" s="1" a="1"/>
  <c r="J2447" i="5" s="1"/>
  <c r="X2441" i="9" s="1"/>
  <c r="H2253" i="5"/>
  <c r="I2253" i="5" s="1"/>
  <c r="J2253" i="5" s="1" a="1"/>
  <c r="J2253" i="5" s="1"/>
  <c r="X2247" i="9" s="1"/>
  <c r="H2098" i="5"/>
  <c r="I2098" i="5" s="1"/>
  <c r="J2098" i="5" s="1" a="1"/>
  <c r="J2098" i="5" s="1"/>
  <c r="X2092" i="9" s="1"/>
  <c r="H2035" i="5"/>
  <c r="I2035" i="5" s="1"/>
  <c r="J2035" i="5" s="1" a="1"/>
  <c r="J2035" i="5" s="1"/>
  <c r="X2029" i="9" s="1"/>
  <c r="H2994" i="5"/>
  <c r="I2994" i="5" s="1"/>
  <c r="J2994" i="5" s="1" a="1"/>
  <c r="J2994" i="5" s="1"/>
  <c r="X2988" i="9" s="1"/>
  <c r="H2753" i="5"/>
  <c r="I2753" i="5" s="1"/>
  <c r="J2753" i="5" s="1" a="1"/>
  <c r="J2753" i="5" s="1"/>
  <c r="X2747" i="9" s="1"/>
  <c r="H2608" i="5"/>
  <c r="I2608" i="5" s="1"/>
  <c r="J2608" i="5" s="1" a="1"/>
  <c r="J2608" i="5" s="1"/>
  <c r="X2602" i="9" s="1"/>
  <c r="H2463" i="5"/>
  <c r="I2463" i="5" s="1"/>
  <c r="J2463" i="5" s="1" a="1"/>
  <c r="J2463" i="5" s="1"/>
  <c r="X2457" i="9" s="1"/>
  <c r="H2455" i="5"/>
  <c r="I2455" i="5" s="1"/>
  <c r="J2455" i="5" s="1" a="1"/>
  <c r="J2455" i="5" s="1"/>
  <c r="X2449" i="9" s="1"/>
  <c r="H2411" i="5"/>
  <c r="I2411" i="5" s="1"/>
  <c r="J2411" i="5" s="1" a="1"/>
  <c r="J2411" i="5" s="1"/>
  <c r="X2405" i="9" s="1"/>
  <c r="H2364" i="5"/>
  <c r="I2364" i="5" s="1"/>
  <c r="J2364" i="5" s="1" a="1"/>
  <c r="J2364" i="5" s="1"/>
  <c r="X2358" i="9" s="1"/>
  <c r="H2269" i="5"/>
  <c r="I2269" i="5" s="1"/>
  <c r="J2269" i="5" s="1" a="1"/>
  <c r="J2269" i="5" s="1"/>
  <c r="X2263" i="9" s="1"/>
  <c r="H2168" i="5"/>
  <c r="I2168" i="5" s="1"/>
  <c r="J2168" i="5" s="1" a="1"/>
  <c r="J2168" i="5" s="1"/>
  <c r="X2162" i="9" s="1"/>
  <c r="H2114" i="5"/>
  <c r="I2114" i="5" s="1"/>
  <c r="J2114" i="5" s="1" a="1"/>
  <c r="J2114" i="5" s="1"/>
  <c r="X2108" i="9" s="1"/>
  <c r="H2110" i="5"/>
  <c r="I2110" i="5" s="1"/>
  <c r="J2110" i="5" s="1" a="1"/>
  <c r="J2110" i="5" s="1"/>
  <c r="X2104" i="9" s="1"/>
  <c r="H2986" i="5"/>
  <c r="I2986" i="5" s="1"/>
  <c r="J2986" i="5" s="1" a="1"/>
  <c r="J2986" i="5" s="1"/>
  <c r="X2980" i="9" s="1"/>
  <c r="H2948" i="5"/>
  <c r="I2948" i="5" s="1"/>
  <c r="J2948" i="5" s="1" a="1"/>
  <c r="J2948" i="5" s="1"/>
  <c r="X2942" i="9" s="1"/>
  <c r="H2944" i="5"/>
  <c r="I2944" i="5" s="1"/>
  <c r="J2944" i="5" s="1" a="1"/>
  <c r="J2944" i="5" s="1"/>
  <c r="X2938" i="9" s="1"/>
  <c r="H2936" i="5"/>
  <c r="I2936" i="5" s="1"/>
  <c r="J2936" i="5" s="1" a="1"/>
  <c r="J2936" i="5" s="1"/>
  <c r="X2930" i="9" s="1"/>
  <c r="H2883" i="5"/>
  <c r="I2883" i="5" s="1"/>
  <c r="J2883" i="5" s="1" a="1"/>
  <c r="J2883" i="5" s="1"/>
  <c r="X2877" i="9" s="1"/>
  <c r="H2879" i="5"/>
  <c r="I2879" i="5" s="1"/>
  <c r="J2879" i="5" s="1" a="1"/>
  <c r="J2879" i="5" s="1"/>
  <c r="X2873" i="9" s="1"/>
  <c r="H2172" i="5"/>
  <c r="I2172" i="5" s="1"/>
  <c r="J2172" i="5" s="1" a="1"/>
  <c r="J2172" i="5" s="1"/>
  <c r="X2166" i="9" s="1"/>
  <c r="H2150" i="5"/>
  <c r="I2150" i="5" s="1"/>
  <c r="J2150" i="5" s="1" a="1"/>
  <c r="J2150" i="5" s="1"/>
  <c r="X2144" i="9" s="1"/>
  <c r="H2982" i="5"/>
  <c r="I2982" i="5" s="1"/>
  <c r="J2982" i="5" s="1" a="1"/>
  <c r="J2982" i="5" s="1"/>
  <c r="X2976" i="9" s="1"/>
  <c r="H2990" i="5"/>
  <c r="I2990" i="5" s="1"/>
  <c r="J2990" i="5" s="1" a="1"/>
  <c r="J2990" i="5" s="1"/>
  <c r="X2984" i="9" s="1"/>
  <c r="H2970" i="5"/>
  <c r="I2970" i="5" s="1"/>
  <c r="J2970" i="5" s="1" a="1"/>
  <c r="J2970" i="5" s="1"/>
  <c r="X2964" i="9" s="1"/>
  <c r="H2966" i="5"/>
  <c r="I2966" i="5" s="1"/>
  <c r="J2966" i="5" s="1" a="1"/>
  <c r="J2966" i="5" s="1"/>
  <c r="X2960" i="9" s="1"/>
  <c r="H2932" i="5"/>
  <c r="I2932" i="5" s="1"/>
  <c r="J2932" i="5" s="1" a="1"/>
  <c r="J2932" i="5" s="1"/>
  <c r="X2926" i="9" s="1"/>
  <c r="H2928" i="5"/>
  <c r="I2928" i="5" s="1"/>
  <c r="J2928" i="5" s="1" a="1"/>
  <c r="J2928" i="5" s="1"/>
  <c r="X2922" i="9" s="1"/>
  <c r="H2915" i="5"/>
  <c r="I2915" i="5" s="1"/>
  <c r="J2915" i="5" s="1" a="1"/>
  <c r="J2915" i="5" s="1"/>
  <c r="X2909" i="9" s="1"/>
  <c r="H2870" i="5"/>
  <c r="I2870" i="5" s="1"/>
  <c r="J2870" i="5" s="1" a="1"/>
  <c r="J2870" i="5" s="1"/>
  <c r="X2864" i="9" s="1"/>
  <c r="H2862" i="5"/>
  <c r="I2862" i="5" s="1"/>
  <c r="J2862" i="5" s="1" a="1"/>
  <c r="J2862" i="5" s="1"/>
  <c r="X2856" i="9" s="1"/>
  <c r="H2854" i="5"/>
  <c r="I2854" i="5" s="1"/>
  <c r="J2854" i="5" s="1" a="1"/>
  <c r="J2854" i="5" s="1"/>
  <c r="X2848" i="9" s="1"/>
  <c r="H2846" i="5"/>
  <c r="I2846" i="5" s="1"/>
  <c r="J2846" i="5" s="1" a="1"/>
  <c r="J2846" i="5" s="1"/>
  <c r="X2840" i="9" s="1"/>
  <c r="H2838" i="5"/>
  <c r="I2838" i="5" s="1"/>
  <c r="J2838" i="5" s="1" a="1"/>
  <c r="J2838" i="5" s="1"/>
  <c r="X2832" i="9" s="1"/>
  <c r="H2830" i="5"/>
  <c r="I2830" i="5" s="1"/>
  <c r="J2830" i="5" s="1" a="1"/>
  <c r="J2830" i="5" s="1"/>
  <c r="X2824" i="9" s="1"/>
  <c r="H2600" i="5"/>
  <c r="I2600" i="5" s="1"/>
  <c r="J2600" i="5" s="1" a="1"/>
  <c r="J2600" i="5" s="1"/>
  <c r="X2594" i="9" s="1"/>
  <c r="H2592" i="5"/>
  <c r="I2592" i="5" s="1"/>
  <c r="J2592" i="5" s="1" a="1"/>
  <c r="J2592" i="5" s="1"/>
  <c r="X2586" i="9" s="1"/>
  <c r="H2536" i="5"/>
  <c r="I2536" i="5" s="1"/>
  <c r="J2536" i="5" s="1" a="1"/>
  <c r="J2536" i="5" s="1"/>
  <c r="X2530" i="9" s="1"/>
  <c r="H2528" i="5"/>
  <c r="I2528" i="5" s="1"/>
  <c r="J2528" i="5" s="1" a="1"/>
  <c r="J2528" i="5" s="1"/>
  <c r="X2522" i="9" s="1"/>
  <c r="H2974" i="5"/>
  <c r="I2974" i="5" s="1"/>
  <c r="J2974" i="5" s="1" a="1"/>
  <c r="J2974" i="5" s="1"/>
  <c r="X2968" i="9" s="1"/>
  <c r="H2954" i="5"/>
  <c r="I2954" i="5" s="1"/>
  <c r="J2954" i="5" s="1" a="1"/>
  <c r="J2954" i="5" s="1"/>
  <c r="X2948" i="9" s="1"/>
  <c r="H2950" i="5"/>
  <c r="I2950" i="5" s="1"/>
  <c r="J2950" i="5" s="1" a="1"/>
  <c r="J2950" i="5" s="1"/>
  <c r="X2944" i="9" s="1"/>
  <c r="H2911" i="5"/>
  <c r="I2911" i="5" s="1"/>
  <c r="J2911" i="5" s="1" a="1"/>
  <c r="J2911" i="5" s="1"/>
  <c r="X2905" i="9" s="1"/>
  <c r="H2907" i="5"/>
  <c r="I2907" i="5" s="1"/>
  <c r="J2907" i="5" s="1" a="1"/>
  <c r="J2907" i="5" s="1"/>
  <c r="X2901" i="9" s="1"/>
  <c r="H2899" i="5"/>
  <c r="I2899" i="5" s="1"/>
  <c r="J2899" i="5" s="1" a="1"/>
  <c r="J2899" i="5" s="1"/>
  <c r="X2893" i="9" s="1"/>
  <c r="H2891" i="5"/>
  <c r="I2891" i="5" s="1"/>
  <c r="J2891" i="5" s="1" a="1"/>
  <c r="J2891" i="5" s="1"/>
  <c r="X2885" i="9" s="1"/>
  <c r="H2869" i="5"/>
  <c r="I2869" i="5" s="1"/>
  <c r="J2869" i="5" s="1" a="1"/>
  <c r="J2869" i="5" s="1"/>
  <c r="X2863" i="9" s="1"/>
  <c r="H2861" i="5"/>
  <c r="I2861" i="5" s="1"/>
  <c r="J2861" i="5" s="1" a="1"/>
  <c r="J2861" i="5" s="1"/>
  <c r="X2855" i="9" s="1"/>
  <c r="H2853" i="5"/>
  <c r="I2853" i="5" s="1"/>
  <c r="J2853" i="5" s="1" a="1"/>
  <c r="J2853" i="5" s="1"/>
  <c r="X2847" i="9" s="1"/>
  <c r="H2845" i="5"/>
  <c r="I2845" i="5" s="1"/>
  <c r="J2845" i="5" s="1" a="1"/>
  <c r="J2845" i="5" s="1"/>
  <c r="X2839" i="9" s="1"/>
  <c r="H2837" i="5"/>
  <c r="I2837" i="5" s="1"/>
  <c r="J2837" i="5" s="1" a="1"/>
  <c r="J2837" i="5" s="1"/>
  <c r="X2831" i="9" s="1"/>
  <c r="H2829" i="5"/>
  <c r="I2829" i="5" s="1"/>
  <c r="J2829" i="5" s="1" a="1"/>
  <c r="J2829" i="5" s="1"/>
  <c r="X2823" i="9" s="1"/>
  <c r="H2821" i="5"/>
  <c r="I2821" i="5" s="1"/>
  <c r="J2821" i="5" s="1" a="1"/>
  <c r="J2821" i="5" s="1"/>
  <c r="X2815" i="9" s="1"/>
  <c r="H2813" i="5"/>
  <c r="I2813" i="5" s="1"/>
  <c r="J2813" i="5" s="1" a="1"/>
  <c r="J2813" i="5" s="1"/>
  <c r="X2807" i="9" s="1"/>
  <c r="H2805" i="5"/>
  <c r="I2805" i="5" s="1"/>
  <c r="J2805" i="5" s="1" a="1"/>
  <c r="J2805" i="5" s="1"/>
  <c r="X2799" i="9" s="1"/>
  <c r="H2797" i="5"/>
  <c r="I2797" i="5" s="1"/>
  <c r="J2797" i="5" s="1" a="1"/>
  <c r="J2797" i="5" s="1"/>
  <c r="X2791" i="9" s="1"/>
  <c r="H2789" i="5"/>
  <c r="I2789" i="5" s="1"/>
  <c r="J2789" i="5" s="1" a="1"/>
  <c r="J2789" i="5" s="1"/>
  <c r="X2783" i="9" s="1"/>
  <c r="H2781" i="5"/>
  <c r="I2781" i="5" s="1"/>
  <c r="J2781" i="5" s="1" a="1"/>
  <c r="J2781" i="5" s="1"/>
  <c r="X2775" i="9" s="1"/>
  <c r="H2773" i="5"/>
  <c r="I2773" i="5" s="1"/>
  <c r="J2773" i="5" s="1" a="1"/>
  <c r="J2773" i="5" s="1"/>
  <c r="X2767" i="9" s="1"/>
  <c r="H2361" i="5"/>
  <c r="I2361" i="5" s="1"/>
  <c r="J2361" i="5" s="1" a="1"/>
  <c r="J2361" i="5" s="1"/>
  <c r="X2355" i="9" s="1"/>
  <c r="H2329" i="5"/>
  <c r="I2329" i="5" s="1"/>
  <c r="J2329" i="5" s="1" a="1"/>
  <c r="J2329" i="5" s="1"/>
  <c r="X2323" i="9" s="1"/>
  <c r="H2265" i="5"/>
  <c r="I2265" i="5" s="1"/>
  <c r="J2265" i="5" s="1" a="1"/>
  <c r="J2265" i="5" s="1"/>
  <c r="X2259" i="9" s="1"/>
  <c r="H2222" i="5"/>
  <c r="I2222" i="5" s="1"/>
  <c r="J2222" i="5" s="1" a="1"/>
  <c r="J2222" i="5" s="1"/>
  <c r="X2216" i="9" s="1"/>
  <c r="H2118" i="5"/>
  <c r="I2118" i="5" s="1"/>
  <c r="J2118" i="5" s="1" a="1"/>
  <c r="J2118" i="5" s="1"/>
  <c r="X2112" i="9" s="1"/>
  <c r="H2083" i="5"/>
  <c r="I2083" i="5" s="1"/>
  <c r="J2083" i="5" s="1" a="1"/>
  <c r="J2083" i="5" s="1"/>
  <c r="X2077" i="9" s="1"/>
  <c r="H2958" i="5"/>
  <c r="I2958" i="5" s="1"/>
  <c r="J2958" i="5" s="1" a="1"/>
  <c r="J2958" i="5" s="1"/>
  <c r="X2952" i="9" s="1"/>
  <c r="H2895" i="5"/>
  <c r="I2895" i="5" s="1"/>
  <c r="J2895" i="5" s="1" a="1"/>
  <c r="J2895" i="5" s="1"/>
  <c r="X2889" i="9" s="1"/>
  <c r="H2873" i="5"/>
  <c r="I2873" i="5" s="1"/>
  <c r="J2873" i="5" s="1" a="1"/>
  <c r="J2873" i="5" s="1"/>
  <c r="X2867" i="9" s="1"/>
  <c r="H2865" i="5"/>
  <c r="I2865" i="5" s="1"/>
  <c r="J2865" i="5" s="1" a="1"/>
  <c r="J2865" i="5" s="1"/>
  <c r="X2859" i="9" s="1"/>
  <c r="H2857" i="5"/>
  <c r="I2857" i="5" s="1"/>
  <c r="J2857" i="5" s="1" a="1"/>
  <c r="J2857" i="5" s="1"/>
  <c r="X2851" i="9" s="1"/>
  <c r="H2849" i="5"/>
  <c r="I2849" i="5" s="1"/>
  <c r="J2849" i="5" s="1" a="1"/>
  <c r="J2849" i="5" s="1"/>
  <c r="X2843" i="9" s="1"/>
  <c r="H2841" i="5"/>
  <c r="I2841" i="5" s="1"/>
  <c r="J2841" i="5" s="1" a="1"/>
  <c r="J2841" i="5" s="1"/>
  <c r="X2835" i="9" s="1"/>
  <c r="H2833" i="5"/>
  <c r="I2833" i="5" s="1"/>
  <c r="J2833" i="5" s="1" a="1"/>
  <c r="J2833" i="5" s="1"/>
  <c r="X2827" i="9" s="1"/>
  <c r="H2825" i="5"/>
  <c r="I2825" i="5" s="1"/>
  <c r="J2825" i="5" s="1" a="1"/>
  <c r="J2825" i="5" s="1"/>
  <c r="X2819" i="9" s="1"/>
  <c r="H2817" i="5"/>
  <c r="I2817" i="5" s="1"/>
  <c r="J2817" i="5" s="1" a="1"/>
  <c r="J2817" i="5" s="1"/>
  <c r="X2811" i="9" s="1"/>
  <c r="H2809" i="5"/>
  <c r="I2809" i="5" s="1"/>
  <c r="J2809" i="5" s="1" a="1"/>
  <c r="J2809" i="5" s="1"/>
  <c r="X2803" i="9" s="1"/>
  <c r="H2801" i="5"/>
  <c r="I2801" i="5" s="1"/>
  <c r="J2801" i="5" s="1" a="1"/>
  <c r="J2801" i="5" s="1"/>
  <c r="X2795" i="9" s="1"/>
  <c r="H2793" i="5"/>
  <c r="I2793" i="5" s="1"/>
  <c r="J2793" i="5" s="1" a="1"/>
  <c r="J2793" i="5" s="1"/>
  <c r="X2787" i="9" s="1"/>
  <c r="H2785" i="5"/>
  <c r="I2785" i="5" s="1"/>
  <c r="J2785" i="5" s="1" a="1"/>
  <c r="J2785" i="5" s="1"/>
  <c r="X2779" i="9" s="1"/>
  <c r="H2777" i="5"/>
  <c r="I2777" i="5" s="1"/>
  <c r="J2777" i="5" s="1" a="1"/>
  <c r="J2777" i="5" s="1"/>
  <c r="X2771" i="9" s="1"/>
  <c r="H2769" i="5"/>
  <c r="I2769" i="5" s="1"/>
  <c r="J2769" i="5" s="1" a="1"/>
  <c r="J2769" i="5" s="1"/>
  <c r="X2763" i="9" s="1"/>
  <c r="H2640" i="5"/>
  <c r="I2640" i="5" s="1"/>
  <c r="J2640" i="5" s="1" a="1"/>
  <c r="J2640" i="5" s="1"/>
  <c r="X2634" i="9" s="1"/>
  <c r="H2568" i="5"/>
  <c r="I2568" i="5" s="1"/>
  <c r="J2568" i="5" s="1" a="1"/>
  <c r="J2568" i="5" s="1"/>
  <c r="X2562" i="9" s="1"/>
  <c r="H2560" i="5"/>
  <c r="I2560" i="5" s="1"/>
  <c r="J2560" i="5" s="1" a="1"/>
  <c r="J2560" i="5" s="1"/>
  <c r="X2554" i="9" s="1"/>
  <c r="H2516" i="5"/>
  <c r="I2516" i="5" s="1"/>
  <c r="J2516" i="5" s="1" a="1"/>
  <c r="J2516" i="5" s="1"/>
  <c r="X2510" i="9" s="1"/>
  <c r="H2313" i="5"/>
  <c r="I2313" i="5" s="1"/>
  <c r="J2313" i="5" s="1" a="1"/>
  <c r="J2313" i="5" s="1"/>
  <c r="X2307" i="9" s="1"/>
  <c r="H2206" i="5"/>
  <c r="I2206" i="5" s="1"/>
  <c r="J2206" i="5" s="1" a="1"/>
  <c r="J2206" i="5" s="1"/>
  <c r="X2200" i="9" s="1"/>
  <c r="H2158" i="5"/>
  <c r="I2158" i="5" s="1"/>
  <c r="J2158" i="5" s="1" a="1"/>
  <c r="J2158" i="5" s="1"/>
  <c r="X2152" i="9" s="1"/>
  <c r="H2084" i="5"/>
  <c r="I2084" i="5" s="1"/>
  <c r="J2084" i="5" s="1" a="1"/>
  <c r="J2084" i="5" s="1"/>
  <c r="X2078" i="9" s="1"/>
  <c r="H2992" i="5"/>
  <c r="I2992" i="5" s="1"/>
  <c r="J2992" i="5" s="1" a="1"/>
  <c r="J2992" i="5" s="1"/>
  <c r="X2986" i="9" s="1"/>
  <c r="H2981" i="5"/>
  <c r="I2981" i="5" s="1"/>
  <c r="J2981" i="5" s="1" a="1"/>
  <c r="J2981" i="5" s="1"/>
  <c r="X2975" i="9" s="1"/>
  <c r="H2976" i="5"/>
  <c r="I2976" i="5" s="1"/>
  <c r="J2976" i="5" s="1" a="1"/>
  <c r="J2976" i="5" s="1"/>
  <c r="X2970" i="9" s="1"/>
  <c r="H2965" i="5"/>
  <c r="I2965" i="5" s="1"/>
  <c r="J2965" i="5" s="1" a="1"/>
  <c r="J2965" i="5" s="1"/>
  <c r="X2959" i="9" s="1"/>
  <c r="H2960" i="5"/>
  <c r="I2960" i="5" s="1"/>
  <c r="J2960" i="5" s="1" a="1"/>
  <c r="J2960" i="5" s="1"/>
  <c r="X2954" i="9" s="1"/>
  <c r="H2933" i="5"/>
  <c r="I2933" i="5" s="1"/>
  <c r="H2908" i="5"/>
  <c r="I2908" i="5" s="1"/>
  <c r="H2894" i="5"/>
  <c r="I2894" i="5" s="1"/>
  <c r="J2894" i="5" s="1" a="1"/>
  <c r="J2894" i="5" s="1"/>
  <c r="X2888" i="9" s="1"/>
  <c r="H2884" i="5"/>
  <c r="I2884" i="5" s="1"/>
  <c r="H2878" i="5"/>
  <c r="I2878" i="5" s="1"/>
  <c r="J2878" i="5" s="1" a="1"/>
  <c r="J2878" i="5" s="1"/>
  <c r="X2872" i="9" s="1"/>
  <c r="H2757" i="5"/>
  <c r="I2757" i="5" s="1"/>
  <c r="J2757" i="5" s="1" a="1"/>
  <c r="J2757" i="5" s="1"/>
  <c r="X2751" i="9" s="1"/>
  <c r="H2741" i="5"/>
  <c r="I2741" i="5" s="1"/>
  <c r="J2741" i="5" s="1" a="1"/>
  <c r="J2741" i="5" s="1"/>
  <c r="X2735" i="9" s="1"/>
  <c r="H2601" i="5"/>
  <c r="I2601" i="5" s="1"/>
  <c r="J2601" i="5" s="1" a="1"/>
  <c r="J2601" i="5" s="1"/>
  <c r="X2595" i="9" s="1"/>
  <c r="H2588" i="5"/>
  <c r="I2588" i="5" s="1"/>
  <c r="J2588" i="5" s="1" a="1"/>
  <c r="J2588" i="5" s="1"/>
  <c r="X2582" i="9" s="1"/>
  <c r="H2569" i="5"/>
  <c r="I2569" i="5" s="1"/>
  <c r="J2569" i="5" s="1" a="1"/>
  <c r="J2569" i="5" s="1"/>
  <c r="X2563" i="9" s="1"/>
  <c r="H2537" i="5"/>
  <c r="I2537" i="5" s="1"/>
  <c r="J2537" i="5" s="1" a="1"/>
  <c r="J2537" i="5" s="1"/>
  <c r="X2531" i="9" s="1"/>
  <c r="H2506" i="5"/>
  <c r="I2506" i="5" s="1"/>
  <c r="J2506" i="5" s="1" a="1"/>
  <c r="J2506" i="5" s="1"/>
  <c r="X2500" i="9" s="1"/>
  <c r="H2491" i="5"/>
  <c r="I2491" i="5" s="1"/>
  <c r="J2491" i="5" s="1" a="1"/>
  <c r="J2491" i="5" s="1"/>
  <c r="X2485" i="9" s="1"/>
  <c r="H2475" i="5"/>
  <c r="I2475" i="5" s="1"/>
  <c r="J2475" i="5" s="1" a="1"/>
  <c r="J2475" i="5" s="1"/>
  <c r="X2469" i="9" s="1"/>
  <c r="H2459" i="5"/>
  <c r="I2459" i="5" s="1"/>
  <c r="J2459" i="5" s="1" a="1"/>
  <c r="J2459" i="5" s="1"/>
  <c r="X2453" i="9" s="1"/>
  <c r="H2443" i="5"/>
  <c r="I2443" i="5" s="1"/>
  <c r="J2443" i="5" s="1" a="1"/>
  <c r="J2443" i="5" s="1"/>
  <c r="X2437" i="9" s="1"/>
  <c r="H2399" i="5"/>
  <c r="I2399" i="5" s="1"/>
  <c r="J2399" i="5" s="1" a="1"/>
  <c r="J2399" i="5" s="1"/>
  <c r="X2393" i="9" s="1"/>
  <c r="H2015" i="5"/>
  <c r="I2015" i="5" s="1"/>
  <c r="J2015" i="5" s="1" a="1"/>
  <c r="J2015" i="5" s="1"/>
  <c r="X2009" i="9" s="1"/>
  <c r="H2993" i="5"/>
  <c r="I2993" i="5" s="1"/>
  <c r="J2993" i="5" s="1" a="1"/>
  <c r="J2993" i="5" s="1"/>
  <c r="X2987" i="9" s="1"/>
  <c r="H2988" i="5"/>
  <c r="I2988" i="5" s="1"/>
  <c r="J2988" i="5" s="1" a="1"/>
  <c r="J2988" i="5" s="1"/>
  <c r="X2982" i="9" s="1"/>
  <c r="H2977" i="5"/>
  <c r="I2977" i="5" s="1"/>
  <c r="J2977" i="5" s="1" a="1"/>
  <c r="J2977" i="5" s="1"/>
  <c r="X2971" i="9" s="1"/>
  <c r="H2972" i="5"/>
  <c r="I2972" i="5" s="1"/>
  <c r="J2972" i="5" s="1" a="1"/>
  <c r="J2972" i="5" s="1"/>
  <c r="X2966" i="9" s="1"/>
  <c r="H2961" i="5"/>
  <c r="I2961" i="5" s="1"/>
  <c r="J2961" i="5" s="1" a="1"/>
  <c r="J2961" i="5" s="1"/>
  <c r="X2955" i="9" s="1"/>
  <c r="H2945" i="5"/>
  <c r="I2945" i="5" s="1"/>
  <c r="H2929" i="5"/>
  <c r="I2929" i="5" s="1"/>
  <c r="H2923" i="5"/>
  <c r="I2923" i="5" s="1"/>
  <c r="J2923" i="5" s="1" a="1"/>
  <c r="J2923" i="5" s="1"/>
  <c r="X2917" i="9" s="1"/>
  <c r="H2897" i="5"/>
  <c r="I2897" i="5" s="1"/>
  <c r="J2897" i="5" s="1" a="1"/>
  <c r="J2897" i="5" s="1"/>
  <c r="X2891" i="9" s="1"/>
  <c r="H2888" i="5"/>
  <c r="I2888" i="5" s="1"/>
  <c r="H2882" i="5"/>
  <c r="I2882" i="5" s="1"/>
  <c r="J2882" i="5" s="1" a="1"/>
  <c r="J2882" i="5" s="1"/>
  <c r="X2876" i="9" s="1"/>
  <c r="H2818" i="5"/>
  <c r="I2818" i="5" s="1"/>
  <c r="J2818" i="5" s="1" a="1"/>
  <c r="J2818" i="5" s="1"/>
  <c r="X2812" i="9" s="1"/>
  <c r="H2810" i="5"/>
  <c r="I2810" i="5" s="1"/>
  <c r="J2810" i="5" s="1" a="1"/>
  <c r="J2810" i="5" s="1"/>
  <c r="X2804" i="9" s="1"/>
  <c r="H2802" i="5"/>
  <c r="I2802" i="5" s="1"/>
  <c r="J2802" i="5" s="1" a="1"/>
  <c r="J2802" i="5" s="1"/>
  <c r="X2796" i="9" s="1"/>
  <c r="H2794" i="5"/>
  <c r="I2794" i="5" s="1"/>
  <c r="J2794" i="5" s="1" a="1"/>
  <c r="J2794" i="5" s="1"/>
  <c r="X2788" i="9" s="1"/>
  <c r="H2786" i="5"/>
  <c r="I2786" i="5" s="1"/>
  <c r="J2786" i="5" s="1" a="1"/>
  <c r="J2786" i="5" s="1"/>
  <c r="X2780" i="9" s="1"/>
  <c r="H2778" i="5"/>
  <c r="I2778" i="5" s="1"/>
  <c r="J2778" i="5" s="1" a="1"/>
  <c r="J2778" i="5" s="1"/>
  <c r="X2772" i="9" s="1"/>
  <c r="H2770" i="5"/>
  <c r="I2770" i="5" s="1"/>
  <c r="J2770" i="5" s="1" a="1"/>
  <c r="J2770" i="5" s="1"/>
  <c r="X2764" i="9" s="1"/>
  <c r="H2758" i="5"/>
  <c r="I2758" i="5" s="1"/>
  <c r="J2758" i="5" s="1" a="1"/>
  <c r="J2758" i="5" s="1"/>
  <c r="X2752" i="9" s="1"/>
  <c r="H2742" i="5"/>
  <c r="I2742" i="5" s="1"/>
  <c r="J2742" i="5" s="1" a="1"/>
  <c r="J2742" i="5" s="1"/>
  <c r="X2736" i="9" s="1"/>
  <c r="H2652" i="5"/>
  <c r="I2652" i="5" s="1"/>
  <c r="J2652" i="5" s="1" a="1"/>
  <c r="J2652" i="5" s="1"/>
  <c r="X2646" i="9" s="1"/>
  <c r="H2620" i="5"/>
  <c r="I2620" i="5" s="1"/>
  <c r="J2620" i="5" s="1" a="1"/>
  <c r="J2620" i="5" s="1"/>
  <c r="X2614" i="9" s="1"/>
  <c r="H2612" i="5"/>
  <c r="I2612" i="5" s="1"/>
  <c r="J2612" i="5" s="1" a="1"/>
  <c r="J2612" i="5" s="1"/>
  <c r="X2606" i="9" s="1"/>
  <c r="H2593" i="5"/>
  <c r="I2593" i="5" s="1"/>
  <c r="J2593" i="5" s="1" a="1"/>
  <c r="J2593" i="5" s="1"/>
  <c r="X2587" i="9" s="1"/>
  <c r="H2580" i="5"/>
  <c r="I2580" i="5" s="1"/>
  <c r="J2580" i="5" s="1" a="1"/>
  <c r="J2580" i="5" s="1"/>
  <c r="X2574" i="9" s="1"/>
  <c r="H2561" i="5"/>
  <c r="I2561" i="5" s="1"/>
  <c r="J2561" i="5" s="1" a="1"/>
  <c r="J2561" i="5" s="1"/>
  <c r="X2555" i="9" s="1"/>
  <c r="H2556" i="5"/>
  <c r="I2556" i="5" s="1"/>
  <c r="J2556" i="5" s="1" a="1"/>
  <c r="J2556" i="5" s="1"/>
  <c r="X2550" i="9" s="1"/>
  <c r="H2548" i="5"/>
  <c r="I2548" i="5" s="1"/>
  <c r="J2548" i="5" s="1" a="1"/>
  <c r="J2548" i="5" s="1"/>
  <c r="X2542" i="9" s="1"/>
  <c r="H2529" i="5"/>
  <c r="I2529" i="5" s="1"/>
  <c r="J2529" i="5" s="1" a="1"/>
  <c r="J2529" i="5" s="1"/>
  <c r="X2523" i="9" s="1"/>
  <c r="H2524" i="5"/>
  <c r="I2524" i="5" s="1"/>
  <c r="J2524" i="5" s="1" a="1"/>
  <c r="J2524" i="5" s="1"/>
  <c r="X2518" i="9" s="1"/>
  <c r="H2507" i="5"/>
  <c r="I2507" i="5" s="1"/>
  <c r="J2507" i="5" s="1" a="1"/>
  <c r="J2507" i="5" s="1"/>
  <c r="X2501" i="9" s="1"/>
  <c r="H2492" i="5"/>
  <c r="I2492" i="5" s="1"/>
  <c r="J2492" i="5" s="1" a="1"/>
  <c r="J2492" i="5" s="1"/>
  <c r="X2486" i="9" s="1"/>
  <c r="H2476" i="5"/>
  <c r="I2476" i="5" s="1"/>
  <c r="J2476" i="5" s="1" a="1"/>
  <c r="J2476" i="5" s="1"/>
  <c r="X2470" i="9" s="1"/>
  <c r="H2460" i="5"/>
  <c r="I2460" i="5" s="1"/>
  <c r="J2460" i="5" s="1" a="1"/>
  <c r="J2460" i="5" s="1"/>
  <c r="X2454" i="9" s="1"/>
  <c r="H2444" i="5"/>
  <c r="I2444" i="5" s="1"/>
  <c r="J2444" i="5" s="1" a="1"/>
  <c r="J2444" i="5" s="1"/>
  <c r="X2438" i="9" s="1"/>
  <c r="H2415" i="5"/>
  <c r="I2415" i="5" s="1"/>
  <c r="J2415" i="5" s="1" a="1"/>
  <c r="J2415" i="5" s="1"/>
  <c r="X2409" i="9" s="1"/>
  <c r="H2031" i="5"/>
  <c r="I2031" i="5" s="1"/>
  <c r="J2031" i="5" s="1" a="1"/>
  <c r="J2031" i="5" s="1"/>
  <c r="X2025" i="9" s="1"/>
  <c r="H2989" i="5"/>
  <c r="I2989" i="5" s="1"/>
  <c r="J2989" i="5" s="1" a="1"/>
  <c r="J2989" i="5" s="1"/>
  <c r="X2983" i="9" s="1"/>
  <c r="H2984" i="5"/>
  <c r="I2984" i="5" s="1"/>
  <c r="J2984" i="5" s="1" a="1"/>
  <c r="J2984" i="5" s="1"/>
  <c r="X2978" i="9" s="1"/>
  <c r="H2973" i="5"/>
  <c r="I2973" i="5" s="1"/>
  <c r="J2973" i="5" s="1" a="1"/>
  <c r="J2973" i="5" s="1"/>
  <c r="X2967" i="9" s="1"/>
  <c r="H2957" i="5"/>
  <c r="I2957" i="5" s="1"/>
  <c r="J2957" i="5" s="1" a="1"/>
  <c r="J2957" i="5" s="1"/>
  <c r="X2951" i="9" s="1"/>
  <c r="H2941" i="5"/>
  <c r="I2941" i="5" s="1"/>
  <c r="H2925" i="5"/>
  <c r="I2925" i="5" s="1"/>
  <c r="H2916" i="5"/>
  <c r="I2916" i="5" s="1"/>
  <c r="H2900" i="5"/>
  <c r="I2900" i="5" s="1"/>
  <c r="J2900" i="5" s="1" a="1"/>
  <c r="J2900" i="5" s="1"/>
  <c r="X2894" i="9" s="1"/>
  <c r="H2892" i="5"/>
  <c r="I2892" i="5" s="1"/>
  <c r="H2886" i="5"/>
  <c r="I2886" i="5" s="1"/>
  <c r="J2886" i="5" s="1" a="1"/>
  <c r="J2886" i="5" s="1"/>
  <c r="X2880" i="9" s="1"/>
  <c r="H2866" i="5"/>
  <c r="I2866" i="5" s="1"/>
  <c r="J2866" i="5" s="1" a="1"/>
  <c r="J2866" i="5" s="1"/>
  <c r="X2860" i="9" s="1"/>
  <c r="H2858" i="5"/>
  <c r="I2858" i="5" s="1"/>
  <c r="J2858" i="5" s="1" a="1"/>
  <c r="J2858" i="5" s="1"/>
  <c r="X2852" i="9" s="1"/>
  <c r="H2850" i="5"/>
  <c r="I2850" i="5" s="1"/>
  <c r="J2850" i="5" s="1" a="1"/>
  <c r="J2850" i="5" s="1"/>
  <c r="X2844" i="9" s="1"/>
  <c r="H2842" i="5"/>
  <c r="I2842" i="5" s="1"/>
  <c r="J2842" i="5" s="1" a="1"/>
  <c r="J2842" i="5" s="1"/>
  <c r="X2836" i="9" s="1"/>
  <c r="H2834" i="5"/>
  <c r="I2834" i="5" s="1"/>
  <c r="J2834" i="5" s="1" a="1"/>
  <c r="J2834" i="5" s="1"/>
  <c r="X2828" i="9" s="1"/>
  <c r="H2826" i="5"/>
  <c r="I2826" i="5" s="1"/>
  <c r="J2826" i="5" s="1" a="1"/>
  <c r="J2826" i="5" s="1"/>
  <c r="X2820" i="9" s="1"/>
  <c r="H2765" i="5"/>
  <c r="I2765" i="5" s="1"/>
  <c r="J2765" i="5" s="1" a="1"/>
  <c r="J2765" i="5" s="1"/>
  <c r="X2759" i="9" s="1"/>
  <c r="H2749" i="5"/>
  <c r="I2749" i="5" s="1"/>
  <c r="J2749" i="5" s="1" a="1"/>
  <c r="J2749" i="5" s="1"/>
  <c r="X2743" i="9" s="1"/>
  <c r="H2733" i="5"/>
  <c r="I2733" i="5" s="1"/>
  <c r="J2733" i="5" s="1" a="1"/>
  <c r="J2733" i="5" s="1"/>
  <c r="X2727" i="9" s="1"/>
  <c r="H2729" i="5"/>
  <c r="I2729" i="5" s="1"/>
  <c r="J2729" i="5" s="1" a="1"/>
  <c r="J2729" i="5" s="1"/>
  <c r="X2723" i="9" s="1"/>
  <c r="H2721" i="5"/>
  <c r="I2721" i="5" s="1"/>
  <c r="J2721" i="5" s="1" a="1"/>
  <c r="J2721" i="5" s="1"/>
  <c r="X2715" i="9" s="1"/>
  <c r="H2713" i="5"/>
  <c r="I2713" i="5" s="1"/>
  <c r="J2713" i="5" s="1" a="1"/>
  <c r="J2713" i="5" s="1"/>
  <c r="X2707" i="9" s="1"/>
  <c r="H2705" i="5"/>
  <c r="I2705" i="5" s="1"/>
  <c r="J2705" i="5" s="1" a="1"/>
  <c r="J2705" i="5" s="1"/>
  <c r="X2699" i="9" s="1"/>
  <c r="H2697" i="5"/>
  <c r="I2697" i="5" s="1"/>
  <c r="J2697" i="5" s="1" a="1"/>
  <c r="J2697" i="5" s="1"/>
  <c r="X2691" i="9" s="1"/>
  <c r="H2689" i="5"/>
  <c r="I2689" i="5" s="1"/>
  <c r="J2689" i="5" s="1" a="1"/>
  <c r="J2689" i="5" s="1"/>
  <c r="X2683" i="9" s="1"/>
  <c r="H2681" i="5"/>
  <c r="I2681" i="5" s="1"/>
  <c r="J2681" i="5" s="1" a="1"/>
  <c r="J2681" i="5" s="1"/>
  <c r="X2675" i="9" s="1"/>
  <c r="H2673" i="5"/>
  <c r="I2673" i="5" s="1"/>
  <c r="J2673" i="5" s="1" a="1"/>
  <c r="J2673" i="5" s="1"/>
  <c r="X2667" i="9" s="1"/>
  <c r="H2665" i="5"/>
  <c r="I2665" i="5" s="1"/>
  <c r="J2665" i="5" s="1" a="1"/>
  <c r="J2665" i="5" s="1"/>
  <c r="X2659" i="9" s="1"/>
  <c r="H2657" i="5"/>
  <c r="I2657" i="5" s="1"/>
  <c r="J2657" i="5" s="1" a="1"/>
  <c r="J2657" i="5" s="1"/>
  <c r="X2651" i="9" s="1"/>
  <c r="H2617" i="5"/>
  <c r="I2617" i="5" s="1"/>
  <c r="J2617" i="5" s="1" a="1"/>
  <c r="J2617" i="5" s="1"/>
  <c r="X2611" i="9" s="1"/>
  <c r="H2604" i="5"/>
  <c r="I2604" i="5" s="1"/>
  <c r="J2604" i="5" s="1" a="1"/>
  <c r="J2604" i="5" s="1"/>
  <c r="X2598" i="9" s="1"/>
  <c r="H2585" i="5"/>
  <c r="I2585" i="5" s="1"/>
  <c r="J2585" i="5" s="1" a="1"/>
  <c r="J2585" i="5" s="1"/>
  <c r="X2579" i="9" s="1"/>
  <c r="H2553" i="5"/>
  <c r="I2553" i="5" s="1"/>
  <c r="J2553" i="5" s="1" a="1"/>
  <c r="J2553" i="5" s="1"/>
  <c r="X2547" i="9" s="1"/>
  <c r="H2521" i="5"/>
  <c r="I2521" i="5" s="1"/>
  <c r="J2521" i="5" s="1" a="1"/>
  <c r="J2521" i="5" s="1"/>
  <c r="X2515" i="9" s="1"/>
  <c r="H2509" i="5"/>
  <c r="I2509" i="5" s="1"/>
  <c r="J2509" i="5" s="1" a="1"/>
  <c r="J2509" i="5" s="1"/>
  <c r="X2503" i="9" s="1"/>
  <c r="H2499" i="5"/>
  <c r="I2499" i="5" s="1"/>
  <c r="J2499" i="5" s="1" a="1"/>
  <c r="J2499" i="5" s="1"/>
  <c r="X2493" i="9" s="1"/>
  <c r="H2483" i="5"/>
  <c r="I2483" i="5" s="1"/>
  <c r="J2483" i="5" s="1" a="1"/>
  <c r="J2483" i="5" s="1"/>
  <c r="X2477" i="9" s="1"/>
  <c r="H2467" i="5"/>
  <c r="I2467" i="5" s="1"/>
  <c r="J2467" i="5" s="1" a="1"/>
  <c r="J2467" i="5" s="1"/>
  <c r="X2461" i="9" s="1"/>
  <c r="H2451" i="5"/>
  <c r="I2451" i="5" s="1"/>
  <c r="J2451" i="5" s="1" a="1"/>
  <c r="J2451" i="5" s="1"/>
  <c r="X2445" i="9" s="1"/>
  <c r="H2435" i="5"/>
  <c r="I2435" i="5" s="1"/>
  <c r="J2435" i="5" s="1" a="1"/>
  <c r="J2435" i="5" s="1"/>
  <c r="X2429" i="9" s="1"/>
  <c r="H2431" i="5"/>
  <c r="I2431" i="5" s="1"/>
  <c r="J2431" i="5" s="1" a="1"/>
  <c r="J2431" i="5" s="1"/>
  <c r="X2425" i="9" s="1"/>
  <c r="H2367" i="5"/>
  <c r="I2367" i="5" s="1"/>
  <c r="J2367" i="5" s="1" a="1"/>
  <c r="J2367" i="5" s="1"/>
  <c r="X2361" i="9" s="1"/>
  <c r="H2358" i="5"/>
  <c r="I2358" i="5" s="1"/>
  <c r="J2358" i="5" s="1" a="1"/>
  <c r="J2358" i="5" s="1"/>
  <c r="X2352" i="9" s="1"/>
  <c r="H2341" i="5"/>
  <c r="I2341" i="5" s="1"/>
  <c r="J2341" i="5" s="1" a="1"/>
  <c r="J2341" i="5" s="1"/>
  <c r="X2335" i="9" s="1"/>
  <c r="H2321" i="5"/>
  <c r="I2321" i="5" s="1"/>
  <c r="J2321" i="5" s="1" a="1"/>
  <c r="J2321" i="5" s="1"/>
  <c r="X2315" i="9" s="1"/>
  <c r="H2294" i="5"/>
  <c r="I2294" i="5" s="1"/>
  <c r="J2294" i="5" s="1" a="1"/>
  <c r="J2294" i="5" s="1"/>
  <c r="X2288" i="9" s="1"/>
  <c r="H2277" i="5"/>
  <c r="I2277" i="5" s="1"/>
  <c r="J2277" i="5" s="1" a="1"/>
  <c r="J2277" i="5" s="1"/>
  <c r="X2271" i="9" s="1"/>
  <c r="H2257" i="5"/>
  <c r="I2257" i="5" s="1"/>
  <c r="J2257" i="5" s="1" a="1"/>
  <c r="J2257" i="5" s="1"/>
  <c r="X2251" i="9" s="1"/>
  <c r="H2234" i="5"/>
  <c r="I2234" i="5" s="1"/>
  <c r="J2234" i="5" s="1" a="1"/>
  <c r="J2234" i="5" s="1"/>
  <c r="X2228" i="9" s="1"/>
  <c r="H2187" i="5"/>
  <c r="I2187" i="5" s="1"/>
  <c r="J2187" i="5" s="1" a="1"/>
  <c r="J2187" i="5" s="1"/>
  <c r="X2181" i="9" s="1"/>
  <c r="H2165" i="5"/>
  <c r="I2165" i="5" s="1"/>
  <c r="J2165" i="5" s="1" a="1"/>
  <c r="J2165" i="5" s="1"/>
  <c r="X2159" i="9" s="1"/>
  <c r="H2122" i="5"/>
  <c r="I2122" i="5" s="1"/>
  <c r="J2122" i="5" s="1" a="1"/>
  <c r="J2122" i="5" s="1"/>
  <c r="X2116" i="9" s="1"/>
  <c r="H2119" i="5"/>
  <c r="I2119" i="5" s="1"/>
  <c r="J2119" i="5" s="1" a="1"/>
  <c r="J2119" i="5" s="1"/>
  <c r="X2113" i="9" s="1"/>
  <c r="H2101" i="5"/>
  <c r="I2101" i="5" s="1"/>
  <c r="J2101" i="5" s="1" a="1"/>
  <c r="J2101" i="5" s="1"/>
  <c r="X2095" i="9" s="1"/>
  <c r="H2047" i="5"/>
  <c r="I2047" i="5" s="1"/>
  <c r="J2047" i="5" s="1" a="1"/>
  <c r="J2047" i="5" s="1"/>
  <c r="X2041" i="9" s="1"/>
  <c r="H2996" i="5"/>
  <c r="I2996" i="5" s="1"/>
  <c r="J2996" i="5" s="1" a="1"/>
  <c r="J2996" i="5" s="1"/>
  <c r="X2990" i="9" s="1"/>
  <c r="H2985" i="5"/>
  <c r="I2985" i="5" s="1"/>
  <c r="J2985" i="5" s="1" a="1"/>
  <c r="J2985" i="5" s="1"/>
  <c r="X2979" i="9" s="1"/>
  <c r="H2969" i="5"/>
  <c r="I2969" i="5" s="1"/>
  <c r="J2969" i="5" s="1" a="1"/>
  <c r="J2969" i="5" s="1"/>
  <c r="X2963" i="9" s="1"/>
  <c r="H2953" i="5"/>
  <c r="I2953" i="5" s="1"/>
  <c r="J2953" i="5" s="1" a="1"/>
  <c r="J2953" i="5" s="1"/>
  <c r="X2947" i="9" s="1"/>
  <c r="H2937" i="5"/>
  <c r="I2937" i="5" s="1"/>
  <c r="H2931" i="5"/>
  <c r="I2931" i="5" s="1"/>
  <c r="J2931" i="5" s="1" a="1"/>
  <c r="J2931" i="5" s="1"/>
  <c r="X2925" i="9" s="1"/>
  <c r="H2890" i="5"/>
  <c r="I2890" i="5" s="1"/>
  <c r="J2890" i="5" s="1" a="1"/>
  <c r="J2890" i="5" s="1"/>
  <c r="X2884" i="9" s="1"/>
  <c r="H2880" i="5"/>
  <c r="I2880" i="5" s="1"/>
  <c r="J2880" i="5" s="1" a="1"/>
  <c r="J2880" i="5" s="1"/>
  <c r="X2874" i="9" s="1"/>
  <c r="H2822" i="5"/>
  <c r="I2822" i="5" s="1"/>
  <c r="J2822" i="5" s="1" a="1"/>
  <c r="J2822" i="5" s="1"/>
  <c r="X2816" i="9" s="1"/>
  <c r="H2814" i="5"/>
  <c r="I2814" i="5" s="1"/>
  <c r="J2814" i="5" s="1" a="1"/>
  <c r="J2814" i="5" s="1"/>
  <c r="X2808" i="9" s="1"/>
  <c r="H2806" i="5"/>
  <c r="I2806" i="5" s="1"/>
  <c r="J2806" i="5" s="1" a="1"/>
  <c r="J2806" i="5" s="1"/>
  <c r="X2800" i="9" s="1"/>
  <c r="H2798" i="5"/>
  <c r="I2798" i="5" s="1"/>
  <c r="J2798" i="5" s="1" a="1"/>
  <c r="J2798" i="5" s="1"/>
  <c r="X2792" i="9" s="1"/>
  <c r="H2790" i="5"/>
  <c r="I2790" i="5" s="1"/>
  <c r="J2790" i="5" s="1" a="1"/>
  <c r="J2790" i="5" s="1"/>
  <c r="X2784" i="9" s="1"/>
  <c r="H2782" i="5"/>
  <c r="I2782" i="5" s="1"/>
  <c r="J2782" i="5" s="1" a="1"/>
  <c r="J2782" i="5" s="1"/>
  <c r="X2776" i="9" s="1"/>
  <c r="H2774" i="5"/>
  <c r="I2774" i="5" s="1"/>
  <c r="J2774" i="5" s="1" a="1"/>
  <c r="J2774" i="5" s="1"/>
  <c r="X2768" i="9" s="1"/>
  <c r="H2766" i="5"/>
  <c r="I2766" i="5" s="1"/>
  <c r="J2766" i="5" s="1" a="1"/>
  <c r="J2766" i="5" s="1"/>
  <c r="X2760" i="9" s="1"/>
  <c r="H2750" i="5"/>
  <c r="I2750" i="5" s="1"/>
  <c r="J2750" i="5" s="1" a="1"/>
  <c r="J2750" i="5" s="1"/>
  <c r="X2744" i="9" s="1"/>
  <c r="H2734" i="5"/>
  <c r="I2734" i="5" s="1"/>
  <c r="J2734" i="5" s="1" a="1"/>
  <c r="J2734" i="5" s="1"/>
  <c r="X2728" i="9" s="1"/>
  <c r="H2725" i="5"/>
  <c r="I2725" i="5" s="1"/>
  <c r="J2725" i="5" s="1" a="1"/>
  <c r="J2725" i="5" s="1"/>
  <c r="X2719" i="9" s="1"/>
  <c r="H2717" i="5"/>
  <c r="I2717" i="5" s="1"/>
  <c r="J2717" i="5" s="1" a="1"/>
  <c r="J2717" i="5" s="1"/>
  <c r="X2711" i="9" s="1"/>
  <c r="H2709" i="5"/>
  <c r="I2709" i="5" s="1"/>
  <c r="J2709" i="5" s="1" a="1"/>
  <c r="J2709" i="5" s="1"/>
  <c r="X2703" i="9" s="1"/>
  <c r="H2701" i="5"/>
  <c r="I2701" i="5" s="1"/>
  <c r="J2701" i="5" s="1" a="1"/>
  <c r="J2701" i="5" s="1"/>
  <c r="X2695" i="9" s="1"/>
  <c r="H2693" i="5"/>
  <c r="I2693" i="5" s="1"/>
  <c r="J2693" i="5" s="1" a="1"/>
  <c r="J2693" i="5" s="1"/>
  <c r="X2687" i="9" s="1"/>
  <c r="H2685" i="5"/>
  <c r="I2685" i="5" s="1"/>
  <c r="J2685" i="5" s="1" a="1"/>
  <c r="J2685" i="5" s="1"/>
  <c r="X2679" i="9" s="1"/>
  <c r="H2677" i="5"/>
  <c r="I2677" i="5" s="1"/>
  <c r="J2677" i="5" s="1" a="1"/>
  <c r="J2677" i="5" s="1"/>
  <c r="X2671" i="9" s="1"/>
  <c r="H2669" i="5"/>
  <c r="I2669" i="5" s="1"/>
  <c r="J2669" i="5" s="1" a="1"/>
  <c r="J2669" i="5" s="1"/>
  <c r="X2663" i="9" s="1"/>
  <c r="H2661" i="5"/>
  <c r="I2661" i="5" s="1"/>
  <c r="J2661" i="5" s="1" a="1"/>
  <c r="J2661" i="5" s="1"/>
  <c r="X2655" i="9" s="1"/>
  <c r="H2644" i="5"/>
  <c r="I2644" i="5" s="1"/>
  <c r="J2644" i="5" s="1" a="1"/>
  <c r="J2644" i="5" s="1"/>
  <c r="X2638" i="9" s="1"/>
  <c r="H2636" i="5"/>
  <c r="I2636" i="5" s="1"/>
  <c r="J2636" i="5" s="1" a="1"/>
  <c r="J2636" i="5" s="1"/>
  <c r="X2630" i="9" s="1"/>
  <c r="H2609" i="5"/>
  <c r="I2609" i="5" s="1"/>
  <c r="J2609" i="5" s="1" a="1"/>
  <c r="J2609" i="5" s="1"/>
  <c r="X2603" i="9" s="1"/>
  <c r="H2596" i="5"/>
  <c r="I2596" i="5" s="1"/>
  <c r="J2596" i="5" s="1" a="1"/>
  <c r="J2596" i="5" s="1"/>
  <c r="X2590" i="9" s="1"/>
  <c r="H2577" i="5"/>
  <c r="I2577" i="5" s="1"/>
  <c r="J2577" i="5" s="1" a="1"/>
  <c r="J2577" i="5" s="1"/>
  <c r="X2571" i="9" s="1"/>
  <c r="H2572" i="5"/>
  <c r="I2572" i="5" s="1"/>
  <c r="J2572" i="5" s="1" a="1"/>
  <c r="J2572" i="5" s="1"/>
  <c r="X2566" i="9" s="1"/>
  <c r="H2564" i="5"/>
  <c r="I2564" i="5" s="1"/>
  <c r="J2564" i="5" s="1" a="1"/>
  <c r="J2564" i="5" s="1"/>
  <c r="X2558" i="9" s="1"/>
  <c r="H2545" i="5"/>
  <c r="I2545" i="5" s="1"/>
  <c r="J2545" i="5" s="1" a="1"/>
  <c r="J2545" i="5" s="1"/>
  <c r="X2539" i="9" s="1"/>
  <c r="H2540" i="5"/>
  <c r="I2540" i="5" s="1"/>
  <c r="J2540" i="5" s="1" a="1"/>
  <c r="J2540" i="5" s="1"/>
  <c r="X2534" i="9" s="1"/>
  <c r="H2532" i="5"/>
  <c r="I2532" i="5" s="1"/>
  <c r="J2532" i="5" s="1" a="1"/>
  <c r="J2532" i="5" s="1"/>
  <c r="X2526" i="9" s="1"/>
  <c r="H2513" i="5"/>
  <c r="I2513" i="5" s="1"/>
  <c r="J2513" i="5" s="1" a="1"/>
  <c r="J2513" i="5" s="1"/>
  <c r="X2507" i="9" s="1"/>
  <c r="H2510" i="5"/>
  <c r="I2510" i="5" s="1"/>
  <c r="J2510" i="5" s="1" a="1"/>
  <c r="J2510" i="5" s="1"/>
  <c r="X2504" i="9" s="1"/>
  <c r="H2500" i="5"/>
  <c r="I2500" i="5" s="1"/>
  <c r="J2500" i="5" s="1" a="1"/>
  <c r="J2500" i="5" s="1"/>
  <c r="X2494" i="9" s="1"/>
  <c r="H2484" i="5"/>
  <c r="I2484" i="5" s="1"/>
  <c r="J2484" i="5" s="1" a="1"/>
  <c r="J2484" i="5" s="1"/>
  <c r="X2478" i="9" s="1"/>
  <c r="H2468" i="5"/>
  <c r="I2468" i="5" s="1"/>
  <c r="J2468" i="5" s="1" a="1"/>
  <c r="J2468" i="5" s="1"/>
  <c r="X2462" i="9" s="1"/>
  <c r="H2452" i="5"/>
  <c r="I2452" i="5" s="1"/>
  <c r="J2452" i="5" s="1" a="1"/>
  <c r="J2452" i="5" s="1"/>
  <c r="X2446" i="9" s="1"/>
  <c r="H2436" i="5"/>
  <c r="I2436" i="5" s="1"/>
  <c r="J2436" i="5" s="1" a="1"/>
  <c r="J2436" i="5" s="1"/>
  <c r="X2430" i="9" s="1"/>
  <c r="H2383" i="5"/>
  <c r="I2383" i="5" s="1"/>
  <c r="J2383" i="5" s="1" a="1"/>
  <c r="J2383" i="5" s="1"/>
  <c r="X2377" i="9" s="1"/>
  <c r="H2063" i="5"/>
  <c r="I2063" i="5" s="1"/>
  <c r="J2063" i="5" s="1" a="1"/>
  <c r="J2063" i="5" s="1"/>
  <c r="X2057" i="9" s="1"/>
  <c r="H2726" i="5"/>
  <c r="I2726" i="5" s="1"/>
  <c r="J2726" i="5" s="1" a="1"/>
  <c r="J2726" i="5" s="1"/>
  <c r="X2720" i="9" s="1"/>
  <c r="H2718" i="5"/>
  <c r="I2718" i="5" s="1"/>
  <c r="J2718" i="5" s="1" a="1"/>
  <c r="J2718" i="5" s="1"/>
  <c r="X2712" i="9" s="1"/>
  <c r="H2710" i="5"/>
  <c r="I2710" i="5" s="1"/>
  <c r="J2710" i="5" s="1" a="1"/>
  <c r="J2710" i="5" s="1"/>
  <c r="X2704" i="9" s="1"/>
  <c r="H2702" i="5"/>
  <c r="I2702" i="5" s="1"/>
  <c r="J2702" i="5" s="1" a="1"/>
  <c r="J2702" i="5" s="1"/>
  <c r="X2696" i="9" s="1"/>
  <c r="H2694" i="5"/>
  <c r="I2694" i="5" s="1"/>
  <c r="J2694" i="5" s="1" a="1"/>
  <c r="J2694" i="5" s="1"/>
  <c r="X2688" i="9" s="1"/>
  <c r="H2686" i="5"/>
  <c r="I2686" i="5" s="1"/>
  <c r="J2686" i="5" s="1" a="1"/>
  <c r="J2686" i="5" s="1"/>
  <c r="X2680" i="9" s="1"/>
  <c r="H2678" i="5"/>
  <c r="I2678" i="5" s="1"/>
  <c r="J2678" i="5" s="1" a="1"/>
  <c r="J2678" i="5" s="1"/>
  <c r="X2672" i="9" s="1"/>
  <c r="H2670" i="5"/>
  <c r="I2670" i="5" s="1"/>
  <c r="J2670" i="5" s="1" a="1"/>
  <c r="J2670" i="5" s="1"/>
  <c r="X2664" i="9" s="1"/>
  <c r="H2662" i="5"/>
  <c r="I2662" i="5" s="1"/>
  <c r="J2662" i="5" s="1" a="1"/>
  <c r="J2662" i="5" s="1"/>
  <c r="X2656" i="9" s="1"/>
  <c r="H2605" i="5"/>
  <c r="I2605" i="5" s="1"/>
  <c r="J2605" i="5" s="1" a="1"/>
  <c r="J2605" i="5" s="1"/>
  <c r="X2599" i="9" s="1"/>
  <c r="H2589" i="5"/>
  <c r="I2589" i="5" s="1"/>
  <c r="J2589" i="5" s="1" a="1"/>
  <c r="J2589" i="5" s="1"/>
  <c r="X2583" i="9" s="1"/>
  <c r="H2573" i="5"/>
  <c r="I2573" i="5" s="1"/>
  <c r="J2573" i="5" s="1" a="1"/>
  <c r="J2573" i="5" s="1"/>
  <c r="X2567" i="9" s="1"/>
  <c r="H2557" i="5"/>
  <c r="I2557" i="5" s="1"/>
  <c r="J2557" i="5" s="1" a="1"/>
  <c r="J2557" i="5" s="1"/>
  <c r="X2551" i="9" s="1"/>
  <c r="H2541" i="5"/>
  <c r="I2541" i="5" s="1"/>
  <c r="J2541" i="5" s="1" a="1"/>
  <c r="J2541" i="5" s="1"/>
  <c r="X2535" i="9" s="1"/>
  <c r="H2525" i="5"/>
  <c r="I2525" i="5" s="1"/>
  <c r="J2525" i="5" s="1" a="1"/>
  <c r="J2525" i="5" s="1"/>
  <c r="X2519" i="9" s="1"/>
  <c r="H2432" i="5"/>
  <c r="I2432" i="5" s="1"/>
  <c r="J2432" i="5" s="1" a="1"/>
  <c r="J2432" i="5" s="1"/>
  <c r="X2426" i="9" s="1"/>
  <c r="H2416" i="5"/>
  <c r="I2416" i="5" s="1"/>
  <c r="J2416" i="5" s="1" a="1"/>
  <c r="J2416" i="5" s="1"/>
  <c r="X2410" i="9" s="1"/>
  <c r="H2400" i="5"/>
  <c r="I2400" i="5" s="1"/>
  <c r="J2400" i="5" s="1" a="1"/>
  <c r="J2400" i="5" s="1"/>
  <c r="X2394" i="9" s="1"/>
  <c r="H2384" i="5"/>
  <c r="I2384" i="5" s="1"/>
  <c r="J2384" i="5" s="1" a="1"/>
  <c r="J2384" i="5" s="1"/>
  <c r="X2378" i="9" s="1"/>
  <c r="H2368" i="5"/>
  <c r="I2368" i="5" s="1"/>
  <c r="J2368" i="5" s="1" a="1"/>
  <c r="J2368" i="5" s="1"/>
  <c r="X2362" i="9" s="1"/>
  <c r="H2342" i="5"/>
  <c r="I2342" i="5" s="1"/>
  <c r="J2342" i="5" s="1" a="1"/>
  <c r="J2342" i="5" s="1"/>
  <c r="X2336" i="9" s="1"/>
  <c r="H2325" i="5"/>
  <c r="I2325" i="5" s="1"/>
  <c r="J2325" i="5" s="1" a="1"/>
  <c r="J2325" i="5" s="1"/>
  <c r="X2319" i="9" s="1"/>
  <c r="H2305" i="5"/>
  <c r="I2305" i="5" s="1"/>
  <c r="J2305" i="5" s="1" a="1"/>
  <c r="J2305" i="5" s="1"/>
  <c r="X2299" i="9" s="1"/>
  <c r="H2278" i="5"/>
  <c r="I2278" i="5" s="1"/>
  <c r="J2278" i="5" s="1" a="1"/>
  <c r="J2278" i="5" s="1"/>
  <c r="X2272" i="9" s="1"/>
  <c r="H2261" i="5"/>
  <c r="I2261" i="5" s="1"/>
  <c r="J2261" i="5" s="1" a="1"/>
  <c r="J2261" i="5" s="1"/>
  <c r="X2255" i="9" s="1"/>
  <c r="H2235" i="5"/>
  <c r="I2235" i="5" s="1"/>
  <c r="J2235" i="5" s="1" a="1"/>
  <c r="J2235" i="5" s="1"/>
  <c r="X2229" i="9" s="1"/>
  <c r="H2218" i="5"/>
  <c r="I2218" i="5" s="1"/>
  <c r="J2218" i="5" s="1" a="1"/>
  <c r="J2218" i="5" s="1"/>
  <c r="X2212" i="9" s="1"/>
  <c r="H2214" i="5"/>
  <c r="I2214" i="5" s="1"/>
  <c r="J2214" i="5" s="1" a="1"/>
  <c r="J2214" i="5" s="1"/>
  <c r="X2208" i="9" s="1"/>
  <c r="H2198" i="5"/>
  <c r="I2198" i="5" s="1"/>
  <c r="J2198" i="5" s="1" a="1"/>
  <c r="J2198" i="5" s="1"/>
  <c r="X2192" i="9" s="1"/>
  <c r="H2149" i="5"/>
  <c r="I2149" i="5" s="1"/>
  <c r="J2149" i="5" s="1" a="1"/>
  <c r="J2149" i="5" s="1"/>
  <c r="X2143" i="9" s="1"/>
  <c r="H2106" i="5"/>
  <c r="I2106" i="5" s="1"/>
  <c r="J2106" i="5" s="1" a="1"/>
  <c r="J2106" i="5" s="1"/>
  <c r="X2100" i="9" s="1"/>
  <c r="H2103" i="5"/>
  <c r="I2103" i="5" s="1"/>
  <c r="J2103" i="5" s="1" a="1"/>
  <c r="J2103" i="5" s="1"/>
  <c r="X2097" i="9" s="1"/>
  <c r="H2102" i="5"/>
  <c r="I2102" i="5" s="1"/>
  <c r="J2102" i="5" s="1" a="1"/>
  <c r="J2102" i="5" s="1"/>
  <c r="X2096" i="9" s="1"/>
  <c r="H2075" i="5"/>
  <c r="I2075" i="5" s="1"/>
  <c r="J2075" i="5" s="1" a="1"/>
  <c r="J2075" i="5" s="1"/>
  <c r="X2069" i="9" s="1"/>
  <c r="H2496" i="5"/>
  <c r="I2496" i="5" s="1"/>
  <c r="J2496" i="5" s="1" a="1"/>
  <c r="J2496" i="5" s="1"/>
  <c r="X2490" i="9" s="1"/>
  <c r="H2488" i="5"/>
  <c r="I2488" i="5" s="1"/>
  <c r="J2488" i="5" s="1" a="1"/>
  <c r="J2488" i="5" s="1"/>
  <c r="X2482" i="9" s="1"/>
  <c r="H2480" i="5"/>
  <c r="I2480" i="5" s="1"/>
  <c r="J2480" i="5" s="1" a="1"/>
  <c r="J2480" i="5" s="1"/>
  <c r="X2474" i="9" s="1"/>
  <c r="H2472" i="5"/>
  <c r="I2472" i="5" s="1"/>
  <c r="J2472" i="5" s="1" a="1"/>
  <c r="J2472" i="5" s="1"/>
  <c r="X2466" i="9" s="1"/>
  <c r="H2464" i="5"/>
  <c r="I2464" i="5" s="1"/>
  <c r="J2464" i="5" s="1" a="1"/>
  <c r="J2464" i="5" s="1"/>
  <c r="X2458" i="9" s="1"/>
  <c r="H2456" i="5"/>
  <c r="I2456" i="5" s="1"/>
  <c r="J2456" i="5" s="1" a="1"/>
  <c r="J2456" i="5" s="1"/>
  <c r="X2450" i="9" s="1"/>
  <c r="H2448" i="5"/>
  <c r="I2448" i="5" s="1"/>
  <c r="J2448" i="5" s="1" a="1"/>
  <c r="J2448" i="5" s="1"/>
  <c r="X2442" i="9" s="1"/>
  <c r="H2440" i="5"/>
  <c r="I2440" i="5" s="1"/>
  <c r="J2440" i="5" s="1" a="1"/>
  <c r="J2440" i="5" s="1"/>
  <c r="X2434" i="9" s="1"/>
  <c r="H2423" i="5"/>
  <c r="I2423" i="5" s="1"/>
  <c r="J2423" i="5" s="1" a="1"/>
  <c r="J2423" i="5" s="1"/>
  <c r="X2417" i="9" s="1"/>
  <c r="H2407" i="5"/>
  <c r="I2407" i="5" s="1"/>
  <c r="J2407" i="5" s="1" a="1"/>
  <c r="J2407" i="5" s="1"/>
  <c r="X2401" i="9" s="1"/>
  <c r="H2391" i="5"/>
  <c r="I2391" i="5" s="1"/>
  <c r="J2391" i="5" s="1" a="1"/>
  <c r="J2391" i="5" s="1"/>
  <c r="X2385" i="9" s="1"/>
  <c r="H2375" i="5"/>
  <c r="I2375" i="5" s="1"/>
  <c r="J2375" i="5" s="1" a="1"/>
  <c r="J2375" i="5" s="1"/>
  <c r="X2369" i="9" s="1"/>
  <c r="H2326" i="5"/>
  <c r="I2326" i="5" s="1"/>
  <c r="J2326" i="5" s="1" a="1"/>
  <c r="J2326" i="5" s="1"/>
  <c r="X2320" i="9" s="1"/>
  <c r="H2309" i="5"/>
  <c r="I2309" i="5" s="1"/>
  <c r="J2309" i="5" s="1" a="1"/>
  <c r="J2309" i="5" s="1"/>
  <c r="X2303" i="9" s="1"/>
  <c r="H2297" i="5"/>
  <c r="I2297" i="5" s="1"/>
  <c r="J2297" i="5" s="1" a="1"/>
  <c r="J2297" i="5" s="1"/>
  <c r="X2291" i="9" s="1"/>
  <c r="H2289" i="5"/>
  <c r="I2289" i="5" s="1"/>
  <c r="J2289" i="5" s="1" a="1"/>
  <c r="J2289" i="5" s="1"/>
  <c r="X2283" i="9" s="1"/>
  <c r="H2246" i="5"/>
  <c r="I2246" i="5" s="1"/>
  <c r="J2246" i="5" s="1" a="1"/>
  <c r="J2246" i="5" s="1"/>
  <c r="X2240" i="9" s="1"/>
  <c r="H2219" i="5"/>
  <c r="I2219" i="5" s="1"/>
  <c r="J2219" i="5" s="1" a="1"/>
  <c r="J2219" i="5" s="1"/>
  <c r="X2213" i="9" s="1"/>
  <c r="H2202" i="5"/>
  <c r="I2202" i="5" s="1"/>
  <c r="J2202" i="5" s="1" a="1"/>
  <c r="J2202" i="5" s="1"/>
  <c r="X2196" i="9" s="1"/>
  <c r="H2190" i="5"/>
  <c r="I2190" i="5" s="1"/>
  <c r="J2190" i="5" s="1" a="1"/>
  <c r="J2190" i="5" s="1"/>
  <c r="X2184" i="9" s="1"/>
  <c r="H2154" i="5"/>
  <c r="I2154" i="5" s="1"/>
  <c r="J2154" i="5" s="1" a="1"/>
  <c r="J2154" i="5" s="1"/>
  <c r="X2148" i="9" s="1"/>
  <c r="H2151" i="5"/>
  <c r="I2151" i="5" s="1"/>
  <c r="J2151" i="5" s="1" a="1"/>
  <c r="J2151" i="5" s="1"/>
  <c r="X2145" i="9" s="1"/>
  <c r="H2142" i="5"/>
  <c r="I2142" i="5" s="1"/>
  <c r="J2142" i="5" s="1" a="1"/>
  <c r="J2142" i="5" s="1"/>
  <c r="X2136" i="9" s="1"/>
  <c r="H2133" i="5"/>
  <c r="I2133" i="5" s="1"/>
  <c r="J2133" i="5" s="1" a="1"/>
  <c r="J2133" i="5" s="1"/>
  <c r="X2127" i="9" s="1"/>
  <c r="H2091" i="5"/>
  <c r="I2091" i="5" s="1"/>
  <c r="J2091" i="5" s="1" a="1"/>
  <c r="J2091" i="5" s="1"/>
  <c r="X2085" i="9" s="1"/>
  <c r="H2086" i="5"/>
  <c r="I2086" i="5" s="1"/>
  <c r="J2086" i="5" s="1" a="1"/>
  <c r="J2086" i="5" s="1"/>
  <c r="X2080" i="9" s="1"/>
  <c r="H2071" i="5"/>
  <c r="I2071" i="5" s="1"/>
  <c r="J2071" i="5" s="1" a="1"/>
  <c r="J2071" i="5" s="1"/>
  <c r="X2065" i="9" s="1"/>
  <c r="H2055" i="5"/>
  <c r="I2055" i="5" s="1"/>
  <c r="J2055" i="5" s="1" a="1"/>
  <c r="J2055" i="5" s="1"/>
  <c r="X2049" i="9" s="1"/>
  <c r="H2039" i="5"/>
  <c r="I2039" i="5" s="1"/>
  <c r="J2039" i="5" s="1" a="1"/>
  <c r="J2039" i="5" s="1"/>
  <c r="X2033" i="9" s="1"/>
  <c r="H2023" i="5"/>
  <c r="I2023" i="5" s="1"/>
  <c r="J2023" i="5" s="1" a="1"/>
  <c r="J2023" i="5" s="1"/>
  <c r="X2017" i="9" s="1"/>
  <c r="H2762" i="5"/>
  <c r="I2762" i="5" s="1"/>
  <c r="J2762" i="5" s="1" a="1"/>
  <c r="J2762" i="5" s="1"/>
  <c r="X2756" i="9" s="1"/>
  <c r="H2754" i="5"/>
  <c r="I2754" i="5" s="1"/>
  <c r="J2754" i="5" s="1" a="1"/>
  <c r="J2754" i="5" s="1"/>
  <c r="X2748" i="9" s="1"/>
  <c r="H2746" i="5"/>
  <c r="I2746" i="5" s="1"/>
  <c r="J2746" i="5" s="1" a="1"/>
  <c r="J2746" i="5" s="1"/>
  <c r="X2740" i="9" s="1"/>
  <c r="H2738" i="5"/>
  <c r="I2738" i="5" s="1"/>
  <c r="J2738" i="5" s="1" a="1"/>
  <c r="J2738" i="5" s="1"/>
  <c r="X2732" i="9" s="1"/>
  <c r="H2730" i="5"/>
  <c r="I2730" i="5" s="1"/>
  <c r="J2730" i="5" s="1" a="1"/>
  <c r="J2730" i="5" s="1"/>
  <c r="X2724" i="9" s="1"/>
  <c r="H2722" i="5"/>
  <c r="I2722" i="5" s="1"/>
  <c r="J2722" i="5" s="1" a="1"/>
  <c r="J2722" i="5" s="1"/>
  <c r="X2716" i="9" s="1"/>
  <c r="H2714" i="5"/>
  <c r="I2714" i="5" s="1"/>
  <c r="J2714" i="5" s="1" a="1"/>
  <c r="J2714" i="5" s="1"/>
  <c r="X2708" i="9" s="1"/>
  <c r="H2706" i="5"/>
  <c r="I2706" i="5" s="1"/>
  <c r="J2706" i="5" s="1" a="1"/>
  <c r="J2706" i="5" s="1"/>
  <c r="X2700" i="9" s="1"/>
  <c r="H2698" i="5"/>
  <c r="I2698" i="5" s="1"/>
  <c r="J2698" i="5" s="1" a="1"/>
  <c r="J2698" i="5" s="1"/>
  <c r="X2692" i="9" s="1"/>
  <c r="H2690" i="5"/>
  <c r="I2690" i="5" s="1"/>
  <c r="J2690" i="5" s="1" a="1"/>
  <c r="J2690" i="5" s="1"/>
  <c r="X2684" i="9" s="1"/>
  <c r="H2682" i="5"/>
  <c r="I2682" i="5" s="1"/>
  <c r="J2682" i="5" s="1" a="1"/>
  <c r="J2682" i="5" s="1"/>
  <c r="X2676" i="9" s="1"/>
  <c r="H2674" i="5"/>
  <c r="I2674" i="5" s="1"/>
  <c r="J2674" i="5" s="1" a="1"/>
  <c r="J2674" i="5" s="1"/>
  <c r="X2668" i="9" s="1"/>
  <c r="H2666" i="5"/>
  <c r="I2666" i="5" s="1"/>
  <c r="J2666" i="5" s="1" a="1"/>
  <c r="J2666" i="5" s="1"/>
  <c r="X2660" i="9" s="1"/>
  <c r="H2658" i="5"/>
  <c r="I2658" i="5" s="1"/>
  <c r="J2658" i="5" s="1" a="1"/>
  <c r="J2658" i="5" s="1"/>
  <c r="X2652" i="9" s="1"/>
  <c r="H2613" i="5"/>
  <c r="I2613" i="5" s="1"/>
  <c r="J2613" i="5" s="1" a="1"/>
  <c r="J2613" i="5" s="1"/>
  <c r="X2607" i="9" s="1"/>
  <c r="H2597" i="5"/>
  <c r="I2597" i="5" s="1"/>
  <c r="J2597" i="5" s="1" a="1"/>
  <c r="J2597" i="5" s="1"/>
  <c r="X2591" i="9" s="1"/>
  <c r="H2581" i="5"/>
  <c r="I2581" i="5" s="1"/>
  <c r="J2581" i="5" s="1" a="1"/>
  <c r="J2581" i="5" s="1"/>
  <c r="X2575" i="9" s="1"/>
  <c r="H2565" i="5"/>
  <c r="I2565" i="5" s="1"/>
  <c r="J2565" i="5" s="1" a="1"/>
  <c r="J2565" i="5" s="1"/>
  <c r="X2559" i="9" s="1"/>
  <c r="H2549" i="5"/>
  <c r="I2549" i="5" s="1"/>
  <c r="J2549" i="5" s="1" a="1"/>
  <c r="J2549" i="5" s="1"/>
  <c r="X2543" i="9" s="1"/>
  <c r="H2533" i="5"/>
  <c r="I2533" i="5" s="1"/>
  <c r="J2533" i="5" s="1" a="1"/>
  <c r="J2533" i="5" s="1"/>
  <c r="X2527" i="9" s="1"/>
  <c r="H2517" i="5"/>
  <c r="I2517" i="5" s="1"/>
  <c r="J2517" i="5" s="1" a="1"/>
  <c r="J2517" i="5" s="1"/>
  <c r="X2511" i="9" s="1"/>
  <c r="H2512" i="5"/>
  <c r="I2512" i="5" s="1"/>
  <c r="J2512" i="5" s="1" a="1"/>
  <c r="J2512" i="5" s="1"/>
  <c r="X2506" i="9" s="1"/>
  <c r="H2424" i="5"/>
  <c r="I2424" i="5" s="1"/>
  <c r="J2424" i="5" s="1" a="1"/>
  <c r="J2424" i="5" s="1"/>
  <c r="X2418" i="9" s="1"/>
  <c r="H2408" i="5"/>
  <c r="I2408" i="5" s="1"/>
  <c r="J2408" i="5" s="1" a="1"/>
  <c r="J2408" i="5" s="1"/>
  <c r="X2402" i="9" s="1"/>
  <c r="H2392" i="5"/>
  <c r="I2392" i="5" s="1"/>
  <c r="J2392" i="5" s="1" a="1"/>
  <c r="J2392" i="5" s="1"/>
  <c r="X2386" i="9" s="1"/>
  <c r="H2376" i="5"/>
  <c r="I2376" i="5" s="1"/>
  <c r="J2376" i="5" s="1" a="1"/>
  <c r="J2376" i="5" s="1"/>
  <c r="X2370" i="9" s="1"/>
  <c r="H2357" i="5"/>
  <c r="I2357" i="5" s="1"/>
  <c r="J2357" i="5" s="1" a="1"/>
  <c r="J2357" i="5" s="1"/>
  <c r="X2351" i="9" s="1"/>
  <c r="H2353" i="5"/>
  <c r="I2353" i="5" s="1"/>
  <c r="J2353" i="5" s="1" a="1"/>
  <c r="J2353" i="5" s="1"/>
  <c r="X2347" i="9" s="1"/>
  <c r="H2345" i="5"/>
  <c r="I2345" i="5" s="1"/>
  <c r="J2345" i="5" s="1" a="1"/>
  <c r="J2345" i="5" s="1"/>
  <c r="X2339" i="9" s="1"/>
  <c r="H2337" i="5"/>
  <c r="I2337" i="5" s="1"/>
  <c r="J2337" i="5" s="1" a="1"/>
  <c r="J2337" i="5" s="1"/>
  <c r="X2331" i="9" s="1"/>
  <c r="H2310" i="5"/>
  <c r="I2310" i="5" s="1"/>
  <c r="J2310" i="5" s="1" a="1"/>
  <c r="J2310" i="5" s="1"/>
  <c r="X2304" i="9" s="1"/>
  <c r="H2293" i="5"/>
  <c r="I2293" i="5" s="1"/>
  <c r="J2293" i="5" s="1" a="1"/>
  <c r="J2293" i="5" s="1"/>
  <c r="X2287" i="9" s="1"/>
  <c r="H2281" i="5"/>
  <c r="I2281" i="5" s="1"/>
  <c r="J2281" i="5" s="1" a="1"/>
  <c r="J2281" i="5" s="1"/>
  <c r="X2275" i="9" s="1"/>
  <c r="H2273" i="5"/>
  <c r="I2273" i="5" s="1"/>
  <c r="J2273" i="5" s="1" a="1"/>
  <c r="J2273" i="5" s="1"/>
  <c r="X2267" i="9" s="1"/>
  <c r="H2250" i="5"/>
  <c r="I2250" i="5" s="1"/>
  <c r="J2250" i="5" s="1" a="1"/>
  <c r="J2250" i="5" s="1"/>
  <c r="X2244" i="9" s="1"/>
  <c r="H2238" i="5"/>
  <c r="I2238" i="5" s="1"/>
  <c r="J2238" i="5" s="1" a="1"/>
  <c r="J2238" i="5" s="1"/>
  <c r="X2232" i="9" s="1"/>
  <c r="H2230" i="5"/>
  <c r="I2230" i="5" s="1"/>
  <c r="J2230" i="5" s="1" a="1"/>
  <c r="J2230" i="5" s="1"/>
  <c r="X2224" i="9" s="1"/>
  <c r="H2203" i="5"/>
  <c r="I2203" i="5" s="1"/>
  <c r="J2203" i="5" s="1" a="1"/>
  <c r="J2203" i="5" s="1"/>
  <c r="X2197" i="9" s="1"/>
  <c r="H2186" i="5"/>
  <c r="I2186" i="5" s="1"/>
  <c r="J2186" i="5" s="1" a="1"/>
  <c r="J2186" i="5" s="1"/>
  <c r="X2180" i="9" s="1"/>
  <c r="H2182" i="5"/>
  <c r="I2182" i="5" s="1"/>
  <c r="J2182" i="5" s="1" a="1"/>
  <c r="J2182" i="5" s="1"/>
  <c r="X2176" i="9" s="1"/>
  <c r="H2138" i="5"/>
  <c r="I2138" i="5" s="1"/>
  <c r="J2138" i="5" s="1" a="1"/>
  <c r="J2138" i="5" s="1"/>
  <c r="X2132" i="9" s="1"/>
  <c r="H2135" i="5"/>
  <c r="I2135" i="5" s="1"/>
  <c r="J2135" i="5" s="1" a="1"/>
  <c r="J2135" i="5" s="1"/>
  <c r="X2129" i="9" s="1"/>
  <c r="H2134" i="5"/>
  <c r="I2134" i="5" s="1"/>
  <c r="J2134" i="5" s="1" a="1"/>
  <c r="J2134" i="5" s="1"/>
  <c r="X2128" i="9" s="1"/>
  <c r="H2126" i="5"/>
  <c r="I2126" i="5" s="1"/>
  <c r="J2126" i="5" s="1" a="1"/>
  <c r="J2126" i="5" s="1"/>
  <c r="X2120" i="9" s="1"/>
  <c r="H2117" i="5"/>
  <c r="I2117" i="5" s="1"/>
  <c r="J2117" i="5" s="1" a="1"/>
  <c r="J2117" i="5" s="1"/>
  <c r="X2111" i="9" s="1"/>
  <c r="H2095" i="5"/>
  <c r="I2095" i="5" s="1"/>
  <c r="J2095" i="5" s="1" a="1"/>
  <c r="J2095" i="5" s="1"/>
  <c r="X2089" i="9" s="1"/>
  <c r="H2087" i="5"/>
  <c r="I2087" i="5" s="1"/>
  <c r="J2087" i="5" s="1" a="1"/>
  <c r="J2087" i="5" s="1"/>
  <c r="X2081" i="9" s="1"/>
  <c r="H2360" i="5"/>
  <c r="I2360" i="5" s="1"/>
  <c r="J2360" i="5" s="1" a="1"/>
  <c r="J2360" i="5" s="1"/>
  <c r="X2354" i="9" s="1"/>
  <c r="H2354" i="5"/>
  <c r="I2354" i="5" s="1"/>
  <c r="J2354" i="5" s="1" a="1"/>
  <c r="J2354" i="5" s="1"/>
  <c r="X2348" i="9" s="1"/>
  <c r="H2338" i="5"/>
  <c r="I2338" i="5" s="1"/>
  <c r="J2338" i="5" s="1" a="1"/>
  <c r="J2338" i="5" s="1"/>
  <c r="X2332" i="9" s="1"/>
  <c r="H2322" i="5"/>
  <c r="I2322" i="5" s="1"/>
  <c r="J2322" i="5" s="1" a="1"/>
  <c r="J2322" i="5" s="1"/>
  <c r="X2316" i="9" s="1"/>
  <c r="H2306" i="5"/>
  <c r="I2306" i="5" s="1"/>
  <c r="J2306" i="5" s="1" a="1"/>
  <c r="J2306" i="5" s="1"/>
  <c r="X2300" i="9" s="1"/>
  <c r="H2290" i="5"/>
  <c r="I2290" i="5" s="1"/>
  <c r="J2290" i="5" s="1" a="1"/>
  <c r="J2290" i="5" s="1"/>
  <c r="X2284" i="9" s="1"/>
  <c r="H2274" i="5"/>
  <c r="I2274" i="5" s="1"/>
  <c r="J2274" i="5" s="1" a="1"/>
  <c r="J2274" i="5" s="1"/>
  <c r="X2268" i="9" s="1"/>
  <c r="H2247" i="5"/>
  <c r="I2247" i="5" s="1"/>
  <c r="J2247" i="5" s="1" a="1"/>
  <c r="J2247" i="5" s="1"/>
  <c r="X2241" i="9" s="1"/>
  <c r="H2231" i="5"/>
  <c r="I2231" i="5" s="1"/>
  <c r="J2231" i="5" s="1" a="1"/>
  <c r="J2231" i="5" s="1"/>
  <c r="X2225" i="9" s="1"/>
  <c r="H2215" i="5"/>
  <c r="I2215" i="5" s="1"/>
  <c r="J2215" i="5" s="1" a="1"/>
  <c r="J2215" i="5" s="1"/>
  <c r="X2209" i="9" s="1"/>
  <c r="H2199" i="5"/>
  <c r="I2199" i="5" s="1"/>
  <c r="J2199" i="5" s="1" a="1"/>
  <c r="J2199" i="5" s="1"/>
  <c r="X2193" i="9" s="1"/>
  <c r="H2183" i="5"/>
  <c r="I2183" i="5" s="1"/>
  <c r="J2183" i="5" s="1" a="1"/>
  <c r="J2183" i="5" s="1"/>
  <c r="X2177" i="9" s="1"/>
  <c r="H2166" i="5"/>
  <c r="I2166" i="5" s="1"/>
  <c r="J2166" i="5" s="1" a="1"/>
  <c r="J2166" i="5" s="1"/>
  <c r="X2160" i="9" s="1"/>
  <c r="H2163" i="5"/>
  <c r="I2163" i="5" s="1"/>
  <c r="J2163" i="5" s="1" a="1"/>
  <c r="J2163" i="5" s="1"/>
  <c r="X2157" i="9" s="1"/>
  <c r="H2161" i="5"/>
  <c r="I2161" i="5" s="1"/>
  <c r="J2161" i="5" s="1" a="1"/>
  <c r="J2161" i="5" s="1"/>
  <c r="X2155" i="9" s="1"/>
  <c r="H2147" i="5"/>
  <c r="I2147" i="5" s="1"/>
  <c r="J2147" i="5" s="1" a="1"/>
  <c r="J2147" i="5" s="1"/>
  <c r="X2141" i="9" s="1"/>
  <c r="H2145" i="5"/>
  <c r="I2145" i="5" s="1"/>
  <c r="J2145" i="5" s="1" a="1"/>
  <c r="J2145" i="5" s="1"/>
  <c r="X2139" i="9" s="1"/>
  <c r="H2131" i="5"/>
  <c r="I2131" i="5" s="1"/>
  <c r="J2131" i="5" s="1" a="1"/>
  <c r="J2131" i="5" s="1"/>
  <c r="X2125" i="9" s="1"/>
  <c r="H2129" i="5"/>
  <c r="I2129" i="5" s="1"/>
  <c r="J2129" i="5" s="1" a="1"/>
  <c r="J2129" i="5" s="1"/>
  <c r="X2123" i="9" s="1"/>
  <c r="H2115" i="5"/>
  <c r="I2115" i="5" s="1"/>
  <c r="J2115" i="5" s="1" a="1"/>
  <c r="J2115" i="5" s="1"/>
  <c r="X2109" i="9" s="1"/>
  <c r="H2113" i="5"/>
  <c r="I2113" i="5" s="1"/>
  <c r="J2113" i="5" s="1" a="1"/>
  <c r="J2113" i="5" s="1"/>
  <c r="X2107" i="9" s="1"/>
  <c r="H2099" i="5"/>
  <c r="I2099" i="5" s="1"/>
  <c r="J2099" i="5" s="1" a="1"/>
  <c r="J2099" i="5" s="1"/>
  <c r="X2093" i="9" s="1"/>
  <c r="H2097" i="5"/>
  <c r="I2097" i="5" s="1"/>
  <c r="J2097" i="5" s="1" a="1"/>
  <c r="J2097" i="5" s="1"/>
  <c r="X2091" i="9" s="1"/>
  <c r="H2090" i="5"/>
  <c r="I2090" i="5" s="1"/>
  <c r="J2090" i="5" s="1" a="1"/>
  <c r="J2090" i="5" s="1"/>
  <c r="X2084" i="9" s="1"/>
  <c r="H2088" i="5"/>
  <c r="I2088" i="5" s="1"/>
  <c r="J2088" i="5" s="1" a="1"/>
  <c r="J2088" i="5" s="1"/>
  <c r="X2082" i="9" s="1"/>
  <c r="H2074" i="5"/>
  <c r="I2074" i="5" s="1"/>
  <c r="J2074" i="5" s="1" a="1"/>
  <c r="J2074" i="5" s="1"/>
  <c r="X2068" i="9" s="1"/>
  <c r="H2072" i="5"/>
  <c r="I2072" i="5" s="1"/>
  <c r="J2072" i="5" s="1" a="1"/>
  <c r="J2072" i="5" s="1"/>
  <c r="X2066" i="9" s="1"/>
  <c r="H2064" i="5"/>
  <c r="I2064" i="5" s="1"/>
  <c r="J2064" i="5" s="1" a="1"/>
  <c r="J2064" i="5" s="1"/>
  <c r="X2058" i="9" s="1"/>
  <c r="H2056" i="5"/>
  <c r="I2056" i="5" s="1"/>
  <c r="J2056" i="5" s="1" a="1"/>
  <c r="J2056" i="5" s="1"/>
  <c r="X2050" i="9" s="1"/>
  <c r="H2052" i="5"/>
  <c r="I2052" i="5" s="1"/>
  <c r="J2052" i="5" s="1" a="1"/>
  <c r="J2052" i="5" s="1"/>
  <c r="X2046" i="9" s="1"/>
  <c r="H2044" i="5"/>
  <c r="I2044" i="5" s="1"/>
  <c r="J2044" i="5" s="1" a="1"/>
  <c r="J2044" i="5" s="1"/>
  <c r="X2038" i="9" s="1"/>
  <c r="H2036" i="5"/>
  <c r="I2036" i="5" s="1"/>
  <c r="J2036" i="5" s="1" a="1"/>
  <c r="J2036" i="5" s="1"/>
  <c r="X2030" i="9" s="1"/>
  <c r="H2028" i="5"/>
  <c r="I2028" i="5" s="1"/>
  <c r="J2028" i="5" s="1" a="1"/>
  <c r="J2028" i="5" s="1"/>
  <c r="X2022" i="9" s="1"/>
  <c r="H2020" i="5"/>
  <c r="I2020" i="5" s="1"/>
  <c r="J2020" i="5" s="1" a="1"/>
  <c r="J2020" i="5" s="1"/>
  <c r="X2014" i="9" s="1"/>
  <c r="H2428" i="5"/>
  <c r="I2428" i="5" s="1"/>
  <c r="J2428" i="5" s="1" a="1"/>
  <c r="J2428" i="5" s="1"/>
  <c r="X2422" i="9" s="1"/>
  <c r="H2420" i="5"/>
  <c r="I2420" i="5" s="1"/>
  <c r="J2420" i="5" s="1" a="1"/>
  <c r="J2420" i="5" s="1"/>
  <c r="X2414" i="9" s="1"/>
  <c r="H2412" i="5"/>
  <c r="I2412" i="5" s="1"/>
  <c r="J2412" i="5" s="1" a="1"/>
  <c r="J2412" i="5" s="1"/>
  <c r="X2406" i="9" s="1"/>
  <c r="H2404" i="5"/>
  <c r="I2404" i="5" s="1"/>
  <c r="J2404" i="5" s="1" a="1"/>
  <c r="J2404" i="5" s="1"/>
  <c r="X2398" i="9" s="1"/>
  <c r="H2396" i="5"/>
  <c r="I2396" i="5" s="1"/>
  <c r="J2396" i="5" s="1" a="1"/>
  <c r="J2396" i="5" s="1"/>
  <c r="X2390" i="9" s="1"/>
  <c r="H2388" i="5"/>
  <c r="I2388" i="5" s="1"/>
  <c r="J2388" i="5" s="1" a="1"/>
  <c r="J2388" i="5" s="1"/>
  <c r="X2382" i="9" s="1"/>
  <c r="H2380" i="5"/>
  <c r="I2380" i="5" s="1"/>
  <c r="J2380" i="5" s="1" a="1"/>
  <c r="J2380" i="5" s="1"/>
  <c r="X2374" i="9" s="1"/>
  <c r="H2372" i="5"/>
  <c r="I2372" i="5" s="1"/>
  <c r="J2372" i="5" s="1" a="1"/>
  <c r="J2372" i="5" s="1"/>
  <c r="X2366" i="9" s="1"/>
  <c r="H2350" i="5"/>
  <c r="I2350" i="5" s="1"/>
  <c r="J2350" i="5" s="1" a="1"/>
  <c r="J2350" i="5" s="1"/>
  <c r="X2344" i="9" s="1"/>
  <c r="H2334" i="5"/>
  <c r="I2334" i="5" s="1"/>
  <c r="J2334" i="5" s="1" a="1"/>
  <c r="J2334" i="5" s="1"/>
  <c r="X2328" i="9" s="1"/>
  <c r="H2318" i="5"/>
  <c r="I2318" i="5" s="1"/>
  <c r="J2318" i="5" s="1" a="1"/>
  <c r="J2318" i="5" s="1"/>
  <c r="X2312" i="9" s="1"/>
  <c r="H2302" i="5"/>
  <c r="I2302" i="5" s="1"/>
  <c r="J2302" i="5" s="1" a="1"/>
  <c r="J2302" i="5" s="1"/>
  <c r="X2296" i="9" s="1"/>
  <c r="H2286" i="5"/>
  <c r="I2286" i="5" s="1"/>
  <c r="J2286" i="5" s="1" a="1"/>
  <c r="J2286" i="5" s="1"/>
  <c r="X2280" i="9" s="1"/>
  <c r="H2270" i="5"/>
  <c r="I2270" i="5" s="1"/>
  <c r="J2270" i="5" s="1" a="1"/>
  <c r="J2270" i="5" s="1"/>
  <c r="X2264" i="9" s="1"/>
  <c r="H2258" i="5"/>
  <c r="I2258" i="5" s="1"/>
  <c r="J2258" i="5" s="1" a="1"/>
  <c r="J2258" i="5" s="1"/>
  <c r="X2252" i="9" s="1"/>
  <c r="H2243" i="5"/>
  <c r="I2243" i="5" s="1"/>
  <c r="J2243" i="5" s="1" a="1"/>
  <c r="J2243" i="5" s="1"/>
  <c r="X2237" i="9" s="1"/>
  <c r="H2227" i="5"/>
  <c r="I2227" i="5" s="1"/>
  <c r="J2227" i="5" s="1" a="1"/>
  <c r="J2227" i="5" s="1"/>
  <c r="X2221" i="9" s="1"/>
  <c r="H2211" i="5"/>
  <c r="I2211" i="5" s="1"/>
  <c r="J2211" i="5" s="1" a="1"/>
  <c r="J2211" i="5" s="1"/>
  <c r="X2205" i="9" s="1"/>
  <c r="H2195" i="5"/>
  <c r="I2195" i="5" s="1"/>
  <c r="J2195" i="5" s="1" a="1"/>
  <c r="J2195" i="5" s="1"/>
  <c r="X2189" i="9" s="1"/>
  <c r="H2179" i="5"/>
  <c r="I2179" i="5" s="1"/>
  <c r="J2179" i="5" s="1" a="1"/>
  <c r="J2179" i="5" s="1"/>
  <c r="X2173" i="9" s="1"/>
  <c r="H2159" i="5"/>
  <c r="I2159" i="5" s="1"/>
  <c r="J2159" i="5" s="1" a="1"/>
  <c r="J2159" i="5" s="1"/>
  <c r="X2153" i="9" s="1"/>
  <c r="H2157" i="5"/>
  <c r="I2157" i="5" s="1"/>
  <c r="J2157" i="5" s="1" a="1"/>
  <c r="J2157" i="5" s="1"/>
  <c r="X2151" i="9" s="1"/>
  <c r="H2143" i="5"/>
  <c r="I2143" i="5" s="1"/>
  <c r="J2143" i="5" s="1" a="1"/>
  <c r="J2143" i="5" s="1"/>
  <c r="X2137" i="9" s="1"/>
  <c r="H2141" i="5"/>
  <c r="I2141" i="5" s="1"/>
  <c r="J2141" i="5" s="1" a="1"/>
  <c r="J2141" i="5" s="1"/>
  <c r="X2135" i="9" s="1"/>
  <c r="H2127" i="5"/>
  <c r="I2127" i="5" s="1"/>
  <c r="J2127" i="5" s="1" a="1"/>
  <c r="J2127" i="5" s="1"/>
  <c r="X2121" i="9" s="1"/>
  <c r="H2125" i="5"/>
  <c r="I2125" i="5" s="1"/>
  <c r="J2125" i="5" s="1" a="1"/>
  <c r="J2125" i="5" s="1"/>
  <c r="X2119" i="9" s="1"/>
  <c r="H2111" i="5"/>
  <c r="I2111" i="5" s="1"/>
  <c r="J2111" i="5" s="1" a="1"/>
  <c r="J2111" i="5" s="1"/>
  <c r="X2105" i="9" s="1"/>
  <c r="H2109" i="5"/>
  <c r="I2109" i="5" s="1"/>
  <c r="J2109" i="5" s="1" a="1"/>
  <c r="J2109" i="5" s="1"/>
  <c r="X2103" i="9" s="1"/>
  <c r="H2092" i="5"/>
  <c r="I2092" i="5" s="1"/>
  <c r="J2092" i="5" s="1" a="1"/>
  <c r="J2092" i="5" s="1"/>
  <c r="X2086" i="9" s="1"/>
  <c r="H2078" i="5"/>
  <c r="I2078" i="5" s="1"/>
  <c r="J2078" i="5" s="1" a="1"/>
  <c r="J2078" i="5" s="1"/>
  <c r="X2072" i="9" s="1"/>
  <c r="H2076" i="5"/>
  <c r="I2076" i="5" s="1"/>
  <c r="J2076" i="5" s="1" a="1"/>
  <c r="J2076" i="5" s="1"/>
  <c r="X2070" i="9" s="1"/>
  <c r="H2346" i="5"/>
  <c r="I2346" i="5" s="1"/>
  <c r="J2346" i="5" s="1" a="1"/>
  <c r="J2346" i="5" s="1"/>
  <c r="X2340" i="9" s="1"/>
  <c r="H2330" i="5"/>
  <c r="I2330" i="5" s="1"/>
  <c r="J2330" i="5" s="1" a="1"/>
  <c r="J2330" i="5" s="1"/>
  <c r="X2324" i="9" s="1"/>
  <c r="H2314" i="5"/>
  <c r="I2314" i="5" s="1"/>
  <c r="J2314" i="5" s="1" a="1"/>
  <c r="J2314" i="5" s="1"/>
  <c r="X2308" i="9" s="1"/>
  <c r="H2298" i="5"/>
  <c r="I2298" i="5" s="1"/>
  <c r="J2298" i="5" s="1" a="1"/>
  <c r="J2298" i="5" s="1"/>
  <c r="X2292" i="9" s="1"/>
  <c r="H2282" i="5"/>
  <c r="I2282" i="5" s="1"/>
  <c r="J2282" i="5" s="1" a="1"/>
  <c r="J2282" i="5" s="1"/>
  <c r="X2276" i="9" s="1"/>
  <c r="H2266" i="5"/>
  <c r="I2266" i="5" s="1"/>
  <c r="J2266" i="5" s="1" a="1"/>
  <c r="J2266" i="5" s="1"/>
  <c r="X2260" i="9" s="1"/>
  <c r="H2254" i="5"/>
  <c r="I2254" i="5" s="1"/>
  <c r="J2254" i="5" s="1" a="1"/>
  <c r="J2254" i="5" s="1"/>
  <c r="X2248" i="9" s="1"/>
  <c r="H2239" i="5"/>
  <c r="I2239" i="5" s="1"/>
  <c r="J2239" i="5" s="1" a="1"/>
  <c r="J2239" i="5" s="1"/>
  <c r="X2233" i="9" s="1"/>
  <c r="H2223" i="5"/>
  <c r="I2223" i="5" s="1"/>
  <c r="J2223" i="5" s="1" a="1"/>
  <c r="J2223" i="5" s="1"/>
  <c r="X2217" i="9" s="1"/>
  <c r="H2207" i="5"/>
  <c r="I2207" i="5" s="1"/>
  <c r="J2207" i="5" s="1" a="1"/>
  <c r="J2207" i="5" s="1"/>
  <c r="X2201" i="9" s="1"/>
  <c r="H2191" i="5"/>
  <c r="I2191" i="5" s="1"/>
  <c r="J2191" i="5" s="1" a="1"/>
  <c r="J2191" i="5" s="1"/>
  <c r="X2185" i="9" s="1"/>
  <c r="H2155" i="5"/>
  <c r="I2155" i="5" s="1"/>
  <c r="J2155" i="5" s="1" a="1"/>
  <c r="J2155" i="5" s="1"/>
  <c r="X2149" i="9" s="1"/>
  <c r="H2153" i="5"/>
  <c r="I2153" i="5" s="1"/>
  <c r="J2153" i="5" s="1" a="1"/>
  <c r="J2153" i="5" s="1"/>
  <c r="X2147" i="9" s="1"/>
  <c r="H2139" i="5"/>
  <c r="I2139" i="5" s="1"/>
  <c r="J2139" i="5" s="1" a="1"/>
  <c r="J2139" i="5" s="1"/>
  <c r="X2133" i="9" s="1"/>
  <c r="H2137" i="5"/>
  <c r="I2137" i="5" s="1"/>
  <c r="J2137" i="5" s="1" a="1"/>
  <c r="J2137" i="5" s="1"/>
  <c r="X2131" i="9" s="1"/>
  <c r="H2123" i="5"/>
  <c r="I2123" i="5" s="1"/>
  <c r="J2123" i="5" s="1" a="1"/>
  <c r="J2123" i="5" s="1"/>
  <c r="X2117" i="9" s="1"/>
  <c r="H2121" i="5"/>
  <c r="I2121" i="5" s="1"/>
  <c r="J2121" i="5" s="1" a="1"/>
  <c r="J2121" i="5" s="1"/>
  <c r="X2115" i="9" s="1"/>
  <c r="H2107" i="5"/>
  <c r="I2107" i="5" s="1"/>
  <c r="J2107" i="5" s="1" a="1"/>
  <c r="J2107" i="5" s="1"/>
  <c r="X2101" i="9" s="1"/>
  <c r="H2105" i="5"/>
  <c r="I2105" i="5" s="1"/>
  <c r="J2105" i="5" s="1" a="1"/>
  <c r="J2105" i="5" s="1"/>
  <c r="X2099" i="9" s="1"/>
  <c r="H2082" i="5"/>
  <c r="I2082" i="5" s="1"/>
  <c r="J2082" i="5" s="1" a="1"/>
  <c r="J2082" i="5" s="1"/>
  <c r="X2076" i="9" s="1"/>
  <c r="H2080" i="5"/>
  <c r="I2080" i="5" s="1"/>
  <c r="J2080" i="5" s="1" a="1"/>
  <c r="J2080" i="5" s="1"/>
  <c r="X2074" i="9" s="1"/>
  <c r="H2068" i="5"/>
  <c r="I2068" i="5" s="1"/>
  <c r="J2068" i="5" s="1" a="1"/>
  <c r="J2068" i="5" s="1"/>
  <c r="X2062" i="9" s="1"/>
  <c r="H2060" i="5"/>
  <c r="I2060" i="5" s="1"/>
  <c r="J2060" i="5" s="1" a="1"/>
  <c r="J2060" i="5" s="1"/>
  <c r="X2054" i="9" s="1"/>
  <c r="H2048" i="5"/>
  <c r="I2048" i="5" s="1"/>
  <c r="J2048" i="5" s="1" a="1"/>
  <c r="J2048" i="5" s="1"/>
  <c r="X2042" i="9" s="1"/>
  <c r="H2040" i="5"/>
  <c r="I2040" i="5" s="1"/>
  <c r="J2040" i="5" s="1" a="1"/>
  <c r="J2040" i="5" s="1"/>
  <c r="X2034" i="9" s="1"/>
  <c r="H2032" i="5"/>
  <c r="I2032" i="5" s="1"/>
  <c r="J2032" i="5" s="1" a="1"/>
  <c r="J2032" i="5" s="1"/>
  <c r="X2026" i="9" s="1"/>
  <c r="H2024" i="5"/>
  <c r="I2024" i="5" s="1"/>
  <c r="J2024" i="5" s="1" a="1"/>
  <c r="J2024" i="5" s="1"/>
  <c r="X2018" i="9" s="1"/>
  <c r="H2016" i="5"/>
  <c r="I2016" i="5" s="1"/>
  <c r="J2016" i="5" s="1" a="1"/>
  <c r="J2016" i="5" s="1"/>
  <c r="X2010" i="9" s="1"/>
  <c r="H2012" i="5"/>
  <c r="I2012" i="5" s="1"/>
  <c r="J2012" i="5" s="1" a="1"/>
  <c r="J2012" i="5" s="1"/>
  <c r="X2006" i="9" s="1"/>
  <c r="H2968" i="5"/>
  <c r="I2968" i="5" s="1"/>
  <c r="H2964" i="5"/>
  <c r="I2964" i="5" s="1"/>
  <c r="H2949" i="5"/>
  <c r="I2949" i="5" s="1"/>
  <c r="H2939" i="5"/>
  <c r="I2939" i="5" s="1"/>
  <c r="H2927" i="5"/>
  <c r="I2927" i="5" s="1"/>
  <c r="J2908" i="5" a="1"/>
  <c r="J2908" i="5" s="1"/>
  <c r="X2902" i="9" s="1"/>
  <c r="J2892" i="5" a="1"/>
  <c r="J2892" i="5" s="1"/>
  <c r="X2886" i="9" s="1"/>
  <c r="J2888" i="5" a="1"/>
  <c r="J2888" i="5" s="1"/>
  <c r="X2882" i="9" s="1"/>
  <c r="J2884" i="5" a="1"/>
  <c r="J2884" i="5" s="1"/>
  <c r="X2878" i="9" s="1"/>
  <c r="H2947" i="5"/>
  <c r="I2947" i="5" s="1"/>
  <c r="J2945" i="5" a="1"/>
  <c r="J2945" i="5" s="1"/>
  <c r="X2939" i="9" s="1"/>
  <c r="J2941" i="5" a="1"/>
  <c r="J2941" i="5" s="1"/>
  <c r="X2935" i="9" s="1"/>
  <c r="J2937" i="5" a="1"/>
  <c r="J2937" i="5" s="1"/>
  <c r="X2931" i="9" s="1"/>
  <c r="J2933" i="5" a="1"/>
  <c r="J2933" i="5" s="1"/>
  <c r="X2927" i="9" s="1"/>
  <c r="J2929" i="5" a="1"/>
  <c r="J2929" i="5" s="1"/>
  <c r="X2923" i="9" s="1"/>
  <c r="J2925" i="5" a="1"/>
  <c r="J2925" i="5" s="1"/>
  <c r="X2919" i="9" s="1"/>
  <c r="H2920" i="5"/>
  <c r="I2920" i="5" s="1"/>
  <c r="H2917" i="5"/>
  <c r="I2917" i="5" s="1"/>
  <c r="H2912" i="5"/>
  <c r="I2912" i="5" s="1"/>
  <c r="H2909" i="5"/>
  <c r="I2909" i="5" s="1"/>
  <c r="H2904" i="5"/>
  <c r="I2904" i="5" s="1"/>
  <c r="H2901" i="5"/>
  <c r="I2901" i="5" s="1"/>
  <c r="H2896" i="5"/>
  <c r="I2896" i="5" s="1"/>
  <c r="H2980" i="5"/>
  <c r="I2980" i="5" s="1"/>
  <c r="H2956" i="5"/>
  <c r="I2956" i="5" s="1"/>
  <c r="H2952" i="5"/>
  <c r="I2952" i="5" s="1"/>
  <c r="H2943" i="5"/>
  <c r="I2943" i="5" s="1"/>
  <c r="H2935" i="5"/>
  <c r="I2935" i="5" s="1"/>
  <c r="H2921" i="5"/>
  <c r="I2921" i="5" s="1"/>
  <c r="J2916" i="5" a="1"/>
  <c r="J2916" i="5" s="1"/>
  <c r="X2910" i="9" s="1"/>
  <c r="H2913" i="5"/>
  <c r="I2913" i="5" s="1"/>
  <c r="H2905" i="5"/>
  <c r="I2905" i="5" s="1"/>
  <c r="H2995" i="5"/>
  <c r="I2995" i="5" s="1"/>
  <c r="H2991" i="5"/>
  <c r="I2991" i="5" s="1"/>
  <c r="H2987" i="5"/>
  <c r="I2987" i="5" s="1"/>
  <c r="H2983" i="5"/>
  <c r="I2983" i="5" s="1"/>
  <c r="H2979" i="5"/>
  <c r="I2979" i="5" s="1"/>
  <c r="H2975" i="5"/>
  <c r="I2975" i="5" s="1"/>
  <c r="H2971" i="5"/>
  <c r="I2971" i="5" s="1"/>
  <c r="H2967" i="5"/>
  <c r="I2967" i="5" s="1"/>
  <c r="H2963" i="5"/>
  <c r="I2963" i="5" s="1"/>
  <c r="H2959" i="5"/>
  <c r="I2959" i="5" s="1"/>
  <c r="H2955" i="5"/>
  <c r="I2955" i="5" s="1"/>
  <c r="H2951" i="5"/>
  <c r="I2951" i="5" s="1"/>
  <c r="H2876" i="5"/>
  <c r="I2876" i="5" s="1"/>
  <c r="H2946" i="5"/>
  <c r="I2946" i="5" s="1"/>
  <c r="H2942" i="5"/>
  <c r="I2942" i="5" s="1"/>
  <c r="H2938" i="5"/>
  <c r="I2938" i="5" s="1"/>
  <c r="H2934" i="5"/>
  <c r="I2934" i="5" s="1"/>
  <c r="H2930" i="5"/>
  <c r="I2930" i="5" s="1"/>
  <c r="H2926" i="5"/>
  <c r="I2926" i="5" s="1"/>
  <c r="H2922" i="5"/>
  <c r="I2922" i="5" s="1"/>
  <c r="H2893" i="5"/>
  <c r="I2893" i="5" s="1"/>
  <c r="H2889" i="5"/>
  <c r="I2889" i="5" s="1"/>
  <c r="H2885" i="5"/>
  <c r="I2885" i="5" s="1"/>
  <c r="H2881" i="5"/>
  <c r="I2881" i="5" s="1"/>
  <c r="H2877" i="5"/>
  <c r="I2877" i="5" s="1"/>
  <c r="H2874" i="5"/>
  <c r="I2874" i="5" s="1"/>
  <c r="H2918" i="5"/>
  <c r="I2918" i="5" s="1"/>
  <c r="H2914" i="5"/>
  <c r="I2914" i="5" s="1"/>
  <c r="H2910" i="5"/>
  <c r="I2910" i="5" s="1"/>
  <c r="H2906" i="5"/>
  <c r="I2906" i="5" s="1"/>
  <c r="H2902" i="5"/>
  <c r="I2902" i="5" s="1"/>
  <c r="H2898" i="5"/>
  <c r="I2898" i="5" s="1"/>
  <c r="H2631" i="5"/>
  <c r="I2631" i="5" s="1"/>
  <c r="H2623" i="5"/>
  <c r="I2623" i="5" s="1"/>
  <c r="H2618" i="5"/>
  <c r="I2618" i="5" s="1"/>
  <c r="H2602" i="5"/>
  <c r="I2602" i="5" s="1"/>
  <c r="H2586" i="5"/>
  <c r="I2586" i="5" s="1"/>
  <c r="H2570" i="5"/>
  <c r="I2570" i="5" s="1"/>
  <c r="H2554" i="5"/>
  <c r="I2554" i="5" s="1"/>
  <c r="H2538" i="5"/>
  <c r="I2538" i="5" s="1"/>
  <c r="H2522" i="5"/>
  <c r="I2522" i="5" s="1"/>
  <c r="H2614" i="5"/>
  <c r="I2614" i="5" s="1"/>
  <c r="H2598" i="5"/>
  <c r="I2598" i="5" s="1"/>
  <c r="H2582" i="5"/>
  <c r="I2582" i="5" s="1"/>
  <c r="H2566" i="5"/>
  <c r="I2566" i="5" s="1"/>
  <c r="H2550" i="5"/>
  <c r="I2550" i="5" s="1"/>
  <c r="H2534" i="5"/>
  <c r="I2534" i="5" s="1"/>
  <c r="H2518" i="5"/>
  <c r="I2518" i="5" s="1"/>
  <c r="H2236" i="5"/>
  <c r="I2236" i="5" s="1"/>
  <c r="H2220" i="5"/>
  <c r="I2220" i="5" s="1"/>
  <c r="H2204" i="5"/>
  <c r="I2204" i="5" s="1"/>
  <c r="H2872" i="5"/>
  <c r="I2872" i="5" s="1"/>
  <c r="H2868" i="5"/>
  <c r="I2868" i="5" s="1"/>
  <c r="H2864" i="5"/>
  <c r="I2864" i="5" s="1"/>
  <c r="H2860" i="5"/>
  <c r="I2860" i="5" s="1"/>
  <c r="H2856" i="5"/>
  <c r="I2856" i="5" s="1"/>
  <c r="H2852" i="5"/>
  <c r="I2852" i="5" s="1"/>
  <c r="H2848" i="5"/>
  <c r="I2848" i="5" s="1"/>
  <c r="H2844" i="5"/>
  <c r="I2844" i="5" s="1"/>
  <c r="H2840" i="5"/>
  <c r="I2840" i="5" s="1"/>
  <c r="H2836" i="5"/>
  <c r="I2836" i="5" s="1"/>
  <c r="H2832" i="5"/>
  <c r="I2832" i="5" s="1"/>
  <c r="H2828" i="5"/>
  <c r="I2828" i="5" s="1"/>
  <c r="H2824" i="5"/>
  <c r="I2824" i="5" s="1"/>
  <c r="H2820" i="5"/>
  <c r="I2820" i="5" s="1"/>
  <c r="H2816" i="5"/>
  <c r="I2816" i="5" s="1"/>
  <c r="H2812" i="5"/>
  <c r="I2812" i="5" s="1"/>
  <c r="H2808" i="5"/>
  <c r="I2808" i="5" s="1"/>
  <c r="H2804" i="5"/>
  <c r="I2804" i="5" s="1"/>
  <c r="H2800" i="5"/>
  <c r="I2800" i="5" s="1"/>
  <c r="H2796" i="5"/>
  <c r="I2796" i="5" s="1"/>
  <c r="H2792" i="5"/>
  <c r="I2792" i="5" s="1"/>
  <c r="H2788" i="5"/>
  <c r="I2788" i="5" s="1"/>
  <c r="H2784" i="5"/>
  <c r="I2784" i="5" s="1"/>
  <c r="H2780" i="5"/>
  <c r="I2780" i="5" s="1"/>
  <c r="H2776" i="5"/>
  <c r="I2776" i="5" s="1"/>
  <c r="H2772" i="5"/>
  <c r="I2772" i="5" s="1"/>
  <c r="H2768" i="5"/>
  <c r="I2768" i="5" s="1"/>
  <c r="H2764" i="5"/>
  <c r="I2764" i="5" s="1"/>
  <c r="H2760" i="5"/>
  <c r="I2760" i="5" s="1"/>
  <c r="H2756" i="5"/>
  <c r="I2756" i="5" s="1"/>
  <c r="H2752" i="5"/>
  <c r="I2752" i="5" s="1"/>
  <c r="H2748" i="5"/>
  <c r="I2748" i="5" s="1"/>
  <c r="H2744" i="5"/>
  <c r="I2744" i="5" s="1"/>
  <c r="H2740" i="5"/>
  <c r="I2740" i="5" s="1"/>
  <c r="H2736" i="5"/>
  <c r="I2736" i="5" s="1"/>
  <c r="H2732" i="5"/>
  <c r="I2732" i="5" s="1"/>
  <c r="H2728" i="5"/>
  <c r="I2728" i="5" s="1"/>
  <c r="H2724" i="5"/>
  <c r="I2724" i="5" s="1"/>
  <c r="H2720" i="5"/>
  <c r="I2720" i="5" s="1"/>
  <c r="H2716" i="5"/>
  <c r="I2716" i="5" s="1"/>
  <c r="H2712" i="5"/>
  <c r="I2712" i="5" s="1"/>
  <c r="H2708" i="5"/>
  <c r="I2708" i="5" s="1"/>
  <c r="H2704" i="5"/>
  <c r="I2704" i="5" s="1"/>
  <c r="H2700" i="5"/>
  <c r="I2700" i="5" s="1"/>
  <c r="H2696" i="5"/>
  <c r="I2696" i="5" s="1"/>
  <c r="H2692" i="5"/>
  <c r="I2692" i="5" s="1"/>
  <c r="H2688" i="5"/>
  <c r="I2688" i="5" s="1"/>
  <c r="H2684" i="5"/>
  <c r="I2684" i="5" s="1"/>
  <c r="H2680" i="5"/>
  <c r="I2680" i="5" s="1"/>
  <c r="H2676" i="5"/>
  <c r="I2676" i="5" s="1"/>
  <c r="H2672" i="5"/>
  <c r="I2672" i="5" s="1"/>
  <c r="H2668" i="5"/>
  <c r="I2668" i="5" s="1"/>
  <c r="H2664" i="5"/>
  <c r="I2664" i="5" s="1"/>
  <c r="H2660" i="5"/>
  <c r="I2660" i="5" s="1"/>
  <c r="H2656" i="5"/>
  <c r="I2656" i="5" s="1"/>
  <c r="H2627" i="5"/>
  <c r="I2627" i="5" s="1"/>
  <c r="H2610" i="5"/>
  <c r="I2610" i="5" s="1"/>
  <c r="H2594" i="5"/>
  <c r="I2594" i="5" s="1"/>
  <c r="H2578" i="5"/>
  <c r="I2578" i="5" s="1"/>
  <c r="H2562" i="5"/>
  <c r="I2562" i="5" s="1"/>
  <c r="H2546" i="5"/>
  <c r="I2546" i="5" s="1"/>
  <c r="H2530" i="5"/>
  <c r="I2530" i="5" s="1"/>
  <c r="H2514" i="5"/>
  <c r="I2514" i="5" s="1"/>
  <c r="H2508" i="5"/>
  <c r="I2508" i="5" s="1"/>
  <c r="H2871" i="5"/>
  <c r="I2871" i="5" s="1"/>
  <c r="H2867" i="5"/>
  <c r="I2867" i="5" s="1"/>
  <c r="H2863" i="5"/>
  <c r="I2863" i="5" s="1"/>
  <c r="H2859" i="5"/>
  <c r="I2859" i="5" s="1"/>
  <c r="H2855" i="5"/>
  <c r="I2855" i="5" s="1"/>
  <c r="H2851" i="5"/>
  <c r="I2851" i="5" s="1"/>
  <c r="H2847" i="5"/>
  <c r="I2847" i="5" s="1"/>
  <c r="H2843" i="5"/>
  <c r="I2843" i="5" s="1"/>
  <c r="H2839" i="5"/>
  <c r="I2839" i="5" s="1"/>
  <c r="H2835" i="5"/>
  <c r="I2835" i="5" s="1"/>
  <c r="H2831" i="5"/>
  <c r="I2831" i="5" s="1"/>
  <c r="H2827" i="5"/>
  <c r="I2827" i="5" s="1"/>
  <c r="H2823" i="5"/>
  <c r="I2823" i="5" s="1"/>
  <c r="H2819" i="5"/>
  <c r="I2819" i="5" s="1"/>
  <c r="H2815" i="5"/>
  <c r="I2815" i="5" s="1"/>
  <c r="H2811" i="5"/>
  <c r="I2811" i="5" s="1"/>
  <c r="H2807" i="5"/>
  <c r="I2807" i="5" s="1"/>
  <c r="H2803" i="5"/>
  <c r="I2803" i="5" s="1"/>
  <c r="H2799" i="5"/>
  <c r="I2799" i="5" s="1"/>
  <c r="H2795" i="5"/>
  <c r="I2795" i="5" s="1"/>
  <c r="H2791" i="5"/>
  <c r="I2791" i="5" s="1"/>
  <c r="H2787" i="5"/>
  <c r="I2787" i="5" s="1"/>
  <c r="H2783" i="5"/>
  <c r="I2783" i="5" s="1"/>
  <c r="H2779" i="5"/>
  <c r="I2779" i="5" s="1"/>
  <c r="H2775" i="5"/>
  <c r="I2775" i="5" s="1"/>
  <c r="H2771" i="5"/>
  <c r="I2771" i="5" s="1"/>
  <c r="H2767" i="5"/>
  <c r="I2767" i="5" s="1"/>
  <c r="H2763" i="5"/>
  <c r="I2763" i="5" s="1"/>
  <c r="H2759" i="5"/>
  <c r="I2759" i="5" s="1"/>
  <c r="H2755" i="5"/>
  <c r="I2755" i="5" s="1"/>
  <c r="H2751" i="5"/>
  <c r="I2751" i="5" s="1"/>
  <c r="H2747" i="5"/>
  <c r="I2747" i="5" s="1"/>
  <c r="H2743" i="5"/>
  <c r="I2743" i="5" s="1"/>
  <c r="H2739" i="5"/>
  <c r="I2739" i="5" s="1"/>
  <c r="H2735" i="5"/>
  <c r="I2735" i="5" s="1"/>
  <c r="H2731" i="5"/>
  <c r="I2731" i="5" s="1"/>
  <c r="H2727" i="5"/>
  <c r="I2727" i="5" s="1"/>
  <c r="H2723" i="5"/>
  <c r="I2723" i="5" s="1"/>
  <c r="H2719" i="5"/>
  <c r="I2719" i="5" s="1"/>
  <c r="H2715" i="5"/>
  <c r="I2715" i="5" s="1"/>
  <c r="H2711" i="5"/>
  <c r="I2711" i="5" s="1"/>
  <c r="H2707" i="5"/>
  <c r="I2707" i="5" s="1"/>
  <c r="H2703" i="5"/>
  <c r="I2703" i="5" s="1"/>
  <c r="H2699" i="5"/>
  <c r="I2699" i="5" s="1"/>
  <c r="H2695" i="5"/>
  <c r="I2695" i="5" s="1"/>
  <c r="H2691" i="5"/>
  <c r="I2691" i="5" s="1"/>
  <c r="H2687" i="5"/>
  <c r="I2687" i="5" s="1"/>
  <c r="H2683" i="5"/>
  <c r="I2683" i="5" s="1"/>
  <c r="H2679" i="5"/>
  <c r="I2679" i="5" s="1"/>
  <c r="H2675" i="5"/>
  <c r="I2675" i="5" s="1"/>
  <c r="H2671" i="5"/>
  <c r="I2671" i="5" s="1"/>
  <c r="H2667" i="5"/>
  <c r="I2667" i="5" s="1"/>
  <c r="H2663" i="5"/>
  <c r="I2663" i="5" s="1"/>
  <c r="H2659" i="5"/>
  <c r="I2659" i="5" s="1"/>
  <c r="H2655" i="5"/>
  <c r="I2655" i="5" s="1"/>
  <c r="H2653" i="5"/>
  <c r="I2653" i="5" s="1"/>
  <c r="H2651" i="5"/>
  <c r="I2651" i="5" s="1"/>
  <c r="H2649" i="5"/>
  <c r="I2649" i="5" s="1"/>
  <c r="H2647" i="5"/>
  <c r="I2647" i="5" s="1"/>
  <c r="H2645" i="5"/>
  <c r="I2645" i="5" s="1"/>
  <c r="H2643" i="5"/>
  <c r="I2643" i="5" s="1"/>
  <c r="H2641" i="5"/>
  <c r="I2641" i="5" s="1"/>
  <c r="H2639" i="5"/>
  <c r="I2639" i="5" s="1"/>
  <c r="H2637" i="5"/>
  <c r="I2637" i="5" s="1"/>
  <c r="H2635" i="5"/>
  <c r="I2635" i="5" s="1"/>
  <c r="H2606" i="5"/>
  <c r="I2606" i="5" s="1"/>
  <c r="H2590" i="5"/>
  <c r="I2590" i="5" s="1"/>
  <c r="H2574" i="5"/>
  <c r="I2574" i="5" s="1"/>
  <c r="H2558" i="5"/>
  <c r="I2558" i="5" s="1"/>
  <c r="H2542" i="5"/>
  <c r="I2542" i="5" s="1"/>
  <c r="H2526" i="5"/>
  <c r="I2526" i="5" s="1"/>
  <c r="H2188" i="5"/>
  <c r="I2188" i="5" s="1"/>
  <c r="H2164" i="5"/>
  <c r="I2164" i="5" s="1"/>
  <c r="H2148" i="5"/>
  <c r="I2148" i="5" s="1"/>
  <c r="H2132" i="5"/>
  <c r="I2132" i="5" s="1"/>
  <c r="H2116" i="5"/>
  <c r="I2116" i="5" s="1"/>
  <c r="H2100" i="5"/>
  <c r="I2100" i="5" s="1"/>
  <c r="H2502" i="5"/>
  <c r="I2502" i="5" s="1"/>
  <c r="H2494" i="5"/>
  <c r="I2494" i="5" s="1"/>
  <c r="H2486" i="5"/>
  <c r="I2486" i="5" s="1"/>
  <c r="H2478" i="5"/>
  <c r="I2478" i="5" s="1"/>
  <c r="H2470" i="5"/>
  <c r="I2470" i="5" s="1"/>
  <c r="H2462" i="5"/>
  <c r="I2462" i="5" s="1"/>
  <c r="H2454" i="5"/>
  <c r="I2454" i="5" s="1"/>
  <c r="H2446" i="5"/>
  <c r="I2446" i="5" s="1"/>
  <c r="H2438" i="5"/>
  <c r="I2438" i="5" s="1"/>
  <c r="H2430" i="5"/>
  <c r="I2430" i="5" s="1"/>
  <c r="H2422" i="5"/>
  <c r="I2422" i="5" s="1"/>
  <c r="H2414" i="5"/>
  <c r="I2414" i="5" s="1"/>
  <c r="H2406" i="5"/>
  <c r="I2406" i="5" s="1"/>
  <c r="H2398" i="5"/>
  <c r="I2398" i="5" s="1"/>
  <c r="H2390" i="5"/>
  <c r="I2390" i="5" s="1"/>
  <c r="H2382" i="5"/>
  <c r="I2382" i="5" s="1"/>
  <c r="H2374" i="5"/>
  <c r="I2374" i="5" s="1"/>
  <c r="H2366" i="5"/>
  <c r="I2366" i="5" s="1"/>
  <c r="H2355" i="5"/>
  <c r="I2355" i="5" s="1"/>
  <c r="H2339" i="5"/>
  <c r="I2339" i="5" s="1"/>
  <c r="H2323" i="5"/>
  <c r="I2323" i="5" s="1"/>
  <c r="H2307" i="5"/>
  <c r="I2307" i="5" s="1"/>
  <c r="H2291" i="5"/>
  <c r="I2291" i="5" s="1"/>
  <c r="H2275" i="5"/>
  <c r="I2275" i="5" s="1"/>
  <c r="H2264" i="5"/>
  <c r="I2264" i="5" s="1"/>
  <c r="H2654" i="5"/>
  <c r="I2654" i="5" s="1"/>
  <c r="H2650" i="5"/>
  <c r="I2650" i="5" s="1"/>
  <c r="H2646" i="5"/>
  <c r="I2646" i="5" s="1"/>
  <c r="H2642" i="5"/>
  <c r="I2642" i="5" s="1"/>
  <c r="H2638" i="5"/>
  <c r="I2638" i="5" s="1"/>
  <c r="H2634" i="5"/>
  <c r="I2634" i="5" s="1"/>
  <c r="H2630" i="5"/>
  <c r="I2630" i="5" s="1"/>
  <c r="H2626" i="5"/>
  <c r="I2626" i="5" s="1"/>
  <c r="H2622" i="5"/>
  <c r="I2622" i="5" s="1"/>
  <c r="H2633" i="5"/>
  <c r="I2633" i="5" s="1"/>
  <c r="H2629" i="5"/>
  <c r="I2629" i="5" s="1"/>
  <c r="H2625" i="5"/>
  <c r="I2625" i="5" s="1"/>
  <c r="H2621" i="5"/>
  <c r="I2621" i="5" s="1"/>
  <c r="H2619" i="5"/>
  <c r="I2619" i="5" s="1"/>
  <c r="H2615" i="5"/>
  <c r="I2615" i="5" s="1"/>
  <c r="H2611" i="5"/>
  <c r="I2611" i="5" s="1"/>
  <c r="H2607" i="5"/>
  <c r="I2607" i="5" s="1"/>
  <c r="H2603" i="5"/>
  <c r="I2603" i="5" s="1"/>
  <c r="H2599" i="5"/>
  <c r="I2599" i="5" s="1"/>
  <c r="H2595" i="5"/>
  <c r="I2595" i="5" s="1"/>
  <c r="H2591" i="5"/>
  <c r="I2591" i="5" s="1"/>
  <c r="H2587" i="5"/>
  <c r="I2587" i="5" s="1"/>
  <c r="H2583" i="5"/>
  <c r="I2583" i="5" s="1"/>
  <c r="H2579" i="5"/>
  <c r="I2579" i="5" s="1"/>
  <c r="H2575" i="5"/>
  <c r="I2575" i="5" s="1"/>
  <c r="H2571" i="5"/>
  <c r="I2571" i="5" s="1"/>
  <c r="H2567" i="5"/>
  <c r="I2567" i="5" s="1"/>
  <c r="H2563" i="5"/>
  <c r="I2563" i="5" s="1"/>
  <c r="H2559" i="5"/>
  <c r="I2559" i="5" s="1"/>
  <c r="H2555" i="5"/>
  <c r="I2555" i="5" s="1"/>
  <c r="H2551" i="5"/>
  <c r="I2551" i="5" s="1"/>
  <c r="H2547" i="5"/>
  <c r="I2547" i="5" s="1"/>
  <c r="H2543" i="5"/>
  <c r="I2543" i="5" s="1"/>
  <c r="H2539" i="5"/>
  <c r="I2539" i="5" s="1"/>
  <c r="H2535" i="5"/>
  <c r="I2535" i="5" s="1"/>
  <c r="H2531" i="5"/>
  <c r="I2531" i="5" s="1"/>
  <c r="H2527" i="5"/>
  <c r="I2527" i="5" s="1"/>
  <c r="H2523" i="5"/>
  <c r="I2523" i="5" s="1"/>
  <c r="H2519" i="5"/>
  <c r="I2519" i="5" s="1"/>
  <c r="H2515" i="5"/>
  <c r="I2515" i="5" s="1"/>
  <c r="H2511" i="5"/>
  <c r="I2511" i="5" s="1"/>
  <c r="H2504" i="5"/>
  <c r="I2504" i="5" s="1"/>
  <c r="H2498" i="5"/>
  <c r="I2498" i="5" s="1"/>
  <c r="H2490" i="5"/>
  <c r="I2490" i="5" s="1"/>
  <c r="H2482" i="5"/>
  <c r="I2482" i="5" s="1"/>
  <c r="H2474" i="5"/>
  <c r="I2474" i="5" s="1"/>
  <c r="H2466" i="5"/>
  <c r="I2466" i="5" s="1"/>
  <c r="H2458" i="5"/>
  <c r="I2458" i="5" s="1"/>
  <c r="H2450" i="5"/>
  <c r="I2450" i="5" s="1"/>
  <c r="H2442" i="5"/>
  <c r="I2442" i="5" s="1"/>
  <c r="H2434" i="5"/>
  <c r="I2434" i="5" s="1"/>
  <c r="H2426" i="5"/>
  <c r="I2426" i="5" s="1"/>
  <c r="H2418" i="5"/>
  <c r="I2418" i="5" s="1"/>
  <c r="H2410" i="5"/>
  <c r="I2410" i="5" s="1"/>
  <c r="H2402" i="5"/>
  <c r="I2402" i="5" s="1"/>
  <c r="H2394" i="5"/>
  <c r="I2394" i="5" s="1"/>
  <c r="H2386" i="5"/>
  <c r="I2386" i="5" s="1"/>
  <c r="H2378" i="5"/>
  <c r="I2378" i="5" s="1"/>
  <c r="H2370" i="5"/>
  <c r="I2370" i="5" s="1"/>
  <c r="H2501" i="5"/>
  <c r="I2501" i="5" s="1"/>
  <c r="H2497" i="5"/>
  <c r="I2497" i="5" s="1"/>
  <c r="H2493" i="5"/>
  <c r="I2493" i="5" s="1"/>
  <c r="H2489" i="5"/>
  <c r="I2489" i="5" s="1"/>
  <c r="H2485" i="5"/>
  <c r="I2485" i="5" s="1"/>
  <c r="H2481" i="5"/>
  <c r="I2481" i="5" s="1"/>
  <c r="H2477" i="5"/>
  <c r="I2477" i="5" s="1"/>
  <c r="H2473" i="5"/>
  <c r="I2473" i="5" s="1"/>
  <c r="H2469" i="5"/>
  <c r="I2469" i="5" s="1"/>
  <c r="H2465" i="5"/>
  <c r="I2465" i="5" s="1"/>
  <c r="H2461" i="5"/>
  <c r="I2461" i="5" s="1"/>
  <c r="H2457" i="5"/>
  <c r="I2457" i="5" s="1"/>
  <c r="H2453" i="5"/>
  <c r="I2453" i="5" s="1"/>
  <c r="H2449" i="5"/>
  <c r="I2449" i="5" s="1"/>
  <c r="H2445" i="5"/>
  <c r="I2445" i="5" s="1"/>
  <c r="H2441" i="5"/>
  <c r="I2441" i="5" s="1"/>
  <c r="H2437" i="5"/>
  <c r="I2437" i="5" s="1"/>
  <c r="H2433" i="5"/>
  <c r="I2433" i="5" s="1"/>
  <c r="H2429" i="5"/>
  <c r="I2429" i="5" s="1"/>
  <c r="H2425" i="5"/>
  <c r="I2425" i="5" s="1"/>
  <c r="H2421" i="5"/>
  <c r="I2421" i="5" s="1"/>
  <c r="H2417" i="5"/>
  <c r="I2417" i="5" s="1"/>
  <c r="H2413" i="5"/>
  <c r="I2413" i="5" s="1"/>
  <c r="H2409" i="5"/>
  <c r="I2409" i="5" s="1"/>
  <c r="H2405" i="5"/>
  <c r="I2405" i="5" s="1"/>
  <c r="H2401" i="5"/>
  <c r="I2401" i="5" s="1"/>
  <c r="H2397" i="5"/>
  <c r="I2397" i="5" s="1"/>
  <c r="H2393" i="5"/>
  <c r="I2393" i="5" s="1"/>
  <c r="H2389" i="5"/>
  <c r="I2389" i="5" s="1"/>
  <c r="H2385" i="5"/>
  <c r="I2385" i="5" s="1"/>
  <c r="H2381" i="5"/>
  <c r="I2381" i="5" s="1"/>
  <c r="H2377" i="5"/>
  <c r="I2377" i="5" s="1"/>
  <c r="H2373" i="5"/>
  <c r="I2373" i="5" s="1"/>
  <c r="H2369" i="5"/>
  <c r="I2369" i="5" s="1"/>
  <c r="H2365" i="5"/>
  <c r="I2365" i="5" s="1"/>
  <c r="H2363" i="5"/>
  <c r="I2363" i="5" s="1"/>
  <c r="H2351" i="5"/>
  <c r="I2351" i="5" s="1"/>
  <c r="H2335" i="5"/>
  <c r="I2335" i="5" s="1"/>
  <c r="H2319" i="5"/>
  <c r="I2319" i="5" s="1"/>
  <c r="H2303" i="5"/>
  <c r="I2303" i="5" s="1"/>
  <c r="H2287" i="5"/>
  <c r="I2287" i="5" s="1"/>
  <c r="H2271" i="5"/>
  <c r="I2271" i="5" s="1"/>
  <c r="H2347" i="5"/>
  <c r="I2347" i="5" s="1"/>
  <c r="H2331" i="5"/>
  <c r="I2331" i="5" s="1"/>
  <c r="H2315" i="5"/>
  <c r="I2315" i="5" s="1"/>
  <c r="H2299" i="5"/>
  <c r="I2299" i="5" s="1"/>
  <c r="H2283" i="5"/>
  <c r="I2283" i="5" s="1"/>
  <c r="H2267" i="5"/>
  <c r="I2267" i="5" s="1"/>
  <c r="H2262" i="5"/>
  <c r="I2262" i="5" s="1"/>
  <c r="H2505" i="5"/>
  <c r="I2505" i="5" s="1"/>
  <c r="H2359" i="5"/>
  <c r="I2359" i="5" s="1"/>
  <c r="H2343" i="5"/>
  <c r="I2343" i="5" s="1"/>
  <c r="H2327" i="5"/>
  <c r="I2327" i="5" s="1"/>
  <c r="H2311" i="5"/>
  <c r="I2311" i="5" s="1"/>
  <c r="H2295" i="5"/>
  <c r="I2295" i="5" s="1"/>
  <c r="H2279" i="5"/>
  <c r="I2279" i="5" s="1"/>
  <c r="H2255" i="5"/>
  <c r="I2255" i="5" s="1"/>
  <c r="H2248" i="5"/>
  <c r="I2248" i="5" s="1"/>
  <c r="H2232" i="5"/>
  <c r="I2232" i="5" s="1"/>
  <c r="H2216" i="5"/>
  <c r="I2216" i="5" s="1"/>
  <c r="H2200" i="5"/>
  <c r="I2200" i="5" s="1"/>
  <c r="H2184" i="5"/>
  <c r="I2184" i="5" s="1"/>
  <c r="H2362" i="5"/>
  <c r="I2362" i="5" s="1"/>
  <c r="H2244" i="5"/>
  <c r="I2244" i="5" s="1"/>
  <c r="H2228" i="5"/>
  <c r="I2228" i="5" s="1"/>
  <c r="H2212" i="5"/>
  <c r="I2212" i="5" s="1"/>
  <c r="H2196" i="5"/>
  <c r="I2196" i="5" s="1"/>
  <c r="H2180" i="5"/>
  <c r="I2180" i="5" s="1"/>
  <c r="H2356" i="5"/>
  <c r="I2356" i="5" s="1"/>
  <c r="H2352" i="5"/>
  <c r="I2352" i="5" s="1"/>
  <c r="H2348" i="5"/>
  <c r="I2348" i="5" s="1"/>
  <c r="H2344" i="5"/>
  <c r="I2344" i="5" s="1"/>
  <c r="H2340" i="5"/>
  <c r="I2340" i="5" s="1"/>
  <c r="H2336" i="5"/>
  <c r="I2336" i="5" s="1"/>
  <c r="H2332" i="5"/>
  <c r="I2332" i="5" s="1"/>
  <c r="H2328" i="5"/>
  <c r="I2328" i="5" s="1"/>
  <c r="H2324" i="5"/>
  <c r="I2324" i="5" s="1"/>
  <c r="H2320" i="5"/>
  <c r="I2320" i="5" s="1"/>
  <c r="H2316" i="5"/>
  <c r="I2316" i="5" s="1"/>
  <c r="H2312" i="5"/>
  <c r="I2312" i="5" s="1"/>
  <c r="H2308" i="5"/>
  <c r="I2308" i="5" s="1"/>
  <c r="H2304" i="5"/>
  <c r="I2304" i="5" s="1"/>
  <c r="H2300" i="5"/>
  <c r="I2300" i="5" s="1"/>
  <c r="H2296" i="5"/>
  <c r="I2296" i="5" s="1"/>
  <c r="H2292" i="5"/>
  <c r="I2292" i="5" s="1"/>
  <c r="H2288" i="5"/>
  <c r="I2288" i="5" s="1"/>
  <c r="H2284" i="5"/>
  <c r="I2284" i="5" s="1"/>
  <c r="H2280" i="5"/>
  <c r="I2280" i="5" s="1"/>
  <c r="H2276" i="5"/>
  <c r="I2276" i="5" s="1"/>
  <c r="H2272" i="5"/>
  <c r="I2272" i="5" s="1"/>
  <c r="H2268" i="5"/>
  <c r="I2268" i="5" s="1"/>
  <c r="H2259" i="5"/>
  <c r="I2259" i="5" s="1"/>
  <c r="H2251" i="5"/>
  <c r="I2251" i="5" s="1"/>
  <c r="H2240" i="5"/>
  <c r="I2240" i="5" s="1"/>
  <c r="H2224" i="5"/>
  <c r="I2224" i="5" s="1"/>
  <c r="H2208" i="5"/>
  <c r="I2208" i="5" s="1"/>
  <c r="H2192" i="5"/>
  <c r="I2192" i="5" s="1"/>
  <c r="H2176" i="5"/>
  <c r="I2176" i="5" s="1"/>
  <c r="H2170" i="5"/>
  <c r="I2170" i="5" s="1"/>
  <c r="H2160" i="5"/>
  <c r="I2160" i="5" s="1"/>
  <c r="H2144" i="5"/>
  <c r="I2144" i="5" s="1"/>
  <c r="H2128" i="5"/>
  <c r="I2128" i="5" s="1"/>
  <c r="H2112" i="5"/>
  <c r="I2112" i="5" s="1"/>
  <c r="H2096" i="5"/>
  <c r="I2096" i="5" s="1"/>
  <c r="H2263" i="5"/>
  <c r="I2263" i="5" s="1"/>
  <c r="H2174" i="5"/>
  <c r="I2174" i="5" s="1"/>
  <c r="H2171" i="5"/>
  <c r="I2171" i="5" s="1"/>
  <c r="H2156" i="5"/>
  <c r="I2156" i="5" s="1"/>
  <c r="H2140" i="5"/>
  <c r="I2140" i="5" s="1"/>
  <c r="H2124" i="5"/>
  <c r="I2124" i="5" s="1"/>
  <c r="H2108" i="5"/>
  <c r="I2108" i="5" s="1"/>
  <c r="H2260" i="5"/>
  <c r="I2260" i="5" s="1"/>
  <c r="H2256" i="5"/>
  <c r="I2256" i="5" s="1"/>
  <c r="H2252" i="5"/>
  <c r="I2252" i="5" s="1"/>
  <c r="H2249" i="5"/>
  <c r="I2249" i="5" s="1"/>
  <c r="H2245" i="5"/>
  <c r="I2245" i="5" s="1"/>
  <c r="H2241" i="5"/>
  <c r="I2241" i="5" s="1"/>
  <c r="H2237" i="5"/>
  <c r="I2237" i="5" s="1"/>
  <c r="H2233" i="5"/>
  <c r="I2233" i="5" s="1"/>
  <c r="H2229" i="5"/>
  <c r="I2229" i="5" s="1"/>
  <c r="H2225" i="5"/>
  <c r="I2225" i="5" s="1"/>
  <c r="H2221" i="5"/>
  <c r="I2221" i="5" s="1"/>
  <c r="H2217" i="5"/>
  <c r="I2217" i="5" s="1"/>
  <c r="H2213" i="5"/>
  <c r="I2213" i="5" s="1"/>
  <c r="H2209" i="5"/>
  <c r="I2209" i="5" s="1"/>
  <c r="H2205" i="5"/>
  <c r="I2205" i="5" s="1"/>
  <c r="H2201" i="5"/>
  <c r="I2201" i="5" s="1"/>
  <c r="H2197" i="5"/>
  <c r="I2197" i="5" s="1"/>
  <c r="H2193" i="5"/>
  <c r="I2193" i="5" s="1"/>
  <c r="H2189" i="5"/>
  <c r="I2189" i="5" s="1"/>
  <c r="H2185" i="5"/>
  <c r="I2185" i="5" s="1"/>
  <c r="H2181" i="5"/>
  <c r="I2181" i="5" s="1"/>
  <c r="H2177" i="5"/>
  <c r="I2177" i="5" s="1"/>
  <c r="H2175" i="5"/>
  <c r="I2175" i="5" s="1"/>
  <c r="H2152" i="5"/>
  <c r="I2152" i="5" s="1"/>
  <c r="H2136" i="5"/>
  <c r="I2136" i="5" s="1"/>
  <c r="H2120" i="5"/>
  <c r="I2120" i="5" s="1"/>
  <c r="H2104" i="5"/>
  <c r="I2104" i="5" s="1"/>
  <c r="H2167" i="5"/>
  <c r="I2167" i="5" s="1"/>
  <c r="H2173" i="5"/>
  <c r="I2173" i="5" s="1"/>
  <c r="H2169" i="5"/>
  <c r="I2169" i="5" s="1"/>
  <c r="H2093" i="5"/>
  <c r="I2093" i="5" s="1"/>
  <c r="H2054" i="5"/>
  <c r="I2054" i="5" s="1"/>
  <c r="H2050" i="5"/>
  <c r="I2050" i="5" s="1"/>
  <c r="H2046" i="5"/>
  <c r="I2046" i="5" s="1"/>
  <c r="H2042" i="5"/>
  <c r="I2042" i="5" s="1"/>
  <c r="H2038" i="5"/>
  <c r="I2038" i="5" s="1"/>
  <c r="H2034" i="5"/>
  <c r="I2034" i="5" s="1"/>
  <c r="H2030" i="5"/>
  <c r="I2030" i="5" s="1"/>
  <c r="H2026" i="5"/>
  <c r="I2026" i="5" s="1"/>
  <c r="H2022" i="5"/>
  <c r="I2022" i="5" s="1"/>
  <c r="H2018" i="5"/>
  <c r="I2018" i="5" s="1"/>
  <c r="H2014" i="5"/>
  <c r="I2014" i="5" s="1"/>
  <c r="H2089" i="5"/>
  <c r="I2089" i="5" s="1"/>
  <c r="H2085" i="5"/>
  <c r="I2085" i="5" s="1"/>
  <c r="H2081" i="5"/>
  <c r="I2081" i="5" s="1"/>
  <c r="H2077" i="5"/>
  <c r="I2077" i="5" s="1"/>
  <c r="H2073" i="5"/>
  <c r="I2073" i="5" s="1"/>
  <c r="H2070" i="5"/>
  <c r="I2070" i="5" s="1"/>
  <c r="H2069" i="5"/>
  <c r="I2069" i="5" s="1"/>
  <c r="H2066" i="5"/>
  <c r="I2066" i="5" s="1"/>
  <c r="H2065" i="5"/>
  <c r="I2065" i="5" s="1"/>
  <c r="H2062" i="5"/>
  <c r="I2062" i="5" s="1"/>
  <c r="H2061" i="5"/>
  <c r="I2061" i="5" s="1"/>
  <c r="H2058" i="5"/>
  <c r="I2058" i="5" s="1"/>
  <c r="H2057" i="5"/>
  <c r="I2057" i="5" s="1"/>
  <c r="H2053" i="5"/>
  <c r="I2053" i="5" s="1"/>
  <c r="H2049" i="5"/>
  <c r="I2049" i="5" s="1"/>
  <c r="H2045" i="5"/>
  <c r="I2045" i="5" s="1"/>
  <c r="H2041" i="5"/>
  <c r="I2041" i="5" s="1"/>
  <c r="H2037" i="5"/>
  <c r="I2037" i="5" s="1"/>
  <c r="H2033" i="5"/>
  <c r="I2033" i="5" s="1"/>
  <c r="H2029" i="5"/>
  <c r="I2029" i="5" s="1"/>
  <c r="H2025" i="5"/>
  <c r="I2025" i="5" s="1"/>
  <c r="H2021" i="5"/>
  <c r="I2021" i="5" s="1"/>
  <c r="H2017" i="5"/>
  <c r="I2017" i="5" s="1"/>
  <c r="H2013" i="5"/>
  <c r="I2013" i="5" s="1"/>
  <c r="H2094" i="5"/>
  <c r="I2094" i="5" s="1"/>
  <c r="F28" i="3"/>
  <c r="I22" i="10"/>
  <c r="H4" i="3"/>
  <c r="I5" i="10" s="1"/>
  <c r="H3" i="3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H6" i="3"/>
  <c r="I6" i="10" s="1"/>
  <c r="J2058" i="5" l="1" a="1"/>
  <c r="J2058" i="5" s="1"/>
  <c r="X2052" i="9" s="1"/>
  <c r="J2014" i="5" a="1"/>
  <c r="J2014" i="5" s="1"/>
  <c r="X2008" i="9" s="1"/>
  <c r="J2120" i="5" a="1"/>
  <c r="J2120" i="5" s="1"/>
  <c r="X2114" i="9" s="1"/>
  <c r="J2209" i="5" a="1"/>
  <c r="J2209" i="5" s="1"/>
  <c r="X2203" i="9" s="1"/>
  <c r="J2256" i="5" a="1"/>
  <c r="J2256" i="5" s="1"/>
  <c r="X2250" i="9" s="1"/>
  <c r="J2144" i="5" a="1"/>
  <c r="J2144" i="5" s="1"/>
  <c r="X2138" i="9" s="1"/>
  <c r="J2292" i="5" a="1"/>
  <c r="J2292" i="5" s="1"/>
  <c r="X2286" i="9" s="1"/>
  <c r="J2340" i="5" a="1"/>
  <c r="J2340" i="5" s="1"/>
  <c r="X2334" i="9" s="1"/>
  <c r="J2200" i="5" a="1"/>
  <c r="J2200" i="5" s="1"/>
  <c r="X2194" i="9" s="1"/>
  <c r="J2315" i="5" a="1"/>
  <c r="J2315" i="5" s="1"/>
  <c r="X2309" i="9" s="1"/>
  <c r="J2389" i="5" a="1"/>
  <c r="J2389" i="5" s="1"/>
  <c r="X2383" i="9" s="1"/>
  <c r="J2453" i="5" a="1"/>
  <c r="J2453" i="5" s="1"/>
  <c r="X2447" i="9" s="1"/>
  <c r="J2501" i="5" a="1"/>
  <c r="J2501" i="5" s="1"/>
  <c r="X2495" i="9" s="1"/>
  <c r="J2458" i="5" a="1"/>
  <c r="J2458" i="5" s="1"/>
  <c r="X2452" i="9" s="1"/>
  <c r="J2531" i="5" a="1"/>
  <c r="J2531" i="5" s="1"/>
  <c r="X2525" i="9" s="1"/>
  <c r="J2579" i="5" a="1"/>
  <c r="J2579" i="5" s="1"/>
  <c r="X2573" i="9" s="1"/>
  <c r="J2625" i="5" a="1"/>
  <c r="J2625" i="5" s="1"/>
  <c r="X2619" i="9" s="1"/>
  <c r="J2374" i="5" a="1"/>
  <c r="J2374" i="5" s="1"/>
  <c r="X2368" i="9" s="1"/>
  <c r="J2470" i="5" a="1"/>
  <c r="J2470" i="5" s="1"/>
  <c r="X2464" i="9" s="1"/>
  <c r="J2542" i="5" a="1"/>
  <c r="J2542" i="5" s="1"/>
  <c r="X2536" i="9" s="1"/>
  <c r="J2649" i="5" a="1"/>
  <c r="J2649" i="5" s="1"/>
  <c r="X2643" i="9" s="1"/>
  <c r="J2691" i="5" a="1"/>
  <c r="J2691" i="5" s="1"/>
  <c r="X2685" i="9" s="1"/>
  <c r="J2739" i="5" a="1"/>
  <c r="J2739" i="5" s="1"/>
  <c r="X2733" i="9" s="1"/>
  <c r="J2787" i="5" a="1"/>
  <c r="J2787" i="5" s="1"/>
  <c r="X2781" i="9" s="1"/>
  <c r="J2835" i="5" a="1"/>
  <c r="J2835" i="5" s="1"/>
  <c r="X2829" i="9" s="1"/>
  <c r="J2530" i="5" a="1"/>
  <c r="J2530" i="5" s="1"/>
  <c r="X2524" i="9" s="1"/>
  <c r="J2692" i="5" a="1"/>
  <c r="J2692" i="5" s="1"/>
  <c r="X2686" i="9" s="1"/>
  <c r="J2756" i="5" a="1"/>
  <c r="J2756" i="5" s="1"/>
  <c r="X2750" i="9" s="1"/>
  <c r="J2804" i="5" a="1"/>
  <c r="J2804" i="5" s="1"/>
  <c r="X2798" i="9" s="1"/>
  <c r="J2852" i="5" a="1"/>
  <c r="J2852" i="5" s="1"/>
  <c r="X2846" i="9" s="1"/>
  <c r="J2566" i="5" a="1"/>
  <c r="J2566" i="5" s="1"/>
  <c r="X2560" i="9" s="1"/>
  <c r="J2631" i="5" a="1"/>
  <c r="J2631" i="5" s="1"/>
  <c r="X2625" i="9" s="1"/>
  <c r="J2893" i="5" a="1"/>
  <c r="J2893" i="5" s="1"/>
  <c r="X2887" i="9" s="1"/>
  <c r="J2963" i="5" a="1"/>
  <c r="J2963" i="5" s="1"/>
  <c r="X2957" i="9" s="1"/>
  <c r="J2921" i="5" a="1"/>
  <c r="J2921" i="5" s="1"/>
  <c r="X2915" i="9" s="1"/>
  <c r="J2017" i="5" a="1"/>
  <c r="J2017" i="5" s="1"/>
  <c r="X2011" i="9" s="1"/>
  <c r="J2061" i="5" a="1"/>
  <c r="J2061" i="5" s="1"/>
  <c r="X2055" i="9" s="1"/>
  <c r="J2018" i="5" a="1"/>
  <c r="J2018" i="5" s="1"/>
  <c r="X2012" i="9" s="1"/>
  <c r="J2173" i="5" a="1"/>
  <c r="J2173" i="5" s="1"/>
  <c r="X2167" i="9" s="1"/>
  <c r="J2136" i="5" a="1"/>
  <c r="J2136" i="5" s="1"/>
  <c r="X2130" i="9" s="1"/>
  <c r="J2181" i="5" a="1"/>
  <c r="J2181" i="5" s="1"/>
  <c r="X2175" i="9" s="1"/>
  <c r="J2197" i="5" a="1"/>
  <c r="J2197" i="5" s="1"/>
  <c r="X2191" i="9" s="1"/>
  <c r="J2213" i="5" a="1"/>
  <c r="J2213" i="5" s="1"/>
  <c r="X2207" i="9" s="1"/>
  <c r="J2229" i="5" a="1"/>
  <c r="J2229" i="5" s="1"/>
  <c r="X2223" i="9" s="1"/>
  <c r="J2245" i="5" a="1"/>
  <c r="J2245" i="5" s="1"/>
  <c r="X2239" i="9" s="1"/>
  <c r="J2260" i="5" a="1"/>
  <c r="J2260" i="5" s="1"/>
  <c r="X2254" i="9" s="1"/>
  <c r="J2156" i="5" a="1"/>
  <c r="J2156" i="5" s="1"/>
  <c r="X2150" i="9" s="1"/>
  <c r="J2096" i="5" a="1"/>
  <c r="J2096" i="5" s="1"/>
  <c r="X2090" i="9" s="1"/>
  <c r="J2160" i="5" a="1"/>
  <c r="J2160" i="5" s="1"/>
  <c r="X2154" i="9" s="1"/>
  <c r="J2208" i="5" a="1"/>
  <c r="J2208" i="5" s="1"/>
  <c r="X2202" i="9" s="1"/>
  <c r="J2259" i="5" a="1"/>
  <c r="J2259" i="5" s="1"/>
  <c r="X2253" i="9" s="1"/>
  <c r="J2280" i="5" a="1"/>
  <c r="J2280" i="5" s="1"/>
  <c r="X2274" i="9" s="1"/>
  <c r="J2296" i="5" a="1"/>
  <c r="J2296" i="5" s="1"/>
  <c r="X2290" i="9" s="1"/>
  <c r="J2312" i="5" a="1"/>
  <c r="J2312" i="5" s="1"/>
  <c r="X2306" i="9" s="1"/>
  <c r="J2328" i="5" a="1"/>
  <c r="J2328" i="5" s="1"/>
  <c r="X2322" i="9" s="1"/>
  <c r="J2344" i="5" a="1"/>
  <c r="J2344" i="5" s="1"/>
  <c r="X2338" i="9" s="1"/>
  <c r="J2180" i="5" a="1"/>
  <c r="J2180" i="5" s="1"/>
  <c r="X2174" i="9" s="1"/>
  <c r="J2244" i="5" a="1"/>
  <c r="J2244" i="5" s="1"/>
  <c r="X2238" i="9" s="1"/>
  <c r="J2216" i="5" a="1"/>
  <c r="J2216" i="5" s="1"/>
  <c r="X2210" i="9" s="1"/>
  <c r="J2279" i="5" a="1"/>
  <c r="J2279" i="5" s="1"/>
  <c r="X2273" i="9" s="1"/>
  <c r="J2343" i="5" a="1"/>
  <c r="J2343" i="5" s="1"/>
  <c r="X2337" i="9" s="1"/>
  <c r="J2267" i="5" a="1"/>
  <c r="J2267" i="5" s="1"/>
  <c r="X2261" i="9" s="1"/>
  <c r="J2331" i="5" a="1"/>
  <c r="J2331" i="5" s="1"/>
  <c r="X2325" i="9" s="1"/>
  <c r="J2303" i="5" a="1"/>
  <c r="J2303" i="5" s="1"/>
  <c r="X2297" i="9" s="1"/>
  <c r="J2363" i="5" a="1"/>
  <c r="J2363" i="5" s="1"/>
  <c r="X2357" i="9" s="1"/>
  <c r="J2377" i="5" a="1"/>
  <c r="J2377" i="5" s="1"/>
  <c r="X2371" i="9" s="1"/>
  <c r="J2393" i="5" a="1"/>
  <c r="J2393" i="5" s="1"/>
  <c r="X2387" i="9" s="1"/>
  <c r="J2409" i="5" a="1"/>
  <c r="J2409" i="5" s="1"/>
  <c r="X2403" i="9" s="1"/>
  <c r="J2425" i="5" a="1"/>
  <c r="J2425" i="5" s="1"/>
  <c r="X2419" i="9" s="1"/>
  <c r="J2441" i="5" a="1"/>
  <c r="J2441" i="5" s="1"/>
  <c r="X2435" i="9" s="1"/>
  <c r="J2457" i="5" a="1"/>
  <c r="J2457" i="5" s="1"/>
  <c r="X2451" i="9" s="1"/>
  <c r="J2473" i="5" a="1"/>
  <c r="J2473" i="5" s="1"/>
  <c r="X2467" i="9" s="1"/>
  <c r="J2489" i="5" a="1"/>
  <c r="J2489" i="5" s="1"/>
  <c r="X2483" i="9" s="1"/>
  <c r="J2370" i="5" a="1"/>
  <c r="J2370" i="5" s="1"/>
  <c r="X2364" i="9" s="1"/>
  <c r="J2402" i="5" a="1"/>
  <c r="J2402" i="5" s="1"/>
  <c r="X2396" i="9" s="1"/>
  <c r="J2434" i="5" a="1"/>
  <c r="J2434" i="5" s="1"/>
  <c r="X2428" i="9" s="1"/>
  <c r="J2466" i="5" a="1"/>
  <c r="J2466" i="5" s="1"/>
  <c r="X2460" i="9" s="1"/>
  <c r="J2498" i="5" a="1"/>
  <c r="J2498" i="5" s="1"/>
  <c r="X2492" i="9" s="1"/>
  <c r="J2519" i="5" a="1"/>
  <c r="J2519" i="5" s="1"/>
  <c r="X2513" i="9" s="1"/>
  <c r="J2535" i="5" a="1"/>
  <c r="J2535" i="5" s="1"/>
  <c r="X2529" i="9" s="1"/>
  <c r="J2551" i="5" a="1"/>
  <c r="J2551" i="5" s="1"/>
  <c r="X2545" i="9" s="1"/>
  <c r="J2567" i="5" a="1"/>
  <c r="J2567" i="5" s="1"/>
  <c r="X2561" i="9" s="1"/>
  <c r="J2583" i="5" a="1"/>
  <c r="J2583" i="5" s="1"/>
  <c r="X2577" i="9" s="1"/>
  <c r="J2599" i="5" a="1"/>
  <c r="J2599" i="5" s="1"/>
  <c r="X2593" i="9" s="1"/>
  <c r="J2615" i="5" a="1"/>
  <c r="J2615" i="5" s="1"/>
  <c r="X2609" i="9" s="1"/>
  <c r="J2629" i="5" a="1"/>
  <c r="J2629" i="5" s="1"/>
  <c r="X2623" i="9" s="1"/>
  <c r="J2630" i="5" a="1"/>
  <c r="J2630" i="5" s="1"/>
  <c r="X2624" i="9" s="1"/>
  <c r="J2646" i="5" a="1"/>
  <c r="J2646" i="5" s="1"/>
  <c r="X2640" i="9" s="1"/>
  <c r="J2275" i="5" a="1"/>
  <c r="J2275" i="5" s="1"/>
  <c r="X2269" i="9" s="1"/>
  <c r="J2339" i="5" a="1"/>
  <c r="J2339" i="5" s="1"/>
  <c r="X2333" i="9" s="1"/>
  <c r="J2382" i="5" a="1"/>
  <c r="J2382" i="5" s="1"/>
  <c r="X2376" i="9" s="1"/>
  <c r="J2414" i="5" a="1"/>
  <c r="J2414" i="5" s="1"/>
  <c r="X2408" i="9" s="1"/>
  <c r="J2446" i="5" a="1"/>
  <c r="J2446" i="5" s="1"/>
  <c r="X2440" i="9" s="1"/>
  <c r="J2478" i="5" a="1"/>
  <c r="J2478" i="5" s="1"/>
  <c r="X2472" i="9" s="1"/>
  <c r="J2100" i="5" a="1"/>
  <c r="J2100" i="5" s="1"/>
  <c r="X2094" i="9" s="1"/>
  <c r="J2164" i="5" a="1"/>
  <c r="J2164" i="5" s="1"/>
  <c r="X2158" i="9" s="1"/>
  <c r="J2558" i="5" a="1"/>
  <c r="J2558" i="5" s="1"/>
  <c r="X2552" i="9" s="1"/>
  <c r="J2635" i="5" a="1"/>
  <c r="J2635" i="5" s="1"/>
  <c r="X2629" i="9" s="1"/>
  <c r="J2643" i="5" a="1"/>
  <c r="J2643" i="5" s="1"/>
  <c r="X2637" i="9" s="1"/>
  <c r="J2651" i="5" a="1"/>
  <c r="J2651" i="5" s="1"/>
  <c r="X2645" i="9" s="1"/>
  <c r="J2663" i="5" a="1"/>
  <c r="J2663" i="5" s="1"/>
  <c r="X2657" i="9" s="1"/>
  <c r="J2679" i="5" a="1"/>
  <c r="J2679" i="5" s="1"/>
  <c r="X2673" i="9" s="1"/>
  <c r="J2695" i="5" a="1"/>
  <c r="J2695" i="5" s="1"/>
  <c r="X2689" i="9" s="1"/>
  <c r="J2711" i="5" a="1"/>
  <c r="J2711" i="5" s="1"/>
  <c r="X2705" i="9" s="1"/>
  <c r="J2727" i="5" a="1"/>
  <c r="J2727" i="5" s="1"/>
  <c r="X2721" i="9" s="1"/>
  <c r="J2743" i="5" a="1"/>
  <c r="J2743" i="5" s="1"/>
  <c r="X2737" i="9" s="1"/>
  <c r="J2759" i="5" a="1"/>
  <c r="J2759" i="5" s="1"/>
  <c r="X2753" i="9" s="1"/>
  <c r="J2775" i="5" a="1"/>
  <c r="J2775" i="5" s="1"/>
  <c r="X2769" i="9" s="1"/>
  <c r="J2791" i="5" a="1"/>
  <c r="J2791" i="5" s="1"/>
  <c r="X2785" i="9" s="1"/>
  <c r="J2807" i="5" a="1"/>
  <c r="J2807" i="5" s="1"/>
  <c r="X2801" i="9" s="1"/>
  <c r="J2823" i="5" a="1"/>
  <c r="J2823" i="5" s="1"/>
  <c r="X2817" i="9" s="1"/>
  <c r="J2839" i="5" a="1"/>
  <c r="J2839" i="5" s="1"/>
  <c r="X2833" i="9" s="1"/>
  <c r="J2855" i="5" a="1"/>
  <c r="J2855" i="5" s="1"/>
  <c r="X2849" i="9" s="1"/>
  <c r="J2871" i="5" a="1"/>
  <c r="J2871" i="5" s="1"/>
  <c r="X2865" i="9" s="1"/>
  <c r="J2546" i="5" a="1"/>
  <c r="J2546" i="5" s="1"/>
  <c r="X2540" i="9" s="1"/>
  <c r="J2610" i="5" a="1"/>
  <c r="J2610" i="5" s="1"/>
  <c r="X2604" i="9" s="1"/>
  <c r="J2664" i="5" a="1"/>
  <c r="J2664" i="5" s="1"/>
  <c r="X2658" i="9" s="1"/>
  <c r="J2680" i="5" a="1"/>
  <c r="J2680" i="5" s="1"/>
  <c r="X2674" i="9" s="1"/>
  <c r="J2696" i="5" a="1"/>
  <c r="J2696" i="5" s="1"/>
  <c r="X2690" i="9" s="1"/>
  <c r="J2712" i="5" a="1"/>
  <c r="J2712" i="5" s="1"/>
  <c r="X2706" i="9" s="1"/>
  <c r="J2728" i="5" a="1"/>
  <c r="J2728" i="5" s="1"/>
  <c r="X2722" i="9" s="1"/>
  <c r="J2744" i="5" a="1"/>
  <c r="J2744" i="5" s="1"/>
  <c r="X2738" i="9" s="1"/>
  <c r="J2760" i="5" a="1"/>
  <c r="J2760" i="5" s="1"/>
  <c r="X2754" i="9" s="1"/>
  <c r="J2776" i="5" a="1"/>
  <c r="J2776" i="5" s="1"/>
  <c r="X2770" i="9" s="1"/>
  <c r="J2792" i="5" a="1"/>
  <c r="J2792" i="5" s="1"/>
  <c r="X2786" i="9" s="1"/>
  <c r="J2808" i="5" a="1"/>
  <c r="J2808" i="5" s="1"/>
  <c r="X2802" i="9" s="1"/>
  <c r="J2824" i="5" a="1"/>
  <c r="J2824" i="5" s="1"/>
  <c r="X2818" i="9" s="1"/>
  <c r="J2840" i="5" a="1"/>
  <c r="J2840" i="5" s="1"/>
  <c r="X2834" i="9" s="1"/>
  <c r="J2856" i="5" a="1"/>
  <c r="J2856" i="5" s="1"/>
  <c r="X2850" i="9" s="1"/>
  <c r="J2872" i="5" a="1"/>
  <c r="J2872" i="5" s="1"/>
  <c r="X2866" i="9" s="1"/>
  <c r="J2518" i="5" a="1"/>
  <c r="J2518" i="5" s="1"/>
  <c r="X2512" i="9" s="1"/>
  <c r="J2582" i="5" a="1"/>
  <c r="J2582" i="5" s="1"/>
  <c r="X2576" i="9" s="1"/>
  <c r="J2538" i="5" a="1"/>
  <c r="J2538" i="5" s="1"/>
  <c r="X2532" i="9" s="1"/>
  <c r="J2602" i="5" a="1"/>
  <c r="J2602" i="5" s="1"/>
  <c r="X2596" i="9" s="1"/>
  <c r="J2898" i="5" a="1"/>
  <c r="J2898" i="5" s="1"/>
  <c r="X2892" i="9" s="1"/>
  <c r="J2914" i="5" a="1"/>
  <c r="J2914" i="5" s="1"/>
  <c r="X2908" i="9" s="1"/>
  <c r="J2881" i="5" a="1"/>
  <c r="J2881" i="5" s="1"/>
  <c r="X2875" i="9" s="1"/>
  <c r="J2922" i="5" a="1"/>
  <c r="J2922" i="5" s="1"/>
  <c r="X2916" i="9" s="1"/>
  <c r="J2938" i="5" a="1"/>
  <c r="J2938" i="5" s="1"/>
  <c r="X2932" i="9" s="1"/>
  <c r="J2951" i="5" a="1"/>
  <c r="J2951" i="5" s="1"/>
  <c r="X2945" i="9" s="1"/>
  <c r="J2967" i="5" a="1"/>
  <c r="J2967" i="5" s="1"/>
  <c r="X2961" i="9" s="1"/>
  <c r="J2983" i="5" a="1"/>
  <c r="J2983" i="5" s="1"/>
  <c r="X2977" i="9" s="1"/>
  <c r="J2913" i="5" a="1"/>
  <c r="J2913" i="5" s="1"/>
  <c r="X2907" i="9" s="1"/>
  <c r="J2935" i="5" a="1"/>
  <c r="J2935" i="5" s="1"/>
  <c r="X2929" i="9" s="1"/>
  <c r="J2980" i="5" a="1"/>
  <c r="J2980" i="5" s="1"/>
  <c r="X2974" i="9" s="1"/>
  <c r="J2909" i="5" a="1"/>
  <c r="J2909" i="5" s="1"/>
  <c r="X2903" i="9" s="1"/>
  <c r="J2947" i="5" a="1"/>
  <c r="J2947" i="5" s="1"/>
  <c r="X2941" i="9" s="1"/>
  <c r="J2949" i="5" a="1"/>
  <c r="J2949" i="5" s="1"/>
  <c r="X2943" i="9" s="1"/>
  <c r="J2029" i="5" a="1"/>
  <c r="J2029" i="5" s="1"/>
  <c r="X2023" i="9" s="1"/>
  <c r="J2066" i="5" a="1"/>
  <c r="J2066" i="5" s="1"/>
  <c r="X2060" i="9" s="1"/>
  <c r="J2030" i="5" a="1"/>
  <c r="J2030" i="5" s="1"/>
  <c r="X2024" i="9" s="1"/>
  <c r="J2169" i="5" a="1"/>
  <c r="J2169" i="5" s="1"/>
  <c r="X2163" i="9" s="1"/>
  <c r="J2193" i="5" a="1"/>
  <c r="J2193" i="5" s="1"/>
  <c r="X2187" i="9" s="1"/>
  <c r="J2241" i="5" a="1"/>
  <c r="J2241" i="5" s="1"/>
  <c r="X2235" i="9" s="1"/>
  <c r="J2263" i="5" a="1"/>
  <c r="J2263" i="5" s="1"/>
  <c r="X2257" i="9" s="1"/>
  <c r="J2251" i="5" a="1"/>
  <c r="J2251" i="5" s="1"/>
  <c r="X2245" i="9" s="1"/>
  <c r="J2308" i="5" a="1"/>
  <c r="J2308" i="5" s="1"/>
  <c r="X2302" i="9" s="1"/>
  <c r="J2356" i="5" a="1"/>
  <c r="J2356" i="5" s="1"/>
  <c r="X2350" i="9" s="1"/>
  <c r="J2255" i="5" a="1"/>
  <c r="J2255" i="5" s="1"/>
  <c r="X2249" i="9" s="1"/>
  <c r="J2262" i="5" a="1"/>
  <c r="J2262" i="5" s="1"/>
  <c r="X2256" i="9" s="1"/>
  <c r="J2287" i="5" a="1"/>
  <c r="J2287" i="5" s="1"/>
  <c r="X2281" i="9" s="1"/>
  <c r="J2373" i="5" a="1"/>
  <c r="J2373" i="5" s="1"/>
  <c r="X2367" i="9" s="1"/>
  <c r="J2421" i="5" a="1"/>
  <c r="J2421" i="5" s="1"/>
  <c r="X2415" i="9" s="1"/>
  <c r="J2469" i="5" a="1"/>
  <c r="J2469" i="5" s="1"/>
  <c r="X2463" i="9" s="1"/>
  <c r="J2394" i="5" a="1"/>
  <c r="J2394" i="5" s="1"/>
  <c r="X2388" i="9" s="1"/>
  <c r="J2490" i="5" a="1"/>
  <c r="J2490" i="5" s="1"/>
  <c r="X2484" i="9" s="1"/>
  <c r="J2563" i="5" a="1"/>
  <c r="J2563" i="5" s="1"/>
  <c r="X2557" i="9" s="1"/>
  <c r="J2611" i="5" a="1"/>
  <c r="J2611" i="5" s="1"/>
  <c r="X2605" i="9" s="1"/>
  <c r="J2642" i="5" a="1"/>
  <c r="J2642" i="5" s="1"/>
  <c r="X2636" i="9" s="1"/>
  <c r="J2323" i="5" a="1"/>
  <c r="J2323" i="5" s="1"/>
  <c r="X2317" i="9" s="1"/>
  <c r="J2406" i="5" a="1"/>
  <c r="J2406" i="5" s="1"/>
  <c r="X2400" i="9" s="1"/>
  <c r="J2502" i="5" a="1"/>
  <c r="J2502" i="5" s="1"/>
  <c r="X2496" i="9" s="1"/>
  <c r="J2606" i="5" a="1"/>
  <c r="J2606" i="5" s="1"/>
  <c r="X2600" i="9" s="1"/>
  <c r="J2659" i="5" a="1"/>
  <c r="J2659" i="5" s="1"/>
  <c r="X2653" i="9" s="1"/>
  <c r="J2707" i="5" a="1"/>
  <c r="J2707" i="5" s="1"/>
  <c r="X2701" i="9" s="1"/>
  <c r="J2755" i="5" a="1"/>
  <c r="J2755" i="5" s="1"/>
  <c r="X2749" i="9" s="1"/>
  <c r="J2803" i="5" a="1"/>
  <c r="J2803" i="5" s="1"/>
  <c r="X2797" i="9" s="1"/>
  <c r="J2851" i="5" a="1"/>
  <c r="J2851" i="5" s="1"/>
  <c r="X2845" i="9" s="1"/>
  <c r="J2660" i="5" a="1"/>
  <c r="J2660" i="5" s="1"/>
  <c r="X2654" i="9" s="1"/>
  <c r="J2708" i="5" a="1"/>
  <c r="J2708" i="5" s="1"/>
  <c r="X2702" i="9" s="1"/>
  <c r="J2740" i="5" a="1"/>
  <c r="J2740" i="5" s="1"/>
  <c r="X2734" i="9" s="1"/>
  <c r="J2772" i="5" a="1"/>
  <c r="J2772" i="5" s="1"/>
  <c r="X2766" i="9" s="1"/>
  <c r="J2820" i="5" a="1"/>
  <c r="J2820" i="5" s="1"/>
  <c r="X2814" i="9" s="1"/>
  <c r="J2868" i="5" a="1"/>
  <c r="J2868" i="5" s="1"/>
  <c r="X2862" i="9" s="1"/>
  <c r="J2586" i="5" a="1"/>
  <c r="J2586" i="5" s="1"/>
  <c r="X2580" i="9" s="1"/>
  <c r="J2910" i="5" a="1"/>
  <c r="J2910" i="5" s="1"/>
  <c r="X2904" i="9" s="1"/>
  <c r="J2876" i="5" a="1"/>
  <c r="J2876" i="5" s="1"/>
  <c r="X2870" i="9" s="1"/>
  <c r="J2995" i="5" a="1"/>
  <c r="J2995" i="5" s="1"/>
  <c r="X2989" i="9" s="1"/>
  <c r="J2904" i="5" a="1"/>
  <c r="J2904" i="5" s="1"/>
  <c r="X2898" i="9" s="1"/>
  <c r="J2939" i="5" a="1"/>
  <c r="J2939" i="5" s="1"/>
  <c r="X2933" i="9" s="1"/>
  <c r="J2049" i="5" a="1"/>
  <c r="J2049" i="5" s="1"/>
  <c r="X2043" i="9" s="1"/>
  <c r="J2069" i="5" a="1"/>
  <c r="J2069" i="5" s="1"/>
  <c r="X2063" i="9" s="1"/>
  <c r="J2050" i="5" a="1"/>
  <c r="J2050" i="5" s="1"/>
  <c r="X2044" i="9" s="1"/>
  <c r="J2021" i="5" a="1"/>
  <c r="J2021" i="5" s="1"/>
  <c r="X2015" i="9" s="1"/>
  <c r="J2037" i="5" a="1"/>
  <c r="J2037" i="5" s="1"/>
  <c r="X2031" i="9" s="1"/>
  <c r="J2053" i="5" a="1"/>
  <c r="J2053" i="5" s="1"/>
  <c r="X2047" i="9" s="1"/>
  <c r="J2062" i="5" a="1"/>
  <c r="J2062" i="5" s="1"/>
  <c r="X2056" i="9" s="1"/>
  <c r="J2070" i="5" a="1"/>
  <c r="J2070" i="5" s="1"/>
  <c r="X2064" i="9" s="1"/>
  <c r="J2085" i="5" a="1"/>
  <c r="J2085" i="5" s="1"/>
  <c r="X2079" i="9" s="1"/>
  <c r="J2022" i="5" a="1"/>
  <c r="J2022" i="5" s="1"/>
  <c r="X2016" i="9" s="1"/>
  <c r="J2038" i="5" a="1"/>
  <c r="J2038" i="5" s="1"/>
  <c r="X2032" i="9" s="1"/>
  <c r="J2054" i="5" a="1"/>
  <c r="J2054" i="5" s="1"/>
  <c r="X2048" i="9" s="1"/>
  <c r="J2167" i="5" a="1"/>
  <c r="J2167" i="5" s="1"/>
  <c r="X2161" i="9" s="1"/>
  <c r="J2152" i="5" a="1"/>
  <c r="J2152" i="5" s="1"/>
  <c r="X2146" i="9" s="1"/>
  <c r="J2185" i="5" a="1"/>
  <c r="J2185" i="5" s="1"/>
  <c r="X2179" i="9" s="1"/>
  <c r="J2201" i="5" a="1"/>
  <c r="J2201" i="5" s="1"/>
  <c r="X2195" i="9" s="1"/>
  <c r="J2217" i="5" a="1"/>
  <c r="J2217" i="5" s="1"/>
  <c r="X2211" i="9" s="1"/>
  <c r="J2233" i="5" a="1"/>
  <c r="J2233" i="5" s="1"/>
  <c r="X2227" i="9" s="1"/>
  <c r="J2249" i="5" a="1"/>
  <c r="J2249" i="5" s="1"/>
  <c r="X2243" i="9" s="1"/>
  <c r="J2108" i="5" a="1"/>
  <c r="J2108" i="5" s="1"/>
  <c r="X2102" i="9" s="1"/>
  <c r="J2171" i="5" a="1"/>
  <c r="J2171" i="5" s="1"/>
  <c r="X2165" i="9" s="1"/>
  <c r="J2112" i="5" a="1"/>
  <c r="J2112" i="5" s="1"/>
  <c r="X2106" i="9" s="1"/>
  <c r="J2170" i="5" a="1"/>
  <c r="J2170" i="5" s="1"/>
  <c r="X2164" i="9" s="1"/>
  <c r="J2224" i="5" a="1"/>
  <c r="J2224" i="5" s="1"/>
  <c r="X2218" i="9" s="1"/>
  <c r="J2268" i="5" a="1"/>
  <c r="J2268" i="5" s="1"/>
  <c r="X2262" i="9" s="1"/>
  <c r="J2284" i="5" a="1"/>
  <c r="J2284" i="5" s="1"/>
  <c r="X2278" i="9" s="1"/>
  <c r="J2300" i="5" a="1"/>
  <c r="J2300" i="5" s="1"/>
  <c r="X2294" i="9" s="1"/>
  <c r="J2316" i="5" a="1"/>
  <c r="J2316" i="5" s="1"/>
  <c r="X2310" i="9" s="1"/>
  <c r="J2332" i="5" a="1"/>
  <c r="J2332" i="5" s="1"/>
  <c r="X2326" i="9" s="1"/>
  <c r="J2348" i="5" a="1"/>
  <c r="J2348" i="5" s="1"/>
  <c r="X2342" i="9" s="1"/>
  <c r="J2196" i="5" a="1"/>
  <c r="J2196" i="5" s="1"/>
  <c r="X2190" i="9" s="1"/>
  <c r="J2362" i="5" a="1"/>
  <c r="J2362" i="5" s="1"/>
  <c r="X2356" i="9" s="1"/>
  <c r="J2232" i="5" a="1"/>
  <c r="J2232" i="5" s="1"/>
  <c r="X2226" i="9" s="1"/>
  <c r="J2295" i="5" a="1"/>
  <c r="J2295" i="5" s="1"/>
  <c r="X2289" i="9" s="1"/>
  <c r="J2359" i="5" a="1"/>
  <c r="J2359" i="5" s="1"/>
  <c r="X2353" i="9" s="1"/>
  <c r="J2283" i="5" a="1"/>
  <c r="J2283" i="5" s="1"/>
  <c r="X2277" i="9" s="1"/>
  <c r="J2347" i="5" a="1"/>
  <c r="J2347" i="5" s="1"/>
  <c r="X2341" i="9" s="1"/>
  <c r="J2319" i="5" a="1"/>
  <c r="J2319" i="5" s="1"/>
  <c r="X2313" i="9" s="1"/>
  <c r="J2365" i="5" a="1"/>
  <c r="J2365" i="5" s="1"/>
  <c r="X2359" i="9" s="1"/>
  <c r="J2381" i="5" a="1"/>
  <c r="J2381" i="5" s="1"/>
  <c r="X2375" i="9" s="1"/>
  <c r="J2397" i="5" a="1"/>
  <c r="J2397" i="5" s="1"/>
  <c r="X2391" i="9" s="1"/>
  <c r="J2413" i="5" a="1"/>
  <c r="J2413" i="5" s="1"/>
  <c r="X2407" i="9" s="1"/>
  <c r="J2429" i="5" a="1"/>
  <c r="J2429" i="5" s="1"/>
  <c r="X2423" i="9" s="1"/>
  <c r="J2445" i="5" a="1"/>
  <c r="J2445" i="5" s="1"/>
  <c r="X2439" i="9" s="1"/>
  <c r="J2461" i="5" a="1"/>
  <c r="J2461" i="5" s="1"/>
  <c r="X2455" i="9" s="1"/>
  <c r="J2477" i="5" a="1"/>
  <c r="J2477" i="5" s="1"/>
  <c r="X2471" i="9" s="1"/>
  <c r="J2493" i="5" a="1"/>
  <c r="J2493" i="5" s="1"/>
  <c r="X2487" i="9" s="1"/>
  <c r="J2378" i="5" a="1"/>
  <c r="J2378" i="5" s="1"/>
  <c r="X2372" i="9" s="1"/>
  <c r="J2410" i="5" a="1"/>
  <c r="J2410" i="5" s="1"/>
  <c r="X2404" i="9" s="1"/>
  <c r="J2442" i="5" a="1"/>
  <c r="J2442" i="5" s="1"/>
  <c r="X2436" i="9" s="1"/>
  <c r="J2474" i="5" a="1"/>
  <c r="J2474" i="5" s="1"/>
  <c r="X2468" i="9" s="1"/>
  <c r="J2504" i="5" a="1"/>
  <c r="J2504" i="5" s="1"/>
  <c r="X2498" i="9" s="1"/>
  <c r="J2523" i="5" a="1"/>
  <c r="J2523" i="5" s="1"/>
  <c r="X2517" i="9" s="1"/>
  <c r="J2539" i="5" a="1"/>
  <c r="J2539" i="5" s="1"/>
  <c r="X2533" i="9" s="1"/>
  <c r="J2555" i="5" a="1"/>
  <c r="J2555" i="5" s="1"/>
  <c r="X2549" i="9" s="1"/>
  <c r="J2571" i="5" a="1"/>
  <c r="J2571" i="5" s="1"/>
  <c r="X2565" i="9" s="1"/>
  <c r="J2587" i="5" a="1"/>
  <c r="J2587" i="5" s="1"/>
  <c r="X2581" i="9" s="1"/>
  <c r="J2603" i="5" a="1"/>
  <c r="J2603" i="5" s="1"/>
  <c r="X2597" i="9" s="1"/>
  <c r="J2619" i="5" a="1"/>
  <c r="J2619" i="5" s="1"/>
  <c r="X2613" i="9" s="1"/>
  <c r="J2633" i="5" a="1"/>
  <c r="J2633" i="5" s="1"/>
  <c r="X2627" i="9" s="1"/>
  <c r="J2634" i="5" a="1"/>
  <c r="J2634" i="5" s="1"/>
  <c r="X2628" i="9" s="1"/>
  <c r="J2650" i="5" a="1"/>
  <c r="J2650" i="5" s="1"/>
  <c r="X2644" i="9" s="1"/>
  <c r="J2291" i="5" a="1"/>
  <c r="J2291" i="5" s="1"/>
  <c r="X2285" i="9" s="1"/>
  <c r="J2355" i="5" a="1"/>
  <c r="J2355" i="5" s="1"/>
  <c r="X2349" i="9" s="1"/>
  <c r="J2390" i="5" a="1"/>
  <c r="J2390" i="5" s="1"/>
  <c r="X2384" i="9" s="1"/>
  <c r="J2422" i="5" a="1"/>
  <c r="J2422" i="5" s="1"/>
  <c r="X2416" i="9" s="1"/>
  <c r="J2454" i="5" a="1"/>
  <c r="J2454" i="5" s="1"/>
  <c r="X2448" i="9" s="1"/>
  <c r="J2486" i="5" a="1"/>
  <c r="J2486" i="5" s="1"/>
  <c r="X2480" i="9" s="1"/>
  <c r="J2116" i="5" a="1"/>
  <c r="J2116" i="5" s="1"/>
  <c r="X2110" i="9" s="1"/>
  <c r="J2188" i="5" a="1"/>
  <c r="J2188" i="5" s="1"/>
  <c r="X2182" i="9" s="1"/>
  <c r="J2574" i="5" a="1"/>
  <c r="J2574" i="5" s="1"/>
  <c r="X2568" i="9" s="1"/>
  <c r="J2637" i="5" a="1"/>
  <c r="J2637" i="5" s="1"/>
  <c r="X2631" i="9" s="1"/>
  <c r="J2645" i="5" a="1"/>
  <c r="J2645" i="5" s="1"/>
  <c r="X2639" i="9" s="1"/>
  <c r="J2653" i="5" a="1"/>
  <c r="J2653" i="5" s="1"/>
  <c r="X2647" i="9" s="1"/>
  <c r="J2667" i="5" a="1"/>
  <c r="J2667" i="5" s="1"/>
  <c r="X2661" i="9" s="1"/>
  <c r="J2683" i="5" a="1"/>
  <c r="J2683" i="5" s="1"/>
  <c r="X2677" i="9" s="1"/>
  <c r="J2699" i="5" a="1"/>
  <c r="J2699" i="5" s="1"/>
  <c r="X2693" i="9" s="1"/>
  <c r="J2715" i="5" a="1"/>
  <c r="J2715" i="5" s="1"/>
  <c r="X2709" i="9" s="1"/>
  <c r="J2731" i="5" a="1"/>
  <c r="J2731" i="5" s="1"/>
  <c r="X2725" i="9" s="1"/>
  <c r="J2747" i="5" a="1"/>
  <c r="J2747" i="5" s="1"/>
  <c r="X2741" i="9" s="1"/>
  <c r="J2763" i="5" a="1"/>
  <c r="J2763" i="5" s="1"/>
  <c r="X2757" i="9" s="1"/>
  <c r="J2779" i="5" a="1"/>
  <c r="J2779" i="5" s="1"/>
  <c r="X2773" i="9" s="1"/>
  <c r="J2795" i="5" a="1"/>
  <c r="J2795" i="5" s="1"/>
  <c r="X2789" i="9" s="1"/>
  <c r="J2811" i="5" a="1"/>
  <c r="J2811" i="5" s="1"/>
  <c r="X2805" i="9" s="1"/>
  <c r="J2827" i="5" a="1"/>
  <c r="J2827" i="5" s="1"/>
  <c r="X2821" i="9" s="1"/>
  <c r="J2843" i="5" a="1"/>
  <c r="J2843" i="5" s="1"/>
  <c r="X2837" i="9" s="1"/>
  <c r="J2859" i="5" a="1"/>
  <c r="J2859" i="5" s="1"/>
  <c r="X2853" i="9" s="1"/>
  <c r="J2508" i="5" a="1"/>
  <c r="J2508" i="5" s="1"/>
  <c r="X2502" i="9" s="1"/>
  <c r="J2562" i="5" a="1"/>
  <c r="J2562" i="5" s="1"/>
  <c r="X2556" i="9" s="1"/>
  <c r="J2627" i="5" a="1"/>
  <c r="J2627" i="5" s="1"/>
  <c r="X2621" i="9" s="1"/>
  <c r="J2668" i="5" a="1"/>
  <c r="J2668" i="5" s="1"/>
  <c r="X2662" i="9" s="1"/>
  <c r="J2684" i="5" a="1"/>
  <c r="J2684" i="5" s="1"/>
  <c r="X2678" i="9" s="1"/>
  <c r="J2700" i="5" a="1"/>
  <c r="J2700" i="5" s="1"/>
  <c r="X2694" i="9" s="1"/>
  <c r="J2716" i="5" a="1"/>
  <c r="J2716" i="5" s="1"/>
  <c r="X2710" i="9" s="1"/>
  <c r="J2732" i="5" a="1"/>
  <c r="J2732" i="5" s="1"/>
  <c r="X2726" i="9" s="1"/>
  <c r="J2748" i="5" a="1"/>
  <c r="J2748" i="5" s="1"/>
  <c r="X2742" i="9" s="1"/>
  <c r="J2764" i="5" a="1"/>
  <c r="J2764" i="5" s="1"/>
  <c r="X2758" i="9" s="1"/>
  <c r="J2780" i="5" a="1"/>
  <c r="J2780" i="5" s="1"/>
  <c r="X2774" i="9" s="1"/>
  <c r="J2796" i="5" a="1"/>
  <c r="J2796" i="5" s="1"/>
  <c r="X2790" i="9" s="1"/>
  <c r="J2812" i="5" a="1"/>
  <c r="J2812" i="5" s="1"/>
  <c r="X2806" i="9" s="1"/>
  <c r="J2828" i="5" a="1"/>
  <c r="J2828" i="5" s="1"/>
  <c r="X2822" i="9" s="1"/>
  <c r="J2844" i="5" a="1"/>
  <c r="J2844" i="5" s="1"/>
  <c r="X2838" i="9" s="1"/>
  <c r="J2860" i="5" a="1"/>
  <c r="J2860" i="5" s="1"/>
  <c r="X2854" i="9" s="1"/>
  <c r="J2204" i="5" a="1"/>
  <c r="J2204" i="5" s="1"/>
  <c r="X2198" i="9" s="1"/>
  <c r="J2534" i="5" a="1"/>
  <c r="J2534" i="5" s="1"/>
  <c r="X2528" i="9" s="1"/>
  <c r="J2598" i="5" a="1"/>
  <c r="J2598" i="5" s="1"/>
  <c r="X2592" i="9" s="1"/>
  <c r="J2554" i="5" a="1"/>
  <c r="J2554" i="5" s="1"/>
  <c r="X2548" i="9" s="1"/>
  <c r="J2618" i="5" a="1"/>
  <c r="J2618" i="5" s="1"/>
  <c r="X2612" i="9" s="1"/>
  <c r="J2902" i="5" a="1"/>
  <c r="J2902" i="5" s="1"/>
  <c r="X2896" i="9" s="1"/>
  <c r="J2918" i="5" a="1"/>
  <c r="J2918" i="5" s="1"/>
  <c r="X2912" i="9" s="1"/>
  <c r="J2885" i="5" a="1"/>
  <c r="J2885" i="5" s="1"/>
  <c r="X2879" i="9" s="1"/>
  <c r="J2926" i="5" a="1"/>
  <c r="J2926" i="5" s="1"/>
  <c r="X2920" i="9" s="1"/>
  <c r="J2942" i="5" a="1"/>
  <c r="J2942" i="5" s="1"/>
  <c r="X2936" i="9" s="1"/>
  <c r="J2955" i="5" a="1"/>
  <c r="J2955" i="5" s="1"/>
  <c r="X2949" i="9" s="1"/>
  <c r="J2971" i="5" a="1"/>
  <c r="J2971" i="5" s="1"/>
  <c r="X2965" i="9" s="1"/>
  <c r="J2987" i="5" a="1"/>
  <c r="J2987" i="5" s="1"/>
  <c r="X2981" i="9" s="1"/>
  <c r="J2943" i="5" a="1"/>
  <c r="J2943" i="5" s="1"/>
  <c r="X2937" i="9" s="1"/>
  <c r="J2896" i="5" a="1"/>
  <c r="J2896" i="5" s="1"/>
  <c r="X2890" i="9" s="1"/>
  <c r="J2912" i="5" a="1"/>
  <c r="J2912" i="5" s="1"/>
  <c r="X2906" i="9" s="1"/>
  <c r="J2964" i="5" a="1"/>
  <c r="J2964" i="5" s="1"/>
  <c r="X2958" i="9" s="1"/>
  <c r="J2013" i="5" a="1"/>
  <c r="J2013" i="5" s="1"/>
  <c r="X2007" i="9" s="1"/>
  <c r="J2045" i="5" a="1"/>
  <c r="J2045" i="5" s="1"/>
  <c r="X2039" i="9" s="1"/>
  <c r="J2077" i="5" a="1"/>
  <c r="J2077" i="5" s="1"/>
  <c r="X2071" i="9" s="1"/>
  <c r="J2046" i="5" a="1"/>
  <c r="J2046" i="5" s="1"/>
  <c r="X2040" i="9" s="1"/>
  <c r="J2177" i="5" a="1"/>
  <c r="J2177" i="5" s="1"/>
  <c r="X2171" i="9" s="1"/>
  <c r="J2225" i="5" a="1"/>
  <c r="J2225" i="5" s="1"/>
  <c r="X2219" i="9" s="1"/>
  <c r="J2140" i="5" a="1"/>
  <c r="J2140" i="5" s="1"/>
  <c r="X2134" i="9" s="1"/>
  <c r="J2192" i="5" a="1"/>
  <c r="J2192" i="5" s="1"/>
  <c r="X2186" i="9" s="1"/>
  <c r="J2276" i="5" a="1"/>
  <c r="J2276" i="5" s="1"/>
  <c r="X2270" i="9" s="1"/>
  <c r="J2324" i="5" a="1"/>
  <c r="J2324" i="5" s="1"/>
  <c r="X2318" i="9" s="1"/>
  <c r="J2228" i="5" a="1"/>
  <c r="J2228" i="5" s="1"/>
  <c r="X2222" i="9" s="1"/>
  <c r="J2327" i="5" a="1"/>
  <c r="J2327" i="5" s="1"/>
  <c r="X2321" i="9" s="1"/>
  <c r="J2351" i="5" a="1"/>
  <c r="J2351" i="5" s="1"/>
  <c r="X2345" i="9" s="1"/>
  <c r="J2405" i="5" a="1"/>
  <c r="J2405" i="5" s="1"/>
  <c r="X2399" i="9" s="1"/>
  <c r="J2437" i="5" a="1"/>
  <c r="J2437" i="5" s="1"/>
  <c r="X2431" i="9" s="1"/>
  <c r="J2485" i="5" a="1"/>
  <c r="J2485" i="5" s="1"/>
  <c r="X2479" i="9" s="1"/>
  <c r="J2426" i="5" a="1"/>
  <c r="J2426" i="5" s="1"/>
  <c r="X2420" i="9" s="1"/>
  <c r="J2515" i="5" a="1"/>
  <c r="J2515" i="5" s="1"/>
  <c r="X2509" i="9" s="1"/>
  <c r="J2547" i="5" a="1"/>
  <c r="J2547" i="5" s="1"/>
  <c r="X2541" i="9" s="1"/>
  <c r="J2595" i="5" a="1"/>
  <c r="J2595" i="5" s="1"/>
  <c r="X2589" i="9" s="1"/>
  <c r="J2626" i="5" a="1"/>
  <c r="J2626" i="5" s="1"/>
  <c r="X2620" i="9" s="1"/>
  <c r="J2264" i="5" a="1"/>
  <c r="J2264" i="5" s="1"/>
  <c r="X2258" i="9" s="1"/>
  <c r="J2438" i="5" a="1"/>
  <c r="J2438" i="5" s="1"/>
  <c r="X2432" i="9" s="1"/>
  <c r="J2148" i="5" a="1"/>
  <c r="J2148" i="5" s="1"/>
  <c r="X2142" i="9" s="1"/>
  <c r="J2641" i="5" a="1"/>
  <c r="J2641" i="5" s="1"/>
  <c r="X2635" i="9" s="1"/>
  <c r="J2675" i="5" a="1"/>
  <c r="J2675" i="5" s="1"/>
  <c r="X2669" i="9" s="1"/>
  <c r="J2723" i="5" a="1"/>
  <c r="J2723" i="5" s="1"/>
  <c r="X2717" i="9" s="1"/>
  <c r="J2771" i="5" a="1"/>
  <c r="J2771" i="5" s="1"/>
  <c r="X2765" i="9" s="1"/>
  <c r="J2819" i="5" a="1"/>
  <c r="J2819" i="5" s="1"/>
  <c r="X2813" i="9" s="1"/>
  <c r="J2867" i="5" a="1"/>
  <c r="J2867" i="5" s="1"/>
  <c r="X2861" i="9" s="1"/>
  <c r="J2594" i="5" a="1"/>
  <c r="J2594" i="5" s="1"/>
  <c r="X2588" i="9" s="1"/>
  <c r="J2676" i="5" a="1"/>
  <c r="J2676" i="5" s="1"/>
  <c r="X2670" i="9" s="1"/>
  <c r="J2724" i="5" a="1"/>
  <c r="J2724" i="5" s="1"/>
  <c r="X2718" i="9" s="1"/>
  <c r="J2788" i="5" a="1"/>
  <c r="J2788" i="5" s="1"/>
  <c r="X2782" i="9" s="1"/>
  <c r="J2836" i="5" a="1"/>
  <c r="J2836" i="5" s="1"/>
  <c r="X2830" i="9" s="1"/>
  <c r="J2236" i="5" a="1"/>
  <c r="J2236" i="5" s="1"/>
  <c r="X2230" i="9" s="1"/>
  <c r="J2522" i="5" a="1"/>
  <c r="J2522" i="5" s="1"/>
  <c r="X2516" i="9" s="1"/>
  <c r="J2877" i="5" a="1"/>
  <c r="J2877" i="5" s="1"/>
  <c r="X2871" i="9" s="1"/>
  <c r="J2934" i="5" a="1"/>
  <c r="J2934" i="5" s="1"/>
  <c r="X2928" i="9" s="1"/>
  <c r="J2979" i="5" a="1"/>
  <c r="J2979" i="5" s="1"/>
  <c r="X2973" i="9" s="1"/>
  <c r="J2905" i="5" a="1"/>
  <c r="J2905" i="5" s="1"/>
  <c r="X2899" i="9" s="1"/>
  <c r="J2956" i="5" a="1"/>
  <c r="J2956" i="5" s="1"/>
  <c r="X2950" i="9" s="1"/>
  <c r="J2920" i="5" a="1"/>
  <c r="J2920" i="5" s="1"/>
  <c r="X2914" i="9" s="1"/>
  <c r="J2033" i="5" a="1"/>
  <c r="J2033" i="5" s="1"/>
  <c r="X2027" i="9" s="1"/>
  <c r="J2081" i="5" a="1"/>
  <c r="J2081" i="5" s="1"/>
  <c r="X2075" i="9" s="1"/>
  <c r="J2034" i="5" a="1"/>
  <c r="J2034" i="5" s="1"/>
  <c r="X2028" i="9" s="1"/>
  <c r="J2094" i="5" a="1"/>
  <c r="J2094" i="5" s="1"/>
  <c r="X2088" i="9" s="1"/>
  <c r="J2025" i="5" a="1"/>
  <c r="J2025" i="5" s="1"/>
  <c r="X2019" i="9" s="1"/>
  <c r="J2041" i="5" a="1"/>
  <c r="J2041" i="5" s="1"/>
  <c r="X2035" i="9" s="1"/>
  <c r="J2057" i="5" a="1"/>
  <c r="J2057" i="5" s="1"/>
  <c r="X2051" i="9" s="1"/>
  <c r="J2065" i="5" a="1"/>
  <c r="J2065" i="5" s="1"/>
  <c r="X2059" i="9" s="1"/>
  <c r="J2073" i="5" a="1"/>
  <c r="J2073" i="5" s="1"/>
  <c r="X2067" i="9" s="1"/>
  <c r="J2089" i="5" a="1"/>
  <c r="J2089" i="5" s="1"/>
  <c r="X2083" i="9" s="1"/>
  <c r="J2026" i="5" a="1"/>
  <c r="J2026" i="5" s="1"/>
  <c r="X2020" i="9" s="1"/>
  <c r="J2042" i="5" a="1"/>
  <c r="J2042" i="5" s="1"/>
  <c r="X2036" i="9" s="1"/>
  <c r="J2093" i="5" a="1"/>
  <c r="J2093" i="5" s="1"/>
  <c r="X2087" i="9" s="1"/>
  <c r="J2104" i="5" a="1"/>
  <c r="J2104" i="5" s="1"/>
  <c r="X2098" i="9" s="1"/>
  <c r="J2175" i="5" a="1"/>
  <c r="J2175" i="5" s="1"/>
  <c r="X2169" i="9" s="1"/>
  <c r="J2189" i="5" a="1"/>
  <c r="J2189" i="5" s="1"/>
  <c r="X2183" i="9" s="1"/>
  <c r="J2205" i="5" a="1"/>
  <c r="J2205" i="5" s="1"/>
  <c r="X2199" i="9" s="1"/>
  <c r="J2221" i="5" a="1"/>
  <c r="J2221" i="5" s="1"/>
  <c r="X2215" i="9" s="1"/>
  <c r="J2237" i="5" a="1"/>
  <c r="J2237" i="5" s="1"/>
  <c r="X2231" i="9" s="1"/>
  <c r="J2252" i="5" a="1"/>
  <c r="J2252" i="5" s="1"/>
  <c r="X2246" i="9" s="1"/>
  <c r="J2124" i="5" a="1"/>
  <c r="J2124" i="5" s="1"/>
  <c r="X2118" i="9" s="1"/>
  <c r="J2174" i="5" a="1"/>
  <c r="J2174" i="5" s="1"/>
  <c r="X2168" i="9" s="1"/>
  <c r="J2128" i="5" a="1"/>
  <c r="J2128" i="5" s="1"/>
  <c r="X2122" i="9" s="1"/>
  <c r="J2176" i="5" a="1"/>
  <c r="J2176" i="5" s="1"/>
  <c r="X2170" i="9" s="1"/>
  <c r="J2240" i="5" a="1"/>
  <c r="J2240" i="5" s="1"/>
  <c r="X2234" i="9" s="1"/>
  <c r="J2272" i="5" a="1"/>
  <c r="J2272" i="5" s="1"/>
  <c r="X2266" i="9" s="1"/>
  <c r="J2288" i="5" a="1"/>
  <c r="J2288" i="5" s="1"/>
  <c r="X2282" i="9" s="1"/>
  <c r="J2304" i="5" a="1"/>
  <c r="J2304" i="5" s="1"/>
  <c r="X2298" i="9" s="1"/>
  <c r="J2320" i="5" a="1"/>
  <c r="J2320" i="5" s="1"/>
  <c r="X2314" i="9" s="1"/>
  <c r="J2336" i="5" a="1"/>
  <c r="J2336" i="5" s="1"/>
  <c r="X2330" i="9" s="1"/>
  <c r="J2352" i="5" a="1"/>
  <c r="J2352" i="5" s="1"/>
  <c r="X2346" i="9" s="1"/>
  <c r="J2212" i="5" a="1"/>
  <c r="J2212" i="5" s="1"/>
  <c r="X2206" i="9" s="1"/>
  <c r="J2184" i="5" a="1"/>
  <c r="J2184" i="5" s="1"/>
  <c r="X2178" i="9" s="1"/>
  <c r="J2248" i="5" a="1"/>
  <c r="J2248" i="5" s="1"/>
  <c r="X2242" i="9" s="1"/>
  <c r="J2311" i="5" a="1"/>
  <c r="J2311" i="5" s="1"/>
  <c r="X2305" i="9" s="1"/>
  <c r="J2505" i="5" a="1"/>
  <c r="J2505" i="5" s="1"/>
  <c r="X2499" i="9" s="1"/>
  <c r="J2299" i="5" a="1"/>
  <c r="J2299" i="5" s="1"/>
  <c r="X2293" i="9" s="1"/>
  <c r="J2271" i="5" a="1"/>
  <c r="J2271" i="5" s="1"/>
  <c r="X2265" i="9" s="1"/>
  <c r="J2335" i="5" a="1"/>
  <c r="J2335" i="5" s="1"/>
  <c r="X2329" i="9" s="1"/>
  <c r="J2369" i="5" a="1"/>
  <c r="J2369" i="5" s="1"/>
  <c r="X2363" i="9" s="1"/>
  <c r="J2385" i="5" a="1"/>
  <c r="J2385" i="5" s="1"/>
  <c r="X2379" i="9" s="1"/>
  <c r="J2401" i="5" a="1"/>
  <c r="J2401" i="5" s="1"/>
  <c r="X2395" i="9" s="1"/>
  <c r="J2417" i="5" a="1"/>
  <c r="J2417" i="5" s="1"/>
  <c r="X2411" i="9" s="1"/>
  <c r="J2433" i="5" a="1"/>
  <c r="J2433" i="5" s="1"/>
  <c r="X2427" i="9" s="1"/>
  <c r="J2449" i="5" a="1"/>
  <c r="J2449" i="5" s="1"/>
  <c r="X2443" i="9" s="1"/>
  <c r="J2465" i="5" a="1"/>
  <c r="J2465" i="5" s="1"/>
  <c r="X2459" i="9" s="1"/>
  <c r="J2481" i="5" a="1"/>
  <c r="J2481" i="5" s="1"/>
  <c r="X2475" i="9" s="1"/>
  <c r="J2497" i="5" a="1"/>
  <c r="J2497" i="5" s="1"/>
  <c r="X2491" i="9" s="1"/>
  <c r="J2386" i="5" a="1"/>
  <c r="J2386" i="5" s="1"/>
  <c r="X2380" i="9" s="1"/>
  <c r="J2418" i="5" a="1"/>
  <c r="J2418" i="5" s="1"/>
  <c r="X2412" i="9" s="1"/>
  <c r="J2450" i="5" a="1"/>
  <c r="J2450" i="5" s="1"/>
  <c r="X2444" i="9" s="1"/>
  <c r="J2482" i="5" a="1"/>
  <c r="J2482" i="5" s="1"/>
  <c r="X2476" i="9" s="1"/>
  <c r="J2511" i="5" a="1"/>
  <c r="J2511" i="5" s="1"/>
  <c r="X2505" i="9" s="1"/>
  <c r="J2527" i="5" a="1"/>
  <c r="J2527" i="5" s="1"/>
  <c r="X2521" i="9" s="1"/>
  <c r="J2543" i="5" a="1"/>
  <c r="J2543" i="5" s="1"/>
  <c r="X2537" i="9" s="1"/>
  <c r="J2559" i="5" a="1"/>
  <c r="J2559" i="5" s="1"/>
  <c r="X2553" i="9" s="1"/>
  <c r="J2575" i="5" a="1"/>
  <c r="J2575" i="5" s="1"/>
  <c r="X2569" i="9" s="1"/>
  <c r="J2591" i="5" a="1"/>
  <c r="J2591" i="5" s="1"/>
  <c r="X2585" i="9" s="1"/>
  <c r="J2607" i="5" a="1"/>
  <c r="J2607" i="5" s="1"/>
  <c r="X2601" i="9" s="1"/>
  <c r="J2621" i="5" a="1"/>
  <c r="J2621" i="5" s="1"/>
  <c r="X2615" i="9" s="1"/>
  <c r="J2622" i="5" a="1"/>
  <c r="J2622" i="5" s="1"/>
  <c r="X2616" i="9" s="1"/>
  <c r="J2638" i="5" a="1"/>
  <c r="J2638" i="5" s="1"/>
  <c r="X2632" i="9" s="1"/>
  <c r="J2654" i="5" a="1"/>
  <c r="J2654" i="5" s="1"/>
  <c r="X2648" i="9" s="1"/>
  <c r="J2307" i="5" a="1"/>
  <c r="J2307" i="5" s="1"/>
  <c r="X2301" i="9" s="1"/>
  <c r="J2366" i="5" a="1"/>
  <c r="J2366" i="5" s="1"/>
  <c r="X2360" i="9" s="1"/>
  <c r="J2398" i="5" a="1"/>
  <c r="J2398" i="5" s="1"/>
  <c r="X2392" i="9" s="1"/>
  <c r="J2430" i="5" a="1"/>
  <c r="J2430" i="5" s="1"/>
  <c r="X2424" i="9" s="1"/>
  <c r="J2462" i="5" a="1"/>
  <c r="J2462" i="5" s="1"/>
  <c r="X2456" i="9" s="1"/>
  <c r="J2494" i="5" a="1"/>
  <c r="J2494" i="5" s="1"/>
  <c r="X2488" i="9" s="1"/>
  <c r="J2132" i="5" a="1"/>
  <c r="J2132" i="5" s="1"/>
  <c r="X2126" i="9" s="1"/>
  <c r="J2526" i="5" a="1"/>
  <c r="J2526" i="5" s="1"/>
  <c r="X2520" i="9" s="1"/>
  <c r="J2590" i="5" a="1"/>
  <c r="J2590" i="5" s="1"/>
  <c r="X2584" i="9" s="1"/>
  <c r="J2639" i="5" a="1"/>
  <c r="J2639" i="5" s="1"/>
  <c r="X2633" i="9" s="1"/>
  <c r="J2647" i="5" a="1"/>
  <c r="J2647" i="5" s="1"/>
  <c r="X2641" i="9" s="1"/>
  <c r="J2655" i="5" a="1"/>
  <c r="J2655" i="5" s="1"/>
  <c r="X2649" i="9" s="1"/>
  <c r="J2671" i="5" a="1"/>
  <c r="J2671" i="5" s="1"/>
  <c r="X2665" i="9" s="1"/>
  <c r="J2687" i="5" a="1"/>
  <c r="J2687" i="5" s="1"/>
  <c r="X2681" i="9" s="1"/>
  <c r="J2703" i="5" a="1"/>
  <c r="J2703" i="5" s="1"/>
  <c r="X2697" i="9" s="1"/>
  <c r="J2719" i="5" a="1"/>
  <c r="J2719" i="5" s="1"/>
  <c r="X2713" i="9" s="1"/>
  <c r="J2735" i="5" a="1"/>
  <c r="J2735" i="5" s="1"/>
  <c r="X2729" i="9" s="1"/>
  <c r="J2751" i="5" a="1"/>
  <c r="J2751" i="5" s="1"/>
  <c r="X2745" i="9" s="1"/>
  <c r="J2767" i="5" a="1"/>
  <c r="J2767" i="5" s="1"/>
  <c r="X2761" i="9" s="1"/>
  <c r="J2783" i="5" a="1"/>
  <c r="J2783" i="5" s="1"/>
  <c r="X2777" i="9" s="1"/>
  <c r="J2799" i="5" a="1"/>
  <c r="J2799" i="5" s="1"/>
  <c r="X2793" i="9" s="1"/>
  <c r="J2815" i="5" a="1"/>
  <c r="J2815" i="5" s="1"/>
  <c r="X2809" i="9" s="1"/>
  <c r="J2831" i="5" a="1"/>
  <c r="J2831" i="5" s="1"/>
  <c r="X2825" i="9" s="1"/>
  <c r="J2847" i="5" a="1"/>
  <c r="J2847" i="5" s="1"/>
  <c r="X2841" i="9" s="1"/>
  <c r="J2863" i="5" a="1"/>
  <c r="J2863" i="5" s="1"/>
  <c r="X2857" i="9" s="1"/>
  <c r="J2514" i="5" a="1"/>
  <c r="J2514" i="5" s="1"/>
  <c r="X2508" i="9" s="1"/>
  <c r="J2578" i="5" a="1"/>
  <c r="J2578" i="5" s="1"/>
  <c r="X2572" i="9" s="1"/>
  <c r="J2656" i="5" a="1"/>
  <c r="J2656" i="5" s="1"/>
  <c r="X2650" i="9" s="1"/>
  <c r="J2672" i="5" a="1"/>
  <c r="J2672" i="5" s="1"/>
  <c r="X2666" i="9" s="1"/>
  <c r="J2688" i="5" a="1"/>
  <c r="J2688" i="5" s="1"/>
  <c r="X2682" i="9" s="1"/>
  <c r="J2704" i="5" a="1"/>
  <c r="J2704" i="5" s="1"/>
  <c r="X2698" i="9" s="1"/>
  <c r="J2720" i="5" a="1"/>
  <c r="J2720" i="5" s="1"/>
  <c r="X2714" i="9" s="1"/>
  <c r="J2736" i="5" a="1"/>
  <c r="J2736" i="5" s="1"/>
  <c r="X2730" i="9" s="1"/>
  <c r="J2752" i="5" a="1"/>
  <c r="J2752" i="5" s="1"/>
  <c r="X2746" i="9" s="1"/>
  <c r="J2768" i="5" a="1"/>
  <c r="J2768" i="5" s="1"/>
  <c r="X2762" i="9" s="1"/>
  <c r="J2784" i="5" a="1"/>
  <c r="J2784" i="5" s="1"/>
  <c r="X2778" i="9" s="1"/>
  <c r="J2800" i="5" a="1"/>
  <c r="J2800" i="5" s="1"/>
  <c r="X2794" i="9" s="1"/>
  <c r="J2816" i="5" a="1"/>
  <c r="J2816" i="5" s="1"/>
  <c r="X2810" i="9" s="1"/>
  <c r="J2832" i="5" a="1"/>
  <c r="J2832" i="5" s="1"/>
  <c r="X2826" i="9" s="1"/>
  <c r="J2848" i="5" a="1"/>
  <c r="J2848" i="5" s="1"/>
  <c r="X2842" i="9" s="1"/>
  <c r="J2864" i="5" a="1"/>
  <c r="J2864" i="5" s="1"/>
  <c r="X2858" i="9" s="1"/>
  <c r="J2220" i="5" a="1"/>
  <c r="J2220" i="5" s="1"/>
  <c r="X2214" i="9" s="1"/>
  <c r="J2550" i="5" a="1"/>
  <c r="J2550" i="5" s="1"/>
  <c r="X2544" i="9" s="1"/>
  <c r="J2614" i="5" a="1"/>
  <c r="J2614" i="5" s="1"/>
  <c r="X2608" i="9" s="1"/>
  <c r="J2570" i="5" a="1"/>
  <c r="J2570" i="5" s="1"/>
  <c r="X2564" i="9" s="1"/>
  <c r="J2623" i="5" a="1"/>
  <c r="J2623" i="5" s="1"/>
  <c r="X2617" i="9" s="1"/>
  <c r="J2906" i="5" a="1"/>
  <c r="J2906" i="5" s="1"/>
  <c r="X2900" i="9" s="1"/>
  <c r="J2874" i="5" a="1"/>
  <c r="J2874" i="5" s="1"/>
  <c r="X2868" i="9" s="1"/>
  <c r="J2889" i="5" a="1"/>
  <c r="J2889" i="5" s="1"/>
  <c r="X2883" i="9" s="1"/>
  <c r="J2930" i="5" a="1"/>
  <c r="J2930" i="5" s="1"/>
  <c r="X2924" i="9" s="1"/>
  <c r="J2946" i="5" a="1"/>
  <c r="J2946" i="5" s="1"/>
  <c r="X2940" i="9" s="1"/>
  <c r="J2959" i="5" a="1"/>
  <c r="J2959" i="5" s="1"/>
  <c r="X2953" i="9" s="1"/>
  <c r="J2975" i="5" a="1"/>
  <c r="J2975" i="5" s="1"/>
  <c r="X2969" i="9" s="1"/>
  <c r="J2991" i="5" a="1"/>
  <c r="J2991" i="5" s="1"/>
  <c r="X2985" i="9" s="1"/>
  <c r="J2952" i="5" a="1"/>
  <c r="J2952" i="5" s="1"/>
  <c r="X2946" i="9" s="1"/>
  <c r="J2901" i="5" a="1"/>
  <c r="J2901" i="5" s="1"/>
  <c r="X2895" i="9" s="1"/>
  <c r="J2917" i="5" a="1"/>
  <c r="J2917" i="5" s="1"/>
  <c r="X2911" i="9" s="1"/>
  <c r="J2927" i="5" a="1"/>
  <c r="J2927" i="5" s="1"/>
  <c r="X2921" i="9" s="1"/>
  <c r="J2968" i="5" a="1"/>
  <c r="J2968" i="5" s="1"/>
  <c r="X2962" i="9" s="1"/>
  <c r="H10" i="5"/>
  <c r="I10" i="5" s="1"/>
  <c r="J10" i="5" s="1" a="1"/>
  <c r="J10" i="5" s="1"/>
  <c r="F19" i="3"/>
  <c r="F4" i="3"/>
  <c r="I4" i="10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10" i="5"/>
  <c r="A11" i="5"/>
  <c r="A12" i="5"/>
  <c r="A1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B11" i="5"/>
  <c r="H11" i="5" s="1"/>
  <c r="I11" i="5" s="1"/>
  <c r="J11" i="5" s="1" a="1"/>
  <c r="J11" i="5" s="1"/>
  <c r="X5" i="9" s="1"/>
  <c r="B12" i="5"/>
  <c r="H12" i="5" s="1"/>
  <c r="I12" i="5" s="1"/>
  <c r="J12" i="5" s="1" a="1"/>
  <c r="J12" i="5" s="1"/>
  <c r="X6" i="9" s="1"/>
  <c r="B13" i="5"/>
  <c r="H13" i="5" s="1"/>
  <c r="I13" i="5" s="1"/>
  <c r="J13" i="5" s="1" a="1"/>
  <c r="J13" i="5" s="1"/>
  <c r="X7" i="9" s="1"/>
  <c r="B14" i="5"/>
  <c r="H14" i="5" s="1"/>
  <c r="I14" i="5" s="1"/>
  <c r="J14" i="5" s="1" a="1"/>
  <c r="J14" i="5" s="1"/>
  <c r="X8" i="9" s="1"/>
  <c r="B15" i="5"/>
  <c r="H15" i="5" s="1"/>
  <c r="I15" i="5" s="1"/>
  <c r="J15" i="5" s="1" a="1"/>
  <c r="J15" i="5" s="1"/>
  <c r="X9" i="9" s="1"/>
  <c r="B16" i="5"/>
  <c r="H16" i="5" s="1"/>
  <c r="I16" i="5" s="1"/>
  <c r="J16" i="5" s="1" a="1"/>
  <c r="J16" i="5" s="1"/>
  <c r="X10" i="9" s="1"/>
  <c r="B17" i="5"/>
  <c r="H17" i="5" s="1"/>
  <c r="I17" i="5" s="1"/>
  <c r="J17" i="5" s="1" a="1"/>
  <c r="J17" i="5" s="1"/>
  <c r="X11" i="9" s="1"/>
  <c r="B18" i="5"/>
  <c r="H18" i="5" s="1"/>
  <c r="I18" i="5" s="1"/>
  <c r="J18" i="5" s="1" a="1"/>
  <c r="J18" i="5" s="1"/>
  <c r="X12" i="9" s="1"/>
  <c r="B19" i="5"/>
  <c r="H19" i="5" s="1"/>
  <c r="I19" i="5" s="1"/>
  <c r="J19" i="5" s="1" a="1"/>
  <c r="J19" i="5" s="1"/>
  <c r="X13" i="9" s="1"/>
  <c r="B20" i="5"/>
  <c r="H20" i="5" s="1"/>
  <c r="I20" i="5" s="1"/>
  <c r="J20" i="5" s="1" a="1"/>
  <c r="J20" i="5" s="1"/>
  <c r="X14" i="9" s="1"/>
  <c r="B21" i="5"/>
  <c r="H21" i="5" s="1"/>
  <c r="I21" i="5" s="1"/>
  <c r="J21" i="5" s="1" a="1"/>
  <c r="J21" i="5" s="1"/>
  <c r="X15" i="9" s="1"/>
  <c r="B22" i="5"/>
  <c r="H22" i="5" s="1"/>
  <c r="I22" i="5" s="1"/>
  <c r="J22" i="5" s="1" a="1"/>
  <c r="J22" i="5" s="1"/>
  <c r="X16" i="9" s="1"/>
  <c r="B23" i="5"/>
  <c r="H23" i="5" s="1"/>
  <c r="I23" i="5" s="1"/>
  <c r="J23" i="5" s="1" a="1"/>
  <c r="J23" i="5" s="1"/>
  <c r="X17" i="9" s="1"/>
  <c r="B24" i="5"/>
  <c r="H24" i="5" s="1"/>
  <c r="I24" i="5" s="1"/>
  <c r="J24" i="5" s="1" a="1"/>
  <c r="J24" i="5" s="1"/>
  <c r="X18" i="9" s="1"/>
  <c r="B25" i="5"/>
  <c r="B26" i="5"/>
  <c r="H26" i="5" s="1"/>
  <c r="I26" i="5" s="1"/>
  <c r="J26" i="5" s="1" a="1"/>
  <c r="J26" i="5" s="1"/>
  <c r="X20" i="9" s="1"/>
  <c r="B27" i="5"/>
  <c r="H27" i="5" s="1"/>
  <c r="I27" i="5" s="1"/>
  <c r="J27" i="5" s="1" a="1"/>
  <c r="J27" i="5" s="1"/>
  <c r="X21" i="9" s="1"/>
  <c r="B28" i="5"/>
  <c r="H28" i="5" s="1"/>
  <c r="I28" i="5" s="1"/>
  <c r="J28" i="5" s="1" a="1"/>
  <c r="J28" i="5" s="1"/>
  <c r="X22" i="9" s="1"/>
  <c r="B29" i="5"/>
  <c r="B30" i="5"/>
  <c r="H30" i="5" s="1"/>
  <c r="I30" i="5" s="1"/>
  <c r="J30" i="5" s="1" a="1"/>
  <c r="J30" i="5" s="1"/>
  <c r="X24" i="9" s="1"/>
  <c r="B31" i="5"/>
  <c r="H31" i="5" s="1"/>
  <c r="I31" i="5" s="1"/>
  <c r="J31" i="5" s="1" a="1"/>
  <c r="J31" i="5" s="1"/>
  <c r="X25" i="9" s="1"/>
  <c r="B32" i="5"/>
  <c r="H32" i="5" s="1"/>
  <c r="I32" i="5" s="1"/>
  <c r="J32" i="5" s="1" a="1"/>
  <c r="J32" i="5" s="1"/>
  <c r="X26" i="9" s="1"/>
  <c r="B33" i="5"/>
  <c r="B34" i="5"/>
  <c r="H34" i="5" s="1"/>
  <c r="I34" i="5" s="1"/>
  <c r="J34" i="5" s="1" a="1"/>
  <c r="J34" i="5" s="1"/>
  <c r="X28" i="9" s="1"/>
  <c r="B35" i="5"/>
  <c r="H35" i="5" s="1"/>
  <c r="I35" i="5" s="1"/>
  <c r="J35" i="5" s="1" a="1"/>
  <c r="J35" i="5" s="1"/>
  <c r="X29" i="9" s="1"/>
  <c r="B36" i="5"/>
  <c r="H36" i="5" s="1"/>
  <c r="I36" i="5" s="1"/>
  <c r="J36" i="5" s="1" a="1"/>
  <c r="J36" i="5" s="1"/>
  <c r="X30" i="9" s="1"/>
  <c r="B37" i="5"/>
  <c r="B38" i="5"/>
  <c r="H38" i="5" s="1"/>
  <c r="I38" i="5" s="1"/>
  <c r="J38" i="5" s="1" a="1"/>
  <c r="J38" i="5" s="1"/>
  <c r="X32" i="9" s="1"/>
  <c r="B39" i="5"/>
  <c r="H39" i="5" s="1"/>
  <c r="I39" i="5" s="1"/>
  <c r="J39" i="5" s="1" a="1"/>
  <c r="J39" i="5" s="1"/>
  <c r="X33" i="9" s="1"/>
  <c r="B40" i="5"/>
  <c r="H40" i="5" s="1"/>
  <c r="I40" i="5" s="1"/>
  <c r="J40" i="5" s="1" a="1"/>
  <c r="J40" i="5" s="1"/>
  <c r="X34" i="9" s="1"/>
  <c r="B41" i="5"/>
  <c r="B42" i="5"/>
  <c r="H42" i="5" s="1"/>
  <c r="I42" i="5" s="1"/>
  <c r="J42" i="5" s="1" a="1"/>
  <c r="J42" i="5" s="1"/>
  <c r="X36" i="9" s="1"/>
  <c r="B43" i="5"/>
  <c r="H43" i="5" s="1"/>
  <c r="I43" i="5" s="1"/>
  <c r="J43" i="5" s="1" a="1"/>
  <c r="J43" i="5" s="1"/>
  <c r="X37" i="9" s="1"/>
  <c r="B44" i="5"/>
  <c r="H44" i="5" s="1"/>
  <c r="I44" i="5" s="1"/>
  <c r="J44" i="5" s="1" a="1"/>
  <c r="J44" i="5" s="1"/>
  <c r="X38" i="9" s="1"/>
  <c r="B45" i="5"/>
  <c r="B46" i="5"/>
  <c r="H46" i="5" s="1"/>
  <c r="I46" i="5" s="1"/>
  <c r="J46" i="5" s="1" a="1"/>
  <c r="J46" i="5" s="1"/>
  <c r="X40" i="9" s="1"/>
  <c r="B47" i="5"/>
  <c r="H47" i="5" s="1"/>
  <c r="I47" i="5" s="1"/>
  <c r="J47" i="5" s="1" a="1"/>
  <c r="J47" i="5" s="1"/>
  <c r="X41" i="9" s="1"/>
  <c r="B48" i="5"/>
  <c r="H48" i="5" s="1"/>
  <c r="I48" i="5" s="1"/>
  <c r="J48" i="5" s="1" a="1"/>
  <c r="J48" i="5" s="1"/>
  <c r="X42" i="9" s="1"/>
  <c r="B49" i="5"/>
  <c r="B50" i="5"/>
  <c r="H50" i="5" s="1"/>
  <c r="I50" i="5" s="1"/>
  <c r="J50" i="5" s="1" a="1"/>
  <c r="J50" i="5" s="1"/>
  <c r="X44" i="9" s="1"/>
  <c r="B51" i="5"/>
  <c r="H51" i="5" s="1"/>
  <c r="I51" i="5" s="1"/>
  <c r="J51" i="5" s="1" a="1"/>
  <c r="J51" i="5" s="1"/>
  <c r="X45" i="9" s="1"/>
  <c r="B52" i="5"/>
  <c r="H52" i="5" s="1"/>
  <c r="I52" i="5" s="1"/>
  <c r="J52" i="5" s="1" a="1"/>
  <c r="J52" i="5" s="1"/>
  <c r="X46" i="9" s="1"/>
  <c r="B53" i="5"/>
  <c r="B54" i="5"/>
  <c r="H54" i="5" s="1"/>
  <c r="I54" i="5" s="1"/>
  <c r="J54" i="5" s="1" a="1"/>
  <c r="J54" i="5" s="1"/>
  <c r="X48" i="9" s="1"/>
  <c r="B55" i="5"/>
  <c r="H55" i="5" s="1"/>
  <c r="I55" i="5" s="1"/>
  <c r="J55" i="5" s="1" a="1"/>
  <c r="J55" i="5" s="1"/>
  <c r="X49" i="9" s="1"/>
  <c r="B56" i="5"/>
  <c r="H56" i="5" s="1"/>
  <c r="I56" i="5" s="1"/>
  <c r="J56" i="5" s="1" a="1"/>
  <c r="J56" i="5" s="1"/>
  <c r="X50" i="9" s="1"/>
  <c r="B57" i="5"/>
  <c r="B58" i="5"/>
  <c r="H58" i="5" s="1"/>
  <c r="I58" i="5" s="1"/>
  <c r="J58" i="5" s="1" a="1"/>
  <c r="J58" i="5" s="1"/>
  <c r="X52" i="9" s="1"/>
  <c r="B59" i="5"/>
  <c r="H59" i="5" s="1"/>
  <c r="I59" i="5" s="1"/>
  <c r="J59" i="5" s="1" a="1"/>
  <c r="J59" i="5" s="1"/>
  <c r="X53" i="9" s="1"/>
  <c r="B60" i="5"/>
  <c r="H60" i="5" s="1"/>
  <c r="I60" i="5" s="1"/>
  <c r="J60" i="5" s="1" a="1"/>
  <c r="J60" i="5" s="1"/>
  <c r="X54" i="9" s="1"/>
  <c r="B61" i="5"/>
  <c r="B62" i="5"/>
  <c r="H62" i="5" s="1"/>
  <c r="I62" i="5" s="1"/>
  <c r="J62" i="5" s="1" a="1"/>
  <c r="J62" i="5" s="1"/>
  <c r="X56" i="9" s="1"/>
  <c r="B63" i="5"/>
  <c r="H63" i="5" s="1"/>
  <c r="I63" i="5" s="1"/>
  <c r="J63" i="5" s="1" a="1"/>
  <c r="J63" i="5" s="1"/>
  <c r="X57" i="9" s="1"/>
  <c r="B64" i="5"/>
  <c r="H64" i="5" s="1"/>
  <c r="I64" i="5" s="1"/>
  <c r="J64" i="5" s="1" a="1"/>
  <c r="J64" i="5" s="1"/>
  <c r="X58" i="9" s="1"/>
  <c r="B65" i="5"/>
  <c r="B66" i="5"/>
  <c r="H66" i="5" s="1"/>
  <c r="I66" i="5" s="1"/>
  <c r="J66" i="5" s="1" a="1"/>
  <c r="J66" i="5" s="1"/>
  <c r="X60" i="9" s="1"/>
  <c r="B67" i="5"/>
  <c r="H67" i="5" s="1"/>
  <c r="I67" i="5" s="1"/>
  <c r="J67" i="5" s="1" a="1"/>
  <c r="J67" i="5" s="1"/>
  <c r="X61" i="9" s="1"/>
  <c r="B68" i="5"/>
  <c r="H68" i="5" s="1"/>
  <c r="I68" i="5" s="1"/>
  <c r="J68" i="5" s="1" a="1"/>
  <c r="J68" i="5" s="1"/>
  <c r="X62" i="9" s="1"/>
  <c r="B69" i="5"/>
  <c r="B70" i="5"/>
  <c r="H70" i="5" s="1"/>
  <c r="I70" i="5" s="1"/>
  <c r="J70" i="5" s="1" a="1"/>
  <c r="J70" i="5" s="1"/>
  <c r="X64" i="9" s="1"/>
  <c r="B71" i="5"/>
  <c r="H71" i="5" s="1"/>
  <c r="I71" i="5" s="1"/>
  <c r="J71" i="5" s="1" a="1"/>
  <c r="J71" i="5" s="1"/>
  <c r="X65" i="9" s="1"/>
  <c r="B72" i="5"/>
  <c r="H72" i="5" s="1"/>
  <c r="I72" i="5" s="1"/>
  <c r="J72" i="5" s="1" a="1"/>
  <c r="J72" i="5" s="1"/>
  <c r="X66" i="9" s="1"/>
  <c r="B73" i="5"/>
  <c r="B74" i="5"/>
  <c r="H74" i="5" s="1"/>
  <c r="I74" i="5" s="1"/>
  <c r="J74" i="5" s="1" a="1"/>
  <c r="J74" i="5" s="1"/>
  <c r="X68" i="9" s="1"/>
  <c r="B75" i="5"/>
  <c r="H75" i="5" s="1"/>
  <c r="I75" i="5" s="1"/>
  <c r="J75" i="5" s="1" a="1"/>
  <c r="J75" i="5" s="1"/>
  <c r="X69" i="9" s="1"/>
  <c r="B76" i="5"/>
  <c r="H76" i="5" s="1"/>
  <c r="I76" i="5" s="1"/>
  <c r="J76" i="5" s="1" a="1"/>
  <c r="J76" i="5" s="1"/>
  <c r="X70" i="9" s="1"/>
  <c r="B77" i="5"/>
  <c r="B78" i="5"/>
  <c r="H78" i="5" s="1"/>
  <c r="I78" i="5" s="1"/>
  <c r="J78" i="5" s="1" a="1"/>
  <c r="J78" i="5" s="1"/>
  <c r="X72" i="9" s="1"/>
  <c r="B79" i="5"/>
  <c r="H79" i="5" s="1"/>
  <c r="I79" i="5" s="1"/>
  <c r="J79" i="5" s="1" a="1"/>
  <c r="J79" i="5" s="1"/>
  <c r="X73" i="9" s="1"/>
  <c r="B80" i="5"/>
  <c r="H80" i="5" s="1"/>
  <c r="I80" i="5" s="1"/>
  <c r="J80" i="5" s="1" a="1"/>
  <c r="J80" i="5" s="1"/>
  <c r="X74" i="9" s="1"/>
  <c r="B81" i="5"/>
  <c r="B82" i="5"/>
  <c r="H82" i="5" s="1"/>
  <c r="I82" i="5" s="1"/>
  <c r="J82" i="5" s="1" a="1"/>
  <c r="J82" i="5" s="1"/>
  <c r="X76" i="9" s="1"/>
  <c r="B83" i="5"/>
  <c r="H83" i="5" s="1"/>
  <c r="I83" i="5" s="1"/>
  <c r="J83" i="5" s="1" a="1"/>
  <c r="J83" i="5" s="1"/>
  <c r="X77" i="9" s="1"/>
  <c r="B84" i="5"/>
  <c r="H84" i="5" s="1"/>
  <c r="I84" i="5" s="1"/>
  <c r="J84" i="5" s="1" a="1"/>
  <c r="J84" i="5" s="1"/>
  <c r="X78" i="9" s="1"/>
  <c r="B85" i="5"/>
  <c r="B86" i="5"/>
  <c r="H86" i="5" s="1"/>
  <c r="I86" i="5" s="1"/>
  <c r="J86" i="5" s="1" a="1"/>
  <c r="J86" i="5" s="1"/>
  <c r="X80" i="9" s="1"/>
  <c r="B87" i="5"/>
  <c r="H87" i="5" s="1"/>
  <c r="I87" i="5" s="1"/>
  <c r="J87" i="5" s="1" a="1"/>
  <c r="J87" i="5" s="1"/>
  <c r="X81" i="9" s="1"/>
  <c r="B88" i="5"/>
  <c r="H88" i="5" s="1"/>
  <c r="I88" i="5" s="1"/>
  <c r="J88" i="5" s="1" a="1"/>
  <c r="J88" i="5" s="1"/>
  <c r="X82" i="9" s="1"/>
  <c r="B89" i="5"/>
  <c r="B90" i="5"/>
  <c r="H90" i="5" s="1"/>
  <c r="I90" i="5" s="1"/>
  <c r="J90" i="5" s="1" a="1"/>
  <c r="J90" i="5" s="1"/>
  <c r="X84" i="9" s="1"/>
  <c r="B91" i="5"/>
  <c r="H91" i="5" s="1"/>
  <c r="I91" i="5" s="1"/>
  <c r="J91" i="5" s="1" a="1"/>
  <c r="J91" i="5" s="1"/>
  <c r="X85" i="9" s="1"/>
  <c r="B92" i="5"/>
  <c r="H92" i="5" s="1"/>
  <c r="I92" i="5" s="1"/>
  <c r="J92" i="5" s="1" a="1"/>
  <c r="J92" i="5" s="1"/>
  <c r="X86" i="9" s="1"/>
  <c r="B93" i="5"/>
  <c r="B94" i="5"/>
  <c r="H94" i="5" s="1"/>
  <c r="I94" i="5" s="1"/>
  <c r="J94" i="5" s="1" a="1"/>
  <c r="J94" i="5" s="1"/>
  <c r="X88" i="9" s="1"/>
  <c r="B95" i="5"/>
  <c r="H95" i="5" s="1"/>
  <c r="I95" i="5" s="1"/>
  <c r="J95" i="5" s="1" a="1"/>
  <c r="J95" i="5" s="1"/>
  <c r="X89" i="9" s="1"/>
  <c r="B96" i="5"/>
  <c r="H96" i="5" s="1"/>
  <c r="I96" i="5" s="1"/>
  <c r="J96" i="5" s="1" a="1"/>
  <c r="J96" i="5" s="1"/>
  <c r="X90" i="9" s="1"/>
  <c r="B97" i="5"/>
  <c r="B98" i="5"/>
  <c r="H98" i="5" s="1"/>
  <c r="I98" i="5" s="1"/>
  <c r="J98" i="5" s="1" a="1"/>
  <c r="J98" i="5" s="1"/>
  <c r="X92" i="9" s="1"/>
  <c r="B99" i="5"/>
  <c r="H99" i="5" s="1"/>
  <c r="I99" i="5" s="1"/>
  <c r="J99" i="5" s="1" a="1"/>
  <c r="J99" i="5" s="1"/>
  <c r="X93" i="9" s="1"/>
  <c r="B100" i="5"/>
  <c r="H100" i="5" s="1"/>
  <c r="I100" i="5" s="1"/>
  <c r="J100" i="5" s="1" a="1"/>
  <c r="J100" i="5" s="1"/>
  <c r="X94" i="9" s="1"/>
  <c r="B101" i="5"/>
  <c r="B102" i="5"/>
  <c r="H102" i="5" s="1"/>
  <c r="I102" i="5" s="1"/>
  <c r="J102" i="5" s="1" a="1"/>
  <c r="J102" i="5" s="1"/>
  <c r="X96" i="9" s="1"/>
  <c r="B103" i="5"/>
  <c r="H103" i="5" s="1"/>
  <c r="I103" i="5" s="1"/>
  <c r="J103" i="5" s="1" a="1"/>
  <c r="J103" i="5" s="1"/>
  <c r="X97" i="9" s="1"/>
  <c r="B104" i="5"/>
  <c r="H104" i="5" s="1"/>
  <c r="I104" i="5" s="1"/>
  <c r="J104" i="5" s="1" a="1"/>
  <c r="J104" i="5" s="1"/>
  <c r="X98" i="9" s="1"/>
  <c r="B105" i="5"/>
  <c r="B106" i="5"/>
  <c r="H106" i="5" s="1"/>
  <c r="I106" i="5" s="1"/>
  <c r="J106" i="5" s="1" a="1"/>
  <c r="J106" i="5" s="1"/>
  <c r="X100" i="9" s="1"/>
  <c r="B107" i="5"/>
  <c r="H107" i="5" s="1"/>
  <c r="I107" i="5" s="1"/>
  <c r="J107" i="5" s="1" a="1"/>
  <c r="J107" i="5" s="1"/>
  <c r="X101" i="9" s="1"/>
  <c r="B108" i="5"/>
  <c r="H108" i="5" s="1"/>
  <c r="I108" i="5" s="1"/>
  <c r="J108" i="5" s="1" a="1"/>
  <c r="J108" i="5" s="1"/>
  <c r="X102" i="9" s="1"/>
  <c r="B109" i="5"/>
  <c r="B110" i="5"/>
  <c r="H110" i="5" s="1"/>
  <c r="I110" i="5" s="1"/>
  <c r="J110" i="5" s="1" a="1"/>
  <c r="J110" i="5" s="1"/>
  <c r="X104" i="9" s="1"/>
  <c r="B111" i="5"/>
  <c r="H111" i="5" s="1"/>
  <c r="I111" i="5" s="1"/>
  <c r="J111" i="5" s="1" a="1"/>
  <c r="J111" i="5" s="1"/>
  <c r="X105" i="9" s="1"/>
  <c r="B112" i="5"/>
  <c r="H112" i="5" s="1"/>
  <c r="I112" i="5" s="1"/>
  <c r="J112" i="5" s="1" a="1"/>
  <c r="J112" i="5" s="1"/>
  <c r="X106" i="9" s="1"/>
  <c r="B113" i="5"/>
  <c r="B114" i="5"/>
  <c r="H114" i="5" s="1"/>
  <c r="I114" i="5" s="1"/>
  <c r="J114" i="5" s="1" a="1"/>
  <c r="J114" i="5" s="1"/>
  <c r="X108" i="9" s="1"/>
  <c r="B115" i="5"/>
  <c r="H115" i="5" s="1"/>
  <c r="I115" i="5" s="1"/>
  <c r="J115" i="5" s="1" a="1"/>
  <c r="J115" i="5" s="1"/>
  <c r="X109" i="9" s="1"/>
  <c r="B116" i="5"/>
  <c r="H116" i="5" s="1"/>
  <c r="I116" i="5" s="1"/>
  <c r="J116" i="5" s="1" a="1"/>
  <c r="J116" i="5" s="1"/>
  <c r="X110" i="9" s="1"/>
  <c r="B117" i="5"/>
  <c r="B118" i="5"/>
  <c r="H118" i="5" s="1"/>
  <c r="I118" i="5" s="1"/>
  <c r="J118" i="5" s="1" a="1"/>
  <c r="J118" i="5" s="1"/>
  <c r="X112" i="9" s="1"/>
  <c r="B119" i="5"/>
  <c r="H119" i="5" s="1"/>
  <c r="I119" i="5" s="1"/>
  <c r="J119" i="5" s="1" a="1"/>
  <c r="J119" i="5" s="1"/>
  <c r="X113" i="9" s="1"/>
  <c r="B120" i="5"/>
  <c r="H120" i="5" s="1"/>
  <c r="I120" i="5" s="1"/>
  <c r="J120" i="5" s="1" a="1"/>
  <c r="J120" i="5" s="1"/>
  <c r="X114" i="9" s="1"/>
  <c r="B121" i="5"/>
  <c r="B122" i="5"/>
  <c r="H122" i="5" s="1"/>
  <c r="I122" i="5" s="1"/>
  <c r="J122" i="5" s="1" a="1"/>
  <c r="J122" i="5" s="1"/>
  <c r="X116" i="9" s="1"/>
  <c r="B123" i="5"/>
  <c r="H123" i="5" s="1"/>
  <c r="I123" i="5" s="1"/>
  <c r="J123" i="5" s="1" a="1"/>
  <c r="J123" i="5" s="1"/>
  <c r="X117" i="9" s="1"/>
  <c r="B124" i="5"/>
  <c r="H124" i="5" s="1"/>
  <c r="I124" i="5" s="1"/>
  <c r="J124" i="5" s="1" a="1"/>
  <c r="J124" i="5" s="1"/>
  <c r="X118" i="9" s="1"/>
  <c r="B125" i="5"/>
  <c r="B126" i="5"/>
  <c r="H126" i="5" s="1"/>
  <c r="I126" i="5" s="1"/>
  <c r="J126" i="5" s="1" a="1"/>
  <c r="J126" i="5" s="1"/>
  <c r="X120" i="9" s="1"/>
  <c r="B127" i="5"/>
  <c r="H127" i="5" s="1"/>
  <c r="I127" i="5" s="1"/>
  <c r="J127" i="5" s="1" a="1"/>
  <c r="J127" i="5" s="1"/>
  <c r="X121" i="9" s="1"/>
  <c r="B128" i="5"/>
  <c r="H128" i="5" s="1"/>
  <c r="I128" i="5" s="1"/>
  <c r="J128" i="5" s="1" a="1"/>
  <c r="J128" i="5" s="1"/>
  <c r="X122" i="9" s="1"/>
  <c r="B129" i="5"/>
  <c r="B130" i="5"/>
  <c r="H130" i="5" s="1"/>
  <c r="I130" i="5" s="1"/>
  <c r="J130" i="5" s="1" a="1"/>
  <c r="J130" i="5" s="1"/>
  <c r="X124" i="9" s="1"/>
  <c r="B131" i="5"/>
  <c r="H131" i="5" s="1"/>
  <c r="I131" i="5" s="1"/>
  <c r="J131" i="5" s="1" a="1"/>
  <c r="J131" i="5" s="1"/>
  <c r="X125" i="9" s="1"/>
  <c r="B132" i="5"/>
  <c r="H132" i="5" s="1"/>
  <c r="I132" i="5" s="1"/>
  <c r="J132" i="5" s="1" a="1"/>
  <c r="J132" i="5" s="1"/>
  <c r="X126" i="9" s="1"/>
  <c r="B133" i="5"/>
  <c r="B134" i="5"/>
  <c r="H134" i="5" s="1"/>
  <c r="I134" i="5" s="1"/>
  <c r="J134" i="5" s="1" a="1"/>
  <c r="J134" i="5" s="1"/>
  <c r="X128" i="9" s="1"/>
  <c r="B135" i="5"/>
  <c r="H135" i="5" s="1"/>
  <c r="I135" i="5" s="1"/>
  <c r="J135" i="5" s="1" a="1"/>
  <c r="J135" i="5" s="1"/>
  <c r="X129" i="9" s="1"/>
  <c r="B136" i="5"/>
  <c r="H136" i="5" s="1"/>
  <c r="I136" i="5" s="1"/>
  <c r="J136" i="5" s="1" a="1"/>
  <c r="J136" i="5" s="1"/>
  <c r="X130" i="9" s="1"/>
  <c r="B137" i="5"/>
  <c r="B138" i="5"/>
  <c r="H138" i="5" s="1"/>
  <c r="I138" i="5" s="1"/>
  <c r="J138" i="5" s="1" a="1"/>
  <c r="J138" i="5" s="1"/>
  <c r="X132" i="9" s="1"/>
  <c r="B139" i="5"/>
  <c r="H139" i="5" s="1"/>
  <c r="I139" i="5" s="1"/>
  <c r="J139" i="5" s="1" a="1"/>
  <c r="J139" i="5" s="1"/>
  <c r="X133" i="9" s="1"/>
  <c r="B140" i="5"/>
  <c r="H140" i="5" s="1"/>
  <c r="I140" i="5" s="1"/>
  <c r="J140" i="5" s="1" a="1"/>
  <c r="J140" i="5" s="1"/>
  <c r="X134" i="9" s="1"/>
  <c r="B141" i="5"/>
  <c r="B142" i="5"/>
  <c r="H142" i="5" s="1"/>
  <c r="I142" i="5" s="1"/>
  <c r="J142" i="5" s="1" a="1"/>
  <c r="J142" i="5" s="1"/>
  <c r="X136" i="9" s="1"/>
  <c r="B143" i="5"/>
  <c r="H143" i="5" s="1"/>
  <c r="I143" i="5" s="1"/>
  <c r="J143" i="5" s="1" a="1"/>
  <c r="J143" i="5" s="1"/>
  <c r="X137" i="9" s="1"/>
  <c r="B144" i="5"/>
  <c r="H144" i="5" s="1"/>
  <c r="I144" i="5" s="1"/>
  <c r="J144" i="5" s="1" a="1"/>
  <c r="J144" i="5" s="1"/>
  <c r="X138" i="9" s="1"/>
  <c r="B145" i="5"/>
  <c r="B146" i="5"/>
  <c r="H146" i="5" s="1"/>
  <c r="I146" i="5" s="1"/>
  <c r="J146" i="5" s="1" a="1"/>
  <c r="J146" i="5" s="1"/>
  <c r="X140" i="9" s="1"/>
  <c r="B147" i="5"/>
  <c r="H147" i="5" s="1"/>
  <c r="I147" i="5" s="1"/>
  <c r="J147" i="5" s="1" a="1"/>
  <c r="J147" i="5" s="1"/>
  <c r="X141" i="9" s="1"/>
  <c r="B148" i="5"/>
  <c r="H148" i="5" s="1"/>
  <c r="I148" i="5" s="1"/>
  <c r="J148" i="5" s="1" a="1"/>
  <c r="J148" i="5" s="1"/>
  <c r="X142" i="9" s="1"/>
  <c r="B149" i="5"/>
  <c r="B150" i="5"/>
  <c r="H150" i="5" s="1"/>
  <c r="I150" i="5" s="1"/>
  <c r="J150" i="5" s="1" a="1"/>
  <c r="J150" i="5" s="1"/>
  <c r="X144" i="9" s="1"/>
  <c r="B151" i="5"/>
  <c r="H151" i="5" s="1"/>
  <c r="I151" i="5" s="1"/>
  <c r="J151" i="5" s="1" a="1"/>
  <c r="J151" i="5" s="1"/>
  <c r="X145" i="9" s="1"/>
  <c r="B152" i="5"/>
  <c r="H152" i="5" s="1"/>
  <c r="I152" i="5" s="1"/>
  <c r="J152" i="5" s="1" a="1"/>
  <c r="J152" i="5" s="1"/>
  <c r="X146" i="9" s="1"/>
  <c r="B153" i="5"/>
  <c r="B154" i="5"/>
  <c r="H154" i="5" s="1"/>
  <c r="I154" i="5" s="1"/>
  <c r="J154" i="5" s="1" a="1"/>
  <c r="J154" i="5" s="1"/>
  <c r="X148" i="9" s="1"/>
  <c r="B155" i="5"/>
  <c r="H155" i="5" s="1"/>
  <c r="I155" i="5" s="1"/>
  <c r="J155" i="5" s="1" a="1"/>
  <c r="J155" i="5" s="1"/>
  <c r="X149" i="9" s="1"/>
  <c r="B156" i="5"/>
  <c r="H156" i="5" s="1"/>
  <c r="I156" i="5" s="1"/>
  <c r="J156" i="5" s="1" a="1"/>
  <c r="J156" i="5" s="1"/>
  <c r="X150" i="9" s="1"/>
  <c r="B157" i="5"/>
  <c r="B158" i="5"/>
  <c r="H158" i="5" s="1"/>
  <c r="I158" i="5" s="1"/>
  <c r="J158" i="5" s="1" a="1"/>
  <c r="J158" i="5" s="1"/>
  <c r="X152" i="9" s="1"/>
  <c r="B159" i="5"/>
  <c r="H159" i="5" s="1"/>
  <c r="I159" i="5" s="1"/>
  <c r="J159" i="5" s="1" a="1"/>
  <c r="J159" i="5" s="1"/>
  <c r="X153" i="9" s="1"/>
  <c r="B160" i="5"/>
  <c r="H160" i="5" s="1"/>
  <c r="I160" i="5" s="1"/>
  <c r="J160" i="5" s="1" a="1"/>
  <c r="J160" i="5" s="1"/>
  <c r="X154" i="9" s="1"/>
  <c r="B161" i="5"/>
  <c r="B162" i="5"/>
  <c r="H162" i="5" s="1"/>
  <c r="I162" i="5" s="1"/>
  <c r="J162" i="5" s="1" a="1"/>
  <c r="J162" i="5" s="1"/>
  <c r="X156" i="9" s="1"/>
  <c r="B163" i="5"/>
  <c r="H163" i="5" s="1"/>
  <c r="I163" i="5" s="1"/>
  <c r="J163" i="5" s="1" a="1"/>
  <c r="J163" i="5" s="1"/>
  <c r="X157" i="9" s="1"/>
  <c r="B164" i="5"/>
  <c r="H164" i="5" s="1"/>
  <c r="I164" i="5" s="1"/>
  <c r="J164" i="5" s="1" a="1"/>
  <c r="J164" i="5" s="1"/>
  <c r="X158" i="9" s="1"/>
  <c r="B165" i="5"/>
  <c r="B166" i="5"/>
  <c r="H166" i="5" s="1"/>
  <c r="I166" i="5" s="1"/>
  <c r="J166" i="5" s="1" a="1"/>
  <c r="J166" i="5" s="1"/>
  <c r="X160" i="9" s="1"/>
  <c r="B167" i="5"/>
  <c r="H167" i="5" s="1"/>
  <c r="I167" i="5" s="1"/>
  <c r="J167" i="5" s="1" a="1"/>
  <c r="J167" i="5" s="1"/>
  <c r="X161" i="9" s="1"/>
  <c r="B168" i="5"/>
  <c r="H168" i="5" s="1"/>
  <c r="I168" i="5" s="1"/>
  <c r="J168" i="5" s="1" a="1"/>
  <c r="J168" i="5" s="1"/>
  <c r="X162" i="9" s="1"/>
  <c r="B169" i="5"/>
  <c r="B170" i="5"/>
  <c r="H170" i="5" s="1"/>
  <c r="I170" i="5" s="1"/>
  <c r="J170" i="5" s="1" a="1"/>
  <c r="J170" i="5" s="1"/>
  <c r="X164" i="9" s="1"/>
  <c r="B171" i="5"/>
  <c r="H171" i="5" s="1"/>
  <c r="I171" i="5" s="1"/>
  <c r="J171" i="5" s="1" a="1"/>
  <c r="J171" i="5" s="1"/>
  <c r="X165" i="9" s="1"/>
  <c r="B172" i="5"/>
  <c r="H172" i="5" s="1"/>
  <c r="I172" i="5" s="1"/>
  <c r="J172" i="5" s="1" a="1"/>
  <c r="J172" i="5" s="1"/>
  <c r="X166" i="9" s="1"/>
  <c r="B173" i="5"/>
  <c r="B174" i="5"/>
  <c r="H174" i="5" s="1"/>
  <c r="I174" i="5" s="1"/>
  <c r="J174" i="5" s="1" a="1"/>
  <c r="J174" i="5" s="1"/>
  <c r="X168" i="9" s="1"/>
  <c r="B175" i="5"/>
  <c r="H175" i="5" s="1"/>
  <c r="I175" i="5" s="1"/>
  <c r="J175" i="5" s="1" a="1"/>
  <c r="J175" i="5" s="1"/>
  <c r="X169" i="9" s="1"/>
  <c r="B176" i="5"/>
  <c r="H176" i="5" s="1"/>
  <c r="I176" i="5" s="1"/>
  <c r="J176" i="5" s="1" a="1"/>
  <c r="J176" i="5" s="1"/>
  <c r="X170" i="9" s="1"/>
  <c r="B177" i="5"/>
  <c r="B178" i="5"/>
  <c r="H178" i="5" s="1"/>
  <c r="I178" i="5" s="1"/>
  <c r="J178" i="5" s="1" a="1"/>
  <c r="J178" i="5" s="1"/>
  <c r="X172" i="9" s="1"/>
  <c r="B179" i="5"/>
  <c r="H179" i="5" s="1"/>
  <c r="I179" i="5" s="1"/>
  <c r="J179" i="5" s="1" a="1"/>
  <c r="J179" i="5" s="1"/>
  <c r="X173" i="9" s="1"/>
  <c r="B180" i="5"/>
  <c r="H180" i="5" s="1"/>
  <c r="I180" i="5" s="1"/>
  <c r="J180" i="5" s="1" a="1"/>
  <c r="J180" i="5" s="1"/>
  <c r="X174" i="9" s="1"/>
  <c r="B181" i="5"/>
  <c r="B182" i="5"/>
  <c r="H182" i="5" s="1"/>
  <c r="I182" i="5" s="1"/>
  <c r="J182" i="5" s="1" a="1"/>
  <c r="J182" i="5" s="1"/>
  <c r="X176" i="9" s="1"/>
  <c r="B183" i="5"/>
  <c r="H183" i="5" s="1"/>
  <c r="I183" i="5" s="1"/>
  <c r="J183" i="5" s="1" a="1"/>
  <c r="J183" i="5" s="1"/>
  <c r="X177" i="9" s="1"/>
  <c r="B184" i="5"/>
  <c r="H184" i="5" s="1"/>
  <c r="I184" i="5" s="1"/>
  <c r="J184" i="5" s="1" a="1"/>
  <c r="J184" i="5" s="1"/>
  <c r="X178" i="9" s="1"/>
  <c r="B185" i="5"/>
  <c r="B186" i="5"/>
  <c r="H186" i="5" s="1"/>
  <c r="I186" i="5" s="1"/>
  <c r="J186" i="5" s="1" a="1"/>
  <c r="J186" i="5" s="1"/>
  <c r="X180" i="9" s="1"/>
  <c r="B187" i="5"/>
  <c r="H187" i="5" s="1"/>
  <c r="I187" i="5" s="1"/>
  <c r="J187" i="5" s="1" a="1"/>
  <c r="J187" i="5" s="1"/>
  <c r="X181" i="9" s="1"/>
  <c r="B188" i="5"/>
  <c r="H188" i="5" s="1"/>
  <c r="I188" i="5" s="1"/>
  <c r="J188" i="5" s="1" a="1"/>
  <c r="J188" i="5" s="1"/>
  <c r="X182" i="9" s="1"/>
  <c r="B189" i="5"/>
  <c r="B190" i="5"/>
  <c r="H190" i="5" s="1"/>
  <c r="I190" i="5" s="1"/>
  <c r="J190" i="5" s="1" a="1"/>
  <c r="J190" i="5" s="1"/>
  <c r="X184" i="9" s="1"/>
  <c r="B191" i="5"/>
  <c r="H191" i="5" s="1"/>
  <c r="I191" i="5" s="1"/>
  <c r="J191" i="5" s="1" a="1"/>
  <c r="J191" i="5" s="1"/>
  <c r="X185" i="9" s="1"/>
  <c r="B192" i="5"/>
  <c r="H192" i="5" s="1"/>
  <c r="I192" i="5" s="1"/>
  <c r="J192" i="5" s="1" a="1"/>
  <c r="J192" i="5" s="1"/>
  <c r="X186" i="9" s="1"/>
  <c r="B193" i="5"/>
  <c r="B194" i="5"/>
  <c r="H194" i="5" s="1"/>
  <c r="I194" i="5" s="1"/>
  <c r="J194" i="5" s="1" a="1"/>
  <c r="J194" i="5" s="1"/>
  <c r="X188" i="9" s="1"/>
  <c r="B195" i="5"/>
  <c r="H195" i="5" s="1"/>
  <c r="I195" i="5" s="1"/>
  <c r="J195" i="5" s="1" a="1"/>
  <c r="J195" i="5" s="1"/>
  <c r="X189" i="9" s="1"/>
  <c r="B196" i="5"/>
  <c r="H196" i="5" s="1"/>
  <c r="I196" i="5" s="1"/>
  <c r="J196" i="5" s="1" a="1"/>
  <c r="J196" i="5" s="1"/>
  <c r="X190" i="9" s="1"/>
  <c r="B197" i="5"/>
  <c r="B198" i="5"/>
  <c r="H198" i="5" s="1"/>
  <c r="I198" i="5" s="1"/>
  <c r="J198" i="5" s="1" a="1"/>
  <c r="J198" i="5" s="1"/>
  <c r="X192" i="9" s="1"/>
  <c r="B199" i="5"/>
  <c r="H199" i="5" s="1"/>
  <c r="I199" i="5" s="1"/>
  <c r="J199" i="5" s="1" a="1"/>
  <c r="J199" i="5" s="1"/>
  <c r="X193" i="9" s="1"/>
  <c r="B200" i="5"/>
  <c r="H200" i="5" s="1"/>
  <c r="I200" i="5" s="1"/>
  <c r="J200" i="5" s="1" a="1"/>
  <c r="J200" i="5" s="1"/>
  <c r="X194" i="9" s="1"/>
  <c r="B201" i="5"/>
  <c r="B202" i="5"/>
  <c r="H202" i="5" s="1"/>
  <c r="I202" i="5" s="1"/>
  <c r="J202" i="5" s="1" a="1"/>
  <c r="J202" i="5" s="1"/>
  <c r="X196" i="9" s="1"/>
  <c r="B203" i="5"/>
  <c r="H203" i="5" s="1"/>
  <c r="I203" i="5" s="1"/>
  <c r="J203" i="5" s="1" a="1"/>
  <c r="J203" i="5" s="1"/>
  <c r="X197" i="9" s="1"/>
  <c r="B204" i="5"/>
  <c r="H204" i="5" s="1"/>
  <c r="I204" i="5" s="1"/>
  <c r="J204" i="5" s="1" a="1"/>
  <c r="J204" i="5" s="1"/>
  <c r="X198" i="9" s="1"/>
  <c r="B205" i="5"/>
  <c r="B206" i="5"/>
  <c r="H206" i="5" s="1"/>
  <c r="I206" i="5" s="1"/>
  <c r="J206" i="5" s="1" a="1"/>
  <c r="J206" i="5" s="1"/>
  <c r="X200" i="9" s="1"/>
  <c r="B207" i="5"/>
  <c r="H207" i="5" s="1"/>
  <c r="I207" i="5" s="1"/>
  <c r="J207" i="5" s="1" a="1"/>
  <c r="J207" i="5" s="1"/>
  <c r="X201" i="9" s="1"/>
  <c r="B208" i="5"/>
  <c r="H208" i="5" s="1"/>
  <c r="I208" i="5" s="1"/>
  <c r="J208" i="5" s="1" a="1"/>
  <c r="J208" i="5" s="1"/>
  <c r="X202" i="9" s="1"/>
  <c r="B209" i="5"/>
  <c r="B210" i="5"/>
  <c r="H210" i="5" s="1"/>
  <c r="I210" i="5" s="1"/>
  <c r="J210" i="5" s="1" a="1"/>
  <c r="J210" i="5" s="1"/>
  <c r="X204" i="9" s="1"/>
  <c r="B211" i="5"/>
  <c r="H211" i="5" s="1"/>
  <c r="I211" i="5" s="1"/>
  <c r="J211" i="5" s="1" a="1"/>
  <c r="J211" i="5" s="1"/>
  <c r="X205" i="9" s="1"/>
  <c r="B212" i="5"/>
  <c r="H212" i="5" s="1"/>
  <c r="I212" i="5" s="1"/>
  <c r="J212" i="5" s="1" a="1"/>
  <c r="J212" i="5" s="1"/>
  <c r="X206" i="9" s="1"/>
  <c r="B213" i="5"/>
  <c r="B214" i="5"/>
  <c r="H214" i="5" s="1"/>
  <c r="I214" i="5" s="1"/>
  <c r="J214" i="5" s="1" a="1"/>
  <c r="J214" i="5" s="1"/>
  <c r="X208" i="9" s="1"/>
  <c r="B215" i="5"/>
  <c r="H215" i="5" s="1"/>
  <c r="I215" i="5" s="1"/>
  <c r="J215" i="5" s="1" a="1"/>
  <c r="J215" i="5" s="1"/>
  <c r="X209" i="9" s="1"/>
  <c r="B216" i="5"/>
  <c r="H216" i="5" s="1"/>
  <c r="I216" i="5" s="1"/>
  <c r="J216" i="5" s="1" a="1"/>
  <c r="J216" i="5" s="1"/>
  <c r="X210" i="9" s="1"/>
  <c r="B217" i="5"/>
  <c r="B218" i="5"/>
  <c r="H218" i="5" s="1"/>
  <c r="I218" i="5" s="1"/>
  <c r="J218" i="5" s="1" a="1"/>
  <c r="J218" i="5" s="1"/>
  <c r="X212" i="9" s="1"/>
  <c r="B219" i="5"/>
  <c r="H219" i="5" s="1"/>
  <c r="I219" i="5" s="1"/>
  <c r="J219" i="5" s="1" a="1"/>
  <c r="J219" i="5" s="1"/>
  <c r="X213" i="9" s="1"/>
  <c r="B220" i="5"/>
  <c r="H220" i="5" s="1"/>
  <c r="I220" i="5" s="1"/>
  <c r="J220" i="5" s="1" a="1"/>
  <c r="J220" i="5" s="1"/>
  <c r="X214" i="9" s="1"/>
  <c r="B221" i="5"/>
  <c r="B222" i="5"/>
  <c r="H222" i="5" s="1"/>
  <c r="I222" i="5" s="1"/>
  <c r="J222" i="5" s="1" a="1"/>
  <c r="J222" i="5" s="1"/>
  <c r="X216" i="9" s="1"/>
  <c r="B223" i="5"/>
  <c r="H223" i="5" s="1"/>
  <c r="I223" i="5" s="1"/>
  <c r="J223" i="5" s="1" a="1"/>
  <c r="J223" i="5" s="1"/>
  <c r="X217" i="9" s="1"/>
  <c r="B224" i="5"/>
  <c r="H224" i="5" s="1"/>
  <c r="I224" i="5" s="1"/>
  <c r="J224" i="5" s="1" a="1"/>
  <c r="J224" i="5" s="1"/>
  <c r="X218" i="9" s="1"/>
  <c r="B225" i="5"/>
  <c r="B226" i="5"/>
  <c r="H226" i="5" s="1"/>
  <c r="I226" i="5" s="1"/>
  <c r="J226" i="5" s="1" a="1"/>
  <c r="J226" i="5" s="1"/>
  <c r="X220" i="9" s="1"/>
  <c r="B227" i="5"/>
  <c r="H227" i="5" s="1"/>
  <c r="I227" i="5" s="1"/>
  <c r="J227" i="5" s="1" a="1"/>
  <c r="J227" i="5" s="1"/>
  <c r="X221" i="9" s="1"/>
  <c r="B228" i="5"/>
  <c r="H228" i="5" s="1"/>
  <c r="I228" i="5" s="1"/>
  <c r="J228" i="5" s="1" a="1"/>
  <c r="J228" i="5" s="1"/>
  <c r="X222" i="9" s="1"/>
  <c r="B229" i="5"/>
  <c r="B230" i="5"/>
  <c r="H230" i="5" s="1"/>
  <c r="I230" i="5" s="1"/>
  <c r="J230" i="5" s="1" a="1"/>
  <c r="J230" i="5" s="1"/>
  <c r="X224" i="9" s="1"/>
  <c r="B231" i="5"/>
  <c r="H231" i="5" s="1"/>
  <c r="I231" i="5" s="1"/>
  <c r="J231" i="5" s="1" a="1"/>
  <c r="J231" i="5" s="1"/>
  <c r="X225" i="9" s="1"/>
  <c r="B232" i="5"/>
  <c r="H232" i="5" s="1"/>
  <c r="I232" i="5" s="1"/>
  <c r="J232" i="5" s="1" a="1"/>
  <c r="J232" i="5" s="1"/>
  <c r="X226" i="9" s="1"/>
  <c r="B233" i="5"/>
  <c r="B234" i="5"/>
  <c r="H234" i="5" s="1"/>
  <c r="I234" i="5" s="1"/>
  <c r="J234" i="5" s="1" a="1"/>
  <c r="J234" i="5" s="1"/>
  <c r="X228" i="9" s="1"/>
  <c r="B235" i="5"/>
  <c r="H235" i="5" s="1"/>
  <c r="I235" i="5" s="1"/>
  <c r="J235" i="5" s="1" a="1"/>
  <c r="J235" i="5" s="1"/>
  <c r="X229" i="9" s="1"/>
  <c r="B236" i="5"/>
  <c r="H236" i="5" s="1"/>
  <c r="I236" i="5" s="1"/>
  <c r="J236" i="5" s="1" a="1"/>
  <c r="J236" i="5" s="1"/>
  <c r="X230" i="9" s="1"/>
  <c r="B237" i="5"/>
  <c r="B238" i="5"/>
  <c r="H238" i="5" s="1"/>
  <c r="I238" i="5" s="1"/>
  <c r="J238" i="5" s="1" a="1"/>
  <c r="J238" i="5" s="1"/>
  <c r="X232" i="9" s="1"/>
  <c r="B239" i="5"/>
  <c r="H239" i="5" s="1"/>
  <c r="I239" i="5" s="1"/>
  <c r="J239" i="5" s="1" a="1"/>
  <c r="J239" i="5" s="1"/>
  <c r="X233" i="9" s="1"/>
  <c r="B240" i="5"/>
  <c r="H240" i="5" s="1"/>
  <c r="I240" i="5" s="1"/>
  <c r="J240" i="5" s="1" a="1"/>
  <c r="J240" i="5" s="1"/>
  <c r="X234" i="9" s="1"/>
  <c r="B241" i="5"/>
  <c r="B242" i="5"/>
  <c r="H242" i="5" s="1"/>
  <c r="I242" i="5" s="1"/>
  <c r="J242" i="5" s="1" a="1"/>
  <c r="J242" i="5" s="1"/>
  <c r="X236" i="9" s="1"/>
  <c r="B243" i="5"/>
  <c r="H243" i="5" s="1"/>
  <c r="I243" i="5" s="1"/>
  <c r="J243" i="5" s="1" a="1"/>
  <c r="J243" i="5" s="1"/>
  <c r="X237" i="9" s="1"/>
  <c r="B244" i="5"/>
  <c r="H244" i="5" s="1"/>
  <c r="I244" i="5" s="1"/>
  <c r="J244" i="5" s="1" a="1"/>
  <c r="J244" i="5" s="1"/>
  <c r="X238" i="9" s="1"/>
  <c r="B245" i="5"/>
  <c r="B246" i="5"/>
  <c r="H246" i="5" s="1"/>
  <c r="I246" i="5" s="1"/>
  <c r="J246" i="5" s="1" a="1"/>
  <c r="J246" i="5" s="1"/>
  <c r="X240" i="9" s="1"/>
  <c r="B247" i="5"/>
  <c r="H247" i="5" s="1"/>
  <c r="I247" i="5" s="1"/>
  <c r="J247" i="5" s="1" a="1"/>
  <c r="J247" i="5" s="1"/>
  <c r="X241" i="9" s="1"/>
  <c r="B248" i="5"/>
  <c r="H248" i="5" s="1"/>
  <c r="I248" i="5" s="1"/>
  <c r="J248" i="5" s="1" a="1"/>
  <c r="J248" i="5" s="1"/>
  <c r="X242" i="9" s="1"/>
  <c r="B249" i="5"/>
  <c r="B250" i="5"/>
  <c r="H250" i="5" s="1"/>
  <c r="I250" i="5" s="1"/>
  <c r="J250" i="5" s="1" a="1"/>
  <c r="J250" i="5" s="1"/>
  <c r="X244" i="9" s="1"/>
  <c r="B251" i="5"/>
  <c r="H251" i="5" s="1"/>
  <c r="I251" i="5" s="1"/>
  <c r="J251" i="5" s="1" a="1"/>
  <c r="J251" i="5" s="1"/>
  <c r="X245" i="9" s="1"/>
  <c r="B252" i="5"/>
  <c r="H252" i="5" s="1"/>
  <c r="I252" i="5" s="1"/>
  <c r="J252" i="5" s="1" a="1"/>
  <c r="J252" i="5" s="1"/>
  <c r="X246" i="9" s="1"/>
  <c r="B253" i="5"/>
  <c r="B254" i="5"/>
  <c r="H254" i="5" s="1"/>
  <c r="I254" i="5" s="1"/>
  <c r="J254" i="5" s="1" a="1"/>
  <c r="J254" i="5" s="1"/>
  <c r="X248" i="9" s="1"/>
  <c r="B255" i="5"/>
  <c r="H255" i="5" s="1"/>
  <c r="I255" i="5" s="1"/>
  <c r="J255" i="5" s="1" a="1"/>
  <c r="J255" i="5" s="1"/>
  <c r="X249" i="9" s="1"/>
  <c r="B256" i="5"/>
  <c r="H256" i="5" s="1"/>
  <c r="I256" i="5" s="1"/>
  <c r="J256" i="5" s="1" a="1"/>
  <c r="J256" i="5" s="1"/>
  <c r="X250" i="9" s="1"/>
  <c r="B257" i="5"/>
  <c r="B258" i="5"/>
  <c r="H258" i="5" s="1"/>
  <c r="I258" i="5" s="1"/>
  <c r="J258" i="5" s="1" a="1"/>
  <c r="J258" i="5" s="1"/>
  <c r="X252" i="9" s="1"/>
  <c r="B259" i="5"/>
  <c r="H259" i="5" s="1"/>
  <c r="I259" i="5" s="1"/>
  <c r="J259" i="5" s="1" a="1"/>
  <c r="J259" i="5" s="1"/>
  <c r="X253" i="9" s="1"/>
  <c r="B260" i="5"/>
  <c r="H260" i="5" s="1"/>
  <c r="I260" i="5" s="1"/>
  <c r="J260" i="5" s="1" a="1"/>
  <c r="J260" i="5" s="1"/>
  <c r="X254" i="9" s="1"/>
  <c r="B261" i="5"/>
  <c r="B262" i="5"/>
  <c r="H262" i="5" s="1"/>
  <c r="I262" i="5" s="1"/>
  <c r="J262" i="5" s="1" a="1"/>
  <c r="J262" i="5" s="1"/>
  <c r="X256" i="9" s="1"/>
  <c r="B263" i="5"/>
  <c r="H263" i="5" s="1"/>
  <c r="I263" i="5" s="1"/>
  <c r="J263" i="5" s="1" a="1"/>
  <c r="J263" i="5" s="1"/>
  <c r="X257" i="9" s="1"/>
  <c r="B264" i="5"/>
  <c r="H264" i="5" s="1"/>
  <c r="I264" i="5" s="1"/>
  <c r="J264" i="5" s="1" a="1"/>
  <c r="J264" i="5" s="1"/>
  <c r="X258" i="9" s="1"/>
  <c r="B265" i="5"/>
  <c r="B266" i="5"/>
  <c r="H266" i="5" s="1"/>
  <c r="I266" i="5" s="1"/>
  <c r="J266" i="5" s="1" a="1"/>
  <c r="J266" i="5" s="1"/>
  <c r="X260" i="9" s="1"/>
  <c r="B267" i="5"/>
  <c r="H267" i="5" s="1"/>
  <c r="I267" i="5" s="1"/>
  <c r="J267" i="5" s="1" a="1"/>
  <c r="J267" i="5" s="1"/>
  <c r="X261" i="9" s="1"/>
  <c r="B268" i="5"/>
  <c r="H268" i="5" s="1"/>
  <c r="I268" i="5" s="1"/>
  <c r="J268" i="5" s="1" a="1"/>
  <c r="J268" i="5" s="1"/>
  <c r="X262" i="9" s="1"/>
  <c r="B269" i="5"/>
  <c r="B270" i="5"/>
  <c r="H270" i="5" s="1"/>
  <c r="I270" i="5" s="1"/>
  <c r="J270" i="5" s="1" a="1"/>
  <c r="J270" i="5" s="1"/>
  <c r="X264" i="9" s="1"/>
  <c r="B271" i="5"/>
  <c r="H271" i="5" s="1"/>
  <c r="I271" i="5" s="1"/>
  <c r="J271" i="5" s="1" a="1"/>
  <c r="J271" i="5" s="1"/>
  <c r="X265" i="9" s="1"/>
  <c r="B272" i="5"/>
  <c r="H272" i="5" s="1"/>
  <c r="I272" i="5" s="1"/>
  <c r="J272" i="5" s="1" a="1"/>
  <c r="J272" i="5" s="1"/>
  <c r="X266" i="9" s="1"/>
  <c r="B273" i="5"/>
  <c r="B274" i="5"/>
  <c r="H274" i="5" s="1"/>
  <c r="I274" i="5" s="1"/>
  <c r="J274" i="5" s="1" a="1"/>
  <c r="J274" i="5" s="1"/>
  <c r="X268" i="9" s="1"/>
  <c r="B275" i="5"/>
  <c r="H275" i="5" s="1"/>
  <c r="I275" i="5" s="1"/>
  <c r="J275" i="5" s="1" a="1"/>
  <c r="J275" i="5" s="1"/>
  <c r="X269" i="9" s="1"/>
  <c r="B276" i="5"/>
  <c r="H276" i="5" s="1"/>
  <c r="I276" i="5" s="1"/>
  <c r="J276" i="5" s="1" a="1"/>
  <c r="J276" i="5" s="1"/>
  <c r="X270" i="9" s="1"/>
  <c r="B277" i="5"/>
  <c r="B278" i="5"/>
  <c r="H278" i="5" s="1"/>
  <c r="I278" i="5" s="1"/>
  <c r="J278" i="5" s="1" a="1"/>
  <c r="J278" i="5" s="1"/>
  <c r="X272" i="9" s="1"/>
  <c r="B279" i="5"/>
  <c r="H279" i="5" s="1"/>
  <c r="I279" i="5" s="1"/>
  <c r="J279" i="5" s="1" a="1"/>
  <c r="J279" i="5" s="1"/>
  <c r="X273" i="9" s="1"/>
  <c r="B280" i="5"/>
  <c r="H280" i="5" s="1"/>
  <c r="I280" i="5" s="1"/>
  <c r="J280" i="5" s="1" a="1"/>
  <c r="J280" i="5" s="1"/>
  <c r="X274" i="9" s="1"/>
  <c r="B281" i="5"/>
  <c r="B282" i="5"/>
  <c r="H282" i="5" s="1"/>
  <c r="I282" i="5" s="1"/>
  <c r="J282" i="5" s="1" a="1"/>
  <c r="J282" i="5" s="1"/>
  <c r="X276" i="9" s="1"/>
  <c r="B283" i="5"/>
  <c r="H283" i="5" s="1"/>
  <c r="I283" i="5" s="1"/>
  <c r="J283" i="5" s="1" a="1"/>
  <c r="J283" i="5" s="1"/>
  <c r="X277" i="9" s="1"/>
  <c r="B284" i="5"/>
  <c r="H284" i="5" s="1"/>
  <c r="I284" i="5" s="1"/>
  <c r="J284" i="5" s="1" a="1"/>
  <c r="J284" i="5" s="1"/>
  <c r="X278" i="9" s="1"/>
  <c r="B285" i="5"/>
  <c r="B286" i="5"/>
  <c r="H286" i="5" s="1"/>
  <c r="I286" i="5" s="1"/>
  <c r="J286" i="5" s="1" a="1"/>
  <c r="J286" i="5" s="1"/>
  <c r="X280" i="9" s="1"/>
  <c r="B287" i="5"/>
  <c r="H287" i="5" s="1"/>
  <c r="I287" i="5" s="1"/>
  <c r="J287" i="5" s="1" a="1"/>
  <c r="J287" i="5" s="1"/>
  <c r="X281" i="9" s="1"/>
  <c r="B288" i="5"/>
  <c r="H288" i="5" s="1"/>
  <c r="I288" i="5" s="1"/>
  <c r="J288" i="5" s="1" a="1"/>
  <c r="J288" i="5" s="1"/>
  <c r="X282" i="9" s="1"/>
  <c r="B289" i="5"/>
  <c r="B290" i="5"/>
  <c r="H290" i="5" s="1"/>
  <c r="I290" i="5" s="1"/>
  <c r="J290" i="5" s="1" a="1"/>
  <c r="J290" i="5" s="1"/>
  <c r="X284" i="9" s="1"/>
  <c r="B291" i="5"/>
  <c r="H291" i="5" s="1"/>
  <c r="I291" i="5" s="1"/>
  <c r="J291" i="5" s="1" a="1"/>
  <c r="J291" i="5" s="1"/>
  <c r="X285" i="9" s="1"/>
  <c r="B292" i="5"/>
  <c r="H292" i="5" s="1"/>
  <c r="I292" i="5" s="1"/>
  <c r="J292" i="5" s="1" a="1"/>
  <c r="J292" i="5" s="1"/>
  <c r="X286" i="9" s="1"/>
  <c r="B293" i="5"/>
  <c r="B294" i="5"/>
  <c r="H294" i="5" s="1"/>
  <c r="I294" i="5" s="1"/>
  <c r="J294" i="5" s="1" a="1"/>
  <c r="J294" i="5" s="1"/>
  <c r="X288" i="9" s="1"/>
  <c r="B295" i="5"/>
  <c r="H295" i="5" s="1"/>
  <c r="I295" i="5" s="1"/>
  <c r="J295" i="5" s="1" a="1"/>
  <c r="J295" i="5" s="1"/>
  <c r="X289" i="9" s="1"/>
  <c r="B296" i="5"/>
  <c r="H296" i="5" s="1"/>
  <c r="I296" i="5" s="1"/>
  <c r="J296" i="5" s="1" a="1"/>
  <c r="J296" i="5" s="1"/>
  <c r="X290" i="9" s="1"/>
  <c r="B297" i="5"/>
  <c r="B298" i="5"/>
  <c r="H298" i="5" s="1"/>
  <c r="I298" i="5" s="1"/>
  <c r="J298" i="5" s="1" a="1"/>
  <c r="J298" i="5" s="1"/>
  <c r="X292" i="9" s="1"/>
  <c r="B299" i="5"/>
  <c r="H299" i="5" s="1"/>
  <c r="I299" i="5" s="1"/>
  <c r="J299" i="5" s="1" a="1"/>
  <c r="J299" i="5" s="1"/>
  <c r="X293" i="9" s="1"/>
  <c r="B300" i="5"/>
  <c r="H300" i="5" s="1"/>
  <c r="I300" i="5" s="1"/>
  <c r="J300" i="5" s="1" a="1"/>
  <c r="J300" i="5" s="1"/>
  <c r="X294" i="9" s="1"/>
  <c r="B301" i="5"/>
  <c r="B302" i="5"/>
  <c r="H302" i="5" s="1"/>
  <c r="I302" i="5" s="1"/>
  <c r="J302" i="5" s="1" a="1"/>
  <c r="J302" i="5" s="1"/>
  <c r="X296" i="9" s="1"/>
  <c r="B303" i="5"/>
  <c r="H303" i="5" s="1"/>
  <c r="I303" i="5" s="1"/>
  <c r="J303" i="5" s="1" a="1"/>
  <c r="J303" i="5" s="1"/>
  <c r="X297" i="9" s="1"/>
  <c r="B304" i="5"/>
  <c r="H304" i="5" s="1"/>
  <c r="I304" i="5" s="1"/>
  <c r="J304" i="5" s="1" a="1"/>
  <c r="J304" i="5" s="1"/>
  <c r="X298" i="9" s="1"/>
  <c r="B305" i="5"/>
  <c r="B306" i="5"/>
  <c r="H306" i="5" s="1"/>
  <c r="I306" i="5" s="1"/>
  <c r="J306" i="5" s="1" a="1"/>
  <c r="J306" i="5" s="1"/>
  <c r="X300" i="9" s="1"/>
  <c r="B307" i="5"/>
  <c r="H307" i="5" s="1"/>
  <c r="I307" i="5" s="1"/>
  <c r="J307" i="5" s="1" a="1"/>
  <c r="J307" i="5" s="1"/>
  <c r="X301" i="9" s="1"/>
  <c r="B308" i="5"/>
  <c r="H308" i="5" s="1"/>
  <c r="I308" i="5" s="1"/>
  <c r="J308" i="5" s="1" a="1"/>
  <c r="J308" i="5" s="1"/>
  <c r="X302" i="9" s="1"/>
  <c r="B309" i="5"/>
  <c r="B310" i="5"/>
  <c r="H310" i="5" s="1"/>
  <c r="I310" i="5" s="1"/>
  <c r="J310" i="5" s="1" a="1"/>
  <c r="J310" i="5" s="1"/>
  <c r="X304" i="9" s="1"/>
  <c r="B311" i="5"/>
  <c r="H311" i="5" s="1"/>
  <c r="I311" i="5" s="1"/>
  <c r="J311" i="5" s="1" a="1"/>
  <c r="J311" i="5" s="1"/>
  <c r="X305" i="9" s="1"/>
  <c r="B312" i="5"/>
  <c r="H312" i="5" s="1"/>
  <c r="I312" i="5" s="1"/>
  <c r="J312" i="5" s="1" a="1"/>
  <c r="J312" i="5" s="1"/>
  <c r="X306" i="9" s="1"/>
  <c r="B313" i="5"/>
  <c r="B314" i="5"/>
  <c r="H314" i="5" s="1"/>
  <c r="I314" i="5" s="1"/>
  <c r="J314" i="5" s="1" a="1"/>
  <c r="J314" i="5" s="1"/>
  <c r="X308" i="9" s="1"/>
  <c r="B315" i="5"/>
  <c r="H315" i="5" s="1"/>
  <c r="I315" i="5" s="1"/>
  <c r="J315" i="5" s="1" a="1"/>
  <c r="J315" i="5" s="1"/>
  <c r="X309" i="9" s="1"/>
  <c r="B316" i="5"/>
  <c r="H316" i="5" s="1"/>
  <c r="I316" i="5" s="1"/>
  <c r="J316" i="5" s="1" a="1"/>
  <c r="J316" i="5" s="1"/>
  <c r="X310" i="9" s="1"/>
  <c r="B317" i="5"/>
  <c r="B318" i="5"/>
  <c r="H318" i="5" s="1"/>
  <c r="I318" i="5" s="1"/>
  <c r="J318" i="5" s="1" a="1"/>
  <c r="J318" i="5" s="1"/>
  <c r="X312" i="9" s="1"/>
  <c r="B319" i="5"/>
  <c r="H319" i="5" s="1"/>
  <c r="I319" i="5" s="1"/>
  <c r="J319" i="5" s="1" a="1"/>
  <c r="J319" i="5" s="1"/>
  <c r="X313" i="9" s="1"/>
  <c r="B320" i="5"/>
  <c r="H320" i="5" s="1"/>
  <c r="I320" i="5" s="1"/>
  <c r="J320" i="5" s="1" a="1"/>
  <c r="J320" i="5" s="1"/>
  <c r="X314" i="9" s="1"/>
  <c r="B321" i="5"/>
  <c r="B322" i="5"/>
  <c r="H322" i="5" s="1"/>
  <c r="I322" i="5" s="1"/>
  <c r="J322" i="5" s="1" a="1"/>
  <c r="J322" i="5" s="1"/>
  <c r="X316" i="9" s="1"/>
  <c r="B323" i="5"/>
  <c r="H323" i="5" s="1"/>
  <c r="I323" i="5" s="1"/>
  <c r="J323" i="5" s="1" a="1"/>
  <c r="J323" i="5" s="1"/>
  <c r="X317" i="9" s="1"/>
  <c r="B324" i="5"/>
  <c r="H324" i="5" s="1"/>
  <c r="I324" i="5" s="1"/>
  <c r="J324" i="5" s="1" a="1"/>
  <c r="J324" i="5" s="1"/>
  <c r="X318" i="9" s="1"/>
  <c r="B325" i="5"/>
  <c r="B326" i="5"/>
  <c r="H326" i="5" s="1"/>
  <c r="I326" i="5" s="1"/>
  <c r="J326" i="5" s="1" a="1"/>
  <c r="J326" i="5" s="1"/>
  <c r="X320" i="9" s="1"/>
  <c r="B327" i="5"/>
  <c r="H327" i="5" s="1"/>
  <c r="I327" i="5" s="1"/>
  <c r="J327" i="5" s="1" a="1"/>
  <c r="J327" i="5" s="1"/>
  <c r="X321" i="9" s="1"/>
  <c r="B328" i="5"/>
  <c r="H328" i="5" s="1"/>
  <c r="I328" i="5" s="1"/>
  <c r="J328" i="5" s="1" a="1"/>
  <c r="J328" i="5" s="1"/>
  <c r="X322" i="9" s="1"/>
  <c r="B329" i="5"/>
  <c r="B330" i="5"/>
  <c r="H330" i="5" s="1"/>
  <c r="I330" i="5" s="1"/>
  <c r="J330" i="5" s="1" a="1"/>
  <c r="J330" i="5" s="1"/>
  <c r="X324" i="9" s="1"/>
  <c r="B331" i="5"/>
  <c r="H331" i="5" s="1"/>
  <c r="I331" i="5" s="1"/>
  <c r="J331" i="5" s="1" a="1"/>
  <c r="J331" i="5" s="1"/>
  <c r="X325" i="9" s="1"/>
  <c r="B332" i="5"/>
  <c r="H332" i="5" s="1"/>
  <c r="I332" i="5" s="1"/>
  <c r="J332" i="5" s="1" a="1"/>
  <c r="J332" i="5" s="1"/>
  <c r="X326" i="9" s="1"/>
  <c r="B333" i="5"/>
  <c r="B334" i="5"/>
  <c r="H334" i="5" s="1"/>
  <c r="I334" i="5" s="1"/>
  <c r="J334" i="5" s="1" a="1"/>
  <c r="J334" i="5" s="1"/>
  <c r="X328" i="9" s="1"/>
  <c r="B335" i="5"/>
  <c r="H335" i="5" s="1"/>
  <c r="I335" i="5" s="1"/>
  <c r="J335" i="5" s="1" a="1"/>
  <c r="J335" i="5" s="1"/>
  <c r="X329" i="9" s="1"/>
  <c r="B336" i="5"/>
  <c r="H336" i="5" s="1"/>
  <c r="I336" i="5" s="1"/>
  <c r="J336" i="5" s="1" a="1"/>
  <c r="J336" i="5" s="1"/>
  <c r="X330" i="9" s="1"/>
  <c r="B337" i="5"/>
  <c r="B338" i="5"/>
  <c r="H338" i="5" s="1"/>
  <c r="I338" i="5" s="1"/>
  <c r="J338" i="5" s="1" a="1"/>
  <c r="J338" i="5" s="1"/>
  <c r="X332" i="9" s="1"/>
  <c r="B339" i="5"/>
  <c r="H339" i="5" s="1"/>
  <c r="I339" i="5" s="1"/>
  <c r="J339" i="5" s="1" a="1"/>
  <c r="J339" i="5" s="1"/>
  <c r="X333" i="9" s="1"/>
  <c r="B340" i="5"/>
  <c r="H340" i="5" s="1"/>
  <c r="I340" i="5" s="1"/>
  <c r="J340" i="5" s="1" a="1"/>
  <c r="J340" i="5" s="1"/>
  <c r="X334" i="9" s="1"/>
  <c r="B341" i="5"/>
  <c r="B342" i="5"/>
  <c r="H342" i="5" s="1"/>
  <c r="I342" i="5" s="1"/>
  <c r="J342" i="5" s="1" a="1"/>
  <c r="J342" i="5" s="1"/>
  <c r="X336" i="9" s="1"/>
  <c r="B343" i="5"/>
  <c r="H343" i="5" s="1"/>
  <c r="I343" i="5" s="1"/>
  <c r="J343" i="5" s="1" a="1"/>
  <c r="J343" i="5" s="1"/>
  <c r="X337" i="9" s="1"/>
  <c r="B344" i="5"/>
  <c r="H344" i="5" s="1"/>
  <c r="I344" i="5" s="1"/>
  <c r="J344" i="5" s="1" a="1"/>
  <c r="J344" i="5" s="1"/>
  <c r="X338" i="9" s="1"/>
  <c r="B345" i="5"/>
  <c r="B346" i="5"/>
  <c r="H346" i="5" s="1"/>
  <c r="I346" i="5" s="1"/>
  <c r="J346" i="5" s="1" a="1"/>
  <c r="J346" i="5" s="1"/>
  <c r="X340" i="9" s="1"/>
  <c r="B347" i="5"/>
  <c r="H347" i="5" s="1"/>
  <c r="I347" i="5" s="1"/>
  <c r="J347" i="5" s="1" a="1"/>
  <c r="J347" i="5" s="1"/>
  <c r="X341" i="9" s="1"/>
  <c r="B348" i="5"/>
  <c r="H348" i="5" s="1"/>
  <c r="I348" i="5" s="1"/>
  <c r="J348" i="5" s="1" a="1"/>
  <c r="J348" i="5" s="1"/>
  <c r="X342" i="9" s="1"/>
  <c r="B349" i="5"/>
  <c r="B350" i="5"/>
  <c r="H350" i="5" s="1"/>
  <c r="I350" i="5" s="1"/>
  <c r="J350" i="5" s="1" a="1"/>
  <c r="J350" i="5" s="1"/>
  <c r="X344" i="9" s="1"/>
  <c r="B351" i="5"/>
  <c r="H351" i="5" s="1"/>
  <c r="I351" i="5" s="1"/>
  <c r="J351" i="5" s="1" a="1"/>
  <c r="J351" i="5" s="1"/>
  <c r="X345" i="9" s="1"/>
  <c r="B352" i="5"/>
  <c r="H352" i="5" s="1"/>
  <c r="I352" i="5" s="1"/>
  <c r="J352" i="5" s="1" a="1"/>
  <c r="J352" i="5" s="1"/>
  <c r="X346" i="9" s="1"/>
  <c r="B353" i="5"/>
  <c r="B354" i="5"/>
  <c r="H354" i="5" s="1"/>
  <c r="I354" i="5" s="1"/>
  <c r="J354" i="5" s="1" a="1"/>
  <c r="J354" i="5" s="1"/>
  <c r="X348" i="9" s="1"/>
  <c r="B355" i="5"/>
  <c r="H355" i="5" s="1"/>
  <c r="I355" i="5" s="1"/>
  <c r="J355" i="5" s="1" a="1"/>
  <c r="J355" i="5" s="1"/>
  <c r="X349" i="9" s="1"/>
  <c r="B356" i="5"/>
  <c r="H356" i="5" s="1"/>
  <c r="I356" i="5" s="1"/>
  <c r="J356" i="5" s="1" a="1"/>
  <c r="J356" i="5" s="1"/>
  <c r="X350" i="9" s="1"/>
  <c r="B357" i="5"/>
  <c r="B358" i="5"/>
  <c r="H358" i="5" s="1"/>
  <c r="I358" i="5" s="1"/>
  <c r="J358" i="5" s="1" a="1"/>
  <c r="J358" i="5" s="1"/>
  <c r="X352" i="9" s="1"/>
  <c r="B359" i="5"/>
  <c r="H359" i="5" s="1"/>
  <c r="I359" i="5" s="1"/>
  <c r="J359" i="5" s="1" a="1"/>
  <c r="J359" i="5" s="1"/>
  <c r="X353" i="9" s="1"/>
  <c r="B360" i="5"/>
  <c r="H360" i="5" s="1"/>
  <c r="I360" i="5" s="1"/>
  <c r="J360" i="5" s="1" a="1"/>
  <c r="J360" i="5" s="1"/>
  <c r="X354" i="9" s="1"/>
  <c r="B361" i="5"/>
  <c r="B362" i="5"/>
  <c r="H362" i="5" s="1"/>
  <c r="I362" i="5" s="1"/>
  <c r="J362" i="5" s="1" a="1"/>
  <c r="J362" i="5" s="1"/>
  <c r="X356" i="9" s="1"/>
  <c r="B363" i="5"/>
  <c r="H363" i="5" s="1"/>
  <c r="I363" i="5" s="1"/>
  <c r="J363" i="5" s="1" a="1"/>
  <c r="J363" i="5" s="1"/>
  <c r="X357" i="9" s="1"/>
  <c r="B364" i="5"/>
  <c r="H364" i="5" s="1"/>
  <c r="I364" i="5" s="1"/>
  <c r="J364" i="5" s="1" a="1"/>
  <c r="J364" i="5" s="1"/>
  <c r="X358" i="9" s="1"/>
  <c r="B365" i="5"/>
  <c r="B366" i="5"/>
  <c r="H366" i="5" s="1"/>
  <c r="I366" i="5" s="1"/>
  <c r="J366" i="5" s="1" a="1"/>
  <c r="J366" i="5" s="1"/>
  <c r="X360" i="9" s="1"/>
  <c r="B367" i="5"/>
  <c r="H367" i="5" s="1"/>
  <c r="I367" i="5" s="1"/>
  <c r="J367" i="5" s="1" a="1"/>
  <c r="J367" i="5" s="1"/>
  <c r="X361" i="9" s="1"/>
  <c r="B368" i="5"/>
  <c r="H368" i="5" s="1"/>
  <c r="I368" i="5" s="1"/>
  <c r="J368" i="5" s="1" a="1"/>
  <c r="J368" i="5" s="1"/>
  <c r="X362" i="9" s="1"/>
  <c r="B369" i="5"/>
  <c r="B370" i="5"/>
  <c r="H370" i="5" s="1"/>
  <c r="I370" i="5" s="1"/>
  <c r="J370" i="5" s="1" a="1"/>
  <c r="J370" i="5" s="1"/>
  <c r="X364" i="9" s="1"/>
  <c r="B371" i="5"/>
  <c r="H371" i="5" s="1"/>
  <c r="I371" i="5" s="1"/>
  <c r="J371" i="5" s="1" a="1"/>
  <c r="J371" i="5" s="1"/>
  <c r="X365" i="9" s="1"/>
  <c r="B372" i="5"/>
  <c r="H372" i="5" s="1"/>
  <c r="I372" i="5" s="1"/>
  <c r="J372" i="5" s="1" a="1"/>
  <c r="J372" i="5" s="1"/>
  <c r="X366" i="9" s="1"/>
  <c r="B373" i="5"/>
  <c r="B374" i="5"/>
  <c r="H374" i="5" s="1"/>
  <c r="I374" i="5" s="1"/>
  <c r="J374" i="5" s="1" a="1"/>
  <c r="J374" i="5" s="1"/>
  <c r="X368" i="9" s="1"/>
  <c r="B375" i="5"/>
  <c r="H375" i="5" s="1"/>
  <c r="I375" i="5" s="1"/>
  <c r="J375" i="5" s="1" a="1"/>
  <c r="J375" i="5" s="1"/>
  <c r="X369" i="9" s="1"/>
  <c r="B376" i="5"/>
  <c r="H376" i="5" s="1"/>
  <c r="I376" i="5" s="1"/>
  <c r="J376" i="5" s="1" a="1"/>
  <c r="J376" i="5" s="1"/>
  <c r="X370" i="9" s="1"/>
  <c r="B377" i="5"/>
  <c r="B378" i="5"/>
  <c r="H378" i="5" s="1"/>
  <c r="I378" i="5" s="1"/>
  <c r="J378" i="5" s="1" a="1"/>
  <c r="J378" i="5" s="1"/>
  <c r="X372" i="9" s="1"/>
  <c r="B379" i="5"/>
  <c r="H379" i="5" s="1"/>
  <c r="I379" i="5" s="1"/>
  <c r="J379" i="5" s="1" a="1"/>
  <c r="J379" i="5" s="1"/>
  <c r="X373" i="9" s="1"/>
  <c r="B380" i="5"/>
  <c r="H380" i="5" s="1"/>
  <c r="I380" i="5" s="1"/>
  <c r="J380" i="5" s="1" a="1"/>
  <c r="J380" i="5" s="1"/>
  <c r="X374" i="9" s="1"/>
  <c r="B381" i="5"/>
  <c r="B382" i="5"/>
  <c r="H382" i="5" s="1"/>
  <c r="I382" i="5" s="1"/>
  <c r="J382" i="5" s="1" a="1"/>
  <c r="J382" i="5" s="1"/>
  <c r="X376" i="9" s="1"/>
  <c r="B383" i="5"/>
  <c r="H383" i="5" s="1"/>
  <c r="I383" i="5" s="1"/>
  <c r="J383" i="5" s="1" a="1"/>
  <c r="J383" i="5" s="1"/>
  <c r="X377" i="9" s="1"/>
  <c r="B384" i="5"/>
  <c r="H384" i="5" s="1"/>
  <c r="I384" i="5" s="1"/>
  <c r="J384" i="5" s="1" a="1"/>
  <c r="J384" i="5" s="1"/>
  <c r="X378" i="9" s="1"/>
  <c r="B385" i="5"/>
  <c r="B386" i="5"/>
  <c r="H386" i="5" s="1"/>
  <c r="I386" i="5" s="1"/>
  <c r="J386" i="5" s="1" a="1"/>
  <c r="J386" i="5" s="1"/>
  <c r="X380" i="9" s="1"/>
  <c r="B387" i="5"/>
  <c r="H387" i="5" s="1"/>
  <c r="I387" i="5" s="1"/>
  <c r="J387" i="5" s="1" a="1"/>
  <c r="J387" i="5" s="1"/>
  <c r="X381" i="9" s="1"/>
  <c r="B388" i="5"/>
  <c r="H388" i="5" s="1"/>
  <c r="I388" i="5" s="1"/>
  <c r="J388" i="5" s="1" a="1"/>
  <c r="J388" i="5" s="1"/>
  <c r="X382" i="9" s="1"/>
  <c r="B389" i="5"/>
  <c r="B390" i="5"/>
  <c r="H390" i="5" s="1"/>
  <c r="I390" i="5" s="1"/>
  <c r="J390" i="5" s="1" a="1"/>
  <c r="J390" i="5" s="1"/>
  <c r="X384" i="9" s="1"/>
  <c r="B391" i="5"/>
  <c r="H391" i="5" s="1"/>
  <c r="I391" i="5" s="1"/>
  <c r="J391" i="5" s="1" a="1"/>
  <c r="J391" i="5" s="1"/>
  <c r="X385" i="9" s="1"/>
  <c r="B392" i="5"/>
  <c r="H392" i="5" s="1"/>
  <c r="I392" i="5" s="1"/>
  <c r="J392" i="5" s="1" a="1"/>
  <c r="J392" i="5" s="1"/>
  <c r="X386" i="9" s="1"/>
  <c r="B393" i="5"/>
  <c r="B394" i="5"/>
  <c r="H394" i="5" s="1"/>
  <c r="I394" i="5" s="1"/>
  <c r="J394" i="5" s="1" a="1"/>
  <c r="J394" i="5" s="1"/>
  <c r="X388" i="9" s="1"/>
  <c r="B395" i="5"/>
  <c r="H395" i="5" s="1"/>
  <c r="I395" i="5" s="1"/>
  <c r="J395" i="5" s="1" a="1"/>
  <c r="J395" i="5" s="1"/>
  <c r="X389" i="9" s="1"/>
  <c r="B396" i="5"/>
  <c r="H396" i="5" s="1"/>
  <c r="I396" i="5" s="1"/>
  <c r="J396" i="5" s="1" a="1"/>
  <c r="J396" i="5" s="1"/>
  <c r="X390" i="9" s="1"/>
  <c r="B397" i="5"/>
  <c r="B398" i="5"/>
  <c r="H398" i="5" s="1"/>
  <c r="I398" i="5" s="1"/>
  <c r="J398" i="5" s="1" a="1"/>
  <c r="J398" i="5" s="1"/>
  <c r="X392" i="9" s="1"/>
  <c r="B399" i="5"/>
  <c r="H399" i="5" s="1"/>
  <c r="I399" i="5" s="1"/>
  <c r="J399" i="5" s="1" a="1"/>
  <c r="J399" i="5" s="1"/>
  <c r="X393" i="9" s="1"/>
  <c r="B400" i="5"/>
  <c r="H400" i="5" s="1"/>
  <c r="I400" i="5" s="1"/>
  <c r="J400" i="5" s="1" a="1"/>
  <c r="J400" i="5" s="1"/>
  <c r="X394" i="9" s="1"/>
  <c r="B401" i="5"/>
  <c r="B402" i="5"/>
  <c r="H402" i="5" s="1"/>
  <c r="I402" i="5" s="1"/>
  <c r="J402" i="5" s="1" a="1"/>
  <c r="J402" i="5" s="1"/>
  <c r="X396" i="9" s="1"/>
  <c r="B403" i="5"/>
  <c r="H403" i="5" s="1"/>
  <c r="I403" i="5" s="1"/>
  <c r="J403" i="5" s="1" a="1"/>
  <c r="J403" i="5" s="1"/>
  <c r="X397" i="9" s="1"/>
  <c r="B404" i="5"/>
  <c r="H404" i="5" s="1"/>
  <c r="I404" i="5" s="1"/>
  <c r="J404" i="5" s="1" a="1"/>
  <c r="J404" i="5" s="1"/>
  <c r="X398" i="9" s="1"/>
  <c r="B405" i="5"/>
  <c r="B406" i="5"/>
  <c r="H406" i="5" s="1"/>
  <c r="I406" i="5" s="1"/>
  <c r="J406" i="5" s="1" a="1"/>
  <c r="J406" i="5" s="1"/>
  <c r="X400" i="9" s="1"/>
  <c r="B407" i="5"/>
  <c r="H407" i="5" s="1"/>
  <c r="I407" i="5" s="1"/>
  <c r="J407" i="5" s="1" a="1"/>
  <c r="J407" i="5" s="1"/>
  <c r="X401" i="9" s="1"/>
  <c r="B408" i="5"/>
  <c r="H408" i="5" s="1"/>
  <c r="I408" i="5" s="1"/>
  <c r="J408" i="5" s="1" a="1"/>
  <c r="J408" i="5" s="1"/>
  <c r="X402" i="9" s="1"/>
  <c r="B409" i="5"/>
  <c r="B410" i="5"/>
  <c r="H410" i="5" s="1"/>
  <c r="I410" i="5" s="1"/>
  <c r="J410" i="5" s="1" a="1"/>
  <c r="J410" i="5" s="1"/>
  <c r="X404" i="9" s="1"/>
  <c r="B411" i="5"/>
  <c r="H411" i="5" s="1"/>
  <c r="I411" i="5" s="1"/>
  <c r="J411" i="5" s="1" a="1"/>
  <c r="J411" i="5" s="1"/>
  <c r="X405" i="9" s="1"/>
  <c r="B412" i="5"/>
  <c r="H412" i="5" s="1"/>
  <c r="I412" i="5" s="1"/>
  <c r="J412" i="5" s="1" a="1"/>
  <c r="J412" i="5" s="1"/>
  <c r="X406" i="9" s="1"/>
  <c r="B413" i="5"/>
  <c r="B414" i="5"/>
  <c r="H414" i="5" s="1"/>
  <c r="I414" i="5" s="1"/>
  <c r="J414" i="5" s="1" a="1"/>
  <c r="J414" i="5" s="1"/>
  <c r="X408" i="9" s="1"/>
  <c r="B415" i="5"/>
  <c r="H415" i="5" s="1"/>
  <c r="I415" i="5" s="1"/>
  <c r="J415" i="5" s="1" a="1"/>
  <c r="J415" i="5" s="1"/>
  <c r="X409" i="9" s="1"/>
  <c r="B416" i="5"/>
  <c r="H416" i="5" s="1"/>
  <c r="I416" i="5" s="1"/>
  <c r="J416" i="5" s="1" a="1"/>
  <c r="J416" i="5" s="1"/>
  <c r="X410" i="9" s="1"/>
  <c r="B417" i="5"/>
  <c r="B418" i="5"/>
  <c r="H418" i="5" s="1"/>
  <c r="I418" i="5" s="1"/>
  <c r="J418" i="5" s="1" a="1"/>
  <c r="J418" i="5" s="1"/>
  <c r="X412" i="9" s="1"/>
  <c r="B419" i="5"/>
  <c r="H419" i="5" s="1"/>
  <c r="I419" i="5" s="1"/>
  <c r="J419" i="5" s="1" a="1"/>
  <c r="J419" i="5" s="1"/>
  <c r="X413" i="9" s="1"/>
  <c r="B420" i="5"/>
  <c r="H420" i="5" s="1"/>
  <c r="I420" i="5" s="1"/>
  <c r="J420" i="5" s="1" a="1"/>
  <c r="J420" i="5" s="1"/>
  <c r="X414" i="9" s="1"/>
  <c r="B421" i="5"/>
  <c r="B422" i="5"/>
  <c r="H422" i="5" s="1"/>
  <c r="I422" i="5" s="1"/>
  <c r="J422" i="5" s="1" a="1"/>
  <c r="J422" i="5" s="1"/>
  <c r="X416" i="9" s="1"/>
  <c r="B423" i="5"/>
  <c r="H423" i="5" s="1"/>
  <c r="I423" i="5" s="1"/>
  <c r="J423" i="5" s="1" a="1"/>
  <c r="J423" i="5" s="1"/>
  <c r="X417" i="9" s="1"/>
  <c r="B424" i="5"/>
  <c r="H424" i="5" s="1"/>
  <c r="I424" i="5" s="1"/>
  <c r="J424" i="5" s="1" a="1"/>
  <c r="J424" i="5" s="1"/>
  <c r="X418" i="9" s="1"/>
  <c r="B425" i="5"/>
  <c r="B426" i="5"/>
  <c r="H426" i="5" s="1"/>
  <c r="I426" i="5" s="1"/>
  <c r="J426" i="5" s="1" a="1"/>
  <c r="J426" i="5" s="1"/>
  <c r="X420" i="9" s="1"/>
  <c r="B427" i="5"/>
  <c r="H427" i="5" s="1"/>
  <c r="I427" i="5" s="1"/>
  <c r="J427" i="5" s="1" a="1"/>
  <c r="J427" i="5" s="1"/>
  <c r="X421" i="9" s="1"/>
  <c r="B428" i="5"/>
  <c r="H428" i="5" s="1"/>
  <c r="I428" i="5" s="1"/>
  <c r="J428" i="5" s="1" a="1"/>
  <c r="J428" i="5" s="1"/>
  <c r="X422" i="9" s="1"/>
  <c r="B429" i="5"/>
  <c r="B430" i="5"/>
  <c r="H430" i="5" s="1"/>
  <c r="I430" i="5" s="1"/>
  <c r="J430" i="5" s="1" a="1"/>
  <c r="J430" i="5" s="1"/>
  <c r="X424" i="9" s="1"/>
  <c r="B431" i="5"/>
  <c r="H431" i="5" s="1"/>
  <c r="I431" i="5" s="1"/>
  <c r="J431" i="5" s="1" a="1"/>
  <c r="J431" i="5" s="1"/>
  <c r="X425" i="9" s="1"/>
  <c r="B432" i="5"/>
  <c r="H432" i="5" s="1"/>
  <c r="I432" i="5" s="1"/>
  <c r="J432" i="5" s="1" a="1"/>
  <c r="J432" i="5" s="1"/>
  <c r="X426" i="9" s="1"/>
  <c r="B433" i="5"/>
  <c r="B434" i="5"/>
  <c r="H434" i="5" s="1"/>
  <c r="I434" i="5" s="1"/>
  <c r="J434" i="5" s="1" a="1"/>
  <c r="J434" i="5" s="1"/>
  <c r="X428" i="9" s="1"/>
  <c r="B435" i="5"/>
  <c r="H435" i="5" s="1"/>
  <c r="I435" i="5" s="1"/>
  <c r="J435" i="5" s="1" a="1"/>
  <c r="J435" i="5" s="1"/>
  <c r="X429" i="9" s="1"/>
  <c r="B436" i="5"/>
  <c r="H436" i="5" s="1"/>
  <c r="I436" i="5" s="1"/>
  <c r="J436" i="5" s="1" a="1"/>
  <c r="J436" i="5" s="1"/>
  <c r="X430" i="9" s="1"/>
  <c r="B437" i="5"/>
  <c r="B438" i="5"/>
  <c r="H438" i="5" s="1"/>
  <c r="I438" i="5" s="1"/>
  <c r="J438" i="5" s="1" a="1"/>
  <c r="J438" i="5" s="1"/>
  <c r="X432" i="9" s="1"/>
  <c r="B439" i="5"/>
  <c r="H439" i="5" s="1"/>
  <c r="I439" i="5" s="1"/>
  <c r="J439" i="5" s="1" a="1"/>
  <c r="J439" i="5" s="1"/>
  <c r="X433" i="9" s="1"/>
  <c r="B440" i="5"/>
  <c r="H440" i="5" s="1"/>
  <c r="I440" i="5" s="1"/>
  <c r="J440" i="5" s="1" a="1"/>
  <c r="J440" i="5" s="1"/>
  <c r="X434" i="9" s="1"/>
  <c r="B441" i="5"/>
  <c r="B442" i="5"/>
  <c r="H442" i="5" s="1"/>
  <c r="I442" i="5" s="1"/>
  <c r="J442" i="5" s="1" a="1"/>
  <c r="J442" i="5" s="1"/>
  <c r="X436" i="9" s="1"/>
  <c r="B443" i="5"/>
  <c r="H443" i="5" s="1"/>
  <c r="I443" i="5" s="1"/>
  <c r="J443" i="5" s="1" a="1"/>
  <c r="J443" i="5" s="1"/>
  <c r="X437" i="9" s="1"/>
  <c r="B444" i="5"/>
  <c r="H444" i="5" s="1"/>
  <c r="I444" i="5" s="1"/>
  <c r="J444" i="5" s="1" a="1"/>
  <c r="J444" i="5" s="1"/>
  <c r="X438" i="9" s="1"/>
  <c r="B445" i="5"/>
  <c r="B446" i="5"/>
  <c r="H446" i="5" s="1"/>
  <c r="I446" i="5" s="1"/>
  <c r="J446" i="5" s="1" a="1"/>
  <c r="J446" i="5" s="1"/>
  <c r="X440" i="9" s="1"/>
  <c r="B447" i="5"/>
  <c r="H447" i="5" s="1"/>
  <c r="I447" i="5" s="1"/>
  <c r="J447" i="5" s="1" a="1"/>
  <c r="J447" i="5" s="1"/>
  <c r="X441" i="9" s="1"/>
  <c r="B448" i="5"/>
  <c r="H448" i="5" s="1"/>
  <c r="I448" i="5" s="1"/>
  <c r="J448" i="5" s="1" a="1"/>
  <c r="J448" i="5" s="1"/>
  <c r="X442" i="9" s="1"/>
  <c r="B449" i="5"/>
  <c r="B450" i="5"/>
  <c r="H450" i="5" s="1"/>
  <c r="I450" i="5" s="1"/>
  <c r="J450" i="5" s="1" a="1"/>
  <c r="J450" i="5" s="1"/>
  <c r="X444" i="9" s="1"/>
  <c r="B451" i="5"/>
  <c r="H451" i="5" s="1"/>
  <c r="I451" i="5" s="1"/>
  <c r="J451" i="5" s="1" a="1"/>
  <c r="J451" i="5" s="1"/>
  <c r="X445" i="9" s="1"/>
  <c r="B452" i="5"/>
  <c r="H452" i="5" s="1"/>
  <c r="I452" i="5" s="1"/>
  <c r="J452" i="5" s="1" a="1"/>
  <c r="J452" i="5" s="1"/>
  <c r="X446" i="9" s="1"/>
  <c r="B453" i="5"/>
  <c r="B454" i="5"/>
  <c r="H454" i="5" s="1"/>
  <c r="I454" i="5" s="1"/>
  <c r="J454" i="5" s="1" a="1"/>
  <c r="J454" i="5" s="1"/>
  <c r="X448" i="9" s="1"/>
  <c r="B455" i="5"/>
  <c r="H455" i="5" s="1"/>
  <c r="I455" i="5" s="1"/>
  <c r="J455" i="5" s="1" a="1"/>
  <c r="J455" i="5" s="1"/>
  <c r="X449" i="9" s="1"/>
  <c r="B456" i="5"/>
  <c r="H456" i="5" s="1"/>
  <c r="I456" i="5" s="1"/>
  <c r="J456" i="5" s="1" a="1"/>
  <c r="J456" i="5" s="1"/>
  <c r="X450" i="9" s="1"/>
  <c r="B457" i="5"/>
  <c r="B458" i="5"/>
  <c r="H458" i="5" s="1"/>
  <c r="I458" i="5" s="1"/>
  <c r="J458" i="5" s="1" a="1"/>
  <c r="J458" i="5" s="1"/>
  <c r="X452" i="9" s="1"/>
  <c r="B459" i="5"/>
  <c r="H459" i="5" s="1"/>
  <c r="I459" i="5" s="1"/>
  <c r="J459" i="5" s="1" a="1"/>
  <c r="J459" i="5" s="1"/>
  <c r="X453" i="9" s="1"/>
  <c r="B460" i="5"/>
  <c r="H460" i="5" s="1"/>
  <c r="I460" i="5" s="1"/>
  <c r="J460" i="5" s="1" a="1"/>
  <c r="J460" i="5" s="1"/>
  <c r="X454" i="9" s="1"/>
  <c r="B461" i="5"/>
  <c r="B462" i="5"/>
  <c r="H462" i="5" s="1"/>
  <c r="I462" i="5" s="1"/>
  <c r="J462" i="5" s="1" a="1"/>
  <c r="J462" i="5" s="1"/>
  <c r="X456" i="9" s="1"/>
  <c r="B463" i="5"/>
  <c r="H463" i="5" s="1"/>
  <c r="I463" i="5" s="1"/>
  <c r="J463" i="5" s="1" a="1"/>
  <c r="J463" i="5" s="1"/>
  <c r="X457" i="9" s="1"/>
  <c r="B464" i="5"/>
  <c r="H464" i="5" s="1"/>
  <c r="I464" i="5" s="1"/>
  <c r="J464" i="5" s="1" a="1"/>
  <c r="J464" i="5" s="1"/>
  <c r="X458" i="9" s="1"/>
  <c r="B465" i="5"/>
  <c r="B466" i="5"/>
  <c r="H466" i="5" s="1"/>
  <c r="I466" i="5" s="1"/>
  <c r="J466" i="5" s="1" a="1"/>
  <c r="J466" i="5" s="1"/>
  <c r="X460" i="9" s="1"/>
  <c r="B467" i="5"/>
  <c r="H467" i="5" s="1"/>
  <c r="I467" i="5" s="1"/>
  <c r="J467" i="5" s="1" a="1"/>
  <c r="J467" i="5" s="1"/>
  <c r="X461" i="9" s="1"/>
  <c r="B468" i="5"/>
  <c r="H468" i="5" s="1"/>
  <c r="I468" i="5" s="1"/>
  <c r="J468" i="5" s="1" a="1"/>
  <c r="J468" i="5" s="1"/>
  <c r="X462" i="9" s="1"/>
  <c r="B469" i="5"/>
  <c r="B470" i="5"/>
  <c r="H470" i="5" s="1"/>
  <c r="I470" i="5" s="1"/>
  <c r="J470" i="5" s="1" a="1"/>
  <c r="J470" i="5" s="1"/>
  <c r="X464" i="9" s="1"/>
  <c r="B471" i="5"/>
  <c r="H471" i="5" s="1"/>
  <c r="I471" i="5" s="1"/>
  <c r="J471" i="5" s="1" a="1"/>
  <c r="J471" i="5" s="1"/>
  <c r="X465" i="9" s="1"/>
  <c r="B472" i="5"/>
  <c r="H472" i="5" s="1"/>
  <c r="I472" i="5" s="1"/>
  <c r="J472" i="5" s="1" a="1"/>
  <c r="J472" i="5" s="1"/>
  <c r="X466" i="9" s="1"/>
  <c r="B473" i="5"/>
  <c r="B474" i="5"/>
  <c r="H474" i="5" s="1"/>
  <c r="I474" i="5" s="1"/>
  <c r="J474" i="5" s="1" a="1"/>
  <c r="J474" i="5" s="1"/>
  <c r="X468" i="9" s="1"/>
  <c r="B475" i="5"/>
  <c r="H475" i="5" s="1"/>
  <c r="I475" i="5" s="1"/>
  <c r="J475" i="5" s="1" a="1"/>
  <c r="J475" i="5" s="1"/>
  <c r="X469" i="9" s="1"/>
  <c r="B476" i="5"/>
  <c r="H476" i="5" s="1"/>
  <c r="I476" i="5" s="1"/>
  <c r="J476" i="5" s="1" a="1"/>
  <c r="J476" i="5" s="1"/>
  <c r="X470" i="9" s="1"/>
  <c r="B477" i="5"/>
  <c r="B478" i="5"/>
  <c r="H478" i="5" s="1"/>
  <c r="I478" i="5" s="1"/>
  <c r="J478" i="5" s="1" a="1"/>
  <c r="J478" i="5" s="1"/>
  <c r="X472" i="9" s="1"/>
  <c r="B479" i="5"/>
  <c r="H479" i="5" s="1"/>
  <c r="I479" i="5" s="1"/>
  <c r="J479" i="5" s="1" a="1"/>
  <c r="J479" i="5" s="1"/>
  <c r="X473" i="9" s="1"/>
  <c r="B480" i="5"/>
  <c r="H480" i="5" s="1"/>
  <c r="I480" i="5" s="1"/>
  <c r="J480" i="5" s="1" a="1"/>
  <c r="J480" i="5" s="1"/>
  <c r="X474" i="9" s="1"/>
  <c r="B481" i="5"/>
  <c r="B482" i="5"/>
  <c r="H482" i="5" s="1"/>
  <c r="I482" i="5" s="1"/>
  <c r="J482" i="5" s="1" a="1"/>
  <c r="J482" i="5" s="1"/>
  <c r="X476" i="9" s="1"/>
  <c r="B483" i="5"/>
  <c r="H483" i="5" s="1"/>
  <c r="I483" i="5" s="1"/>
  <c r="J483" i="5" s="1" a="1"/>
  <c r="J483" i="5" s="1"/>
  <c r="X477" i="9" s="1"/>
  <c r="B484" i="5"/>
  <c r="H484" i="5" s="1"/>
  <c r="I484" i="5" s="1"/>
  <c r="J484" i="5" s="1" a="1"/>
  <c r="J484" i="5" s="1"/>
  <c r="X478" i="9" s="1"/>
  <c r="B485" i="5"/>
  <c r="B486" i="5"/>
  <c r="H486" i="5" s="1"/>
  <c r="I486" i="5" s="1"/>
  <c r="J486" i="5" s="1" a="1"/>
  <c r="J486" i="5" s="1"/>
  <c r="X480" i="9" s="1"/>
  <c r="B487" i="5"/>
  <c r="H487" i="5" s="1"/>
  <c r="I487" i="5" s="1"/>
  <c r="J487" i="5" s="1" a="1"/>
  <c r="J487" i="5" s="1"/>
  <c r="X481" i="9" s="1"/>
  <c r="B488" i="5"/>
  <c r="H488" i="5" s="1"/>
  <c r="I488" i="5" s="1"/>
  <c r="J488" i="5" s="1" a="1"/>
  <c r="J488" i="5" s="1"/>
  <c r="X482" i="9" s="1"/>
  <c r="B489" i="5"/>
  <c r="B490" i="5"/>
  <c r="H490" i="5" s="1"/>
  <c r="I490" i="5" s="1"/>
  <c r="J490" i="5" s="1" a="1"/>
  <c r="J490" i="5" s="1"/>
  <c r="X484" i="9" s="1"/>
  <c r="B491" i="5"/>
  <c r="H491" i="5" s="1"/>
  <c r="I491" i="5" s="1"/>
  <c r="J491" i="5" s="1" a="1"/>
  <c r="J491" i="5" s="1"/>
  <c r="X485" i="9" s="1"/>
  <c r="B492" i="5"/>
  <c r="H492" i="5" s="1"/>
  <c r="I492" i="5" s="1"/>
  <c r="J492" i="5" s="1" a="1"/>
  <c r="J492" i="5" s="1"/>
  <c r="X486" i="9" s="1"/>
  <c r="B493" i="5"/>
  <c r="B494" i="5"/>
  <c r="H494" i="5" s="1"/>
  <c r="I494" i="5" s="1"/>
  <c r="J494" i="5" s="1" a="1"/>
  <c r="J494" i="5" s="1"/>
  <c r="X488" i="9" s="1"/>
  <c r="B495" i="5"/>
  <c r="H495" i="5" s="1"/>
  <c r="I495" i="5" s="1"/>
  <c r="J495" i="5" s="1" a="1"/>
  <c r="J495" i="5" s="1"/>
  <c r="X489" i="9" s="1"/>
  <c r="B496" i="5"/>
  <c r="H496" i="5" s="1"/>
  <c r="I496" i="5" s="1"/>
  <c r="J496" i="5" s="1" a="1"/>
  <c r="J496" i="5" s="1"/>
  <c r="X490" i="9" s="1"/>
  <c r="B497" i="5"/>
  <c r="B498" i="5"/>
  <c r="H498" i="5" s="1"/>
  <c r="I498" i="5" s="1"/>
  <c r="J498" i="5" s="1" a="1"/>
  <c r="J498" i="5" s="1"/>
  <c r="X492" i="9" s="1"/>
  <c r="B499" i="5"/>
  <c r="H499" i="5" s="1"/>
  <c r="I499" i="5" s="1"/>
  <c r="J499" i="5" s="1" a="1"/>
  <c r="J499" i="5" s="1"/>
  <c r="X493" i="9" s="1"/>
  <c r="B500" i="5"/>
  <c r="H500" i="5" s="1"/>
  <c r="I500" i="5" s="1"/>
  <c r="J500" i="5" s="1" a="1"/>
  <c r="J500" i="5" s="1"/>
  <c r="X494" i="9" s="1"/>
  <c r="B501" i="5"/>
  <c r="B502" i="5"/>
  <c r="H502" i="5" s="1"/>
  <c r="I502" i="5" s="1"/>
  <c r="J502" i="5" s="1" a="1"/>
  <c r="J502" i="5" s="1"/>
  <c r="X496" i="9" s="1"/>
  <c r="B503" i="5"/>
  <c r="H503" i="5" s="1"/>
  <c r="I503" i="5" s="1"/>
  <c r="J503" i="5" s="1" a="1"/>
  <c r="J503" i="5" s="1"/>
  <c r="X497" i="9" s="1"/>
  <c r="B504" i="5"/>
  <c r="H504" i="5" s="1"/>
  <c r="I504" i="5" s="1"/>
  <c r="J504" i="5" s="1" a="1"/>
  <c r="J504" i="5" s="1"/>
  <c r="X498" i="9" s="1"/>
  <c r="B505" i="5"/>
  <c r="B506" i="5"/>
  <c r="H506" i="5" s="1"/>
  <c r="I506" i="5" s="1"/>
  <c r="J506" i="5" s="1" a="1"/>
  <c r="J506" i="5" s="1"/>
  <c r="X500" i="9" s="1"/>
  <c r="B507" i="5"/>
  <c r="H507" i="5" s="1"/>
  <c r="I507" i="5" s="1"/>
  <c r="J507" i="5" s="1" a="1"/>
  <c r="J507" i="5" s="1"/>
  <c r="X501" i="9" s="1"/>
  <c r="B508" i="5"/>
  <c r="H508" i="5" s="1"/>
  <c r="I508" i="5" s="1"/>
  <c r="J508" i="5" s="1" a="1"/>
  <c r="J508" i="5" s="1"/>
  <c r="X502" i="9" s="1"/>
  <c r="B509" i="5"/>
  <c r="B510" i="5"/>
  <c r="H510" i="5" s="1"/>
  <c r="I510" i="5" s="1"/>
  <c r="J510" i="5" s="1" a="1"/>
  <c r="J510" i="5" s="1"/>
  <c r="X504" i="9" s="1"/>
  <c r="B511" i="5"/>
  <c r="H511" i="5" s="1"/>
  <c r="I511" i="5" s="1"/>
  <c r="J511" i="5" s="1" a="1"/>
  <c r="J511" i="5" s="1"/>
  <c r="X505" i="9" s="1"/>
  <c r="B512" i="5"/>
  <c r="H512" i="5" s="1"/>
  <c r="I512" i="5" s="1"/>
  <c r="J512" i="5" s="1" a="1"/>
  <c r="J512" i="5" s="1"/>
  <c r="X506" i="9" s="1"/>
  <c r="B513" i="5"/>
  <c r="B514" i="5"/>
  <c r="H514" i="5" s="1"/>
  <c r="I514" i="5" s="1"/>
  <c r="J514" i="5" s="1" a="1"/>
  <c r="J514" i="5" s="1"/>
  <c r="X508" i="9" s="1"/>
  <c r="B515" i="5"/>
  <c r="H515" i="5" s="1"/>
  <c r="I515" i="5" s="1"/>
  <c r="J515" i="5" s="1" a="1"/>
  <c r="J515" i="5" s="1"/>
  <c r="X509" i="9" s="1"/>
  <c r="B516" i="5"/>
  <c r="H516" i="5" s="1"/>
  <c r="I516" i="5" s="1"/>
  <c r="J516" i="5" s="1" a="1"/>
  <c r="J516" i="5" s="1"/>
  <c r="X510" i="9" s="1"/>
  <c r="B517" i="5"/>
  <c r="B518" i="5"/>
  <c r="H518" i="5" s="1"/>
  <c r="I518" i="5" s="1"/>
  <c r="J518" i="5" s="1" a="1"/>
  <c r="J518" i="5" s="1"/>
  <c r="X512" i="9" s="1"/>
  <c r="B519" i="5"/>
  <c r="H519" i="5" s="1"/>
  <c r="I519" i="5" s="1"/>
  <c r="J519" i="5" s="1" a="1"/>
  <c r="J519" i="5" s="1"/>
  <c r="X513" i="9" s="1"/>
  <c r="B520" i="5"/>
  <c r="H520" i="5" s="1"/>
  <c r="I520" i="5" s="1"/>
  <c r="J520" i="5" s="1" a="1"/>
  <c r="J520" i="5" s="1"/>
  <c r="X514" i="9" s="1"/>
  <c r="B521" i="5"/>
  <c r="B522" i="5"/>
  <c r="H522" i="5" s="1"/>
  <c r="I522" i="5" s="1"/>
  <c r="J522" i="5" s="1" a="1"/>
  <c r="J522" i="5" s="1"/>
  <c r="X516" i="9" s="1"/>
  <c r="B523" i="5"/>
  <c r="H523" i="5" s="1"/>
  <c r="I523" i="5" s="1"/>
  <c r="J523" i="5" s="1" a="1"/>
  <c r="J523" i="5" s="1"/>
  <c r="X517" i="9" s="1"/>
  <c r="B524" i="5"/>
  <c r="H524" i="5" s="1"/>
  <c r="I524" i="5" s="1"/>
  <c r="J524" i="5" s="1" a="1"/>
  <c r="J524" i="5" s="1"/>
  <c r="X518" i="9" s="1"/>
  <c r="B525" i="5"/>
  <c r="B526" i="5"/>
  <c r="H526" i="5" s="1"/>
  <c r="I526" i="5" s="1"/>
  <c r="J526" i="5" s="1" a="1"/>
  <c r="J526" i="5" s="1"/>
  <c r="X520" i="9" s="1"/>
  <c r="B527" i="5"/>
  <c r="H527" i="5" s="1"/>
  <c r="I527" i="5" s="1"/>
  <c r="J527" i="5" s="1" a="1"/>
  <c r="J527" i="5" s="1"/>
  <c r="X521" i="9" s="1"/>
  <c r="B528" i="5"/>
  <c r="H528" i="5" s="1"/>
  <c r="I528" i="5" s="1"/>
  <c r="J528" i="5" s="1" a="1"/>
  <c r="J528" i="5" s="1"/>
  <c r="X522" i="9" s="1"/>
  <c r="B529" i="5"/>
  <c r="B530" i="5"/>
  <c r="H530" i="5" s="1"/>
  <c r="I530" i="5" s="1"/>
  <c r="J530" i="5" s="1" a="1"/>
  <c r="J530" i="5" s="1"/>
  <c r="X524" i="9" s="1"/>
  <c r="B531" i="5"/>
  <c r="H531" i="5" s="1"/>
  <c r="I531" i="5" s="1"/>
  <c r="J531" i="5" s="1" a="1"/>
  <c r="J531" i="5" s="1"/>
  <c r="X525" i="9" s="1"/>
  <c r="B532" i="5"/>
  <c r="H532" i="5" s="1"/>
  <c r="I532" i="5" s="1"/>
  <c r="J532" i="5" s="1" a="1"/>
  <c r="J532" i="5" s="1"/>
  <c r="X526" i="9" s="1"/>
  <c r="B533" i="5"/>
  <c r="B534" i="5"/>
  <c r="H534" i="5" s="1"/>
  <c r="I534" i="5" s="1"/>
  <c r="J534" i="5" s="1" a="1"/>
  <c r="J534" i="5" s="1"/>
  <c r="X528" i="9" s="1"/>
  <c r="B535" i="5"/>
  <c r="H535" i="5" s="1"/>
  <c r="I535" i="5" s="1"/>
  <c r="J535" i="5" s="1" a="1"/>
  <c r="J535" i="5" s="1"/>
  <c r="X529" i="9" s="1"/>
  <c r="B536" i="5"/>
  <c r="H536" i="5" s="1"/>
  <c r="I536" i="5" s="1"/>
  <c r="J536" i="5" s="1" a="1"/>
  <c r="J536" i="5" s="1"/>
  <c r="X530" i="9" s="1"/>
  <c r="B537" i="5"/>
  <c r="B538" i="5"/>
  <c r="H538" i="5" s="1"/>
  <c r="I538" i="5" s="1"/>
  <c r="J538" i="5" s="1" a="1"/>
  <c r="J538" i="5" s="1"/>
  <c r="X532" i="9" s="1"/>
  <c r="B539" i="5"/>
  <c r="H539" i="5" s="1"/>
  <c r="I539" i="5" s="1"/>
  <c r="J539" i="5" s="1" a="1"/>
  <c r="J539" i="5" s="1"/>
  <c r="X533" i="9" s="1"/>
  <c r="B540" i="5"/>
  <c r="H540" i="5" s="1"/>
  <c r="I540" i="5" s="1"/>
  <c r="J540" i="5" s="1" a="1"/>
  <c r="J540" i="5" s="1"/>
  <c r="X534" i="9" s="1"/>
  <c r="B541" i="5"/>
  <c r="B542" i="5"/>
  <c r="H542" i="5" s="1"/>
  <c r="I542" i="5" s="1"/>
  <c r="J542" i="5" s="1" a="1"/>
  <c r="J542" i="5" s="1"/>
  <c r="X536" i="9" s="1"/>
  <c r="B543" i="5"/>
  <c r="H543" i="5" s="1"/>
  <c r="I543" i="5" s="1"/>
  <c r="J543" i="5" s="1" a="1"/>
  <c r="J543" i="5" s="1"/>
  <c r="X537" i="9" s="1"/>
  <c r="B544" i="5"/>
  <c r="H544" i="5" s="1"/>
  <c r="I544" i="5" s="1"/>
  <c r="J544" i="5" s="1" a="1"/>
  <c r="J544" i="5" s="1"/>
  <c r="X538" i="9" s="1"/>
  <c r="B545" i="5"/>
  <c r="B546" i="5"/>
  <c r="H546" i="5" s="1"/>
  <c r="I546" i="5" s="1"/>
  <c r="J546" i="5" s="1" a="1"/>
  <c r="J546" i="5" s="1"/>
  <c r="X540" i="9" s="1"/>
  <c r="B547" i="5"/>
  <c r="H547" i="5" s="1"/>
  <c r="I547" i="5" s="1"/>
  <c r="J547" i="5" s="1" a="1"/>
  <c r="J547" i="5" s="1"/>
  <c r="X541" i="9" s="1"/>
  <c r="B548" i="5"/>
  <c r="H548" i="5" s="1"/>
  <c r="I548" i="5" s="1"/>
  <c r="J548" i="5" s="1" a="1"/>
  <c r="J548" i="5" s="1"/>
  <c r="X542" i="9" s="1"/>
  <c r="B549" i="5"/>
  <c r="B550" i="5"/>
  <c r="H550" i="5" s="1"/>
  <c r="I550" i="5" s="1"/>
  <c r="J550" i="5" s="1" a="1"/>
  <c r="J550" i="5" s="1"/>
  <c r="X544" i="9" s="1"/>
  <c r="B551" i="5"/>
  <c r="H551" i="5" s="1"/>
  <c r="I551" i="5" s="1"/>
  <c r="J551" i="5" s="1" a="1"/>
  <c r="J551" i="5" s="1"/>
  <c r="X545" i="9" s="1"/>
  <c r="B552" i="5"/>
  <c r="H552" i="5" s="1"/>
  <c r="I552" i="5" s="1"/>
  <c r="J552" i="5" s="1" a="1"/>
  <c r="J552" i="5" s="1"/>
  <c r="X546" i="9" s="1"/>
  <c r="B553" i="5"/>
  <c r="B554" i="5"/>
  <c r="H554" i="5" s="1"/>
  <c r="I554" i="5" s="1"/>
  <c r="J554" i="5" s="1" a="1"/>
  <c r="J554" i="5" s="1"/>
  <c r="X548" i="9" s="1"/>
  <c r="B555" i="5"/>
  <c r="H555" i="5" s="1"/>
  <c r="I555" i="5" s="1"/>
  <c r="J555" i="5" s="1" a="1"/>
  <c r="J555" i="5" s="1"/>
  <c r="X549" i="9" s="1"/>
  <c r="B556" i="5"/>
  <c r="H556" i="5" s="1"/>
  <c r="I556" i="5" s="1"/>
  <c r="J556" i="5" s="1" a="1"/>
  <c r="J556" i="5" s="1"/>
  <c r="X550" i="9" s="1"/>
  <c r="B557" i="5"/>
  <c r="B558" i="5"/>
  <c r="H558" i="5" s="1"/>
  <c r="I558" i="5" s="1"/>
  <c r="J558" i="5" s="1" a="1"/>
  <c r="J558" i="5" s="1"/>
  <c r="X552" i="9" s="1"/>
  <c r="B559" i="5"/>
  <c r="H559" i="5" s="1"/>
  <c r="I559" i="5" s="1"/>
  <c r="J559" i="5" s="1" a="1"/>
  <c r="J559" i="5" s="1"/>
  <c r="X553" i="9" s="1"/>
  <c r="B560" i="5"/>
  <c r="H560" i="5" s="1"/>
  <c r="I560" i="5" s="1"/>
  <c r="J560" i="5" s="1" a="1"/>
  <c r="J560" i="5" s="1"/>
  <c r="X554" i="9" s="1"/>
  <c r="B561" i="5"/>
  <c r="B562" i="5"/>
  <c r="H562" i="5" s="1"/>
  <c r="I562" i="5" s="1"/>
  <c r="J562" i="5" s="1" a="1"/>
  <c r="J562" i="5" s="1"/>
  <c r="X556" i="9" s="1"/>
  <c r="B563" i="5"/>
  <c r="H563" i="5" s="1"/>
  <c r="I563" i="5" s="1"/>
  <c r="J563" i="5" s="1" a="1"/>
  <c r="J563" i="5" s="1"/>
  <c r="X557" i="9" s="1"/>
  <c r="B564" i="5"/>
  <c r="H564" i="5" s="1"/>
  <c r="I564" i="5" s="1"/>
  <c r="J564" i="5" s="1" a="1"/>
  <c r="J564" i="5" s="1"/>
  <c r="X558" i="9" s="1"/>
  <c r="B565" i="5"/>
  <c r="B566" i="5"/>
  <c r="H566" i="5" s="1"/>
  <c r="I566" i="5" s="1"/>
  <c r="J566" i="5" s="1" a="1"/>
  <c r="J566" i="5" s="1"/>
  <c r="X560" i="9" s="1"/>
  <c r="B567" i="5"/>
  <c r="H567" i="5" s="1"/>
  <c r="I567" i="5" s="1"/>
  <c r="J567" i="5" s="1" a="1"/>
  <c r="J567" i="5" s="1"/>
  <c r="X561" i="9" s="1"/>
  <c r="B568" i="5"/>
  <c r="H568" i="5" s="1"/>
  <c r="I568" i="5" s="1"/>
  <c r="J568" i="5" s="1" a="1"/>
  <c r="J568" i="5" s="1"/>
  <c r="X562" i="9" s="1"/>
  <c r="B569" i="5"/>
  <c r="B570" i="5"/>
  <c r="H570" i="5" s="1"/>
  <c r="I570" i="5" s="1"/>
  <c r="J570" i="5" s="1" a="1"/>
  <c r="J570" i="5" s="1"/>
  <c r="X564" i="9" s="1"/>
  <c r="B571" i="5"/>
  <c r="H571" i="5" s="1"/>
  <c r="I571" i="5" s="1"/>
  <c r="J571" i="5" s="1" a="1"/>
  <c r="J571" i="5" s="1"/>
  <c r="X565" i="9" s="1"/>
  <c r="B572" i="5"/>
  <c r="H572" i="5" s="1"/>
  <c r="I572" i="5" s="1"/>
  <c r="J572" i="5" s="1" a="1"/>
  <c r="J572" i="5" s="1"/>
  <c r="X566" i="9" s="1"/>
  <c r="B573" i="5"/>
  <c r="B574" i="5"/>
  <c r="H574" i="5" s="1"/>
  <c r="I574" i="5" s="1"/>
  <c r="J574" i="5" s="1" a="1"/>
  <c r="J574" i="5" s="1"/>
  <c r="X568" i="9" s="1"/>
  <c r="B575" i="5"/>
  <c r="H575" i="5" s="1"/>
  <c r="I575" i="5" s="1"/>
  <c r="J575" i="5" s="1" a="1"/>
  <c r="J575" i="5" s="1"/>
  <c r="X569" i="9" s="1"/>
  <c r="B576" i="5"/>
  <c r="H576" i="5" s="1"/>
  <c r="I576" i="5" s="1"/>
  <c r="J576" i="5" s="1" a="1"/>
  <c r="J576" i="5" s="1"/>
  <c r="X570" i="9" s="1"/>
  <c r="B577" i="5"/>
  <c r="B578" i="5"/>
  <c r="H578" i="5" s="1"/>
  <c r="I578" i="5" s="1"/>
  <c r="J578" i="5" s="1" a="1"/>
  <c r="J578" i="5" s="1"/>
  <c r="X572" i="9" s="1"/>
  <c r="B579" i="5"/>
  <c r="H579" i="5" s="1"/>
  <c r="I579" i="5" s="1"/>
  <c r="J579" i="5" s="1" a="1"/>
  <c r="J579" i="5" s="1"/>
  <c r="X573" i="9" s="1"/>
  <c r="B580" i="5"/>
  <c r="H580" i="5" s="1"/>
  <c r="I580" i="5" s="1"/>
  <c r="J580" i="5" s="1" a="1"/>
  <c r="J580" i="5" s="1"/>
  <c r="X574" i="9" s="1"/>
  <c r="B581" i="5"/>
  <c r="B582" i="5"/>
  <c r="H582" i="5" s="1"/>
  <c r="I582" i="5" s="1"/>
  <c r="J582" i="5" s="1" a="1"/>
  <c r="J582" i="5" s="1"/>
  <c r="X576" i="9" s="1"/>
  <c r="B583" i="5"/>
  <c r="H583" i="5" s="1"/>
  <c r="I583" i="5" s="1"/>
  <c r="J583" i="5" s="1" a="1"/>
  <c r="J583" i="5" s="1"/>
  <c r="X577" i="9" s="1"/>
  <c r="B584" i="5"/>
  <c r="H584" i="5" s="1"/>
  <c r="I584" i="5" s="1"/>
  <c r="J584" i="5" s="1" a="1"/>
  <c r="J584" i="5" s="1"/>
  <c r="X578" i="9" s="1"/>
  <c r="B585" i="5"/>
  <c r="B586" i="5"/>
  <c r="H586" i="5" s="1"/>
  <c r="I586" i="5" s="1"/>
  <c r="J586" i="5" s="1" a="1"/>
  <c r="J586" i="5" s="1"/>
  <c r="X580" i="9" s="1"/>
  <c r="B587" i="5"/>
  <c r="H587" i="5" s="1"/>
  <c r="I587" i="5" s="1"/>
  <c r="J587" i="5" s="1" a="1"/>
  <c r="J587" i="5" s="1"/>
  <c r="X581" i="9" s="1"/>
  <c r="B588" i="5"/>
  <c r="H588" i="5" s="1"/>
  <c r="I588" i="5" s="1"/>
  <c r="J588" i="5" s="1" a="1"/>
  <c r="J588" i="5" s="1"/>
  <c r="X582" i="9" s="1"/>
  <c r="B589" i="5"/>
  <c r="B590" i="5"/>
  <c r="H590" i="5" s="1"/>
  <c r="I590" i="5" s="1"/>
  <c r="J590" i="5" s="1" a="1"/>
  <c r="J590" i="5" s="1"/>
  <c r="X584" i="9" s="1"/>
  <c r="B591" i="5"/>
  <c r="H591" i="5" s="1"/>
  <c r="I591" i="5" s="1"/>
  <c r="J591" i="5" s="1" a="1"/>
  <c r="J591" i="5" s="1"/>
  <c r="X585" i="9" s="1"/>
  <c r="B592" i="5"/>
  <c r="H592" i="5" s="1"/>
  <c r="I592" i="5" s="1"/>
  <c r="J592" i="5" s="1" a="1"/>
  <c r="J592" i="5" s="1"/>
  <c r="X586" i="9" s="1"/>
  <c r="B593" i="5"/>
  <c r="B594" i="5"/>
  <c r="H594" i="5" s="1"/>
  <c r="I594" i="5" s="1"/>
  <c r="J594" i="5" s="1" a="1"/>
  <c r="J594" i="5" s="1"/>
  <c r="X588" i="9" s="1"/>
  <c r="B595" i="5"/>
  <c r="H595" i="5" s="1"/>
  <c r="I595" i="5" s="1"/>
  <c r="J595" i="5" s="1" a="1"/>
  <c r="J595" i="5" s="1"/>
  <c r="X589" i="9" s="1"/>
  <c r="B596" i="5"/>
  <c r="H596" i="5" s="1"/>
  <c r="I596" i="5" s="1"/>
  <c r="J596" i="5" s="1" a="1"/>
  <c r="J596" i="5" s="1"/>
  <c r="X590" i="9" s="1"/>
  <c r="B597" i="5"/>
  <c r="B598" i="5"/>
  <c r="H598" i="5" s="1"/>
  <c r="I598" i="5" s="1"/>
  <c r="J598" i="5" s="1" a="1"/>
  <c r="J598" i="5" s="1"/>
  <c r="X592" i="9" s="1"/>
  <c r="B599" i="5"/>
  <c r="H599" i="5" s="1"/>
  <c r="I599" i="5" s="1"/>
  <c r="J599" i="5" s="1" a="1"/>
  <c r="J599" i="5" s="1"/>
  <c r="X593" i="9" s="1"/>
  <c r="B600" i="5"/>
  <c r="H600" i="5" s="1"/>
  <c r="I600" i="5" s="1"/>
  <c r="J600" i="5" s="1" a="1"/>
  <c r="J600" i="5" s="1"/>
  <c r="X594" i="9" s="1"/>
  <c r="B601" i="5"/>
  <c r="B602" i="5"/>
  <c r="H602" i="5" s="1"/>
  <c r="I602" i="5" s="1"/>
  <c r="J602" i="5" s="1" a="1"/>
  <c r="J602" i="5" s="1"/>
  <c r="X596" i="9" s="1"/>
  <c r="B603" i="5"/>
  <c r="H603" i="5" s="1"/>
  <c r="I603" i="5" s="1"/>
  <c r="J603" i="5" s="1" a="1"/>
  <c r="J603" i="5" s="1"/>
  <c r="X597" i="9" s="1"/>
  <c r="B604" i="5"/>
  <c r="H604" i="5" s="1"/>
  <c r="I604" i="5" s="1"/>
  <c r="J604" i="5" s="1" a="1"/>
  <c r="J604" i="5" s="1"/>
  <c r="X598" i="9" s="1"/>
  <c r="B605" i="5"/>
  <c r="B606" i="5"/>
  <c r="H606" i="5" s="1"/>
  <c r="I606" i="5" s="1"/>
  <c r="J606" i="5" s="1" a="1"/>
  <c r="J606" i="5" s="1"/>
  <c r="X600" i="9" s="1"/>
  <c r="B607" i="5"/>
  <c r="H607" i="5" s="1"/>
  <c r="I607" i="5" s="1"/>
  <c r="J607" i="5" s="1" a="1"/>
  <c r="J607" i="5" s="1"/>
  <c r="X601" i="9" s="1"/>
  <c r="B608" i="5"/>
  <c r="H608" i="5" s="1"/>
  <c r="I608" i="5" s="1"/>
  <c r="J608" i="5" s="1" a="1"/>
  <c r="J608" i="5" s="1"/>
  <c r="X602" i="9" s="1"/>
  <c r="B609" i="5"/>
  <c r="B610" i="5"/>
  <c r="H610" i="5" s="1"/>
  <c r="I610" i="5" s="1"/>
  <c r="J610" i="5" s="1" a="1"/>
  <c r="J610" i="5" s="1"/>
  <c r="X604" i="9" s="1"/>
  <c r="B611" i="5"/>
  <c r="H611" i="5" s="1"/>
  <c r="I611" i="5" s="1"/>
  <c r="J611" i="5" s="1" a="1"/>
  <c r="J611" i="5" s="1"/>
  <c r="X605" i="9" s="1"/>
  <c r="B612" i="5"/>
  <c r="H612" i="5" s="1"/>
  <c r="I612" i="5" s="1"/>
  <c r="J612" i="5" s="1" a="1"/>
  <c r="J612" i="5" s="1"/>
  <c r="X606" i="9" s="1"/>
  <c r="B613" i="5"/>
  <c r="B614" i="5"/>
  <c r="H614" i="5" s="1"/>
  <c r="I614" i="5" s="1"/>
  <c r="J614" i="5" s="1" a="1"/>
  <c r="J614" i="5" s="1"/>
  <c r="X608" i="9" s="1"/>
  <c r="B615" i="5"/>
  <c r="H615" i="5" s="1"/>
  <c r="I615" i="5" s="1"/>
  <c r="J615" i="5" s="1" a="1"/>
  <c r="J615" i="5" s="1"/>
  <c r="X609" i="9" s="1"/>
  <c r="B616" i="5"/>
  <c r="H616" i="5" s="1"/>
  <c r="I616" i="5" s="1"/>
  <c r="J616" i="5" s="1" a="1"/>
  <c r="J616" i="5" s="1"/>
  <c r="X610" i="9" s="1"/>
  <c r="B617" i="5"/>
  <c r="B618" i="5"/>
  <c r="H618" i="5" s="1"/>
  <c r="I618" i="5" s="1"/>
  <c r="J618" i="5" s="1" a="1"/>
  <c r="J618" i="5" s="1"/>
  <c r="X612" i="9" s="1"/>
  <c r="B619" i="5"/>
  <c r="H619" i="5" s="1"/>
  <c r="I619" i="5" s="1"/>
  <c r="J619" i="5" s="1" a="1"/>
  <c r="J619" i="5" s="1"/>
  <c r="X613" i="9" s="1"/>
  <c r="B620" i="5"/>
  <c r="H620" i="5" s="1"/>
  <c r="I620" i="5" s="1"/>
  <c r="J620" i="5" s="1" a="1"/>
  <c r="J620" i="5" s="1"/>
  <c r="X614" i="9" s="1"/>
  <c r="B621" i="5"/>
  <c r="B622" i="5"/>
  <c r="H622" i="5" s="1"/>
  <c r="I622" i="5" s="1"/>
  <c r="J622" i="5" s="1" a="1"/>
  <c r="J622" i="5" s="1"/>
  <c r="X616" i="9" s="1"/>
  <c r="B623" i="5"/>
  <c r="H623" i="5" s="1"/>
  <c r="I623" i="5" s="1"/>
  <c r="J623" i="5" s="1" a="1"/>
  <c r="J623" i="5" s="1"/>
  <c r="X617" i="9" s="1"/>
  <c r="B624" i="5"/>
  <c r="H624" i="5" s="1"/>
  <c r="I624" i="5" s="1"/>
  <c r="J624" i="5" s="1" a="1"/>
  <c r="J624" i="5" s="1"/>
  <c r="X618" i="9" s="1"/>
  <c r="B625" i="5"/>
  <c r="B626" i="5"/>
  <c r="H626" i="5" s="1"/>
  <c r="I626" i="5" s="1"/>
  <c r="J626" i="5" s="1" a="1"/>
  <c r="J626" i="5" s="1"/>
  <c r="X620" i="9" s="1"/>
  <c r="B627" i="5"/>
  <c r="H627" i="5" s="1"/>
  <c r="I627" i="5" s="1"/>
  <c r="J627" i="5" s="1" a="1"/>
  <c r="J627" i="5" s="1"/>
  <c r="X621" i="9" s="1"/>
  <c r="B628" i="5"/>
  <c r="H628" i="5" s="1"/>
  <c r="I628" i="5" s="1"/>
  <c r="J628" i="5" s="1" a="1"/>
  <c r="J628" i="5" s="1"/>
  <c r="X622" i="9" s="1"/>
  <c r="B629" i="5"/>
  <c r="B630" i="5"/>
  <c r="H630" i="5" s="1"/>
  <c r="I630" i="5" s="1"/>
  <c r="J630" i="5" s="1" a="1"/>
  <c r="J630" i="5" s="1"/>
  <c r="X624" i="9" s="1"/>
  <c r="B631" i="5"/>
  <c r="H631" i="5" s="1"/>
  <c r="I631" i="5" s="1"/>
  <c r="J631" i="5" s="1" a="1"/>
  <c r="J631" i="5" s="1"/>
  <c r="X625" i="9" s="1"/>
  <c r="B632" i="5"/>
  <c r="H632" i="5" s="1"/>
  <c r="I632" i="5" s="1"/>
  <c r="J632" i="5" s="1" a="1"/>
  <c r="J632" i="5" s="1"/>
  <c r="X626" i="9" s="1"/>
  <c r="B633" i="5"/>
  <c r="B634" i="5"/>
  <c r="H634" i="5" s="1"/>
  <c r="I634" i="5" s="1"/>
  <c r="J634" i="5" s="1" a="1"/>
  <c r="J634" i="5" s="1"/>
  <c r="X628" i="9" s="1"/>
  <c r="B635" i="5"/>
  <c r="H635" i="5" s="1"/>
  <c r="I635" i="5" s="1"/>
  <c r="J635" i="5" s="1" a="1"/>
  <c r="J635" i="5" s="1"/>
  <c r="X629" i="9" s="1"/>
  <c r="B636" i="5"/>
  <c r="H636" i="5" s="1"/>
  <c r="I636" i="5" s="1"/>
  <c r="J636" i="5" s="1" a="1"/>
  <c r="J636" i="5" s="1"/>
  <c r="X630" i="9" s="1"/>
  <c r="B637" i="5"/>
  <c r="B638" i="5"/>
  <c r="H638" i="5" s="1"/>
  <c r="I638" i="5" s="1"/>
  <c r="J638" i="5" s="1" a="1"/>
  <c r="J638" i="5" s="1"/>
  <c r="X632" i="9" s="1"/>
  <c r="B639" i="5"/>
  <c r="H639" i="5" s="1"/>
  <c r="I639" i="5" s="1"/>
  <c r="J639" i="5" s="1" a="1"/>
  <c r="J639" i="5" s="1"/>
  <c r="X633" i="9" s="1"/>
  <c r="B640" i="5"/>
  <c r="H640" i="5" s="1"/>
  <c r="I640" i="5" s="1"/>
  <c r="J640" i="5" s="1" a="1"/>
  <c r="J640" i="5" s="1"/>
  <c r="X634" i="9" s="1"/>
  <c r="B641" i="5"/>
  <c r="B642" i="5"/>
  <c r="H642" i="5" s="1"/>
  <c r="I642" i="5" s="1"/>
  <c r="J642" i="5" s="1" a="1"/>
  <c r="J642" i="5" s="1"/>
  <c r="X636" i="9" s="1"/>
  <c r="B643" i="5"/>
  <c r="H643" i="5" s="1"/>
  <c r="I643" i="5" s="1"/>
  <c r="J643" i="5" s="1" a="1"/>
  <c r="J643" i="5" s="1"/>
  <c r="X637" i="9" s="1"/>
  <c r="B644" i="5"/>
  <c r="H644" i="5" s="1"/>
  <c r="I644" i="5" s="1"/>
  <c r="J644" i="5" s="1" a="1"/>
  <c r="J644" i="5" s="1"/>
  <c r="X638" i="9" s="1"/>
  <c r="B645" i="5"/>
  <c r="B646" i="5"/>
  <c r="H646" i="5" s="1"/>
  <c r="I646" i="5" s="1"/>
  <c r="J646" i="5" s="1" a="1"/>
  <c r="J646" i="5" s="1"/>
  <c r="X640" i="9" s="1"/>
  <c r="B647" i="5"/>
  <c r="H647" i="5" s="1"/>
  <c r="I647" i="5" s="1"/>
  <c r="J647" i="5" s="1" a="1"/>
  <c r="J647" i="5" s="1"/>
  <c r="X641" i="9" s="1"/>
  <c r="B648" i="5"/>
  <c r="H648" i="5" s="1"/>
  <c r="I648" i="5" s="1"/>
  <c r="J648" i="5" s="1" a="1"/>
  <c r="J648" i="5" s="1"/>
  <c r="X642" i="9" s="1"/>
  <c r="B649" i="5"/>
  <c r="B650" i="5"/>
  <c r="H650" i="5" s="1"/>
  <c r="I650" i="5" s="1"/>
  <c r="J650" i="5" s="1" a="1"/>
  <c r="J650" i="5" s="1"/>
  <c r="X644" i="9" s="1"/>
  <c r="B651" i="5"/>
  <c r="H651" i="5" s="1"/>
  <c r="I651" i="5" s="1"/>
  <c r="J651" i="5" s="1" a="1"/>
  <c r="J651" i="5" s="1"/>
  <c r="X645" i="9" s="1"/>
  <c r="B652" i="5"/>
  <c r="H652" i="5" s="1"/>
  <c r="I652" i="5" s="1"/>
  <c r="J652" i="5" s="1" a="1"/>
  <c r="J652" i="5" s="1"/>
  <c r="X646" i="9" s="1"/>
  <c r="B653" i="5"/>
  <c r="B654" i="5"/>
  <c r="H654" i="5" s="1"/>
  <c r="I654" i="5" s="1"/>
  <c r="J654" i="5" s="1" a="1"/>
  <c r="J654" i="5" s="1"/>
  <c r="X648" i="9" s="1"/>
  <c r="B655" i="5"/>
  <c r="H655" i="5" s="1"/>
  <c r="I655" i="5" s="1"/>
  <c r="J655" i="5" s="1" a="1"/>
  <c r="J655" i="5" s="1"/>
  <c r="X649" i="9" s="1"/>
  <c r="B656" i="5"/>
  <c r="H656" i="5" s="1"/>
  <c r="I656" i="5" s="1"/>
  <c r="J656" i="5" s="1" a="1"/>
  <c r="J656" i="5" s="1"/>
  <c r="X650" i="9" s="1"/>
  <c r="B657" i="5"/>
  <c r="B658" i="5"/>
  <c r="H658" i="5" s="1"/>
  <c r="I658" i="5" s="1"/>
  <c r="J658" i="5" s="1" a="1"/>
  <c r="J658" i="5" s="1"/>
  <c r="X652" i="9" s="1"/>
  <c r="B659" i="5"/>
  <c r="H659" i="5" s="1"/>
  <c r="I659" i="5" s="1"/>
  <c r="J659" i="5" s="1" a="1"/>
  <c r="J659" i="5" s="1"/>
  <c r="X653" i="9" s="1"/>
  <c r="B660" i="5"/>
  <c r="H660" i="5" s="1"/>
  <c r="I660" i="5" s="1"/>
  <c r="J660" i="5" s="1" a="1"/>
  <c r="J660" i="5" s="1"/>
  <c r="X654" i="9" s="1"/>
  <c r="B661" i="5"/>
  <c r="B662" i="5"/>
  <c r="H662" i="5" s="1"/>
  <c r="I662" i="5" s="1"/>
  <c r="J662" i="5" s="1" a="1"/>
  <c r="J662" i="5" s="1"/>
  <c r="X656" i="9" s="1"/>
  <c r="B663" i="5"/>
  <c r="H663" i="5" s="1"/>
  <c r="I663" i="5" s="1"/>
  <c r="J663" i="5" s="1" a="1"/>
  <c r="J663" i="5" s="1"/>
  <c r="X657" i="9" s="1"/>
  <c r="B664" i="5"/>
  <c r="H664" i="5" s="1"/>
  <c r="I664" i="5" s="1"/>
  <c r="J664" i="5" s="1" a="1"/>
  <c r="J664" i="5" s="1"/>
  <c r="X658" i="9" s="1"/>
  <c r="B665" i="5"/>
  <c r="B666" i="5"/>
  <c r="H666" i="5" s="1"/>
  <c r="I666" i="5" s="1"/>
  <c r="J666" i="5" s="1" a="1"/>
  <c r="J666" i="5" s="1"/>
  <c r="X660" i="9" s="1"/>
  <c r="B667" i="5"/>
  <c r="H667" i="5" s="1"/>
  <c r="I667" i="5" s="1"/>
  <c r="J667" i="5" s="1" a="1"/>
  <c r="J667" i="5" s="1"/>
  <c r="X661" i="9" s="1"/>
  <c r="B668" i="5"/>
  <c r="H668" i="5" s="1"/>
  <c r="I668" i="5" s="1"/>
  <c r="J668" i="5" s="1" a="1"/>
  <c r="J668" i="5" s="1"/>
  <c r="X662" i="9" s="1"/>
  <c r="B669" i="5"/>
  <c r="B670" i="5"/>
  <c r="H670" i="5" s="1"/>
  <c r="I670" i="5" s="1"/>
  <c r="J670" i="5" s="1" a="1"/>
  <c r="J670" i="5" s="1"/>
  <c r="X664" i="9" s="1"/>
  <c r="B671" i="5"/>
  <c r="H671" i="5" s="1"/>
  <c r="I671" i="5" s="1"/>
  <c r="J671" i="5" s="1" a="1"/>
  <c r="J671" i="5" s="1"/>
  <c r="X665" i="9" s="1"/>
  <c r="B672" i="5"/>
  <c r="H672" i="5" s="1"/>
  <c r="I672" i="5" s="1"/>
  <c r="J672" i="5" s="1" a="1"/>
  <c r="J672" i="5" s="1"/>
  <c r="X666" i="9" s="1"/>
  <c r="B673" i="5"/>
  <c r="B674" i="5"/>
  <c r="H674" i="5" s="1"/>
  <c r="I674" i="5" s="1"/>
  <c r="J674" i="5" s="1" a="1"/>
  <c r="J674" i="5" s="1"/>
  <c r="X668" i="9" s="1"/>
  <c r="B675" i="5"/>
  <c r="H675" i="5" s="1"/>
  <c r="I675" i="5" s="1"/>
  <c r="J675" i="5" s="1" a="1"/>
  <c r="J675" i="5" s="1"/>
  <c r="X669" i="9" s="1"/>
  <c r="B676" i="5"/>
  <c r="H676" i="5" s="1"/>
  <c r="I676" i="5" s="1"/>
  <c r="J676" i="5" s="1" a="1"/>
  <c r="J676" i="5" s="1"/>
  <c r="X670" i="9" s="1"/>
  <c r="B677" i="5"/>
  <c r="B678" i="5"/>
  <c r="H678" i="5" s="1"/>
  <c r="I678" i="5" s="1"/>
  <c r="J678" i="5" s="1" a="1"/>
  <c r="J678" i="5" s="1"/>
  <c r="X672" i="9" s="1"/>
  <c r="B679" i="5"/>
  <c r="H679" i="5" s="1"/>
  <c r="I679" i="5" s="1"/>
  <c r="J679" i="5" s="1" a="1"/>
  <c r="J679" i="5" s="1"/>
  <c r="X673" i="9" s="1"/>
  <c r="B680" i="5"/>
  <c r="H680" i="5" s="1"/>
  <c r="I680" i="5" s="1"/>
  <c r="J680" i="5" s="1" a="1"/>
  <c r="J680" i="5" s="1"/>
  <c r="X674" i="9" s="1"/>
  <c r="B681" i="5"/>
  <c r="B682" i="5"/>
  <c r="H682" i="5" s="1"/>
  <c r="I682" i="5" s="1"/>
  <c r="J682" i="5" s="1" a="1"/>
  <c r="J682" i="5" s="1"/>
  <c r="X676" i="9" s="1"/>
  <c r="B683" i="5"/>
  <c r="H683" i="5" s="1"/>
  <c r="I683" i="5" s="1"/>
  <c r="J683" i="5" s="1" a="1"/>
  <c r="J683" i="5" s="1"/>
  <c r="X677" i="9" s="1"/>
  <c r="B684" i="5"/>
  <c r="H684" i="5" s="1"/>
  <c r="I684" i="5" s="1"/>
  <c r="J684" i="5" s="1" a="1"/>
  <c r="J684" i="5" s="1"/>
  <c r="X678" i="9" s="1"/>
  <c r="B685" i="5"/>
  <c r="B686" i="5"/>
  <c r="H686" i="5" s="1"/>
  <c r="I686" i="5" s="1"/>
  <c r="J686" i="5" s="1" a="1"/>
  <c r="J686" i="5" s="1"/>
  <c r="X680" i="9" s="1"/>
  <c r="B687" i="5"/>
  <c r="H687" i="5" s="1"/>
  <c r="I687" i="5" s="1"/>
  <c r="J687" i="5" s="1" a="1"/>
  <c r="J687" i="5" s="1"/>
  <c r="X681" i="9" s="1"/>
  <c r="B688" i="5"/>
  <c r="H688" i="5" s="1"/>
  <c r="I688" i="5" s="1"/>
  <c r="J688" i="5" s="1" a="1"/>
  <c r="J688" i="5" s="1"/>
  <c r="X682" i="9" s="1"/>
  <c r="B689" i="5"/>
  <c r="B690" i="5"/>
  <c r="H690" i="5" s="1"/>
  <c r="I690" i="5" s="1"/>
  <c r="J690" i="5" s="1" a="1"/>
  <c r="J690" i="5" s="1"/>
  <c r="X684" i="9" s="1"/>
  <c r="B691" i="5"/>
  <c r="H691" i="5" s="1"/>
  <c r="I691" i="5" s="1"/>
  <c r="J691" i="5" s="1" a="1"/>
  <c r="J691" i="5" s="1"/>
  <c r="X685" i="9" s="1"/>
  <c r="B692" i="5"/>
  <c r="H692" i="5" s="1"/>
  <c r="I692" i="5" s="1"/>
  <c r="J692" i="5" s="1" a="1"/>
  <c r="J692" i="5" s="1"/>
  <c r="X686" i="9" s="1"/>
  <c r="B693" i="5"/>
  <c r="B694" i="5"/>
  <c r="H694" i="5" s="1"/>
  <c r="I694" i="5" s="1"/>
  <c r="J694" i="5" s="1" a="1"/>
  <c r="J694" i="5" s="1"/>
  <c r="X688" i="9" s="1"/>
  <c r="B695" i="5"/>
  <c r="H695" i="5" s="1"/>
  <c r="I695" i="5" s="1"/>
  <c r="J695" i="5" s="1" a="1"/>
  <c r="J695" i="5" s="1"/>
  <c r="X689" i="9" s="1"/>
  <c r="B696" i="5"/>
  <c r="H696" i="5" s="1"/>
  <c r="I696" i="5" s="1"/>
  <c r="J696" i="5" s="1" a="1"/>
  <c r="J696" i="5" s="1"/>
  <c r="X690" i="9" s="1"/>
  <c r="B697" i="5"/>
  <c r="B698" i="5"/>
  <c r="H698" i="5" s="1"/>
  <c r="I698" i="5" s="1"/>
  <c r="J698" i="5" s="1" a="1"/>
  <c r="J698" i="5" s="1"/>
  <c r="X692" i="9" s="1"/>
  <c r="B699" i="5"/>
  <c r="H699" i="5" s="1"/>
  <c r="I699" i="5" s="1"/>
  <c r="J699" i="5" s="1" a="1"/>
  <c r="J699" i="5" s="1"/>
  <c r="X693" i="9" s="1"/>
  <c r="B700" i="5"/>
  <c r="H700" i="5" s="1"/>
  <c r="I700" i="5" s="1"/>
  <c r="J700" i="5" s="1" a="1"/>
  <c r="J700" i="5" s="1"/>
  <c r="X694" i="9" s="1"/>
  <c r="B701" i="5"/>
  <c r="B702" i="5"/>
  <c r="H702" i="5" s="1"/>
  <c r="I702" i="5" s="1"/>
  <c r="J702" i="5" s="1" a="1"/>
  <c r="J702" i="5" s="1"/>
  <c r="X696" i="9" s="1"/>
  <c r="B703" i="5"/>
  <c r="H703" i="5" s="1"/>
  <c r="I703" i="5" s="1"/>
  <c r="J703" i="5" s="1" a="1"/>
  <c r="J703" i="5" s="1"/>
  <c r="X697" i="9" s="1"/>
  <c r="B704" i="5"/>
  <c r="H704" i="5" s="1"/>
  <c r="I704" i="5" s="1"/>
  <c r="J704" i="5" s="1" a="1"/>
  <c r="J704" i="5" s="1"/>
  <c r="X698" i="9" s="1"/>
  <c r="B705" i="5"/>
  <c r="B706" i="5"/>
  <c r="H706" i="5" s="1"/>
  <c r="I706" i="5" s="1"/>
  <c r="J706" i="5" s="1" a="1"/>
  <c r="J706" i="5" s="1"/>
  <c r="X700" i="9" s="1"/>
  <c r="B707" i="5"/>
  <c r="H707" i="5" s="1"/>
  <c r="I707" i="5" s="1"/>
  <c r="J707" i="5" s="1" a="1"/>
  <c r="J707" i="5" s="1"/>
  <c r="X701" i="9" s="1"/>
  <c r="B708" i="5"/>
  <c r="H708" i="5" s="1"/>
  <c r="I708" i="5" s="1"/>
  <c r="J708" i="5" s="1" a="1"/>
  <c r="J708" i="5" s="1"/>
  <c r="X702" i="9" s="1"/>
  <c r="B709" i="5"/>
  <c r="B710" i="5"/>
  <c r="H710" i="5" s="1"/>
  <c r="I710" i="5" s="1"/>
  <c r="J710" i="5" s="1" a="1"/>
  <c r="J710" i="5" s="1"/>
  <c r="X704" i="9" s="1"/>
  <c r="B711" i="5"/>
  <c r="H711" i="5" s="1"/>
  <c r="I711" i="5" s="1"/>
  <c r="J711" i="5" s="1" a="1"/>
  <c r="J711" i="5" s="1"/>
  <c r="X705" i="9" s="1"/>
  <c r="B712" i="5"/>
  <c r="H712" i="5" s="1"/>
  <c r="I712" i="5" s="1"/>
  <c r="J712" i="5" s="1" a="1"/>
  <c r="J712" i="5" s="1"/>
  <c r="X706" i="9" s="1"/>
  <c r="B713" i="5"/>
  <c r="B714" i="5"/>
  <c r="H714" i="5" s="1"/>
  <c r="I714" i="5" s="1"/>
  <c r="J714" i="5" s="1" a="1"/>
  <c r="J714" i="5" s="1"/>
  <c r="X708" i="9" s="1"/>
  <c r="B715" i="5"/>
  <c r="H715" i="5" s="1"/>
  <c r="I715" i="5" s="1"/>
  <c r="J715" i="5" s="1" a="1"/>
  <c r="J715" i="5" s="1"/>
  <c r="X709" i="9" s="1"/>
  <c r="B716" i="5"/>
  <c r="H716" i="5" s="1"/>
  <c r="I716" i="5" s="1"/>
  <c r="J716" i="5" s="1" a="1"/>
  <c r="J716" i="5" s="1"/>
  <c r="X710" i="9" s="1"/>
  <c r="B717" i="5"/>
  <c r="B718" i="5"/>
  <c r="H718" i="5" s="1"/>
  <c r="I718" i="5" s="1"/>
  <c r="J718" i="5" s="1" a="1"/>
  <c r="J718" i="5" s="1"/>
  <c r="X712" i="9" s="1"/>
  <c r="B719" i="5"/>
  <c r="H719" i="5" s="1"/>
  <c r="I719" i="5" s="1"/>
  <c r="J719" i="5" s="1" a="1"/>
  <c r="J719" i="5" s="1"/>
  <c r="X713" i="9" s="1"/>
  <c r="B720" i="5"/>
  <c r="H720" i="5" s="1"/>
  <c r="I720" i="5" s="1"/>
  <c r="J720" i="5" s="1" a="1"/>
  <c r="J720" i="5" s="1"/>
  <c r="X714" i="9" s="1"/>
  <c r="B721" i="5"/>
  <c r="B722" i="5"/>
  <c r="H722" i="5" s="1"/>
  <c r="I722" i="5" s="1"/>
  <c r="J722" i="5" s="1" a="1"/>
  <c r="J722" i="5" s="1"/>
  <c r="X716" i="9" s="1"/>
  <c r="B723" i="5"/>
  <c r="H723" i="5" s="1"/>
  <c r="I723" i="5" s="1"/>
  <c r="J723" i="5" s="1" a="1"/>
  <c r="J723" i="5" s="1"/>
  <c r="X717" i="9" s="1"/>
  <c r="B724" i="5"/>
  <c r="H724" i="5" s="1"/>
  <c r="I724" i="5" s="1"/>
  <c r="J724" i="5" s="1" a="1"/>
  <c r="J724" i="5" s="1"/>
  <c r="X718" i="9" s="1"/>
  <c r="B725" i="5"/>
  <c r="B726" i="5"/>
  <c r="H726" i="5" s="1"/>
  <c r="I726" i="5" s="1"/>
  <c r="J726" i="5" s="1" a="1"/>
  <c r="J726" i="5" s="1"/>
  <c r="X720" i="9" s="1"/>
  <c r="B727" i="5"/>
  <c r="H727" i="5" s="1"/>
  <c r="I727" i="5" s="1"/>
  <c r="J727" i="5" s="1" a="1"/>
  <c r="J727" i="5" s="1"/>
  <c r="X721" i="9" s="1"/>
  <c r="B728" i="5"/>
  <c r="H728" i="5" s="1"/>
  <c r="I728" i="5" s="1"/>
  <c r="J728" i="5" s="1" a="1"/>
  <c r="J728" i="5" s="1"/>
  <c r="X722" i="9" s="1"/>
  <c r="B729" i="5"/>
  <c r="B730" i="5"/>
  <c r="H730" i="5" s="1"/>
  <c r="I730" i="5" s="1"/>
  <c r="J730" i="5" s="1" a="1"/>
  <c r="J730" i="5" s="1"/>
  <c r="X724" i="9" s="1"/>
  <c r="B731" i="5"/>
  <c r="H731" i="5" s="1"/>
  <c r="I731" i="5" s="1"/>
  <c r="J731" i="5" s="1" a="1"/>
  <c r="J731" i="5" s="1"/>
  <c r="X725" i="9" s="1"/>
  <c r="B732" i="5"/>
  <c r="H732" i="5" s="1"/>
  <c r="I732" i="5" s="1"/>
  <c r="J732" i="5" s="1" a="1"/>
  <c r="J732" i="5" s="1"/>
  <c r="X726" i="9" s="1"/>
  <c r="B733" i="5"/>
  <c r="B734" i="5"/>
  <c r="H734" i="5" s="1"/>
  <c r="I734" i="5" s="1"/>
  <c r="J734" i="5" s="1" a="1"/>
  <c r="J734" i="5" s="1"/>
  <c r="X728" i="9" s="1"/>
  <c r="B735" i="5"/>
  <c r="H735" i="5" s="1"/>
  <c r="I735" i="5" s="1"/>
  <c r="J735" i="5" s="1" a="1"/>
  <c r="J735" i="5" s="1"/>
  <c r="X729" i="9" s="1"/>
  <c r="B736" i="5"/>
  <c r="H736" i="5" s="1"/>
  <c r="I736" i="5" s="1"/>
  <c r="J736" i="5" s="1" a="1"/>
  <c r="J736" i="5" s="1"/>
  <c r="X730" i="9" s="1"/>
  <c r="B737" i="5"/>
  <c r="B738" i="5"/>
  <c r="H738" i="5" s="1"/>
  <c r="I738" i="5" s="1"/>
  <c r="J738" i="5" s="1" a="1"/>
  <c r="J738" i="5" s="1"/>
  <c r="X732" i="9" s="1"/>
  <c r="B739" i="5"/>
  <c r="H739" i="5" s="1"/>
  <c r="I739" i="5" s="1"/>
  <c r="J739" i="5" s="1" a="1"/>
  <c r="J739" i="5" s="1"/>
  <c r="X733" i="9" s="1"/>
  <c r="B740" i="5"/>
  <c r="H740" i="5" s="1"/>
  <c r="I740" i="5" s="1"/>
  <c r="J740" i="5" s="1" a="1"/>
  <c r="J740" i="5" s="1"/>
  <c r="X734" i="9" s="1"/>
  <c r="B741" i="5"/>
  <c r="B742" i="5"/>
  <c r="H742" i="5" s="1"/>
  <c r="I742" i="5" s="1"/>
  <c r="J742" i="5" s="1" a="1"/>
  <c r="J742" i="5" s="1"/>
  <c r="X736" i="9" s="1"/>
  <c r="B743" i="5"/>
  <c r="H743" i="5" s="1"/>
  <c r="I743" i="5" s="1"/>
  <c r="J743" i="5" s="1" a="1"/>
  <c r="J743" i="5" s="1"/>
  <c r="X737" i="9" s="1"/>
  <c r="B744" i="5"/>
  <c r="H744" i="5" s="1"/>
  <c r="I744" i="5" s="1"/>
  <c r="J744" i="5" s="1" a="1"/>
  <c r="J744" i="5" s="1"/>
  <c r="X738" i="9" s="1"/>
  <c r="B745" i="5"/>
  <c r="B746" i="5"/>
  <c r="H746" i="5" s="1"/>
  <c r="I746" i="5" s="1"/>
  <c r="J746" i="5" s="1" a="1"/>
  <c r="J746" i="5" s="1"/>
  <c r="X740" i="9" s="1"/>
  <c r="B747" i="5"/>
  <c r="H747" i="5" s="1"/>
  <c r="I747" i="5" s="1"/>
  <c r="J747" i="5" s="1" a="1"/>
  <c r="J747" i="5" s="1"/>
  <c r="X741" i="9" s="1"/>
  <c r="B748" i="5"/>
  <c r="H748" i="5" s="1"/>
  <c r="I748" i="5" s="1"/>
  <c r="J748" i="5" s="1" a="1"/>
  <c r="J748" i="5" s="1"/>
  <c r="X742" i="9" s="1"/>
  <c r="B749" i="5"/>
  <c r="B750" i="5"/>
  <c r="H750" i="5" s="1"/>
  <c r="I750" i="5" s="1"/>
  <c r="J750" i="5" s="1" a="1"/>
  <c r="J750" i="5" s="1"/>
  <c r="X744" i="9" s="1"/>
  <c r="B751" i="5"/>
  <c r="H751" i="5" s="1"/>
  <c r="I751" i="5" s="1"/>
  <c r="J751" i="5" s="1" a="1"/>
  <c r="J751" i="5" s="1"/>
  <c r="X745" i="9" s="1"/>
  <c r="B752" i="5"/>
  <c r="H752" i="5" s="1"/>
  <c r="I752" i="5" s="1"/>
  <c r="J752" i="5" s="1" a="1"/>
  <c r="J752" i="5" s="1"/>
  <c r="X746" i="9" s="1"/>
  <c r="B753" i="5"/>
  <c r="B754" i="5"/>
  <c r="H754" i="5" s="1"/>
  <c r="I754" i="5" s="1"/>
  <c r="J754" i="5" s="1" a="1"/>
  <c r="J754" i="5" s="1"/>
  <c r="X748" i="9" s="1"/>
  <c r="B755" i="5"/>
  <c r="H755" i="5" s="1"/>
  <c r="I755" i="5" s="1"/>
  <c r="J755" i="5" s="1" a="1"/>
  <c r="J755" i="5" s="1"/>
  <c r="X749" i="9" s="1"/>
  <c r="B756" i="5"/>
  <c r="H756" i="5" s="1"/>
  <c r="I756" i="5" s="1"/>
  <c r="J756" i="5" s="1" a="1"/>
  <c r="J756" i="5" s="1"/>
  <c r="X750" i="9" s="1"/>
  <c r="B757" i="5"/>
  <c r="B758" i="5"/>
  <c r="H758" i="5" s="1"/>
  <c r="I758" i="5" s="1"/>
  <c r="J758" i="5" s="1" a="1"/>
  <c r="J758" i="5" s="1"/>
  <c r="X752" i="9" s="1"/>
  <c r="B759" i="5"/>
  <c r="H759" i="5" s="1"/>
  <c r="I759" i="5" s="1"/>
  <c r="J759" i="5" s="1" a="1"/>
  <c r="J759" i="5" s="1"/>
  <c r="X753" i="9" s="1"/>
  <c r="B760" i="5"/>
  <c r="H760" i="5" s="1"/>
  <c r="I760" i="5" s="1"/>
  <c r="J760" i="5" s="1" a="1"/>
  <c r="J760" i="5" s="1"/>
  <c r="X754" i="9" s="1"/>
  <c r="B761" i="5"/>
  <c r="B762" i="5"/>
  <c r="H762" i="5" s="1"/>
  <c r="I762" i="5" s="1"/>
  <c r="J762" i="5" s="1" a="1"/>
  <c r="J762" i="5" s="1"/>
  <c r="X756" i="9" s="1"/>
  <c r="B763" i="5"/>
  <c r="H763" i="5" s="1"/>
  <c r="I763" i="5" s="1"/>
  <c r="J763" i="5" s="1" a="1"/>
  <c r="J763" i="5" s="1"/>
  <c r="X757" i="9" s="1"/>
  <c r="B764" i="5"/>
  <c r="H764" i="5" s="1"/>
  <c r="I764" i="5" s="1"/>
  <c r="J764" i="5" s="1" a="1"/>
  <c r="J764" i="5" s="1"/>
  <c r="X758" i="9" s="1"/>
  <c r="B765" i="5"/>
  <c r="B766" i="5"/>
  <c r="H766" i="5" s="1"/>
  <c r="I766" i="5" s="1"/>
  <c r="J766" i="5" s="1" a="1"/>
  <c r="J766" i="5" s="1"/>
  <c r="X760" i="9" s="1"/>
  <c r="B767" i="5"/>
  <c r="H767" i="5" s="1"/>
  <c r="I767" i="5" s="1"/>
  <c r="J767" i="5" s="1" a="1"/>
  <c r="J767" i="5" s="1"/>
  <c r="X761" i="9" s="1"/>
  <c r="B768" i="5"/>
  <c r="H768" i="5" s="1"/>
  <c r="I768" i="5" s="1"/>
  <c r="J768" i="5" s="1" a="1"/>
  <c r="J768" i="5" s="1"/>
  <c r="X762" i="9" s="1"/>
  <c r="B769" i="5"/>
  <c r="B770" i="5"/>
  <c r="H770" i="5" s="1"/>
  <c r="I770" i="5" s="1"/>
  <c r="J770" i="5" s="1" a="1"/>
  <c r="J770" i="5" s="1"/>
  <c r="X764" i="9" s="1"/>
  <c r="B771" i="5"/>
  <c r="H771" i="5" s="1"/>
  <c r="I771" i="5" s="1"/>
  <c r="J771" i="5" s="1" a="1"/>
  <c r="J771" i="5" s="1"/>
  <c r="X765" i="9" s="1"/>
  <c r="B772" i="5"/>
  <c r="H772" i="5" s="1"/>
  <c r="I772" i="5" s="1"/>
  <c r="J772" i="5" s="1" a="1"/>
  <c r="J772" i="5" s="1"/>
  <c r="X766" i="9" s="1"/>
  <c r="B773" i="5"/>
  <c r="B774" i="5"/>
  <c r="H774" i="5" s="1"/>
  <c r="I774" i="5" s="1"/>
  <c r="J774" i="5" s="1" a="1"/>
  <c r="J774" i="5" s="1"/>
  <c r="X768" i="9" s="1"/>
  <c r="B775" i="5"/>
  <c r="H775" i="5" s="1"/>
  <c r="I775" i="5" s="1"/>
  <c r="J775" i="5" s="1" a="1"/>
  <c r="J775" i="5" s="1"/>
  <c r="X769" i="9" s="1"/>
  <c r="B776" i="5"/>
  <c r="H776" i="5" s="1"/>
  <c r="I776" i="5" s="1"/>
  <c r="J776" i="5" s="1" a="1"/>
  <c r="J776" i="5" s="1"/>
  <c r="X770" i="9" s="1"/>
  <c r="B777" i="5"/>
  <c r="B778" i="5"/>
  <c r="H778" i="5" s="1"/>
  <c r="I778" i="5" s="1"/>
  <c r="J778" i="5" s="1" a="1"/>
  <c r="J778" i="5" s="1"/>
  <c r="X772" i="9" s="1"/>
  <c r="B779" i="5"/>
  <c r="H779" i="5" s="1"/>
  <c r="I779" i="5" s="1"/>
  <c r="J779" i="5" s="1" a="1"/>
  <c r="J779" i="5" s="1"/>
  <c r="X773" i="9" s="1"/>
  <c r="B780" i="5"/>
  <c r="H780" i="5" s="1"/>
  <c r="I780" i="5" s="1"/>
  <c r="J780" i="5" s="1" a="1"/>
  <c r="J780" i="5" s="1"/>
  <c r="X774" i="9" s="1"/>
  <c r="B781" i="5"/>
  <c r="B782" i="5"/>
  <c r="H782" i="5" s="1"/>
  <c r="I782" i="5" s="1"/>
  <c r="J782" i="5" s="1" a="1"/>
  <c r="J782" i="5" s="1"/>
  <c r="X776" i="9" s="1"/>
  <c r="B783" i="5"/>
  <c r="H783" i="5" s="1"/>
  <c r="I783" i="5" s="1"/>
  <c r="J783" i="5" s="1" a="1"/>
  <c r="J783" i="5" s="1"/>
  <c r="X777" i="9" s="1"/>
  <c r="B784" i="5"/>
  <c r="H784" i="5" s="1"/>
  <c r="I784" i="5" s="1"/>
  <c r="J784" i="5" s="1" a="1"/>
  <c r="J784" i="5" s="1"/>
  <c r="X778" i="9" s="1"/>
  <c r="B785" i="5"/>
  <c r="B786" i="5"/>
  <c r="H786" i="5" s="1"/>
  <c r="I786" i="5" s="1"/>
  <c r="J786" i="5" s="1" a="1"/>
  <c r="J786" i="5" s="1"/>
  <c r="X780" i="9" s="1"/>
  <c r="B787" i="5"/>
  <c r="H787" i="5" s="1"/>
  <c r="I787" i="5" s="1"/>
  <c r="J787" i="5" s="1" a="1"/>
  <c r="J787" i="5" s="1"/>
  <c r="X781" i="9" s="1"/>
  <c r="B788" i="5"/>
  <c r="H788" i="5" s="1"/>
  <c r="I788" i="5" s="1"/>
  <c r="J788" i="5" s="1" a="1"/>
  <c r="J788" i="5" s="1"/>
  <c r="X782" i="9" s="1"/>
  <c r="B789" i="5"/>
  <c r="B790" i="5"/>
  <c r="H790" i="5" s="1"/>
  <c r="I790" i="5" s="1"/>
  <c r="J790" i="5" s="1" a="1"/>
  <c r="J790" i="5" s="1"/>
  <c r="X784" i="9" s="1"/>
  <c r="B791" i="5"/>
  <c r="H791" i="5" s="1"/>
  <c r="I791" i="5" s="1"/>
  <c r="J791" i="5" s="1" a="1"/>
  <c r="J791" i="5" s="1"/>
  <c r="X785" i="9" s="1"/>
  <c r="B792" i="5"/>
  <c r="H792" i="5" s="1"/>
  <c r="I792" i="5" s="1"/>
  <c r="J792" i="5" s="1" a="1"/>
  <c r="J792" i="5" s="1"/>
  <c r="X786" i="9" s="1"/>
  <c r="B793" i="5"/>
  <c r="B794" i="5"/>
  <c r="H794" i="5" s="1"/>
  <c r="I794" i="5" s="1"/>
  <c r="J794" i="5" s="1" a="1"/>
  <c r="J794" i="5" s="1"/>
  <c r="X788" i="9" s="1"/>
  <c r="B795" i="5"/>
  <c r="H795" i="5" s="1"/>
  <c r="I795" i="5" s="1"/>
  <c r="J795" i="5" s="1" a="1"/>
  <c r="J795" i="5" s="1"/>
  <c r="X789" i="9" s="1"/>
  <c r="B796" i="5"/>
  <c r="H796" i="5" s="1"/>
  <c r="I796" i="5" s="1"/>
  <c r="J796" i="5" s="1" a="1"/>
  <c r="J796" i="5" s="1"/>
  <c r="X790" i="9" s="1"/>
  <c r="B797" i="5"/>
  <c r="B798" i="5"/>
  <c r="H798" i="5" s="1"/>
  <c r="I798" i="5" s="1"/>
  <c r="J798" i="5" s="1" a="1"/>
  <c r="J798" i="5" s="1"/>
  <c r="X792" i="9" s="1"/>
  <c r="B799" i="5"/>
  <c r="H799" i="5" s="1"/>
  <c r="I799" i="5" s="1"/>
  <c r="J799" i="5" s="1" a="1"/>
  <c r="J799" i="5" s="1"/>
  <c r="X793" i="9" s="1"/>
  <c r="B800" i="5"/>
  <c r="H800" i="5" s="1"/>
  <c r="I800" i="5" s="1"/>
  <c r="J800" i="5" s="1" a="1"/>
  <c r="J800" i="5" s="1"/>
  <c r="X794" i="9" s="1"/>
  <c r="B801" i="5"/>
  <c r="B802" i="5"/>
  <c r="H802" i="5" s="1"/>
  <c r="I802" i="5" s="1"/>
  <c r="J802" i="5" s="1" a="1"/>
  <c r="J802" i="5" s="1"/>
  <c r="X796" i="9" s="1"/>
  <c r="B803" i="5"/>
  <c r="H803" i="5" s="1"/>
  <c r="I803" i="5" s="1"/>
  <c r="J803" i="5" s="1" a="1"/>
  <c r="J803" i="5" s="1"/>
  <c r="X797" i="9" s="1"/>
  <c r="B804" i="5"/>
  <c r="H804" i="5" s="1"/>
  <c r="I804" i="5" s="1"/>
  <c r="J804" i="5" s="1" a="1"/>
  <c r="J804" i="5" s="1"/>
  <c r="X798" i="9" s="1"/>
  <c r="B805" i="5"/>
  <c r="B806" i="5"/>
  <c r="H806" i="5" s="1"/>
  <c r="I806" i="5" s="1"/>
  <c r="J806" i="5" s="1" a="1"/>
  <c r="J806" i="5" s="1"/>
  <c r="X800" i="9" s="1"/>
  <c r="B807" i="5"/>
  <c r="H807" i="5" s="1"/>
  <c r="I807" i="5" s="1"/>
  <c r="J807" i="5" s="1" a="1"/>
  <c r="J807" i="5" s="1"/>
  <c r="X801" i="9" s="1"/>
  <c r="B808" i="5"/>
  <c r="H808" i="5" s="1"/>
  <c r="I808" i="5" s="1"/>
  <c r="J808" i="5" s="1" a="1"/>
  <c r="J808" i="5" s="1"/>
  <c r="X802" i="9" s="1"/>
  <c r="B809" i="5"/>
  <c r="B810" i="5"/>
  <c r="H810" i="5" s="1"/>
  <c r="I810" i="5" s="1"/>
  <c r="J810" i="5" s="1" a="1"/>
  <c r="J810" i="5" s="1"/>
  <c r="X804" i="9" s="1"/>
  <c r="B811" i="5"/>
  <c r="H811" i="5" s="1"/>
  <c r="I811" i="5" s="1"/>
  <c r="J811" i="5" s="1" a="1"/>
  <c r="J811" i="5" s="1"/>
  <c r="X805" i="9" s="1"/>
  <c r="B812" i="5"/>
  <c r="H812" i="5" s="1"/>
  <c r="I812" i="5" s="1"/>
  <c r="J812" i="5" s="1" a="1"/>
  <c r="J812" i="5" s="1"/>
  <c r="X806" i="9" s="1"/>
  <c r="B813" i="5"/>
  <c r="B814" i="5"/>
  <c r="H814" i="5" s="1"/>
  <c r="I814" i="5" s="1"/>
  <c r="J814" i="5" s="1" a="1"/>
  <c r="J814" i="5" s="1"/>
  <c r="X808" i="9" s="1"/>
  <c r="B815" i="5"/>
  <c r="H815" i="5" s="1"/>
  <c r="I815" i="5" s="1"/>
  <c r="J815" i="5" s="1" a="1"/>
  <c r="J815" i="5" s="1"/>
  <c r="X809" i="9" s="1"/>
  <c r="B816" i="5"/>
  <c r="H816" i="5" s="1"/>
  <c r="I816" i="5" s="1"/>
  <c r="J816" i="5" s="1" a="1"/>
  <c r="J816" i="5" s="1"/>
  <c r="X810" i="9" s="1"/>
  <c r="B817" i="5"/>
  <c r="B818" i="5"/>
  <c r="H818" i="5" s="1"/>
  <c r="I818" i="5" s="1"/>
  <c r="J818" i="5" s="1" a="1"/>
  <c r="J818" i="5" s="1"/>
  <c r="X812" i="9" s="1"/>
  <c r="B819" i="5"/>
  <c r="H819" i="5" s="1"/>
  <c r="I819" i="5" s="1"/>
  <c r="J819" i="5" s="1" a="1"/>
  <c r="J819" i="5" s="1"/>
  <c r="X813" i="9" s="1"/>
  <c r="B820" i="5"/>
  <c r="H820" i="5" s="1"/>
  <c r="I820" i="5" s="1"/>
  <c r="J820" i="5" s="1" a="1"/>
  <c r="J820" i="5" s="1"/>
  <c r="X814" i="9" s="1"/>
  <c r="B821" i="5"/>
  <c r="B822" i="5"/>
  <c r="H822" i="5" s="1"/>
  <c r="I822" i="5" s="1"/>
  <c r="J822" i="5" s="1" a="1"/>
  <c r="J822" i="5" s="1"/>
  <c r="X816" i="9" s="1"/>
  <c r="B823" i="5"/>
  <c r="H823" i="5" s="1"/>
  <c r="I823" i="5" s="1"/>
  <c r="J823" i="5" s="1" a="1"/>
  <c r="J823" i="5" s="1"/>
  <c r="X817" i="9" s="1"/>
  <c r="B824" i="5"/>
  <c r="H824" i="5" s="1"/>
  <c r="I824" i="5" s="1"/>
  <c r="J824" i="5" s="1" a="1"/>
  <c r="J824" i="5" s="1"/>
  <c r="X818" i="9" s="1"/>
  <c r="B825" i="5"/>
  <c r="B826" i="5"/>
  <c r="H826" i="5" s="1"/>
  <c r="I826" i="5" s="1"/>
  <c r="J826" i="5" s="1" a="1"/>
  <c r="J826" i="5" s="1"/>
  <c r="X820" i="9" s="1"/>
  <c r="B827" i="5"/>
  <c r="H827" i="5" s="1"/>
  <c r="I827" i="5" s="1"/>
  <c r="J827" i="5" s="1" a="1"/>
  <c r="J827" i="5" s="1"/>
  <c r="X821" i="9" s="1"/>
  <c r="B828" i="5"/>
  <c r="H828" i="5" s="1"/>
  <c r="I828" i="5" s="1"/>
  <c r="J828" i="5" s="1" a="1"/>
  <c r="J828" i="5" s="1"/>
  <c r="X822" i="9" s="1"/>
  <c r="B829" i="5"/>
  <c r="B830" i="5"/>
  <c r="H830" i="5" s="1"/>
  <c r="I830" i="5" s="1"/>
  <c r="J830" i="5" s="1" a="1"/>
  <c r="J830" i="5" s="1"/>
  <c r="X824" i="9" s="1"/>
  <c r="B831" i="5"/>
  <c r="H831" i="5" s="1"/>
  <c r="I831" i="5" s="1"/>
  <c r="J831" i="5" s="1" a="1"/>
  <c r="J831" i="5" s="1"/>
  <c r="X825" i="9" s="1"/>
  <c r="B832" i="5"/>
  <c r="H832" i="5" s="1"/>
  <c r="I832" i="5" s="1"/>
  <c r="J832" i="5" s="1" a="1"/>
  <c r="J832" i="5" s="1"/>
  <c r="X826" i="9" s="1"/>
  <c r="B833" i="5"/>
  <c r="B834" i="5"/>
  <c r="H834" i="5" s="1"/>
  <c r="I834" i="5" s="1"/>
  <c r="J834" i="5" s="1" a="1"/>
  <c r="J834" i="5" s="1"/>
  <c r="X828" i="9" s="1"/>
  <c r="B835" i="5"/>
  <c r="H835" i="5" s="1"/>
  <c r="I835" i="5" s="1"/>
  <c r="J835" i="5" s="1" a="1"/>
  <c r="J835" i="5" s="1"/>
  <c r="X829" i="9" s="1"/>
  <c r="B836" i="5"/>
  <c r="H836" i="5" s="1"/>
  <c r="I836" i="5" s="1"/>
  <c r="J836" i="5" s="1" a="1"/>
  <c r="J836" i="5" s="1"/>
  <c r="X830" i="9" s="1"/>
  <c r="B837" i="5"/>
  <c r="B838" i="5"/>
  <c r="H838" i="5" s="1"/>
  <c r="I838" i="5" s="1"/>
  <c r="J838" i="5" s="1" a="1"/>
  <c r="J838" i="5" s="1"/>
  <c r="X832" i="9" s="1"/>
  <c r="B839" i="5"/>
  <c r="H839" i="5" s="1"/>
  <c r="I839" i="5" s="1"/>
  <c r="J839" i="5" s="1" a="1"/>
  <c r="J839" i="5" s="1"/>
  <c r="X833" i="9" s="1"/>
  <c r="B840" i="5"/>
  <c r="H840" i="5" s="1"/>
  <c r="I840" i="5" s="1"/>
  <c r="J840" i="5" s="1" a="1"/>
  <c r="J840" i="5" s="1"/>
  <c r="X834" i="9" s="1"/>
  <c r="B841" i="5"/>
  <c r="B842" i="5"/>
  <c r="H842" i="5" s="1"/>
  <c r="I842" i="5" s="1"/>
  <c r="J842" i="5" s="1" a="1"/>
  <c r="J842" i="5" s="1"/>
  <c r="X836" i="9" s="1"/>
  <c r="B843" i="5"/>
  <c r="H843" i="5" s="1"/>
  <c r="I843" i="5" s="1"/>
  <c r="J843" i="5" s="1" a="1"/>
  <c r="J843" i="5" s="1"/>
  <c r="X837" i="9" s="1"/>
  <c r="B844" i="5"/>
  <c r="H844" i="5" s="1"/>
  <c r="I844" i="5" s="1"/>
  <c r="J844" i="5" s="1" a="1"/>
  <c r="J844" i="5" s="1"/>
  <c r="X838" i="9" s="1"/>
  <c r="B845" i="5"/>
  <c r="B846" i="5"/>
  <c r="H846" i="5" s="1"/>
  <c r="I846" i="5" s="1"/>
  <c r="J846" i="5" s="1" a="1"/>
  <c r="J846" i="5" s="1"/>
  <c r="X840" i="9" s="1"/>
  <c r="B847" i="5"/>
  <c r="H847" i="5" s="1"/>
  <c r="I847" i="5" s="1"/>
  <c r="J847" i="5" s="1" a="1"/>
  <c r="J847" i="5" s="1"/>
  <c r="X841" i="9" s="1"/>
  <c r="B848" i="5"/>
  <c r="H848" i="5" s="1"/>
  <c r="I848" i="5" s="1"/>
  <c r="J848" i="5" s="1" a="1"/>
  <c r="J848" i="5" s="1"/>
  <c r="X842" i="9" s="1"/>
  <c r="B849" i="5"/>
  <c r="B850" i="5"/>
  <c r="H850" i="5" s="1"/>
  <c r="I850" i="5" s="1"/>
  <c r="J850" i="5" s="1" a="1"/>
  <c r="J850" i="5" s="1"/>
  <c r="X844" i="9" s="1"/>
  <c r="B851" i="5"/>
  <c r="H851" i="5" s="1"/>
  <c r="I851" i="5" s="1"/>
  <c r="J851" i="5" s="1" a="1"/>
  <c r="J851" i="5" s="1"/>
  <c r="X845" i="9" s="1"/>
  <c r="B852" i="5"/>
  <c r="H852" i="5" s="1"/>
  <c r="I852" i="5" s="1"/>
  <c r="J852" i="5" s="1" a="1"/>
  <c r="J852" i="5" s="1"/>
  <c r="X846" i="9" s="1"/>
  <c r="B853" i="5"/>
  <c r="B854" i="5"/>
  <c r="H854" i="5" s="1"/>
  <c r="I854" i="5" s="1"/>
  <c r="J854" i="5" s="1" a="1"/>
  <c r="J854" i="5" s="1"/>
  <c r="X848" i="9" s="1"/>
  <c r="B855" i="5"/>
  <c r="H855" i="5" s="1"/>
  <c r="I855" i="5" s="1"/>
  <c r="J855" i="5" s="1" a="1"/>
  <c r="J855" i="5" s="1"/>
  <c r="X849" i="9" s="1"/>
  <c r="B856" i="5"/>
  <c r="H856" i="5" s="1"/>
  <c r="I856" i="5" s="1"/>
  <c r="J856" i="5" s="1" a="1"/>
  <c r="J856" i="5" s="1"/>
  <c r="X850" i="9" s="1"/>
  <c r="B857" i="5"/>
  <c r="B858" i="5"/>
  <c r="H858" i="5" s="1"/>
  <c r="I858" i="5" s="1"/>
  <c r="J858" i="5" s="1" a="1"/>
  <c r="J858" i="5" s="1"/>
  <c r="X852" i="9" s="1"/>
  <c r="B859" i="5"/>
  <c r="H859" i="5" s="1"/>
  <c r="I859" i="5" s="1"/>
  <c r="J859" i="5" s="1" a="1"/>
  <c r="J859" i="5" s="1"/>
  <c r="X853" i="9" s="1"/>
  <c r="B860" i="5"/>
  <c r="H860" i="5" s="1"/>
  <c r="I860" i="5" s="1"/>
  <c r="J860" i="5" s="1" a="1"/>
  <c r="J860" i="5" s="1"/>
  <c r="X854" i="9" s="1"/>
  <c r="B861" i="5"/>
  <c r="B862" i="5"/>
  <c r="H862" i="5" s="1"/>
  <c r="I862" i="5" s="1"/>
  <c r="J862" i="5" s="1" a="1"/>
  <c r="J862" i="5" s="1"/>
  <c r="X856" i="9" s="1"/>
  <c r="B863" i="5"/>
  <c r="H863" i="5" s="1"/>
  <c r="I863" i="5" s="1"/>
  <c r="J863" i="5" s="1" a="1"/>
  <c r="J863" i="5" s="1"/>
  <c r="X857" i="9" s="1"/>
  <c r="B864" i="5"/>
  <c r="H864" i="5" s="1"/>
  <c r="I864" i="5" s="1"/>
  <c r="J864" i="5" s="1" a="1"/>
  <c r="J864" i="5" s="1"/>
  <c r="X858" i="9" s="1"/>
  <c r="B865" i="5"/>
  <c r="B866" i="5"/>
  <c r="H866" i="5" s="1"/>
  <c r="I866" i="5" s="1"/>
  <c r="J866" i="5" s="1" a="1"/>
  <c r="J866" i="5" s="1"/>
  <c r="X860" i="9" s="1"/>
  <c r="B867" i="5"/>
  <c r="H867" i="5" s="1"/>
  <c r="I867" i="5" s="1"/>
  <c r="J867" i="5" s="1" a="1"/>
  <c r="J867" i="5" s="1"/>
  <c r="X861" i="9" s="1"/>
  <c r="B868" i="5"/>
  <c r="H868" i="5" s="1"/>
  <c r="I868" i="5" s="1"/>
  <c r="J868" i="5" s="1" a="1"/>
  <c r="J868" i="5" s="1"/>
  <c r="X862" i="9" s="1"/>
  <c r="B869" i="5"/>
  <c r="B870" i="5"/>
  <c r="H870" i="5" s="1"/>
  <c r="I870" i="5" s="1"/>
  <c r="J870" i="5" s="1" a="1"/>
  <c r="J870" i="5" s="1"/>
  <c r="X864" i="9" s="1"/>
  <c r="B871" i="5"/>
  <c r="H871" i="5" s="1"/>
  <c r="I871" i="5" s="1"/>
  <c r="J871" i="5" s="1" a="1"/>
  <c r="J871" i="5" s="1"/>
  <c r="X865" i="9" s="1"/>
  <c r="B872" i="5"/>
  <c r="H872" i="5" s="1"/>
  <c r="I872" i="5" s="1"/>
  <c r="J872" i="5" s="1" a="1"/>
  <c r="J872" i="5" s="1"/>
  <c r="X866" i="9" s="1"/>
  <c r="B873" i="5"/>
  <c r="B874" i="5"/>
  <c r="H874" i="5" s="1"/>
  <c r="I874" i="5" s="1"/>
  <c r="J874" i="5" s="1" a="1"/>
  <c r="J874" i="5" s="1"/>
  <c r="X868" i="9" s="1"/>
  <c r="B875" i="5"/>
  <c r="H875" i="5" s="1"/>
  <c r="I875" i="5" s="1"/>
  <c r="J875" i="5" s="1" a="1"/>
  <c r="J875" i="5" s="1"/>
  <c r="X869" i="9" s="1"/>
  <c r="B876" i="5"/>
  <c r="H876" i="5" s="1"/>
  <c r="I876" i="5" s="1"/>
  <c r="J876" i="5" s="1" a="1"/>
  <c r="J876" i="5" s="1"/>
  <c r="X870" i="9" s="1"/>
  <c r="B877" i="5"/>
  <c r="B878" i="5"/>
  <c r="H878" i="5" s="1"/>
  <c r="I878" i="5" s="1"/>
  <c r="J878" i="5" s="1" a="1"/>
  <c r="J878" i="5" s="1"/>
  <c r="X872" i="9" s="1"/>
  <c r="B879" i="5"/>
  <c r="H879" i="5" s="1"/>
  <c r="I879" i="5" s="1"/>
  <c r="J879" i="5" s="1" a="1"/>
  <c r="J879" i="5" s="1"/>
  <c r="X873" i="9" s="1"/>
  <c r="B880" i="5"/>
  <c r="H880" i="5" s="1"/>
  <c r="I880" i="5" s="1"/>
  <c r="J880" i="5" s="1" a="1"/>
  <c r="J880" i="5" s="1"/>
  <c r="X874" i="9" s="1"/>
  <c r="B881" i="5"/>
  <c r="B882" i="5"/>
  <c r="H882" i="5" s="1"/>
  <c r="I882" i="5" s="1"/>
  <c r="J882" i="5" s="1" a="1"/>
  <c r="J882" i="5" s="1"/>
  <c r="X876" i="9" s="1"/>
  <c r="B883" i="5"/>
  <c r="H883" i="5" s="1"/>
  <c r="I883" i="5" s="1"/>
  <c r="J883" i="5" s="1" a="1"/>
  <c r="J883" i="5" s="1"/>
  <c r="X877" i="9" s="1"/>
  <c r="B884" i="5"/>
  <c r="H884" i="5" s="1"/>
  <c r="I884" i="5" s="1"/>
  <c r="J884" i="5" s="1" a="1"/>
  <c r="J884" i="5" s="1"/>
  <c r="X878" i="9" s="1"/>
  <c r="B885" i="5"/>
  <c r="B886" i="5"/>
  <c r="H886" i="5" s="1"/>
  <c r="I886" i="5" s="1"/>
  <c r="J886" i="5" s="1" a="1"/>
  <c r="J886" i="5" s="1"/>
  <c r="X880" i="9" s="1"/>
  <c r="B887" i="5"/>
  <c r="H887" i="5" s="1"/>
  <c r="I887" i="5" s="1"/>
  <c r="J887" i="5" s="1" a="1"/>
  <c r="J887" i="5" s="1"/>
  <c r="X881" i="9" s="1"/>
  <c r="B888" i="5"/>
  <c r="H888" i="5" s="1"/>
  <c r="I888" i="5" s="1"/>
  <c r="J888" i="5" s="1" a="1"/>
  <c r="J888" i="5" s="1"/>
  <c r="X882" i="9" s="1"/>
  <c r="B889" i="5"/>
  <c r="B890" i="5"/>
  <c r="H890" i="5" s="1"/>
  <c r="I890" i="5" s="1"/>
  <c r="J890" i="5" s="1" a="1"/>
  <c r="J890" i="5" s="1"/>
  <c r="X884" i="9" s="1"/>
  <c r="B891" i="5"/>
  <c r="H891" i="5" s="1"/>
  <c r="I891" i="5" s="1"/>
  <c r="J891" i="5" s="1" a="1"/>
  <c r="J891" i="5" s="1"/>
  <c r="X885" i="9" s="1"/>
  <c r="B892" i="5"/>
  <c r="H892" i="5" s="1"/>
  <c r="I892" i="5" s="1"/>
  <c r="J892" i="5" s="1" a="1"/>
  <c r="J892" i="5" s="1"/>
  <c r="X886" i="9" s="1"/>
  <c r="B893" i="5"/>
  <c r="B894" i="5"/>
  <c r="H894" i="5" s="1"/>
  <c r="I894" i="5" s="1"/>
  <c r="J894" i="5" s="1" a="1"/>
  <c r="J894" i="5" s="1"/>
  <c r="X888" i="9" s="1"/>
  <c r="B895" i="5"/>
  <c r="H895" i="5" s="1"/>
  <c r="I895" i="5" s="1"/>
  <c r="J895" i="5" s="1" a="1"/>
  <c r="J895" i="5" s="1"/>
  <c r="X889" i="9" s="1"/>
  <c r="B896" i="5"/>
  <c r="H896" i="5" s="1"/>
  <c r="I896" i="5" s="1"/>
  <c r="J896" i="5" s="1" a="1"/>
  <c r="J896" i="5" s="1"/>
  <c r="X890" i="9" s="1"/>
  <c r="B897" i="5"/>
  <c r="B898" i="5"/>
  <c r="H898" i="5" s="1"/>
  <c r="I898" i="5" s="1"/>
  <c r="J898" i="5" s="1" a="1"/>
  <c r="J898" i="5" s="1"/>
  <c r="X892" i="9" s="1"/>
  <c r="B899" i="5"/>
  <c r="H899" i="5" s="1"/>
  <c r="I899" i="5" s="1"/>
  <c r="J899" i="5" s="1" a="1"/>
  <c r="J899" i="5" s="1"/>
  <c r="X893" i="9" s="1"/>
  <c r="B900" i="5"/>
  <c r="H900" i="5" s="1"/>
  <c r="I900" i="5" s="1"/>
  <c r="J900" i="5" s="1" a="1"/>
  <c r="J900" i="5" s="1"/>
  <c r="X894" i="9" s="1"/>
  <c r="B901" i="5"/>
  <c r="B902" i="5"/>
  <c r="H902" i="5" s="1"/>
  <c r="I902" i="5" s="1"/>
  <c r="J902" i="5" s="1" a="1"/>
  <c r="J902" i="5" s="1"/>
  <c r="X896" i="9" s="1"/>
  <c r="B903" i="5"/>
  <c r="H903" i="5" s="1"/>
  <c r="I903" i="5" s="1"/>
  <c r="J903" i="5" s="1" a="1"/>
  <c r="J903" i="5" s="1"/>
  <c r="X897" i="9" s="1"/>
  <c r="B904" i="5"/>
  <c r="H904" i="5" s="1"/>
  <c r="I904" i="5" s="1"/>
  <c r="J904" i="5" s="1" a="1"/>
  <c r="J904" i="5" s="1"/>
  <c r="X898" i="9" s="1"/>
  <c r="B905" i="5"/>
  <c r="B906" i="5"/>
  <c r="H906" i="5" s="1"/>
  <c r="I906" i="5" s="1"/>
  <c r="J906" i="5" s="1" a="1"/>
  <c r="J906" i="5" s="1"/>
  <c r="X900" i="9" s="1"/>
  <c r="B907" i="5"/>
  <c r="H907" i="5" s="1"/>
  <c r="I907" i="5" s="1"/>
  <c r="J907" i="5" s="1" a="1"/>
  <c r="J907" i="5" s="1"/>
  <c r="X901" i="9" s="1"/>
  <c r="B908" i="5"/>
  <c r="H908" i="5" s="1"/>
  <c r="I908" i="5" s="1"/>
  <c r="J908" i="5" s="1" a="1"/>
  <c r="J908" i="5" s="1"/>
  <c r="X902" i="9" s="1"/>
  <c r="B909" i="5"/>
  <c r="B910" i="5"/>
  <c r="H910" i="5" s="1"/>
  <c r="I910" i="5" s="1"/>
  <c r="J910" i="5" s="1" a="1"/>
  <c r="J910" i="5" s="1"/>
  <c r="X904" i="9" s="1"/>
  <c r="B911" i="5"/>
  <c r="H911" i="5" s="1"/>
  <c r="I911" i="5" s="1"/>
  <c r="J911" i="5" s="1" a="1"/>
  <c r="J911" i="5" s="1"/>
  <c r="X905" i="9" s="1"/>
  <c r="B912" i="5"/>
  <c r="H912" i="5" s="1"/>
  <c r="I912" i="5" s="1"/>
  <c r="J912" i="5" s="1" a="1"/>
  <c r="J912" i="5" s="1"/>
  <c r="X906" i="9" s="1"/>
  <c r="B913" i="5"/>
  <c r="B914" i="5"/>
  <c r="H914" i="5" s="1"/>
  <c r="I914" i="5" s="1"/>
  <c r="J914" i="5" s="1" a="1"/>
  <c r="J914" i="5" s="1"/>
  <c r="X908" i="9" s="1"/>
  <c r="B915" i="5"/>
  <c r="H915" i="5" s="1"/>
  <c r="I915" i="5" s="1"/>
  <c r="J915" i="5" s="1" a="1"/>
  <c r="J915" i="5" s="1"/>
  <c r="X909" i="9" s="1"/>
  <c r="B916" i="5"/>
  <c r="H916" i="5" s="1"/>
  <c r="I916" i="5" s="1"/>
  <c r="J916" i="5" s="1" a="1"/>
  <c r="J916" i="5" s="1"/>
  <c r="X910" i="9" s="1"/>
  <c r="B917" i="5"/>
  <c r="B918" i="5"/>
  <c r="H918" i="5" s="1"/>
  <c r="I918" i="5" s="1"/>
  <c r="J918" i="5" s="1" a="1"/>
  <c r="J918" i="5" s="1"/>
  <c r="X912" i="9" s="1"/>
  <c r="B919" i="5"/>
  <c r="H919" i="5" s="1"/>
  <c r="I919" i="5" s="1"/>
  <c r="J919" i="5" s="1" a="1"/>
  <c r="J919" i="5" s="1"/>
  <c r="X913" i="9" s="1"/>
  <c r="B920" i="5"/>
  <c r="H920" i="5" s="1"/>
  <c r="I920" i="5" s="1"/>
  <c r="J920" i="5" s="1" a="1"/>
  <c r="J920" i="5" s="1"/>
  <c r="X914" i="9" s="1"/>
  <c r="B921" i="5"/>
  <c r="B922" i="5"/>
  <c r="H922" i="5" s="1"/>
  <c r="I922" i="5" s="1"/>
  <c r="J922" i="5" s="1" a="1"/>
  <c r="J922" i="5" s="1"/>
  <c r="X916" i="9" s="1"/>
  <c r="B923" i="5"/>
  <c r="H923" i="5" s="1"/>
  <c r="I923" i="5" s="1"/>
  <c r="J923" i="5" s="1" a="1"/>
  <c r="J923" i="5" s="1"/>
  <c r="X917" i="9" s="1"/>
  <c r="B924" i="5"/>
  <c r="H924" i="5" s="1"/>
  <c r="I924" i="5" s="1"/>
  <c r="J924" i="5" s="1" a="1"/>
  <c r="J924" i="5" s="1"/>
  <c r="X918" i="9" s="1"/>
  <c r="B925" i="5"/>
  <c r="B926" i="5"/>
  <c r="H926" i="5" s="1"/>
  <c r="I926" i="5" s="1"/>
  <c r="J926" i="5" s="1" a="1"/>
  <c r="J926" i="5" s="1"/>
  <c r="X920" i="9" s="1"/>
  <c r="B927" i="5"/>
  <c r="H927" i="5" s="1"/>
  <c r="I927" i="5" s="1"/>
  <c r="J927" i="5" s="1" a="1"/>
  <c r="J927" i="5" s="1"/>
  <c r="X921" i="9" s="1"/>
  <c r="B928" i="5"/>
  <c r="H928" i="5" s="1"/>
  <c r="I928" i="5" s="1"/>
  <c r="J928" i="5" s="1" a="1"/>
  <c r="J928" i="5" s="1"/>
  <c r="X922" i="9" s="1"/>
  <c r="B929" i="5"/>
  <c r="B930" i="5"/>
  <c r="H930" i="5" s="1"/>
  <c r="I930" i="5" s="1"/>
  <c r="J930" i="5" s="1" a="1"/>
  <c r="J930" i="5" s="1"/>
  <c r="X924" i="9" s="1"/>
  <c r="B931" i="5"/>
  <c r="H931" i="5" s="1"/>
  <c r="I931" i="5" s="1"/>
  <c r="J931" i="5" s="1" a="1"/>
  <c r="J931" i="5" s="1"/>
  <c r="X925" i="9" s="1"/>
  <c r="B932" i="5"/>
  <c r="H932" i="5" s="1"/>
  <c r="I932" i="5" s="1"/>
  <c r="J932" i="5" s="1" a="1"/>
  <c r="J932" i="5" s="1"/>
  <c r="X926" i="9" s="1"/>
  <c r="B933" i="5"/>
  <c r="B934" i="5"/>
  <c r="H934" i="5" s="1"/>
  <c r="I934" i="5" s="1"/>
  <c r="J934" i="5" s="1" a="1"/>
  <c r="J934" i="5" s="1"/>
  <c r="X928" i="9" s="1"/>
  <c r="B935" i="5"/>
  <c r="H935" i="5" s="1"/>
  <c r="I935" i="5" s="1"/>
  <c r="J935" i="5" s="1" a="1"/>
  <c r="J935" i="5" s="1"/>
  <c r="X929" i="9" s="1"/>
  <c r="B936" i="5"/>
  <c r="H936" i="5" s="1"/>
  <c r="I936" i="5" s="1"/>
  <c r="J936" i="5" s="1" a="1"/>
  <c r="J936" i="5" s="1"/>
  <c r="X930" i="9" s="1"/>
  <c r="B937" i="5"/>
  <c r="B938" i="5"/>
  <c r="H938" i="5" s="1"/>
  <c r="I938" i="5" s="1"/>
  <c r="J938" i="5" s="1" a="1"/>
  <c r="J938" i="5" s="1"/>
  <c r="X932" i="9" s="1"/>
  <c r="B939" i="5"/>
  <c r="H939" i="5" s="1"/>
  <c r="I939" i="5" s="1"/>
  <c r="J939" i="5" s="1" a="1"/>
  <c r="J939" i="5" s="1"/>
  <c r="X933" i="9" s="1"/>
  <c r="B940" i="5"/>
  <c r="H940" i="5" s="1"/>
  <c r="I940" i="5" s="1"/>
  <c r="J940" i="5" s="1" a="1"/>
  <c r="J940" i="5" s="1"/>
  <c r="X934" i="9" s="1"/>
  <c r="B941" i="5"/>
  <c r="B942" i="5"/>
  <c r="H942" i="5" s="1"/>
  <c r="I942" i="5" s="1"/>
  <c r="J942" i="5" s="1" a="1"/>
  <c r="J942" i="5" s="1"/>
  <c r="X936" i="9" s="1"/>
  <c r="B943" i="5"/>
  <c r="H943" i="5" s="1"/>
  <c r="I943" i="5" s="1"/>
  <c r="J943" i="5" s="1" a="1"/>
  <c r="J943" i="5" s="1"/>
  <c r="X937" i="9" s="1"/>
  <c r="B944" i="5"/>
  <c r="H944" i="5" s="1"/>
  <c r="I944" i="5" s="1"/>
  <c r="J944" i="5" s="1" a="1"/>
  <c r="J944" i="5" s="1"/>
  <c r="X938" i="9" s="1"/>
  <c r="B945" i="5"/>
  <c r="B946" i="5"/>
  <c r="H946" i="5" s="1"/>
  <c r="I946" i="5" s="1"/>
  <c r="J946" i="5" s="1" a="1"/>
  <c r="J946" i="5" s="1"/>
  <c r="X940" i="9" s="1"/>
  <c r="B947" i="5"/>
  <c r="H947" i="5" s="1"/>
  <c r="I947" i="5" s="1"/>
  <c r="J947" i="5" s="1" a="1"/>
  <c r="J947" i="5" s="1"/>
  <c r="X941" i="9" s="1"/>
  <c r="B948" i="5"/>
  <c r="H948" i="5" s="1"/>
  <c r="I948" i="5" s="1"/>
  <c r="J948" i="5" s="1" a="1"/>
  <c r="J948" i="5" s="1"/>
  <c r="X942" i="9" s="1"/>
  <c r="B949" i="5"/>
  <c r="B950" i="5"/>
  <c r="H950" i="5" s="1"/>
  <c r="I950" i="5" s="1"/>
  <c r="J950" i="5" s="1" a="1"/>
  <c r="J950" i="5" s="1"/>
  <c r="X944" i="9" s="1"/>
  <c r="B951" i="5"/>
  <c r="H951" i="5" s="1"/>
  <c r="I951" i="5" s="1"/>
  <c r="J951" i="5" s="1" a="1"/>
  <c r="J951" i="5" s="1"/>
  <c r="X945" i="9" s="1"/>
  <c r="B952" i="5"/>
  <c r="H952" i="5" s="1"/>
  <c r="I952" i="5" s="1"/>
  <c r="J952" i="5" s="1" a="1"/>
  <c r="J952" i="5" s="1"/>
  <c r="X946" i="9" s="1"/>
  <c r="B953" i="5"/>
  <c r="B954" i="5"/>
  <c r="H954" i="5" s="1"/>
  <c r="I954" i="5" s="1"/>
  <c r="J954" i="5" s="1" a="1"/>
  <c r="J954" i="5" s="1"/>
  <c r="X948" i="9" s="1"/>
  <c r="B955" i="5"/>
  <c r="H955" i="5" s="1"/>
  <c r="I955" i="5" s="1"/>
  <c r="J955" i="5" s="1" a="1"/>
  <c r="J955" i="5" s="1"/>
  <c r="X949" i="9" s="1"/>
  <c r="B956" i="5"/>
  <c r="H956" i="5" s="1"/>
  <c r="I956" i="5" s="1"/>
  <c r="J956" i="5" s="1" a="1"/>
  <c r="J956" i="5" s="1"/>
  <c r="X950" i="9" s="1"/>
  <c r="B957" i="5"/>
  <c r="B958" i="5"/>
  <c r="H958" i="5" s="1"/>
  <c r="I958" i="5" s="1"/>
  <c r="J958" i="5" s="1" a="1"/>
  <c r="J958" i="5" s="1"/>
  <c r="X952" i="9" s="1"/>
  <c r="B959" i="5"/>
  <c r="H959" i="5" s="1"/>
  <c r="I959" i="5" s="1"/>
  <c r="J959" i="5" s="1" a="1"/>
  <c r="J959" i="5" s="1"/>
  <c r="X953" i="9" s="1"/>
  <c r="B960" i="5"/>
  <c r="H960" i="5" s="1"/>
  <c r="I960" i="5" s="1"/>
  <c r="J960" i="5" s="1" a="1"/>
  <c r="J960" i="5" s="1"/>
  <c r="X954" i="9" s="1"/>
  <c r="B961" i="5"/>
  <c r="B962" i="5"/>
  <c r="H962" i="5" s="1"/>
  <c r="I962" i="5" s="1"/>
  <c r="J962" i="5" s="1" a="1"/>
  <c r="J962" i="5" s="1"/>
  <c r="X956" i="9" s="1"/>
  <c r="B963" i="5"/>
  <c r="H963" i="5" s="1"/>
  <c r="I963" i="5" s="1"/>
  <c r="J963" i="5" s="1" a="1"/>
  <c r="J963" i="5" s="1"/>
  <c r="X957" i="9" s="1"/>
  <c r="B964" i="5"/>
  <c r="H964" i="5" s="1"/>
  <c r="I964" i="5" s="1"/>
  <c r="J964" i="5" s="1" a="1"/>
  <c r="J964" i="5" s="1"/>
  <c r="X958" i="9" s="1"/>
  <c r="B965" i="5"/>
  <c r="B966" i="5"/>
  <c r="H966" i="5" s="1"/>
  <c r="I966" i="5" s="1"/>
  <c r="J966" i="5" s="1" a="1"/>
  <c r="J966" i="5" s="1"/>
  <c r="X960" i="9" s="1"/>
  <c r="B967" i="5"/>
  <c r="H967" i="5" s="1"/>
  <c r="I967" i="5" s="1"/>
  <c r="J967" i="5" s="1" a="1"/>
  <c r="J967" i="5" s="1"/>
  <c r="X961" i="9" s="1"/>
  <c r="B968" i="5"/>
  <c r="H968" i="5" s="1"/>
  <c r="I968" i="5" s="1"/>
  <c r="J968" i="5" s="1" a="1"/>
  <c r="J968" i="5" s="1"/>
  <c r="X962" i="9" s="1"/>
  <c r="B969" i="5"/>
  <c r="B970" i="5"/>
  <c r="H970" i="5" s="1"/>
  <c r="I970" i="5" s="1"/>
  <c r="J970" i="5" s="1" a="1"/>
  <c r="J970" i="5" s="1"/>
  <c r="X964" i="9" s="1"/>
  <c r="B971" i="5"/>
  <c r="H971" i="5" s="1"/>
  <c r="I971" i="5" s="1"/>
  <c r="J971" i="5" s="1" a="1"/>
  <c r="J971" i="5" s="1"/>
  <c r="X965" i="9" s="1"/>
  <c r="B972" i="5"/>
  <c r="H972" i="5" s="1"/>
  <c r="I972" i="5" s="1"/>
  <c r="J972" i="5" s="1" a="1"/>
  <c r="J972" i="5" s="1"/>
  <c r="X966" i="9" s="1"/>
  <c r="B973" i="5"/>
  <c r="H973" i="5" s="1"/>
  <c r="I973" i="5" s="1"/>
  <c r="J973" i="5" s="1" a="1"/>
  <c r="J973" i="5" s="1"/>
  <c r="X967" i="9" s="1"/>
  <c r="B974" i="5"/>
  <c r="H974" i="5" s="1"/>
  <c r="I974" i="5" s="1"/>
  <c r="J974" i="5" s="1" a="1"/>
  <c r="J974" i="5" s="1"/>
  <c r="X968" i="9" s="1"/>
  <c r="B975" i="5"/>
  <c r="H975" i="5" s="1"/>
  <c r="I975" i="5" s="1"/>
  <c r="J975" i="5" s="1" a="1"/>
  <c r="J975" i="5" s="1"/>
  <c r="X969" i="9" s="1"/>
  <c r="B976" i="5"/>
  <c r="H976" i="5" s="1"/>
  <c r="I976" i="5" s="1"/>
  <c r="J976" i="5" s="1" a="1"/>
  <c r="J976" i="5" s="1"/>
  <c r="X970" i="9" s="1"/>
  <c r="B977" i="5"/>
  <c r="H977" i="5" s="1"/>
  <c r="I977" i="5" s="1"/>
  <c r="J977" i="5" s="1" a="1"/>
  <c r="J977" i="5" s="1"/>
  <c r="X971" i="9" s="1"/>
  <c r="B978" i="5"/>
  <c r="H978" i="5" s="1"/>
  <c r="I978" i="5" s="1"/>
  <c r="J978" i="5" s="1" a="1"/>
  <c r="J978" i="5" s="1"/>
  <c r="X972" i="9" s="1"/>
  <c r="B979" i="5"/>
  <c r="H979" i="5" s="1"/>
  <c r="I979" i="5" s="1"/>
  <c r="J979" i="5" s="1" a="1"/>
  <c r="J979" i="5" s="1"/>
  <c r="X973" i="9" s="1"/>
  <c r="B980" i="5"/>
  <c r="H980" i="5" s="1"/>
  <c r="I980" i="5" s="1"/>
  <c r="J980" i="5" s="1" a="1"/>
  <c r="J980" i="5" s="1"/>
  <c r="X974" i="9" s="1"/>
  <c r="B981" i="5"/>
  <c r="H981" i="5" s="1"/>
  <c r="I981" i="5" s="1"/>
  <c r="J981" i="5" s="1" a="1"/>
  <c r="J981" i="5" s="1"/>
  <c r="X975" i="9" s="1"/>
  <c r="B982" i="5"/>
  <c r="H982" i="5" s="1"/>
  <c r="I982" i="5" s="1"/>
  <c r="J982" i="5" s="1" a="1"/>
  <c r="J982" i="5" s="1"/>
  <c r="X976" i="9" s="1"/>
  <c r="B983" i="5"/>
  <c r="H983" i="5" s="1"/>
  <c r="I983" i="5" s="1"/>
  <c r="J983" i="5" s="1" a="1"/>
  <c r="J983" i="5" s="1"/>
  <c r="X977" i="9" s="1"/>
  <c r="B984" i="5"/>
  <c r="H984" i="5" s="1"/>
  <c r="I984" i="5" s="1"/>
  <c r="J984" i="5" s="1" a="1"/>
  <c r="J984" i="5" s="1"/>
  <c r="X978" i="9" s="1"/>
  <c r="B985" i="5"/>
  <c r="H985" i="5" s="1"/>
  <c r="I985" i="5" s="1"/>
  <c r="J985" i="5" s="1" a="1"/>
  <c r="J985" i="5" s="1"/>
  <c r="X979" i="9" s="1"/>
  <c r="B986" i="5"/>
  <c r="H986" i="5" s="1"/>
  <c r="I986" i="5" s="1"/>
  <c r="J986" i="5" s="1" a="1"/>
  <c r="J986" i="5" s="1"/>
  <c r="X980" i="9" s="1"/>
  <c r="B987" i="5"/>
  <c r="H987" i="5" s="1"/>
  <c r="I987" i="5" s="1"/>
  <c r="J987" i="5" s="1" a="1"/>
  <c r="J987" i="5" s="1"/>
  <c r="X981" i="9" s="1"/>
  <c r="B988" i="5"/>
  <c r="H988" i="5" s="1"/>
  <c r="I988" i="5" s="1"/>
  <c r="J988" i="5" s="1" a="1"/>
  <c r="J988" i="5" s="1"/>
  <c r="X982" i="9" s="1"/>
  <c r="B989" i="5"/>
  <c r="H989" i="5" s="1"/>
  <c r="I989" i="5" s="1"/>
  <c r="J989" i="5" s="1" a="1"/>
  <c r="J989" i="5" s="1"/>
  <c r="X983" i="9" s="1"/>
  <c r="B990" i="5"/>
  <c r="H990" i="5" s="1"/>
  <c r="I990" i="5" s="1"/>
  <c r="J990" i="5" s="1" a="1"/>
  <c r="J990" i="5" s="1"/>
  <c r="X984" i="9" s="1"/>
  <c r="B991" i="5"/>
  <c r="H991" i="5" s="1"/>
  <c r="I991" i="5" s="1"/>
  <c r="J991" i="5" s="1" a="1"/>
  <c r="J991" i="5" s="1"/>
  <c r="X985" i="9" s="1"/>
  <c r="B992" i="5"/>
  <c r="H992" i="5" s="1"/>
  <c r="I992" i="5" s="1"/>
  <c r="J992" i="5" s="1" a="1"/>
  <c r="J992" i="5" s="1"/>
  <c r="X986" i="9" s="1"/>
  <c r="B993" i="5"/>
  <c r="H993" i="5" s="1"/>
  <c r="I993" i="5" s="1"/>
  <c r="J993" i="5" s="1" a="1"/>
  <c r="J993" i="5" s="1"/>
  <c r="X987" i="9" s="1"/>
  <c r="B994" i="5"/>
  <c r="H994" i="5" s="1"/>
  <c r="I994" i="5" s="1"/>
  <c r="J994" i="5" s="1" a="1"/>
  <c r="J994" i="5" s="1"/>
  <c r="X988" i="9" s="1"/>
  <c r="B995" i="5"/>
  <c r="H995" i="5" s="1"/>
  <c r="I995" i="5" s="1"/>
  <c r="J995" i="5" s="1" a="1"/>
  <c r="J995" i="5" s="1"/>
  <c r="X989" i="9" s="1"/>
  <c r="B996" i="5"/>
  <c r="H996" i="5" s="1"/>
  <c r="I996" i="5" s="1"/>
  <c r="J996" i="5" s="1" a="1"/>
  <c r="J996" i="5" s="1"/>
  <c r="X990" i="9" s="1"/>
  <c r="B997" i="5"/>
  <c r="H997" i="5" s="1"/>
  <c r="I997" i="5" s="1"/>
  <c r="J997" i="5" s="1" a="1"/>
  <c r="J997" i="5" s="1"/>
  <c r="X991" i="9" s="1"/>
  <c r="B998" i="5"/>
  <c r="H998" i="5" s="1"/>
  <c r="I998" i="5" s="1"/>
  <c r="J998" i="5" s="1" a="1"/>
  <c r="J998" i="5" s="1"/>
  <c r="X992" i="9" s="1"/>
  <c r="B999" i="5"/>
  <c r="H999" i="5" s="1"/>
  <c r="I999" i="5" s="1"/>
  <c r="J999" i="5" s="1" a="1"/>
  <c r="J999" i="5" s="1"/>
  <c r="X993" i="9" s="1"/>
  <c r="B1000" i="5"/>
  <c r="H1000" i="5" s="1"/>
  <c r="I1000" i="5" s="1"/>
  <c r="J1000" i="5" s="1" a="1"/>
  <c r="J1000" i="5" s="1"/>
  <c r="X994" i="9" s="1"/>
  <c r="B1001" i="5"/>
  <c r="H1001" i="5" s="1"/>
  <c r="I1001" i="5" s="1"/>
  <c r="J1001" i="5" s="1" a="1"/>
  <c r="J1001" i="5" s="1"/>
  <c r="X995" i="9" s="1"/>
  <c r="B1002" i="5"/>
  <c r="H1002" i="5" s="1"/>
  <c r="I1002" i="5" s="1"/>
  <c r="J1002" i="5" s="1" a="1"/>
  <c r="J1002" i="5" s="1"/>
  <c r="X996" i="9" s="1"/>
  <c r="B1003" i="5"/>
  <c r="H1003" i="5" s="1"/>
  <c r="I1003" i="5" s="1"/>
  <c r="J1003" i="5" s="1" a="1"/>
  <c r="J1003" i="5" s="1"/>
  <c r="X997" i="9" s="1"/>
  <c r="B1004" i="5"/>
  <c r="H1004" i="5" s="1"/>
  <c r="I1004" i="5" s="1"/>
  <c r="J1004" i="5" s="1" a="1"/>
  <c r="J1004" i="5" s="1"/>
  <c r="X998" i="9" s="1"/>
  <c r="B1005" i="5"/>
  <c r="H1005" i="5" s="1"/>
  <c r="I1005" i="5" s="1"/>
  <c r="J1005" i="5" s="1" a="1"/>
  <c r="J1005" i="5" s="1"/>
  <c r="X999" i="9" s="1"/>
  <c r="B1006" i="5"/>
  <c r="H1006" i="5" s="1"/>
  <c r="I1006" i="5" s="1"/>
  <c r="J1006" i="5" s="1" a="1"/>
  <c r="J1006" i="5" s="1"/>
  <c r="X1000" i="9" s="1"/>
  <c r="B1007" i="5"/>
  <c r="H1007" i="5" s="1"/>
  <c r="I1007" i="5" s="1"/>
  <c r="J1007" i="5" s="1" a="1"/>
  <c r="J1007" i="5" s="1"/>
  <c r="X1001" i="9" s="1"/>
  <c r="B1008" i="5"/>
  <c r="H1008" i="5" s="1"/>
  <c r="I1008" i="5" s="1"/>
  <c r="J1008" i="5" s="1" a="1"/>
  <c r="J1008" i="5" s="1"/>
  <c r="X1002" i="9" s="1"/>
  <c r="B1009" i="5"/>
  <c r="H1009" i="5" s="1"/>
  <c r="I1009" i="5" s="1"/>
  <c r="J1009" i="5" s="1" a="1"/>
  <c r="J1009" i="5" s="1"/>
  <c r="X1003" i="9" s="1"/>
  <c r="B1010" i="5"/>
  <c r="H1010" i="5" s="1"/>
  <c r="I1010" i="5" s="1"/>
  <c r="J1010" i="5" s="1" a="1"/>
  <c r="J1010" i="5" s="1"/>
  <c r="X1004" i="9" s="1"/>
  <c r="B1011" i="5"/>
  <c r="H1011" i="5" s="1"/>
  <c r="I1011" i="5" s="1"/>
  <c r="J1011" i="5" s="1" a="1"/>
  <c r="J1011" i="5" s="1"/>
  <c r="X1005" i="9" s="1"/>
  <c r="B1012" i="5"/>
  <c r="H1012" i="5" s="1"/>
  <c r="I1012" i="5" s="1"/>
  <c r="J1012" i="5" s="1" a="1"/>
  <c r="J1012" i="5" s="1"/>
  <c r="X1006" i="9" s="1"/>
  <c r="B1013" i="5"/>
  <c r="H1013" i="5" s="1"/>
  <c r="I1013" i="5" s="1"/>
  <c r="J1013" i="5" s="1" a="1"/>
  <c r="J1013" i="5" s="1"/>
  <c r="X1007" i="9" s="1"/>
  <c r="B1014" i="5"/>
  <c r="H1014" i="5" s="1"/>
  <c r="I1014" i="5" s="1"/>
  <c r="J1014" i="5" s="1" a="1"/>
  <c r="J1014" i="5" s="1"/>
  <c r="X1008" i="9" s="1"/>
  <c r="B1015" i="5"/>
  <c r="H1015" i="5" s="1"/>
  <c r="I1015" i="5" s="1"/>
  <c r="J1015" i="5" s="1" a="1"/>
  <c r="J1015" i="5" s="1"/>
  <c r="X1009" i="9" s="1"/>
  <c r="B1016" i="5"/>
  <c r="H1016" i="5" s="1"/>
  <c r="I1016" i="5" s="1"/>
  <c r="J1016" i="5" s="1" a="1"/>
  <c r="J1016" i="5" s="1"/>
  <c r="X1010" i="9" s="1"/>
  <c r="B1017" i="5"/>
  <c r="H1017" i="5" s="1"/>
  <c r="I1017" i="5" s="1"/>
  <c r="J1017" i="5" s="1" a="1"/>
  <c r="J1017" i="5" s="1"/>
  <c r="X1011" i="9" s="1"/>
  <c r="B1018" i="5"/>
  <c r="H1018" i="5" s="1"/>
  <c r="I1018" i="5" s="1"/>
  <c r="J1018" i="5" s="1" a="1"/>
  <c r="J1018" i="5" s="1"/>
  <c r="X1012" i="9" s="1"/>
  <c r="B1019" i="5"/>
  <c r="H1019" i="5" s="1"/>
  <c r="I1019" i="5" s="1"/>
  <c r="J1019" i="5" s="1" a="1"/>
  <c r="J1019" i="5" s="1"/>
  <c r="X1013" i="9" s="1"/>
  <c r="B1020" i="5"/>
  <c r="H1020" i="5" s="1"/>
  <c r="I1020" i="5" s="1"/>
  <c r="J1020" i="5" s="1" a="1"/>
  <c r="J1020" i="5" s="1"/>
  <c r="X1014" i="9" s="1"/>
  <c r="B1021" i="5"/>
  <c r="H1021" i="5" s="1"/>
  <c r="I1021" i="5" s="1"/>
  <c r="J1021" i="5" s="1" a="1"/>
  <c r="J1021" i="5" s="1"/>
  <c r="X1015" i="9" s="1"/>
  <c r="B1022" i="5"/>
  <c r="H1022" i="5" s="1"/>
  <c r="I1022" i="5" s="1"/>
  <c r="J1022" i="5" s="1" a="1"/>
  <c r="J1022" i="5" s="1"/>
  <c r="X1016" i="9" s="1"/>
  <c r="B1023" i="5"/>
  <c r="H1023" i="5" s="1"/>
  <c r="I1023" i="5" s="1"/>
  <c r="J1023" i="5" s="1" a="1"/>
  <c r="J1023" i="5" s="1"/>
  <c r="X1017" i="9" s="1"/>
  <c r="B1024" i="5"/>
  <c r="H1024" i="5" s="1"/>
  <c r="I1024" i="5" s="1"/>
  <c r="J1024" i="5" s="1" a="1"/>
  <c r="J1024" i="5" s="1"/>
  <c r="X1018" i="9" s="1"/>
  <c r="B1025" i="5"/>
  <c r="H1025" i="5" s="1"/>
  <c r="I1025" i="5" s="1"/>
  <c r="J1025" i="5" s="1" a="1"/>
  <c r="J1025" i="5" s="1"/>
  <c r="X1019" i="9" s="1"/>
  <c r="B1026" i="5"/>
  <c r="H1026" i="5" s="1"/>
  <c r="I1026" i="5" s="1"/>
  <c r="J1026" i="5" s="1" a="1"/>
  <c r="J1026" i="5" s="1"/>
  <c r="X1020" i="9" s="1"/>
  <c r="B1027" i="5"/>
  <c r="H1027" i="5" s="1"/>
  <c r="I1027" i="5" s="1"/>
  <c r="J1027" i="5" s="1" a="1"/>
  <c r="J1027" i="5" s="1"/>
  <c r="X1021" i="9" s="1"/>
  <c r="B1028" i="5"/>
  <c r="H1028" i="5" s="1"/>
  <c r="I1028" i="5" s="1"/>
  <c r="J1028" i="5" s="1" a="1"/>
  <c r="J1028" i="5" s="1"/>
  <c r="X1022" i="9" s="1"/>
  <c r="B1029" i="5"/>
  <c r="H1029" i="5" s="1"/>
  <c r="I1029" i="5" s="1"/>
  <c r="J1029" i="5" s="1" a="1"/>
  <c r="J1029" i="5" s="1"/>
  <c r="X1023" i="9" s="1"/>
  <c r="B1030" i="5"/>
  <c r="H1030" i="5" s="1"/>
  <c r="I1030" i="5" s="1"/>
  <c r="J1030" i="5" s="1" a="1"/>
  <c r="J1030" i="5" s="1"/>
  <c r="X1024" i="9" s="1"/>
  <c r="B1031" i="5"/>
  <c r="H1031" i="5" s="1"/>
  <c r="I1031" i="5" s="1"/>
  <c r="J1031" i="5" s="1" a="1"/>
  <c r="J1031" i="5" s="1"/>
  <c r="X1025" i="9" s="1"/>
  <c r="B1032" i="5"/>
  <c r="H1032" i="5" s="1"/>
  <c r="I1032" i="5" s="1"/>
  <c r="J1032" i="5" s="1" a="1"/>
  <c r="J1032" i="5" s="1"/>
  <c r="X1026" i="9" s="1"/>
  <c r="B1033" i="5"/>
  <c r="H1033" i="5" s="1"/>
  <c r="I1033" i="5" s="1"/>
  <c r="J1033" i="5" s="1" a="1"/>
  <c r="J1033" i="5" s="1"/>
  <c r="X1027" i="9" s="1"/>
  <c r="B1034" i="5"/>
  <c r="H1034" i="5" s="1"/>
  <c r="I1034" i="5" s="1"/>
  <c r="J1034" i="5" s="1" a="1"/>
  <c r="J1034" i="5" s="1"/>
  <c r="X1028" i="9" s="1"/>
  <c r="B1035" i="5"/>
  <c r="H1035" i="5" s="1"/>
  <c r="I1035" i="5" s="1"/>
  <c r="J1035" i="5" s="1" a="1"/>
  <c r="J1035" i="5" s="1"/>
  <c r="X1029" i="9" s="1"/>
  <c r="B1036" i="5"/>
  <c r="H1036" i="5" s="1"/>
  <c r="I1036" i="5" s="1"/>
  <c r="J1036" i="5" s="1" a="1"/>
  <c r="J1036" i="5" s="1"/>
  <c r="X1030" i="9" s="1"/>
  <c r="B1037" i="5"/>
  <c r="H1037" i="5" s="1"/>
  <c r="I1037" i="5" s="1"/>
  <c r="J1037" i="5" s="1" a="1"/>
  <c r="J1037" i="5" s="1"/>
  <c r="X1031" i="9" s="1"/>
  <c r="B1038" i="5"/>
  <c r="H1038" i="5" s="1"/>
  <c r="I1038" i="5" s="1"/>
  <c r="J1038" i="5" s="1" a="1"/>
  <c r="J1038" i="5" s="1"/>
  <c r="X1032" i="9" s="1"/>
  <c r="B1039" i="5"/>
  <c r="H1039" i="5" s="1"/>
  <c r="I1039" i="5" s="1"/>
  <c r="J1039" i="5" s="1" a="1"/>
  <c r="J1039" i="5" s="1"/>
  <c r="X1033" i="9" s="1"/>
  <c r="B1040" i="5"/>
  <c r="H1040" i="5" s="1"/>
  <c r="I1040" i="5" s="1"/>
  <c r="J1040" i="5" s="1" a="1"/>
  <c r="J1040" i="5" s="1"/>
  <c r="X1034" i="9" s="1"/>
  <c r="B1041" i="5"/>
  <c r="H1041" i="5" s="1"/>
  <c r="I1041" i="5" s="1"/>
  <c r="J1041" i="5" s="1" a="1"/>
  <c r="J1041" i="5" s="1"/>
  <c r="X1035" i="9" s="1"/>
  <c r="B1042" i="5"/>
  <c r="H1042" i="5" s="1"/>
  <c r="I1042" i="5" s="1"/>
  <c r="J1042" i="5" s="1" a="1"/>
  <c r="J1042" i="5" s="1"/>
  <c r="X1036" i="9" s="1"/>
  <c r="B1043" i="5"/>
  <c r="H1043" i="5" s="1"/>
  <c r="I1043" i="5" s="1"/>
  <c r="J1043" i="5" s="1" a="1"/>
  <c r="J1043" i="5" s="1"/>
  <c r="X1037" i="9" s="1"/>
  <c r="B1044" i="5"/>
  <c r="H1044" i="5" s="1"/>
  <c r="I1044" i="5" s="1"/>
  <c r="J1044" i="5" s="1" a="1"/>
  <c r="J1044" i="5" s="1"/>
  <c r="X1038" i="9" s="1"/>
  <c r="B1045" i="5"/>
  <c r="H1045" i="5" s="1"/>
  <c r="I1045" i="5" s="1"/>
  <c r="J1045" i="5" s="1" a="1"/>
  <c r="J1045" i="5" s="1"/>
  <c r="X1039" i="9" s="1"/>
  <c r="B1046" i="5"/>
  <c r="H1046" i="5" s="1"/>
  <c r="I1046" i="5" s="1"/>
  <c r="J1046" i="5" s="1" a="1"/>
  <c r="J1046" i="5" s="1"/>
  <c r="X1040" i="9" s="1"/>
  <c r="B1047" i="5"/>
  <c r="H1047" i="5" s="1"/>
  <c r="I1047" i="5" s="1"/>
  <c r="J1047" i="5" s="1" a="1"/>
  <c r="J1047" i="5" s="1"/>
  <c r="X1041" i="9" s="1"/>
  <c r="B1048" i="5"/>
  <c r="H1048" i="5" s="1"/>
  <c r="I1048" i="5" s="1"/>
  <c r="J1048" i="5" s="1" a="1"/>
  <c r="J1048" i="5" s="1"/>
  <c r="X1042" i="9" s="1"/>
  <c r="B1049" i="5"/>
  <c r="H1049" i="5" s="1"/>
  <c r="I1049" i="5" s="1"/>
  <c r="J1049" i="5" s="1" a="1"/>
  <c r="J1049" i="5" s="1"/>
  <c r="X1043" i="9" s="1"/>
  <c r="B1050" i="5"/>
  <c r="H1050" i="5" s="1"/>
  <c r="I1050" i="5" s="1"/>
  <c r="J1050" i="5" s="1" a="1"/>
  <c r="J1050" i="5" s="1"/>
  <c r="X1044" i="9" s="1"/>
  <c r="B1051" i="5"/>
  <c r="H1051" i="5" s="1"/>
  <c r="I1051" i="5" s="1"/>
  <c r="J1051" i="5" s="1" a="1"/>
  <c r="J1051" i="5" s="1"/>
  <c r="X1045" i="9" s="1"/>
  <c r="B1052" i="5"/>
  <c r="H1052" i="5" s="1"/>
  <c r="I1052" i="5" s="1"/>
  <c r="J1052" i="5" s="1" a="1"/>
  <c r="J1052" i="5" s="1"/>
  <c r="X1046" i="9" s="1"/>
  <c r="B1053" i="5"/>
  <c r="H1053" i="5" s="1"/>
  <c r="I1053" i="5" s="1"/>
  <c r="J1053" i="5" s="1" a="1"/>
  <c r="J1053" i="5" s="1"/>
  <c r="X1047" i="9" s="1"/>
  <c r="B1054" i="5"/>
  <c r="H1054" i="5" s="1"/>
  <c r="I1054" i="5" s="1"/>
  <c r="J1054" i="5" s="1" a="1"/>
  <c r="J1054" i="5" s="1"/>
  <c r="X1048" i="9" s="1"/>
  <c r="B1055" i="5"/>
  <c r="H1055" i="5" s="1"/>
  <c r="I1055" i="5" s="1"/>
  <c r="J1055" i="5" s="1" a="1"/>
  <c r="J1055" i="5" s="1"/>
  <c r="X1049" i="9" s="1"/>
  <c r="B1056" i="5"/>
  <c r="H1056" i="5" s="1"/>
  <c r="I1056" i="5" s="1"/>
  <c r="J1056" i="5" s="1" a="1"/>
  <c r="J1056" i="5" s="1"/>
  <c r="X1050" i="9" s="1"/>
  <c r="B1057" i="5"/>
  <c r="H1057" i="5" s="1"/>
  <c r="I1057" i="5" s="1"/>
  <c r="J1057" i="5" s="1" a="1"/>
  <c r="J1057" i="5" s="1"/>
  <c r="X1051" i="9" s="1"/>
  <c r="B1058" i="5"/>
  <c r="H1058" i="5" s="1"/>
  <c r="I1058" i="5" s="1"/>
  <c r="J1058" i="5" s="1" a="1"/>
  <c r="J1058" i="5" s="1"/>
  <c r="X1052" i="9" s="1"/>
  <c r="B1059" i="5"/>
  <c r="H1059" i="5" s="1"/>
  <c r="I1059" i="5" s="1"/>
  <c r="J1059" i="5" s="1" a="1"/>
  <c r="J1059" i="5" s="1"/>
  <c r="X1053" i="9" s="1"/>
  <c r="B1060" i="5"/>
  <c r="H1060" i="5" s="1"/>
  <c r="I1060" i="5" s="1"/>
  <c r="J1060" i="5" s="1" a="1"/>
  <c r="J1060" i="5" s="1"/>
  <c r="X1054" i="9" s="1"/>
  <c r="B1061" i="5"/>
  <c r="H1061" i="5" s="1"/>
  <c r="I1061" i="5" s="1"/>
  <c r="J1061" i="5" s="1" a="1"/>
  <c r="J1061" i="5" s="1"/>
  <c r="X1055" i="9" s="1"/>
  <c r="B1062" i="5"/>
  <c r="H1062" i="5" s="1"/>
  <c r="I1062" i="5" s="1"/>
  <c r="J1062" i="5" s="1" a="1"/>
  <c r="J1062" i="5" s="1"/>
  <c r="X1056" i="9" s="1"/>
  <c r="B1063" i="5"/>
  <c r="H1063" i="5" s="1"/>
  <c r="I1063" i="5" s="1"/>
  <c r="J1063" i="5" s="1" a="1"/>
  <c r="J1063" i="5" s="1"/>
  <c r="X1057" i="9" s="1"/>
  <c r="B1064" i="5"/>
  <c r="H1064" i="5" s="1"/>
  <c r="I1064" i="5" s="1"/>
  <c r="J1064" i="5" s="1" a="1"/>
  <c r="J1064" i="5" s="1"/>
  <c r="X1058" i="9" s="1"/>
  <c r="B1065" i="5"/>
  <c r="H1065" i="5" s="1"/>
  <c r="I1065" i="5" s="1"/>
  <c r="J1065" i="5" s="1" a="1"/>
  <c r="J1065" i="5" s="1"/>
  <c r="X1059" i="9" s="1"/>
  <c r="B1066" i="5"/>
  <c r="H1066" i="5" s="1"/>
  <c r="I1066" i="5" s="1"/>
  <c r="J1066" i="5" s="1" a="1"/>
  <c r="J1066" i="5" s="1"/>
  <c r="X1060" i="9" s="1"/>
  <c r="B1067" i="5"/>
  <c r="H1067" i="5" s="1"/>
  <c r="I1067" i="5" s="1"/>
  <c r="J1067" i="5" s="1" a="1"/>
  <c r="J1067" i="5" s="1"/>
  <c r="X1061" i="9" s="1"/>
  <c r="B1068" i="5"/>
  <c r="H1068" i="5" s="1"/>
  <c r="I1068" i="5" s="1"/>
  <c r="J1068" i="5" s="1" a="1"/>
  <c r="J1068" i="5" s="1"/>
  <c r="X1062" i="9" s="1"/>
  <c r="B1069" i="5"/>
  <c r="H1069" i="5" s="1"/>
  <c r="I1069" i="5" s="1"/>
  <c r="J1069" i="5" s="1" a="1"/>
  <c r="J1069" i="5" s="1"/>
  <c r="X1063" i="9" s="1"/>
  <c r="B1070" i="5"/>
  <c r="H1070" i="5" s="1"/>
  <c r="I1070" i="5" s="1"/>
  <c r="J1070" i="5" s="1" a="1"/>
  <c r="J1070" i="5" s="1"/>
  <c r="X1064" i="9" s="1"/>
  <c r="B1071" i="5"/>
  <c r="H1071" i="5" s="1"/>
  <c r="I1071" i="5" s="1"/>
  <c r="J1071" i="5" s="1" a="1"/>
  <c r="J1071" i="5" s="1"/>
  <c r="X1065" i="9" s="1"/>
  <c r="B1072" i="5"/>
  <c r="H1072" i="5" s="1"/>
  <c r="I1072" i="5" s="1"/>
  <c r="J1072" i="5" s="1" a="1"/>
  <c r="J1072" i="5" s="1"/>
  <c r="X1066" i="9" s="1"/>
  <c r="B1073" i="5"/>
  <c r="H1073" i="5" s="1"/>
  <c r="I1073" i="5" s="1"/>
  <c r="J1073" i="5" s="1" a="1"/>
  <c r="J1073" i="5" s="1"/>
  <c r="X1067" i="9" s="1"/>
  <c r="B1074" i="5"/>
  <c r="H1074" i="5" s="1"/>
  <c r="I1074" i="5" s="1"/>
  <c r="J1074" i="5" s="1" a="1"/>
  <c r="J1074" i="5" s="1"/>
  <c r="X1068" i="9" s="1"/>
  <c r="B1075" i="5"/>
  <c r="H1075" i="5" s="1"/>
  <c r="I1075" i="5" s="1"/>
  <c r="J1075" i="5" s="1" a="1"/>
  <c r="J1075" i="5" s="1"/>
  <c r="X1069" i="9" s="1"/>
  <c r="B1076" i="5"/>
  <c r="H1076" i="5" s="1"/>
  <c r="I1076" i="5" s="1"/>
  <c r="J1076" i="5" s="1" a="1"/>
  <c r="J1076" i="5" s="1"/>
  <c r="X1070" i="9" s="1"/>
  <c r="B1077" i="5"/>
  <c r="H1077" i="5" s="1"/>
  <c r="I1077" i="5" s="1"/>
  <c r="J1077" i="5" s="1" a="1"/>
  <c r="J1077" i="5" s="1"/>
  <c r="X1071" i="9" s="1"/>
  <c r="B1078" i="5"/>
  <c r="H1078" i="5" s="1"/>
  <c r="I1078" i="5" s="1"/>
  <c r="J1078" i="5" s="1" a="1"/>
  <c r="J1078" i="5" s="1"/>
  <c r="X1072" i="9" s="1"/>
  <c r="B1079" i="5"/>
  <c r="H1079" i="5" s="1"/>
  <c r="I1079" i="5" s="1"/>
  <c r="J1079" i="5" s="1" a="1"/>
  <c r="J1079" i="5" s="1"/>
  <c r="X1073" i="9" s="1"/>
  <c r="B1080" i="5"/>
  <c r="H1080" i="5" s="1"/>
  <c r="I1080" i="5" s="1"/>
  <c r="J1080" i="5" s="1" a="1"/>
  <c r="J1080" i="5" s="1"/>
  <c r="X1074" i="9" s="1"/>
  <c r="B1081" i="5"/>
  <c r="H1081" i="5" s="1"/>
  <c r="I1081" i="5" s="1"/>
  <c r="J1081" i="5" s="1" a="1"/>
  <c r="J1081" i="5" s="1"/>
  <c r="X1075" i="9" s="1"/>
  <c r="B1082" i="5"/>
  <c r="H1082" i="5" s="1"/>
  <c r="I1082" i="5" s="1"/>
  <c r="J1082" i="5" s="1" a="1"/>
  <c r="J1082" i="5" s="1"/>
  <c r="X1076" i="9" s="1"/>
  <c r="B1083" i="5"/>
  <c r="H1083" i="5" s="1"/>
  <c r="I1083" i="5" s="1"/>
  <c r="J1083" i="5" s="1" a="1"/>
  <c r="J1083" i="5" s="1"/>
  <c r="X1077" i="9" s="1"/>
  <c r="B1084" i="5"/>
  <c r="H1084" i="5" s="1"/>
  <c r="I1084" i="5" s="1"/>
  <c r="J1084" i="5" s="1" a="1"/>
  <c r="J1084" i="5" s="1"/>
  <c r="X1078" i="9" s="1"/>
  <c r="B1085" i="5"/>
  <c r="H1085" i="5" s="1"/>
  <c r="I1085" i="5" s="1"/>
  <c r="J1085" i="5" s="1" a="1"/>
  <c r="J1085" i="5" s="1"/>
  <c r="X1079" i="9" s="1"/>
  <c r="B1086" i="5"/>
  <c r="H1086" i="5" s="1"/>
  <c r="I1086" i="5" s="1"/>
  <c r="J1086" i="5" s="1" a="1"/>
  <c r="J1086" i="5" s="1"/>
  <c r="X1080" i="9" s="1"/>
  <c r="B1087" i="5"/>
  <c r="H1087" i="5" s="1"/>
  <c r="I1087" i="5" s="1"/>
  <c r="J1087" i="5" s="1" a="1"/>
  <c r="J1087" i="5" s="1"/>
  <c r="X1081" i="9" s="1"/>
  <c r="B1088" i="5"/>
  <c r="H1088" i="5" s="1"/>
  <c r="I1088" i="5" s="1"/>
  <c r="J1088" i="5" s="1" a="1"/>
  <c r="J1088" i="5" s="1"/>
  <c r="X1082" i="9" s="1"/>
  <c r="B1089" i="5"/>
  <c r="H1089" i="5" s="1"/>
  <c r="I1089" i="5" s="1"/>
  <c r="J1089" i="5" s="1" a="1"/>
  <c r="J1089" i="5" s="1"/>
  <c r="X1083" i="9" s="1"/>
  <c r="B1090" i="5"/>
  <c r="H1090" i="5" s="1"/>
  <c r="I1090" i="5" s="1"/>
  <c r="J1090" i="5" s="1" a="1"/>
  <c r="J1090" i="5" s="1"/>
  <c r="X1084" i="9" s="1"/>
  <c r="B1091" i="5"/>
  <c r="H1091" i="5" s="1"/>
  <c r="I1091" i="5" s="1"/>
  <c r="J1091" i="5" s="1" a="1"/>
  <c r="J1091" i="5" s="1"/>
  <c r="X1085" i="9" s="1"/>
  <c r="B1092" i="5"/>
  <c r="H1092" i="5" s="1"/>
  <c r="I1092" i="5" s="1"/>
  <c r="J1092" i="5" s="1" a="1"/>
  <c r="J1092" i="5" s="1"/>
  <c r="X1086" i="9" s="1"/>
  <c r="B1093" i="5"/>
  <c r="H1093" i="5" s="1"/>
  <c r="I1093" i="5" s="1"/>
  <c r="J1093" i="5" s="1" a="1"/>
  <c r="J1093" i="5" s="1"/>
  <c r="X1087" i="9" s="1"/>
  <c r="B1094" i="5"/>
  <c r="H1094" i="5" s="1"/>
  <c r="I1094" i="5" s="1"/>
  <c r="J1094" i="5" s="1" a="1"/>
  <c r="J1094" i="5" s="1"/>
  <c r="X1088" i="9" s="1"/>
  <c r="B1095" i="5"/>
  <c r="H1095" i="5" s="1"/>
  <c r="I1095" i="5" s="1"/>
  <c r="J1095" i="5" s="1" a="1"/>
  <c r="J1095" i="5" s="1"/>
  <c r="X1089" i="9" s="1"/>
  <c r="B1096" i="5"/>
  <c r="H1096" i="5" s="1"/>
  <c r="I1096" i="5" s="1"/>
  <c r="J1096" i="5" s="1" a="1"/>
  <c r="J1096" i="5" s="1"/>
  <c r="X1090" i="9" s="1"/>
  <c r="B1097" i="5"/>
  <c r="H1097" i="5" s="1"/>
  <c r="I1097" i="5" s="1"/>
  <c r="J1097" i="5" s="1" a="1"/>
  <c r="J1097" i="5" s="1"/>
  <c r="X1091" i="9" s="1"/>
  <c r="B1098" i="5"/>
  <c r="H1098" i="5" s="1"/>
  <c r="I1098" i="5" s="1"/>
  <c r="J1098" i="5" s="1" a="1"/>
  <c r="J1098" i="5" s="1"/>
  <c r="X1092" i="9" s="1"/>
  <c r="B1099" i="5"/>
  <c r="H1099" i="5" s="1"/>
  <c r="I1099" i="5" s="1"/>
  <c r="J1099" i="5" s="1" a="1"/>
  <c r="J1099" i="5" s="1"/>
  <c r="X1093" i="9" s="1"/>
  <c r="B1100" i="5"/>
  <c r="H1100" i="5" s="1"/>
  <c r="I1100" i="5" s="1"/>
  <c r="J1100" i="5" s="1" a="1"/>
  <c r="J1100" i="5" s="1"/>
  <c r="X1094" i="9" s="1"/>
  <c r="B1101" i="5"/>
  <c r="H1101" i="5" s="1"/>
  <c r="I1101" i="5" s="1"/>
  <c r="J1101" i="5" s="1" a="1"/>
  <c r="J1101" i="5" s="1"/>
  <c r="X1095" i="9" s="1"/>
  <c r="B1102" i="5"/>
  <c r="H1102" i="5" s="1"/>
  <c r="I1102" i="5" s="1"/>
  <c r="J1102" i="5" s="1" a="1"/>
  <c r="J1102" i="5" s="1"/>
  <c r="X1096" i="9" s="1"/>
  <c r="B1103" i="5"/>
  <c r="H1103" i="5" s="1"/>
  <c r="I1103" i="5" s="1"/>
  <c r="J1103" i="5" s="1" a="1"/>
  <c r="J1103" i="5" s="1"/>
  <c r="X1097" i="9" s="1"/>
  <c r="B1104" i="5"/>
  <c r="H1104" i="5" s="1"/>
  <c r="I1104" i="5" s="1"/>
  <c r="J1104" i="5" s="1" a="1"/>
  <c r="J1104" i="5" s="1"/>
  <c r="X1098" i="9" s="1"/>
  <c r="B1105" i="5"/>
  <c r="H1105" i="5" s="1"/>
  <c r="I1105" i="5" s="1"/>
  <c r="J1105" i="5" s="1" a="1"/>
  <c r="J1105" i="5" s="1"/>
  <c r="X1099" i="9" s="1"/>
  <c r="B1106" i="5"/>
  <c r="H1106" i="5" s="1"/>
  <c r="I1106" i="5" s="1"/>
  <c r="J1106" i="5" s="1" a="1"/>
  <c r="J1106" i="5" s="1"/>
  <c r="X1100" i="9" s="1"/>
  <c r="B1107" i="5"/>
  <c r="H1107" i="5" s="1"/>
  <c r="I1107" i="5" s="1"/>
  <c r="J1107" i="5" s="1" a="1"/>
  <c r="J1107" i="5" s="1"/>
  <c r="X1101" i="9" s="1"/>
  <c r="B1108" i="5"/>
  <c r="H1108" i="5" s="1"/>
  <c r="I1108" i="5" s="1"/>
  <c r="J1108" i="5" s="1" a="1"/>
  <c r="J1108" i="5" s="1"/>
  <c r="X1102" i="9" s="1"/>
  <c r="B1109" i="5"/>
  <c r="H1109" i="5" s="1"/>
  <c r="I1109" i="5" s="1"/>
  <c r="J1109" i="5" s="1" a="1"/>
  <c r="J1109" i="5" s="1"/>
  <c r="X1103" i="9" s="1"/>
  <c r="B1110" i="5"/>
  <c r="H1110" i="5" s="1"/>
  <c r="I1110" i="5" s="1"/>
  <c r="J1110" i="5" s="1" a="1"/>
  <c r="J1110" i="5" s="1"/>
  <c r="X1104" i="9" s="1"/>
  <c r="B1111" i="5"/>
  <c r="H1111" i="5" s="1"/>
  <c r="I1111" i="5" s="1"/>
  <c r="J1111" i="5" s="1" a="1"/>
  <c r="J1111" i="5" s="1"/>
  <c r="X1105" i="9" s="1"/>
  <c r="B1112" i="5"/>
  <c r="H1112" i="5" s="1"/>
  <c r="I1112" i="5" s="1"/>
  <c r="J1112" i="5" s="1" a="1"/>
  <c r="J1112" i="5" s="1"/>
  <c r="X1106" i="9" s="1"/>
  <c r="B1113" i="5"/>
  <c r="H1113" i="5" s="1"/>
  <c r="I1113" i="5" s="1"/>
  <c r="J1113" i="5" s="1" a="1"/>
  <c r="J1113" i="5" s="1"/>
  <c r="X1107" i="9" s="1"/>
  <c r="B1114" i="5"/>
  <c r="H1114" i="5" s="1"/>
  <c r="I1114" i="5" s="1"/>
  <c r="J1114" i="5" s="1" a="1"/>
  <c r="J1114" i="5" s="1"/>
  <c r="X1108" i="9" s="1"/>
  <c r="B1115" i="5"/>
  <c r="H1115" i="5" s="1"/>
  <c r="I1115" i="5" s="1"/>
  <c r="J1115" i="5" s="1" a="1"/>
  <c r="J1115" i="5" s="1"/>
  <c r="X1109" i="9" s="1"/>
  <c r="B1116" i="5"/>
  <c r="H1116" i="5" s="1"/>
  <c r="I1116" i="5" s="1"/>
  <c r="J1116" i="5" s="1" a="1"/>
  <c r="J1116" i="5" s="1"/>
  <c r="X1110" i="9" s="1"/>
  <c r="B1117" i="5"/>
  <c r="H1117" i="5" s="1"/>
  <c r="I1117" i="5" s="1"/>
  <c r="J1117" i="5" s="1" a="1"/>
  <c r="J1117" i="5" s="1"/>
  <c r="X1111" i="9" s="1"/>
  <c r="B1118" i="5"/>
  <c r="H1118" i="5" s="1"/>
  <c r="I1118" i="5" s="1"/>
  <c r="J1118" i="5" s="1" a="1"/>
  <c r="J1118" i="5" s="1"/>
  <c r="X1112" i="9" s="1"/>
  <c r="B1119" i="5"/>
  <c r="H1119" i="5" s="1"/>
  <c r="I1119" i="5" s="1"/>
  <c r="J1119" i="5" s="1" a="1"/>
  <c r="J1119" i="5" s="1"/>
  <c r="X1113" i="9" s="1"/>
  <c r="B1120" i="5"/>
  <c r="H1120" i="5" s="1"/>
  <c r="I1120" i="5" s="1"/>
  <c r="J1120" i="5" s="1" a="1"/>
  <c r="J1120" i="5" s="1"/>
  <c r="X1114" i="9" s="1"/>
  <c r="B1121" i="5"/>
  <c r="H1121" i="5" s="1"/>
  <c r="I1121" i="5" s="1"/>
  <c r="J1121" i="5" s="1" a="1"/>
  <c r="J1121" i="5" s="1"/>
  <c r="X1115" i="9" s="1"/>
  <c r="B1122" i="5"/>
  <c r="H1122" i="5" s="1"/>
  <c r="I1122" i="5" s="1"/>
  <c r="J1122" i="5" s="1" a="1"/>
  <c r="J1122" i="5" s="1"/>
  <c r="X1116" i="9" s="1"/>
  <c r="B1123" i="5"/>
  <c r="H1123" i="5" s="1"/>
  <c r="I1123" i="5" s="1"/>
  <c r="J1123" i="5" s="1" a="1"/>
  <c r="J1123" i="5" s="1"/>
  <c r="X1117" i="9" s="1"/>
  <c r="B1124" i="5"/>
  <c r="H1124" i="5" s="1"/>
  <c r="I1124" i="5" s="1"/>
  <c r="J1124" i="5" s="1" a="1"/>
  <c r="J1124" i="5" s="1"/>
  <c r="X1118" i="9" s="1"/>
  <c r="B1125" i="5"/>
  <c r="H1125" i="5" s="1"/>
  <c r="I1125" i="5" s="1"/>
  <c r="J1125" i="5" s="1" a="1"/>
  <c r="J1125" i="5" s="1"/>
  <c r="X1119" i="9" s="1"/>
  <c r="B1126" i="5"/>
  <c r="H1126" i="5" s="1"/>
  <c r="I1126" i="5" s="1"/>
  <c r="J1126" i="5" s="1" a="1"/>
  <c r="J1126" i="5" s="1"/>
  <c r="X1120" i="9" s="1"/>
  <c r="B1127" i="5"/>
  <c r="H1127" i="5" s="1"/>
  <c r="I1127" i="5" s="1"/>
  <c r="J1127" i="5" s="1" a="1"/>
  <c r="J1127" i="5" s="1"/>
  <c r="X1121" i="9" s="1"/>
  <c r="B1128" i="5"/>
  <c r="H1128" i="5" s="1"/>
  <c r="I1128" i="5" s="1"/>
  <c r="J1128" i="5" s="1" a="1"/>
  <c r="J1128" i="5" s="1"/>
  <c r="X1122" i="9" s="1"/>
  <c r="B1129" i="5"/>
  <c r="H1129" i="5" s="1"/>
  <c r="I1129" i="5" s="1"/>
  <c r="J1129" i="5" s="1" a="1"/>
  <c r="J1129" i="5" s="1"/>
  <c r="X1123" i="9" s="1"/>
  <c r="B1130" i="5"/>
  <c r="H1130" i="5" s="1"/>
  <c r="I1130" i="5" s="1"/>
  <c r="J1130" i="5" s="1" a="1"/>
  <c r="J1130" i="5" s="1"/>
  <c r="X1124" i="9" s="1"/>
  <c r="B1131" i="5"/>
  <c r="H1131" i="5" s="1"/>
  <c r="I1131" i="5" s="1"/>
  <c r="J1131" i="5" s="1" a="1"/>
  <c r="J1131" i="5" s="1"/>
  <c r="X1125" i="9" s="1"/>
  <c r="B1132" i="5"/>
  <c r="H1132" i="5" s="1"/>
  <c r="I1132" i="5" s="1"/>
  <c r="J1132" i="5" s="1" a="1"/>
  <c r="J1132" i="5" s="1"/>
  <c r="X1126" i="9" s="1"/>
  <c r="B1133" i="5"/>
  <c r="H1133" i="5" s="1"/>
  <c r="I1133" i="5" s="1"/>
  <c r="J1133" i="5" s="1" a="1"/>
  <c r="J1133" i="5" s="1"/>
  <c r="X1127" i="9" s="1"/>
  <c r="B1134" i="5"/>
  <c r="H1134" i="5" s="1"/>
  <c r="I1134" i="5" s="1"/>
  <c r="J1134" i="5" s="1" a="1"/>
  <c r="J1134" i="5" s="1"/>
  <c r="X1128" i="9" s="1"/>
  <c r="B1135" i="5"/>
  <c r="H1135" i="5" s="1"/>
  <c r="I1135" i="5" s="1"/>
  <c r="J1135" i="5" s="1" a="1"/>
  <c r="J1135" i="5" s="1"/>
  <c r="X1129" i="9" s="1"/>
  <c r="B1136" i="5"/>
  <c r="H1136" i="5" s="1"/>
  <c r="I1136" i="5" s="1"/>
  <c r="J1136" i="5" s="1" a="1"/>
  <c r="J1136" i="5" s="1"/>
  <c r="X1130" i="9" s="1"/>
  <c r="B1137" i="5"/>
  <c r="H1137" i="5" s="1"/>
  <c r="I1137" i="5" s="1"/>
  <c r="J1137" i="5" s="1" a="1"/>
  <c r="J1137" i="5" s="1"/>
  <c r="X1131" i="9" s="1"/>
  <c r="B1138" i="5"/>
  <c r="H1138" i="5" s="1"/>
  <c r="I1138" i="5" s="1"/>
  <c r="J1138" i="5" s="1" a="1"/>
  <c r="J1138" i="5" s="1"/>
  <c r="X1132" i="9" s="1"/>
  <c r="B1139" i="5"/>
  <c r="H1139" i="5" s="1"/>
  <c r="I1139" i="5" s="1"/>
  <c r="J1139" i="5" s="1" a="1"/>
  <c r="J1139" i="5" s="1"/>
  <c r="X1133" i="9" s="1"/>
  <c r="B1140" i="5"/>
  <c r="H1140" i="5" s="1"/>
  <c r="I1140" i="5" s="1"/>
  <c r="J1140" i="5" s="1" a="1"/>
  <c r="J1140" i="5" s="1"/>
  <c r="X1134" i="9" s="1"/>
  <c r="B1141" i="5"/>
  <c r="H1141" i="5" s="1"/>
  <c r="I1141" i="5" s="1"/>
  <c r="J1141" i="5" s="1" a="1"/>
  <c r="J1141" i="5" s="1"/>
  <c r="X1135" i="9" s="1"/>
  <c r="B1142" i="5"/>
  <c r="H1142" i="5" s="1"/>
  <c r="I1142" i="5" s="1"/>
  <c r="J1142" i="5" s="1" a="1"/>
  <c r="J1142" i="5" s="1"/>
  <c r="X1136" i="9" s="1"/>
  <c r="B1143" i="5"/>
  <c r="H1143" i="5" s="1"/>
  <c r="I1143" i="5" s="1"/>
  <c r="J1143" i="5" s="1" a="1"/>
  <c r="J1143" i="5" s="1"/>
  <c r="X1137" i="9" s="1"/>
  <c r="B1144" i="5"/>
  <c r="H1144" i="5" s="1"/>
  <c r="I1144" i="5" s="1"/>
  <c r="J1144" i="5" s="1" a="1"/>
  <c r="J1144" i="5" s="1"/>
  <c r="X1138" i="9" s="1"/>
  <c r="B1145" i="5"/>
  <c r="H1145" i="5" s="1"/>
  <c r="I1145" i="5" s="1"/>
  <c r="J1145" i="5" s="1" a="1"/>
  <c r="J1145" i="5" s="1"/>
  <c r="X1139" i="9" s="1"/>
  <c r="B1146" i="5"/>
  <c r="H1146" i="5" s="1"/>
  <c r="I1146" i="5" s="1"/>
  <c r="J1146" i="5" s="1" a="1"/>
  <c r="J1146" i="5" s="1"/>
  <c r="X1140" i="9" s="1"/>
  <c r="B1147" i="5"/>
  <c r="H1147" i="5" s="1"/>
  <c r="I1147" i="5" s="1"/>
  <c r="J1147" i="5" s="1" a="1"/>
  <c r="J1147" i="5" s="1"/>
  <c r="X1141" i="9" s="1"/>
  <c r="B1148" i="5"/>
  <c r="H1148" i="5" s="1"/>
  <c r="I1148" i="5" s="1"/>
  <c r="J1148" i="5" s="1" a="1"/>
  <c r="J1148" i="5" s="1"/>
  <c r="X1142" i="9" s="1"/>
  <c r="B1149" i="5"/>
  <c r="H1149" i="5" s="1"/>
  <c r="I1149" i="5" s="1"/>
  <c r="J1149" i="5" s="1" a="1"/>
  <c r="J1149" i="5" s="1"/>
  <c r="X1143" i="9" s="1"/>
  <c r="B1150" i="5"/>
  <c r="H1150" i="5" s="1"/>
  <c r="I1150" i="5" s="1"/>
  <c r="J1150" i="5" s="1" a="1"/>
  <c r="J1150" i="5" s="1"/>
  <c r="X1144" i="9" s="1"/>
  <c r="B1151" i="5"/>
  <c r="H1151" i="5" s="1"/>
  <c r="I1151" i="5" s="1"/>
  <c r="J1151" i="5" s="1" a="1"/>
  <c r="J1151" i="5" s="1"/>
  <c r="X1145" i="9" s="1"/>
  <c r="B1152" i="5"/>
  <c r="H1152" i="5" s="1"/>
  <c r="I1152" i="5" s="1"/>
  <c r="J1152" i="5" s="1" a="1"/>
  <c r="J1152" i="5" s="1"/>
  <c r="X1146" i="9" s="1"/>
  <c r="B1153" i="5"/>
  <c r="H1153" i="5" s="1"/>
  <c r="I1153" i="5" s="1"/>
  <c r="J1153" i="5" s="1" a="1"/>
  <c r="J1153" i="5" s="1"/>
  <c r="X1147" i="9" s="1"/>
  <c r="B1154" i="5"/>
  <c r="H1154" i="5" s="1"/>
  <c r="I1154" i="5" s="1"/>
  <c r="J1154" i="5" s="1" a="1"/>
  <c r="J1154" i="5" s="1"/>
  <c r="X1148" i="9" s="1"/>
  <c r="B1155" i="5"/>
  <c r="H1155" i="5" s="1"/>
  <c r="I1155" i="5" s="1"/>
  <c r="J1155" i="5" s="1" a="1"/>
  <c r="J1155" i="5" s="1"/>
  <c r="X1149" i="9" s="1"/>
  <c r="B1156" i="5"/>
  <c r="H1156" i="5" s="1"/>
  <c r="I1156" i="5" s="1"/>
  <c r="J1156" i="5" s="1" a="1"/>
  <c r="J1156" i="5" s="1"/>
  <c r="X1150" i="9" s="1"/>
  <c r="B1157" i="5"/>
  <c r="H1157" i="5" s="1"/>
  <c r="I1157" i="5" s="1"/>
  <c r="J1157" i="5" s="1" a="1"/>
  <c r="J1157" i="5" s="1"/>
  <c r="X1151" i="9" s="1"/>
  <c r="B1158" i="5"/>
  <c r="H1158" i="5" s="1"/>
  <c r="I1158" i="5" s="1"/>
  <c r="J1158" i="5" s="1" a="1"/>
  <c r="J1158" i="5" s="1"/>
  <c r="X1152" i="9" s="1"/>
  <c r="B1159" i="5"/>
  <c r="H1159" i="5" s="1"/>
  <c r="I1159" i="5" s="1"/>
  <c r="J1159" i="5" s="1" a="1"/>
  <c r="J1159" i="5" s="1"/>
  <c r="X1153" i="9" s="1"/>
  <c r="B1160" i="5"/>
  <c r="H1160" i="5" s="1"/>
  <c r="I1160" i="5" s="1"/>
  <c r="J1160" i="5" s="1" a="1"/>
  <c r="J1160" i="5" s="1"/>
  <c r="X1154" i="9" s="1"/>
  <c r="B1161" i="5"/>
  <c r="H1161" i="5" s="1"/>
  <c r="I1161" i="5" s="1"/>
  <c r="J1161" i="5" s="1" a="1"/>
  <c r="J1161" i="5" s="1"/>
  <c r="X1155" i="9" s="1"/>
  <c r="B1162" i="5"/>
  <c r="H1162" i="5" s="1"/>
  <c r="I1162" i="5" s="1"/>
  <c r="J1162" i="5" s="1" a="1"/>
  <c r="J1162" i="5" s="1"/>
  <c r="X1156" i="9" s="1"/>
  <c r="B1163" i="5"/>
  <c r="H1163" i="5" s="1"/>
  <c r="I1163" i="5" s="1"/>
  <c r="J1163" i="5" s="1" a="1"/>
  <c r="J1163" i="5" s="1"/>
  <c r="X1157" i="9" s="1"/>
  <c r="B1164" i="5"/>
  <c r="H1164" i="5" s="1"/>
  <c r="I1164" i="5" s="1"/>
  <c r="J1164" i="5" s="1" a="1"/>
  <c r="J1164" i="5" s="1"/>
  <c r="X1158" i="9" s="1"/>
  <c r="B1165" i="5"/>
  <c r="H1165" i="5" s="1"/>
  <c r="I1165" i="5" s="1"/>
  <c r="J1165" i="5" s="1" a="1"/>
  <c r="J1165" i="5" s="1"/>
  <c r="X1159" i="9" s="1"/>
  <c r="B1166" i="5"/>
  <c r="H1166" i="5" s="1"/>
  <c r="I1166" i="5" s="1"/>
  <c r="J1166" i="5" s="1" a="1"/>
  <c r="J1166" i="5" s="1"/>
  <c r="X1160" i="9" s="1"/>
  <c r="B1167" i="5"/>
  <c r="H1167" i="5" s="1"/>
  <c r="I1167" i="5" s="1"/>
  <c r="J1167" i="5" s="1" a="1"/>
  <c r="J1167" i="5" s="1"/>
  <c r="X1161" i="9" s="1"/>
  <c r="B1168" i="5"/>
  <c r="H1168" i="5" s="1"/>
  <c r="I1168" i="5" s="1"/>
  <c r="J1168" i="5" s="1" a="1"/>
  <c r="J1168" i="5" s="1"/>
  <c r="X1162" i="9" s="1"/>
  <c r="B1169" i="5"/>
  <c r="H1169" i="5" s="1"/>
  <c r="I1169" i="5" s="1"/>
  <c r="J1169" i="5" s="1" a="1"/>
  <c r="J1169" i="5" s="1"/>
  <c r="X1163" i="9" s="1"/>
  <c r="B1170" i="5"/>
  <c r="H1170" i="5" s="1"/>
  <c r="I1170" i="5" s="1"/>
  <c r="J1170" i="5" s="1" a="1"/>
  <c r="J1170" i="5" s="1"/>
  <c r="X1164" i="9" s="1"/>
  <c r="B1171" i="5"/>
  <c r="H1171" i="5" s="1"/>
  <c r="I1171" i="5" s="1"/>
  <c r="J1171" i="5" s="1" a="1"/>
  <c r="J1171" i="5" s="1"/>
  <c r="X1165" i="9" s="1"/>
  <c r="B1172" i="5"/>
  <c r="H1172" i="5" s="1"/>
  <c r="I1172" i="5" s="1"/>
  <c r="J1172" i="5" s="1" a="1"/>
  <c r="J1172" i="5" s="1"/>
  <c r="X1166" i="9" s="1"/>
  <c r="B1173" i="5"/>
  <c r="H1173" i="5" s="1"/>
  <c r="I1173" i="5" s="1"/>
  <c r="J1173" i="5" s="1" a="1"/>
  <c r="J1173" i="5" s="1"/>
  <c r="X1167" i="9" s="1"/>
  <c r="B1174" i="5"/>
  <c r="H1174" i="5" s="1"/>
  <c r="I1174" i="5" s="1"/>
  <c r="J1174" i="5" s="1" a="1"/>
  <c r="J1174" i="5" s="1"/>
  <c r="X1168" i="9" s="1"/>
  <c r="B1175" i="5"/>
  <c r="H1175" i="5" s="1"/>
  <c r="I1175" i="5" s="1"/>
  <c r="J1175" i="5" s="1" a="1"/>
  <c r="J1175" i="5" s="1"/>
  <c r="X1169" i="9" s="1"/>
  <c r="B1176" i="5"/>
  <c r="H1176" i="5" s="1"/>
  <c r="I1176" i="5" s="1"/>
  <c r="J1176" i="5" s="1" a="1"/>
  <c r="J1176" i="5" s="1"/>
  <c r="X1170" i="9" s="1"/>
  <c r="B1177" i="5"/>
  <c r="H1177" i="5" s="1"/>
  <c r="I1177" i="5" s="1"/>
  <c r="J1177" i="5" s="1" a="1"/>
  <c r="J1177" i="5" s="1"/>
  <c r="X1171" i="9" s="1"/>
  <c r="B1178" i="5"/>
  <c r="H1178" i="5" s="1"/>
  <c r="I1178" i="5" s="1"/>
  <c r="J1178" i="5" s="1" a="1"/>
  <c r="J1178" i="5" s="1"/>
  <c r="X1172" i="9" s="1"/>
  <c r="B1179" i="5"/>
  <c r="H1179" i="5" s="1"/>
  <c r="I1179" i="5" s="1"/>
  <c r="J1179" i="5" s="1" a="1"/>
  <c r="J1179" i="5" s="1"/>
  <c r="X1173" i="9" s="1"/>
  <c r="B1180" i="5"/>
  <c r="H1180" i="5" s="1"/>
  <c r="I1180" i="5" s="1"/>
  <c r="J1180" i="5" s="1" a="1"/>
  <c r="J1180" i="5" s="1"/>
  <c r="X1174" i="9" s="1"/>
  <c r="B1181" i="5"/>
  <c r="H1181" i="5" s="1"/>
  <c r="I1181" i="5" s="1"/>
  <c r="J1181" i="5" s="1" a="1"/>
  <c r="J1181" i="5" s="1"/>
  <c r="X1175" i="9" s="1"/>
  <c r="B1182" i="5"/>
  <c r="H1182" i="5" s="1"/>
  <c r="I1182" i="5" s="1"/>
  <c r="J1182" i="5" s="1" a="1"/>
  <c r="J1182" i="5" s="1"/>
  <c r="X1176" i="9" s="1"/>
  <c r="B1183" i="5"/>
  <c r="H1183" i="5" s="1"/>
  <c r="I1183" i="5" s="1"/>
  <c r="J1183" i="5" s="1" a="1"/>
  <c r="J1183" i="5" s="1"/>
  <c r="X1177" i="9" s="1"/>
  <c r="B1184" i="5"/>
  <c r="H1184" i="5" s="1"/>
  <c r="I1184" i="5" s="1"/>
  <c r="J1184" i="5" s="1" a="1"/>
  <c r="J1184" i="5" s="1"/>
  <c r="X1178" i="9" s="1"/>
  <c r="B1185" i="5"/>
  <c r="H1185" i="5" s="1"/>
  <c r="I1185" i="5" s="1"/>
  <c r="J1185" i="5" s="1" a="1"/>
  <c r="J1185" i="5" s="1"/>
  <c r="X1179" i="9" s="1"/>
  <c r="B1186" i="5"/>
  <c r="H1186" i="5" s="1"/>
  <c r="I1186" i="5" s="1"/>
  <c r="J1186" i="5" s="1" a="1"/>
  <c r="J1186" i="5" s="1"/>
  <c r="X1180" i="9" s="1"/>
  <c r="B1187" i="5"/>
  <c r="H1187" i="5" s="1"/>
  <c r="I1187" i="5" s="1"/>
  <c r="J1187" i="5" s="1" a="1"/>
  <c r="J1187" i="5" s="1"/>
  <c r="X1181" i="9" s="1"/>
  <c r="B1188" i="5"/>
  <c r="H1188" i="5" s="1"/>
  <c r="I1188" i="5" s="1"/>
  <c r="J1188" i="5" s="1" a="1"/>
  <c r="J1188" i="5" s="1"/>
  <c r="X1182" i="9" s="1"/>
  <c r="B1189" i="5"/>
  <c r="H1189" i="5" s="1"/>
  <c r="I1189" i="5" s="1"/>
  <c r="J1189" i="5" s="1" a="1"/>
  <c r="J1189" i="5" s="1"/>
  <c r="X1183" i="9" s="1"/>
  <c r="B1190" i="5"/>
  <c r="H1190" i="5" s="1"/>
  <c r="I1190" i="5" s="1"/>
  <c r="J1190" i="5" s="1" a="1"/>
  <c r="J1190" i="5" s="1"/>
  <c r="X1184" i="9" s="1"/>
  <c r="B1191" i="5"/>
  <c r="H1191" i="5" s="1"/>
  <c r="I1191" i="5" s="1"/>
  <c r="J1191" i="5" s="1" a="1"/>
  <c r="J1191" i="5" s="1"/>
  <c r="X1185" i="9" s="1"/>
  <c r="B1192" i="5"/>
  <c r="H1192" i="5" s="1"/>
  <c r="I1192" i="5" s="1"/>
  <c r="J1192" i="5" s="1" a="1"/>
  <c r="J1192" i="5" s="1"/>
  <c r="X1186" i="9" s="1"/>
  <c r="B1193" i="5"/>
  <c r="H1193" i="5" s="1"/>
  <c r="I1193" i="5" s="1"/>
  <c r="J1193" i="5" s="1" a="1"/>
  <c r="J1193" i="5" s="1"/>
  <c r="X1187" i="9" s="1"/>
  <c r="B1194" i="5"/>
  <c r="H1194" i="5" s="1"/>
  <c r="I1194" i="5" s="1"/>
  <c r="J1194" i="5" s="1" a="1"/>
  <c r="J1194" i="5" s="1"/>
  <c r="X1188" i="9" s="1"/>
  <c r="B1195" i="5"/>
  <c r="H1195" i="5" s="1"/>
  <c r="I1195" i="5" s="1"/>
  <c r="J1195" i="5" s="1" a="1"/>
  <c r="J1195" i="5" s="1"/>
  <c r="X1189" i="9" s="1"/>
  <c r="B1196" i="5"/>
  <c r="H1196" i="5" s="1"/>
  <c r="I1196" i="5" s="1"/>
  <c r="J1196" i="5" s="1" a="1"/>
  <c r="J1196" i="5" s="1"/>
  <c r="X1190" i="9" s="1"/>
  <c r="B1197" i="5"/>
  <c r="H1197" i="5" s="1"/>
  <c r="I1197" i="5" s="1"/>
  <c r="J1197" i="5" s="1" a="1"/>
  <c r="J1197" i="5" s="1"/>
  <c r="X1191" i="9" s="1"/>
  <c r="B1198" i="5"/>
  <c r="H1198" i="5" s="1"/>
  <c r="I1198" i="5" s="1"/>
  <c r="J1198" i="5" s="1" a="1"/>
  <c r="J1198" i="5" s="1"/>
  <c r="X1192" i="9" s="1"/>
  <c r="B1199" i="5"/>
  <c r="H1199" i="5" s="1"/>
  <c r="I1199" i="5" s="1"/>
  <c r="J1199" i="5" s="1" a="1"/>
  <c r="J1199" i="5" s="1"/>
  <c r="X1193" i="9" s="1"/>
  <c r="B1200" i="5"/>
  <c r="H1200" i="5" s="1"/>
  <c r="I1200" i="5" s="1"/>
  <c r="J1200" i="5" s="1" a="1"/>
  <c r="J1200" i="5" s="1"/>
  <c r="X1194" i="9" s="1"/>
  <c r="B1201" i="5"/>
  <c r="H1201" i="5" s="1"/>
  <c r="I1201" i="5" s="1"/>
  <c r="J1201" i="5" s="1" a="1"/>
  <c r="J1201" i="5" s="1"/>
  <c r="X1195" i="9" s="1"/>
  <c r="B1202" i="5"/>
  <c r="H1202" i="5" s="1"/>
  <c r="I1202" i="5" s="1"/>
  <c r="J1202" i="5" s="1" a="1"/>
  <c r="J1202" i="5" s="1"/>
  <c r="X1196" i="9" s="1"/>
  <c r="B1203" i="5"/>
  <c r="H1203" i="5" s="1"/>
  <c r="I1203" i="5" s="1"/>
  <c r="J1203" i="5" s="1" a="1"/>
  <c r="J1203" i="5" s="1"/>
  <c r="X1197" i="9" s="1"/>
  <c r="B1204" i="5"/>
  <c r="H1204" i="5" s="1"/>
  <c r="I1204" i="5" s="1"/>
  <c r="J1204" i="5" s="1" a="1"/>
  <c r="J1204" i="5" s="1"/>
  <c r="X1198" i="9" s="1"/>
  <c r="B1205" i="5"/>
  <c r="H1205" i="5" s="1"/>
  <c r="I1205" i="5" s="1"/>
  <c r="J1205" i="5" s="1" a="1"/>
  <c r="J1205" i="5" s="1"/>
  <c r="X1199" i="9" s="1"/>
  <c r="B1206" i="5"/>
  <c r="H1206" i="5" s="1"/>
  <c r="I1206" i="5" s="1"/>
  <c r="J1206" i="5" s="1" a="1"/>
  <c r="J1206" i="5" s="1"/>
  <c r="X1200" i="9" s="1"/>
  <c r="B1207" i="5"/>
  <c r="H1207" i="5" s="1"/>
  <c r="I1207" i="5" s="1"/>
  <c r="J1207" i="5" s="1" a="1"/>
  <c r="J1207" i="5" s="1"/>
  <c r="X1201" i="9" s="1"/>
  <c r="B1208" i="5"/>
  <c r="H1208" i="5" s="1"/>
  <c r="I1208" i="5" s="1"/>
  <c r="J1208" i="5" s="1" a="1"/>
  <c r="J1208" i="5" s="1"/>
  <c r="X1202" i="9" s="1"/>
  <c r="B1209" i="5"/>
  <c r="H1209" i="5" s="1"/>
  <c r="I1209" i="5" s="1"/>
  <c r="J1209" i="5" s="1" a="1"/>
  <c r="J1209" i="5" s="1"/>
  <c r="X1203" i="9" s="1"/>
  <c r="B1210" i="5"/>
  <c r="H1210" i="5" s="1"/>
  <c r="I1210" i="5" s="1"/>
  <c r="J1210" i="5" s="1" a="1"/>
  <c r="J1210" i="5" s="1"/>
  <c r="X1204" i="9" s="1"/>
  <c r="B1211" i="5"/>
  <c r="H1211" i="5" s="1"/>
  <c r="I1211" i="5" s="1"/>
  <c r="J1211" i="5" s="1" a="1"/>
  <c r="J1211" i="5" s="1"/>
  <c r="X1205" i="9" s="1"/>
  <c r="B1212" i="5"/>
  <c r="H1212" i="5" s="1"/>
  <c r="I1212" i="5" s="1"/>
  <c r="J1212" i="5" s="1" a="1"/>
  <c r="J1212" i="5" s="1"/>
  <c r="X1206" i="9" s="1"/>
  <c r="B1213" i="5"/>
  <c r="H1213" i="5" s="1"/>
  <c r="I1213" i="5" s="1"/>
  <c r="J1213" i="5" s="1" a="1"/>
  <c r="J1213" i="5" s="1"/>
  <c r="X1207" i="9" s="1"/>
  <c r="B1214" i="5"/>
  <c r="H1214" i="5" s="1"/>
  <c r="I1214" i="5" s="1"/>
  <c r="J1214" i="5" s="1" a="1"/>
  <c r="J1214" i="5" s="1"/>
  <c r="X1208" i="9" s="1"/>
  <c r="B1215" i="5"/>
  <c r="H1215" i="5" s="1"/>
  <c r="I1215" i="5" s="1"/>
  <c r="J1215" i="5" s="1" a="1"/>
  <c r="J1215" i="5" s="1"/>
  <c r="X1209" i="9" s="1"/>
  <c r="B1216" i="5"/>
  <c r="H1216" i="5" s="1"/>
  <c r="I1216" i="5" s="1"/>
  <c r="J1216" i="5" s="1" a="1"/>
  <c r="J1216" i="5" s="1"/>
  <c r="X1210" i="9" s="1"/>
  <c r="B1217" i="5"/>
  <c r="H1217" i="5" s="1"/>
  <c r="I1217" i="5" s="1"/>
  <c r="J1217" i="5" s="1" a="1"/>
  <c r="J1217" i="5" s="1"/>
  <c r="X1211" i="9" s="1"/>
  <c r="B1218" i="5"/>
  <c r="H1218" i="5" s="1"/>
  <c r="I1218" i="5" s="1"/>
  <c r="J1218" i="5" s="1" a="1"/>
  <c r="J1218" i="5" s="1"/>
  <c r="X1212" i="9" s="1"/>
  <c r="B1219" i="5"/>
  <c r="H1219" i="5" s="1"/>
  <c r="I1219" i="5" s="1"/>
  <c r="J1219" i="5" s="1" a="1"/>
  <c r="J1219" i="5" s="1"/>
  <c r="X1213" i="9" s="1"/>
  <c r="B1220" i="5"/>
  <c r="H1220" i="5" s="1"/>
  <c r="I1220" i="5" s="1"/>
  <c r="J1220" i="5" s="1" a="1"/>
  <c r="J1220" i="5" s="1"/>
  <c r="X1214" i="9" s="1"/>
  <c r="B1221" i="5"/>
  <c r="H1221" i="5" s="1"/>
  <c r="I1221" i="5" s="1"/>
  <c r="J1221" i="5" s="1" a="1"/>
  <c r="J1221" i="5" s="1"/>
  <c r="X1215" i="9" s="1"/>
  <c r="B1222" i="5"/>
  <c r="H1222" i="5" s="1"/>
  <c r="I1222" i="5" s="1"/>
  <c r="J1222" i="5" s="1" a="1"/>
  <c r="J1222" i="5" s="1"/>
  <c r="X1216" i="9" s="1"/>
  <c r="B1223" i="5"/>
  <c r="H1223" i="5" s="1"/>
  <c r="I1223" i="5" s="1"/>
  <c r="J1223" i="5" s="1" a="1"/>
  <c r="J1223" i="5" s="1"/>
  <c r="X1217" i="9" s="1"/>
  <c r="B1224" i="5"/>
  <c r="H1224" i="5" s="1"/>
  <c r="I1224" i="5" s="1"/>
  <c r="J1224" i="5" s="1" a="1"/>
  <c r="J1224" i="5" s="1"/>
  <c r="X1218" i="9" s="1"/>
  <c r="B1225" i="5"/>
  <c r="H1225" i="5" s="1"/>
  <c r="I1225" i="5" s="1"/>
  <c r="J1225" i="5" s="1" a="1"/>
  <c r="J1225" i="5" s="1"/>
  <c r="X1219" i="9" s="1"/>
  <c r="B1226" i="5"/>
  <c r="H1226" i="5" s="1"/>
  <c r="I1226" i="5" s="1"/>
  <c r="J1226" i="5" s="1" a="1"/>
  <c r="J1226" i="5" s="1"/>
  <c r="X1220" i="9" s="1"/>
  <c r="B1227" i="5"/>
  <c r="H1227" i="5" s="1"/>
  <c r="I1227" i="5" s="1"/>
  <c r="J1227" i="5" s="1" a="1"/>
  <c r="J1227" i="5" s="1"/>
  <c r="X1221" i="9" s="1"/>
  <c r="B1228" i="5"/>
  <c r="H1228" i="5" s="1"/>
  <c r="I1228" i="5" s="1"/>
  <c r="J1228" i="5" s="1" a="1"/>
  <c r="J1228" i="5" s="1"/>
  <c r="X1222" i="9" s="1"/>
  <c r="B1229" i="5"/>
  <c r="H1229" i="5" s="1"/>
  <c r="I1229" i="5" s="1"/>
  <c r="J1229" i="5" s="1" a="1"/>
  <c r="J1229" i="5" s="1"/>
  <c r="X1223" i="9" s="1"/>
  <c r="B1230" i="5"/>
  <c r="H1230" i="5" s="1"/>
  <c r="I1230" i="5" s="1"/>
  <c r="J1230" i="5" s="1" a="1"/>
  <c r="J1230" i="5" s="1"/>
  <c r="X1224" i="9" s="1"/>
  <c r="B1231" i="5"/>
  <c r="H1231" i="5" s="1"/>
  <c r="I1231" i="5" s="1"/>
  <c r="J1231" i="5" s="1" a="1"/>
  <c r="J1231" i="5" s="1"/>
  <c r="X1225" i="9" s="1"/>
  <c r="B1232" i="5"/>
  <c r="H1232" i="5" s="1"/>
  <c r="I1232" i="5" s="1"/>
  <c r="J1232" i="5" s="1" a="1"/>
  <c r="J1232" i="5" s="1"/>
  <c r="X1226" i="9" s="1"/>
  <c r="B1233" i="5"/>
  <c r="H1233" i="5" s="1"/>
  <c r="I1233" i="5" s="1"/>
  <c r="J1233" i="5" s="1" a="1"/>
  <c r="J1233" i="5" s="1"/>
  <c r="X1227" i="9" s="1"/>
  <c r="B1234" i="5"/>
  <c r="H1234" i="5" s="1"/>
  <c r="I1234" i="5" s="1"/>
  <c r="J1234" i="5" s="1" a="1"/>
  <c r="J1234" i="5" s="1"/>
  <c r="X1228" i="9" s="1"/>
  <c r="B1235" i="5"/>
  <c r="H1235" i="5" s="1"/>
  <c r="I1235" i="5" s="1"/>
  <c r="J1235" i="5" s="1" a="1"/>
  <c r="J1235" i="5" s="1"/>
  <c r="X1229" i="9" s="1"/>
  <c r="B1236" i="5"/>
  <c r="H1236" i="5" s="1"/>
  <c r="I1236" i="5" s="1"/>
  <c r="J1236" i="5" s="1" a="1"/>
  <c r="J1236" i="5" s="1"/>
  <c r="X1230" i="9" s="1"/>
  <c r="B1237" i="5"/>
  <c r="H1237" i="5" s="1"/>
  <c r="I1237" i="5" s="1"/>
  <c r="J1237" i="5" s="1" a="1"/>
  <c r="J1237" i="5" s="1"/>
  <c r="X1231" i="9" s="1"/>
  <c r="B1238" i="5"/>
  <c r="H1238" i="5" s="1"/>
  <c r="I1238" i="5" s="1"/>
  <c r="J1238" i="5" s="1" a="1"/>
  <c r="J1238" i="5" s="1"/>
  <c r="X1232" i="9" s="1"/>
  <c r="B1239" i="5"/>
  <c r="H1239" i="5" s="1"/>
  <c r="I1239" i="5" s="1"/>
  <c r="J1239" i="5" s="1" a="1"/>
  <c r="J1239" i="5" s="1"/>
  <c r="X1233" i="9" s="1"/>
  <c r="B1240" i="5"/>
  <c r="H1240" i="5" s="1"/>
  <c r="I1240" i="5" s="1"/>
  <c r="J1240" i="5" s="1" a="1"/>
  <c r="J1240" i="5" s="1"/>
  <c r="X1234" i="9" s="1"/>
  <c r="B1241" i="5"/>
  <c r="H1241" i="5" s="1"/>
  <c r="I1241" i="5" s="1"/>
  <c r="J1241" i="5" s="1" a="1"/>
  <c r="J1241" i="5" s="1"/>
  <c r="X1235" i="9" s="1"/>
  <c r="B1242" i="5"/>
  <c r="H1242" i="5" s="1"/>
  <c r="I1242" i="5" s="1"/>
  <c r="J1242" i="5" s="1" a="1"/>
  <c r="J1242" i="5" s="1"/>
  <c r="X1236" i="9" s="1"/>
  <c r="B1243" i="5"/>
  <c r="H1243" i="5" s="1"/>
  <c r="I1243" i="5" s="1"/>
  <c r="J1243" i="5" s="1" a="1"/>
  <c r="J1243" i="5" s="1"/>
  <c r="X1237" i="9" s="1"/>
  <c r="B1244" i="5"/>
  <c r="H1244" i="5" s="1"/>
  <c r="I1244" i="5" s="1"/>
  <c r="J1244" i="5" s="1" a="1"/>
  <c r="J1244" i="5" s="1"/>
  <c r="X1238" i="9" s="1"/>
  <c r="B1245" i="5"/>
  <c r="H1245" i="5" s="1"/>
  <c r="I1245" i="5" s="1"/>
  <c r="J1245" i="5" s="1" a="1"/>
  <c r="J1245" i="5" s="1"/>
  <c r="X1239" i="9" s="1"/>
  <c r="B1246" i="5"/>
  <c r="H1246" i="5" s="1"/>
  <c r="I1246" i="5" s="1"/>
  <c r="J1246" i="5" s="1" a="1"/>
  <c r="J1246" i="5" s="1"/>
  <c r="X1240" i="9" s="1"/>
  <c r="B1247" i="5"/>
  <c r="H1247" i="5" s="1"/>
  <c r="I1247" i="5" s="1"/>
  <c r="J1247" i="5" s="1" a="1"/>
  <c r="J1247" i="5" s="1"/>
  <c r="X1241" i="9" s="1"/>
  <c r="B1248" i="5"/>
  <c r="H1248" i="5" s="1"/>
  <c r="I1248" i="5" s="1"/>
  <c r="J1248" i="5" s="1" a="1"/>
  <c r="J1248" i="5" s="1"/>
  <c r="X1242" i="9" s="1"/>
  <c r="B1249" i="5"/>
  <c r="H1249" i="5" s="1"/>
  <c r="I1249" i="5" s="1"/>
  <c r="J1249" i="5" s="1" a="1"/>
  <c r="J1249" i="5" s="1"/>
  <c r="X1243" i="9" s="1"/>
  <c r="B1250" i="5"/>
  <c r="H1250" i="5" s="1"/>
  <c r="I1250" i="5" s="1"/>
  <c r="J1250" i="5" s="1" a="1"/>
  <c r="J1250" i="5" s="1"/>
  <c r="X1244" i="9" s="1"/>
  <c r="B1251" i="5"/>
  <c r="H1251" i="5" s="1"/>
  <c r="I1251" i="5" s="1"/>
  <c r="J1251" i="5" s="1" a="1"/>
  <c r="J1251" i="5" s="1"/>
  <c r="X1245" i="9" s="1"/>
  <c r="B1252" i="5"/>
  <c r="H1252" i="5" s="1"/>
  <c r="I1252" i="5" s="1"/>
  <c r="J1252" i="5" s="1" a="1"/>
  <c r="J1252" i="5" s="1"/>
  <c r="X1246" i="9" s="1"/>
  <c r="B1253" i="5"/>
  <c r="H1253" i="5" s="1"/>
  <c r="I1253" i="5" s="1"/>
  <c r="J1253" i="5" s="1" a="1"/>
  <c r="J1253" i="5" s="1"/>
  <c r="X1247" i="9" s="1"/>
  <c r="B1254" i="5"/>
  <c r="H1254" i="5" s="1"/>
  <c r="I1254" i="5" s="1"/>
  <c r="J1254" i="5" s="1" a="1"/>
  <c r="J1254" i="5" s="1"/>
  <c r="X1248" i="9" s="1"/>
  <c r="B1255" i="5"/>
  <c r="H1255" i="5" s="1"/>
  <c r="I1255" i="5" s="1"/>
  <c r="J1255" i="5" s="1" a="1"/>
  <c r="J1255" i="5" s="1"/>
  <c r="X1249" i="9" s="1"/>
  <c r="B1256" i="5"/>
  <c r="H1256" i="5" s="1"/>
  <c r="I1256" i="5" s="1"/>
  <c r="J1256" i="5" s="1" a="1"/>
  <c r="J1256" i="5" s="1"/>
  <c r="X1250" i="9" s="1"/>
  <c r="B1257" i="5"/>
  <c r="H1257" i="5" s="1"/>
  <c r="I1257" i="5" s="1"/>
  <c r="J1257" i="5" s="1" a="1"/>
  <c r="J1257" i="5" s="1"/>
  <c r="X1251" i="9" s="1"/>
  <c r="B1258" i="5"/>
  <c r="H1258" i="5" s="1"/>
  <c r="I1258" i="5" s="1"/>
  <c r="J1258" i="5" s="1" a="1"/>
  <c r="J1258" i="5" s="1"/>
  <c r="X1252" i="9" s="1"/>
  <c r="B1259" i="5"/>
  <c r="H1259" i="5" s="1"/>
  <c r="I1259" i="5" s="1"/>
  <c r="J1259" i="5" s="1" a="1"/>
  <c r="J1259" i="5" s="1"/>
  <c r="X1253" i="9" s="1"/>
  <c r="B1260" i="5"/>
  <c r="H1260" i="5" s="1"/>
  <c r="I1260" i="5" s="1"/>
  <c r="J1260" i="5" s="1" a="1"/>
  <c r="J1260" i="5" s="1"/>
  <c r="X1254" i="9" s="1"/>
  <c r="B1261" i="5"/>
  <c r="H1261" i="5" s="1"/>
  <c r="I1261" i="5" s="1"/>
  <c r="J1261" i="5" s="1" a="1"/>
  <c r="J1261" i="5" s="1"/>
  <c r="X1255" i="9" s="1"/>
  <c r="B1262" i="5"/>
  <c r="H1262" i="5" s="1"/>
  <c r="I1262" i="5" s="1"/>
  <c r="J1262" i="5" s="1" a="1"/>
  <c r="J1262" i="5" s="1"/>
  <c r="X1256" i="9" s="1"/>
  <c r="B1263" i="5"/>
  <c r="H1263" i="5" s="1"/>
  <c r="I1263" i="5" s="1"/>
  <c r="J1263" i="5" s="1" a="1"/>
  <c r="J1263" i="5" s="1"/>
  <c r="X1257" i="9" s="1"/>
  <c r="B1264" i="5"/>
  <c r="H1264" i="5" s="1"/>
  <c r="I1264" i="5" s="1"/>
  <c r="J1264" i="5" s="1" a="1"/>
  <c r="J1264" i="5" s="1"/>
  <c r="X1258" i="9" s="1"/>
  <c r="B1265" i="5"/>
  <c r="H1265" i="5" s="1"/>
  <c r="I1265" i="5" s="1"/>
  <c r="J1265" i="5" s="1" a="1"/>
  <c r="J1265" i="5" s="1"/>
  <c r="X1259" i="9" s="1"/>
  <c r="B1266" i="5"/>
  <c r="H1266" i="5" s="1"/>
  <c r="I1266" i="5" s="1"/>
  <c r="J1266" i="5" s="1" a="1"/>
  <c r="J1266" i="5" s="1"/>
  <c r="X1260" i="9" s="1"/>
  <c r="B1267" i="5"/>
  <c r="H1267" i="5" s="1"/>
  <c r="I1267" i="5" s="1"/>
  <c r="J1267" i="5" s="1" a="1"/>
  <c r="J1267" i="5" s="1"/>
  <c r="X1261" i="9" s="1"/>
  <c r="B1268" i="5"/>
  <c r="H1268" i="5" s="1"/>
  <c r="I1268" i="5" s="1"/>
  <c r="J1268" i="5" s="1" a="1"/>
  <c r="J1268" i="5" s="1"/>
  <c r="X1262" i="9" s="1"/>
  <c r="B1269" i="5"/>
  <c r="H1269" i="5" s="1"/>
  <c r="I1269" i="5" s="1"/>
  <c r="J1269" i="5" s="1" a="1"/>
  <c r="J1269" i="5" s="1"/>
  <c r="X1263" i="9" s="1"/>
  <c r="B1270" i="5"/>
  <c r="H1270" i="5" s="1"/>
  <c r="I1270" i="5" s="1"/>
  <c r="J1270" i="5" s="1" a="1"/>
  <c r="J1270" i="5" s="1"/>
  <c r="X1264" i="9" s="1"/>
  <c r="B1271" i="5"/>
  <c r="H1271" i="5" s="1"/>
  <c r="I1271" i="5" s="1"/>
  <c r="J1271" i="5" s="1" a="1"/>
  <c r="J1271" i="5" s="1"/>
  <c r="X1265" i="9" s="1"/>
  <c r="B1272" i="5"/>
  <c r="H1272" i="5" s="1"/>
  <c r="I1272" i="5" s="1"/>
  <c r="J1272" i="5" s="1" a="1"/>
  <c r="J1272" i="5" s="1"/>
  <c r="X1266" i="9" s="1"/>
  <c r="B1273" i="5"/>
  <c r="H1273" i="5" s="1"/>
  <c r="I1273" i="5" s="1"/>
  <c r="J1273" i="5" s="1" a="1"/>
  <c r="J1273" i="5" s="1"/>
  <c r="X1267" i="9" s="1"/>
  <c r="B1274" i="5"/>
  <c r="H1274" i="5" s="1"/>
  <c r="I1274" i="5" s="1"/>
  <c r="J1274" i="5" s="1" a="1"/>
  <c r="J1274" i="5" s="1"/>
  <c r="X1268" i="9" s="1"/>
  <c r="B1275" i="5"/>
  <c r="H1275" i="5" s="1"/>
  <c r="I1275" i="5" s="1"/>
  <c r="J1275" i="5" s="1" a="1"/>
  <c r="J1275" i="5" s="1"/>
  <c r="X1269" i="9" s="1"/>
  <c r="B1276" i="5"/>
  <c r="H1276" i="5" s="1"/>
  <c r="I1276" i="5" s="1"/>
  <c r="J1276" i="5" s="1" a="1"/>
  <c r="J1276" i="5" s="1"/>
  <c r="X1270" i="9" s="1"/>
  <c r="B1277" i="5"/>
  <c r="H1277" i="5" s="1"/>
  <c r="I1277" i="5" s="1"/>
  <c r="J1277" i="5" s="1" a="1"/>
  <c r="J1277" i="5" s="1"/>
  <c r="X1271" i="9" s="1"/>
  <c r="B1278" i="5"/>
  <c r="H1278" i="5" s="1"/>
  <c r="I1278" i="5" s="1"/>
  <c r="J1278" i="5" s="1" a="1"/>
  <c r="J1278" i="5" s="1"/>
  <c r="X1272" i="9" s="1"/>
  <c r="B1279" i="5"/>
  <c r="H1279" i="5" s="1"/>
  <c r="I1279" i="5" s="1"/>
  <c r="J1279" i="5" s="1" a="1"/>
  <c r="J1279" i="5" s="1"/>
  <c r="X1273" i="9" s="1"/>
  <c r="B1280" i="5"/>
  <c r="H1280" i="5" s="1"/>
  <c r="I1280" i="5" s="1"/>
  <c r="J1280" i="5" s="1" a="1"/>
  <c r="J1280" i="5" s="1"/>
  <c r="X1274" i="9" s="1"/>
  <c r="B1281" i="5"/>
  <c r="H1281" i="5" s="1"/>
  <c r="I1281" i="5" s="1"/>
  <c r="J1281" i="5" s="1" a="1"/>
  <c r="J1281" i="5" s="1"/>
  <c r="X1275" i="9" s="1"/>
  <c r="B1282" i="5"/>
  <c r="H1282" i="5" s="1"/>
  <c r="I1282" i="5" s="1"/>
  <c r="J1282" i="5" s="1" a="1"/>
  <c r="J1282" i="5" s="1"/>
  <c r="X1276" i="9" s="1"/>
  <c r="B1283" i="5"/>
  <c r="H1283" i="5" s="1"/>
  <c r="I1283" i="5" s="1"/>
  <c r="J1283" i="5" s="1" a="1"/>
  <c r="J1283" i="5" s="1"/>
  <c r="X1277" i="9" s="1"/>
  <c r="B1284" i="5"/>
  <c r="H1284" i="5" s="1"/>
  <c r="I1284" i="5" s="1"/>
  <c r="J1284" i="5" s="1" a="1"/>
  <c r="J1284" i="5" s="1"/>
  <c r="X1278" i="9" s="1"/>
  <c r="B1285" i="5"/>
  <c r="H1285" i="5" s="1"/>
  <c r="I1285" i="5" s="1"/>
  <c r="J1285" i="5" s="1" a="1"/>
  <c r="J1285" i="5" s="1"/>
  <c r="X1279" i="9" s="1"/>
  <c r="B1286" i="5"/>
  <c r="H1286" i="5" s="1"/>
  <c r="I1286" i="5" s="1"/>
  <c r="J1286" i="5" s="1" a="1"/>
  <c r="J1286" i="5" s="1"/>
  <c r="X1280" i="9" s="1"/>
  <c r="B1287" i="5"/>
  <c r="H1287" i="5" s="1"/>
  <c r="I1287" i="5" s="1"/>
  <c r="J1287" i="5" s="1" a="1"/>
  <c r="J1287" i="5" s="1"/>
  <c r="X1281" i="9" s="1"/>
  <c r="B1288" i="5"/>
  <c r="H1288" i="5" s="1"/>
  <c r="I1288" i="5" s="1"/>
  <c r="J1288" i="5" s="1" a="1"/>
  <c r="J1288" i="5" s="1"/>
  <c r="X1282" i="9" s="1"/>
  <c r="B1289" i="5"/>
  <c r="H1289" i="5" s="1"/>
  <c r="I1289" i="5" s="1"/>
  <c r="J1289" i="5" s="1" a="1"/>
  <c r="J1289" i="5" s="1"/>
  <c r="X1283" i="9" s="1"/>
  <c r="B1290" i="5"/>
  <c r="H1290" i="5" s="1"/>
  <c r="I1290" i="5" s="1"/>
  <c r="J1290" i="5" s="1" a="1"/>
  <c r="J1290" i="5" s="1"/>
  <c r="X1284" i="9" s="1"/>
  <c r="B1291" i="5"/>
  <c r="H1291" i="5" s="1"/>
  <c r="I1291" i="5" s="1"/>
  <c r="J1291" i="5" s="1" a="1"/>
  <c r="J1291" i="5" s="1"/>
  <c r="X1285" i="9" s="1"/>
  <c r="B1292" i="5"/>
  <c r="H1292" i="5" s="1"/>
  <c r="I1292" i="5" s="1"/>
  <c r="J1292" i="5" s="1" a="1"/>
  <c r="J1292" i="5" s="1"/>
  <c r="X1286" i="9" s="1"/>
  <c r="B1293" i="5"/>
  <c r="H1293" i="5" s="1"/>
  <c r="I1293" i="5" s="1"/>
  <c r="J1293" i="5" s="1" a="1"/>
  <c r="J1293" i="5" s="1"/>
  <c r="X1287" i="9" s="1"/>
  <c r="B1294" i="5"/>
  <c r="H1294" i="5" s="1"/>
  <c r="I1294" i="5" s="1"/>
  <c r="J1294" i="5" s="1" a="1"/>
  <c r="J1294" i="5" s="1"/>
  <c r="X1288" i="9" s="1"/>
  <c r="B1295" i="5"/>
  <c r="H1295" i="5" s="1"/>
  <c r="I1295" i="5" s="1"/>
  <c r="J1295" i="5" s="1" a="1"/>
  <c r="J1295" i="5" s="1"/>
  <c r="X1289" i="9" s="1"/>
  <c r="B1296" i="5"/>
  <c r="H1296" i="5" s="1"/>
  <c r="I1296" i="5" s="1"/>
  <c r="J1296" i="5" s="1" a="1"/>
  <c r="J1296" i="5" s="1"/>
  <c r="X1290" i="9" s="1"/>
  <c r="B1297" i="5"/>
  <c r="H1297" i="5" s="1"/>
  <c r="I1297" i="5" s="1"/>
  <c r="J1297" i="5" s="1" a="1"/>
  <c r="J1297" i="5" s="1"/>
  <c r="X1291" i="9" s="1"/>
  <c r="B1298" i="5"/>
  <c r="H1298" i="5" s="1"/>
  <c r="I1298" i="5" s="1"/>
  <c r="J1298" i="5" s="1" a="1"/>
  <c r="J1298" i="5" s="1"/>
  <c r="X1292" i="9" s="1"/>
  <c r="B1299" i="5"/>
  <c r="H1299" i="5" s="1"/>
  <c r="I1299" i="5" s="1"/>
  <c r="J1299" i="5" s="1" a="1"/>
  <c r="J1299" i="5" s="1"/>
  <c r="X1293" i="9" s="1"/>
  <c r="B1300" i="5"/>
  <c r="H1300" i="5" s="1"/>
  <c r="I1300" i="5" s="1"/>
  <c r="J1300" i="5" s="1" a="1"/>
  <c r="J1300" i="5" s="1"/>
  <c r="X1294" i="9" s="1"/>
  <c r="B1301" i="5"/>
  <c r="H1301" i="5" s="1"/>
  <c r="I1301" i="5" s="1"/>
  <c r="J1301" i="5" s="1" a="1"/>
  <c r="J1301" i="5" s="1"/>
  <c r="X1295" i="9" s="1"/>
  <c r="B1302" i="5"/>
  <c r="H1302" i="5" s="1"/>
  <c r="I1302" i="5" s="1"/>
  <c r="J1302" i="5" s="1" a="1"/>
  <c r="J1302" i="5" s="1"/>
  <c r="X1296" i="9" s="1"/>
  <c r="B1303" i="5"/>
  <c r="H1303" i="5" s="1"/>
  <c r="I1303" i="5" s="1"/>
  <c r="J1303" i="5" s="1" a="1"/>
  <c r="J1303" i="5" s="1"/>
  <c r="X1297" i="9" s="1"/>
  <c r="B1304" i="5"/>
  <c r="H1304" i="5" s="1"/>
  <c r="I1304" i="5" s="1"/>
  <c r="J1304" i="5" s="1" a="1"/>
  <c r="J1304" i="5" s="1"/>
  <c r="X1298" i="9" s="1"/>
  <c r="B1305" i="5"/>
  <c r="H1305" i="5" s="1"/>
  <c r="I1305" i="5" s="1"/>
  <c r="J1305" i="5" s="1" a="1"/>
  <c r="J1305" i="5" s="1"/>
  <c r="X1299" i="9" s="1"/>
  <c r="B1306" i="5"/>
  <c r="H1306" i="5" s="1"/>
  <c r="I1306" i="5" s="1"/>
  <c r="J1306" i="5" s="1" a="1"/>
  <c r="J1306" i="5" s="1"/>
  <c r="X1300" i="9" s="1"/>
  <c r="B1307" i="5"/>
  <c r="H1307" i="5" s="1"/>
  <c r="I1307" i="5" s="1"/>
  <c r="J1307" i="5" s="1" a="1"/>
  <c r="J1307" i="5" s="1"/>
  <c r="X1301" i="9" s="1"/>
  <c r="B1308" i="5"/>
  <c r="H1308" i="5" s="1"/>
  <c r="I1308" i="5" s="1"/>
  <c r="J1308" i="5" s="1" a="1"/>
  <c r="J1308" i="5" s="1"/>
  <c r="X1302" i="9" s="1"/>
  <c r="B1309" i="5"/>
  <c r="H1309" i="5" s="1"/>
  <c r="I1309" i="5" s="1"/>
  <c r="J1309" i="5" s="1" a="1"/>
  <c r="J1309" i="5" s="1"/>
  <c r="X1303" i="9" s="1"/>
  <c r="B1310" i="5"/>
  <c r="H1310" i="5" s="1"/>
  <c r="I1310" i="5" s="1"/>
  <c r="J1310" i="5" s="1" a="1"/>
  <c r="J1310" i="5" s="1"/>
  <c r="X1304" i="9" s="1"/>
  <c r="B1311" i="5"/>
  <c r="H1311" i="5" s="1"/>
  <c r="I1311" i="5" s="1"/>
  <c r="J1311" i="5" s="1" a="1"/>
  <c r="J1311" i="5" s="1"/>
  <c r="X1305" i="9" s="1"/>
  <c r="B1312" i="5"/>
  <c r="H1312" i="5" s="1"/>
  <c r="I1312" i="5" s="1"/>
  <c r="J1312" i="5" s="1" a="1"/>
  <c r="J1312" i="5" s="1"/>
  <c r="X1306" i="9" s="1"/>
  <c r="B1313" i="5"/>
  <c r="H1313" i="5" s="1"/>
  <c r="I1313" i="5" s="1"/>
  <c r="J1313" i="5" s="1" a="1"/>
  <c r="J1313" i="5" s="1"/>
  <c r="X1307" i="9" s="1"/>
  <c r="B1314" i="5"/>
  <c r="H1314" i="5" s="1"/>
  <c r="I1314" i="5" s="1"/>
  <c r="J1314" i="5" s="1" a="1"/>
  <c r="J1314" i="5" s="1"/>
  <c r="X1308" i="9" s="1"/>
  <c r="B1315" i="5"/>
  <c r="H1315" i="5" s="1"/>
  <c r="I1315" i="5" s="1"/>
  <c r="J1315" i="5" s="1" a="1"/>
  <c r="J1315" i="5" s="1"/>
  <c r="X1309" i="9" s="1"/>
  <c r="B1316" i="5"/>
  <c r="H1316" i="5" s="1"/>
  <c r="I1316" i="5" s="1"/>
  <c r="J1316" i="5" s="1" a="1"/>
  <c r="J1316" i="5" s="1"/>
  <c r="X1310" i="9" s="1"/>
  <c r="B1317" i="5"/>
  <c r="H1317" i="5" s="1"/>
  <c r="I1317" i="5" s="1"/>
  <c r="J1317" i="5" s="1" a="1"/>
  <c r="J1317" i="5" s="1"/>
  <c r="X1311" i="9" s="1"/>
  <c r="B1318" i="5"/>
  <c r="H1318" i="5" s="1"/>
  <c r="I1318" i="5" s="1"/>
  <c r="J1318" i="5" s="1" a="1"/>
  <c r="J1318" i="5" s="1"/>
  <c r="X1312" i="9" s="1"/>
  <c r="B1319" i="5"/>
  <c r="H1319" i="5" s="1"/>
  <c r="I1319" i="5" s="1"/>
  <c r="J1319" i="5" s="1" a="1"/>
  <c r="J1319" i="5" s="1"/>
  <c r="X1313" i="9" s="1"/>
  <c r="B1320" i="5"/>
  <c r="H1320" i="5" s="1"/>
  <c r="I1320" i="5" s="1"/>
  <c r="J1320" i="5" s="1" a="1"/>
  <c r="J1320" i="5" s="1"/>
  <c r="X1314" i="9" s="1"/>
  <c r="B1321" i="5"/>
  <c r="H1321" i="5" s="1"/>
  <c r="I1321" i="5" s="1"/>
  <c r="J1321" i="5" s="1" a="1"/>
  <c r="J1321" i="5" s="1"/>
  <c r="X1315" i="9" s="1"/>
  <c r="B1322" i="5"/>
  <c r="H1322" i="5" s="1"/>
  <c r="I1322" i="5" s="1"/>
  <c r="J1322" i="5" s="1" a="1"/>
  <c r="J1322" i="5" s="1"/>
  <c r="X1316" i="9" s="1"/>
  <c r="B1323" i="5"/>
  <c r="H1323" i="5" s="1"/>
  <c r="I1323" i="5" s="1"/>
  <c r="J1323" i="5" s="1" a="1"/>
  <c r="J1323" i="5" s="1"/>
  <c r="X1317" i="9" s="1"/>
  <c r="B1324" i="5"/>
  <c r="H1324" i="5" s="1"/>
  <c r="I1324" i="5" s="1"/>
  <c r="J1324" i="5" s="1" a="1"/>
  <c r="J1324" i="5" s="1"/>
  <c r="X1318" i="9" s="1"/>
  <c r="B1325" i="5"/>
  <c r="H1325" i="5" s="1"/>
  <c r="I1325" i="5" s="1"/>
  <c r="J1325" i="5" s="1" a="1"/>
  <c r="J1325" i="5" s="1"/>
  <c r="X1319" i="9" s="1"/>
  <c r="B1326" i="5"/>
  <c r="H1326" i="5" s="1"/>
  <c r="I1326" i="5" s="1"/>
  <c r="J1326" i="5" s="1" a="1"/>
  <c r="J1326" i="5" s="1"/>
  <c r="X1320" i="9" s="1"/>
  <c r="B1327" i="5"/>
  <c r="H1327" i="5" s="1"/>
  <c r="I1327" i="5" s="1"/>
  <c r="J1327" i="5" s="1" a="1"/>
  <c r="J1327" i="5" s="1"/>
  <c r="X1321" i="9" s="1"/>
  <c r="B1328" i="5"/>
  <c r="H1328" i="5" s="1"/>
  <c r="I1328" i="5" s="1"/>
  <c r="J1328" i="5" s="1" a="1"/>
  <c r="J1328" i="5" s="1"/>
  <c r="X1322" i="9" s="1"/>
  <c r="B1329" i="5"/>
  <c r="H1329" i="5" s="1"/>
  <c r="I1329" i="5" s="1"/>
  <c r="J1329" i="5" s="1" a="1"/>
  <c r="J1329" i="5" s="1"/>
  <c r="X1323" i="9" s="1"/>
  <c r="B1330" i="5"/>
  <c r="H1330" i="5" s="1"/>
  <c r="I1330" i="5" s="1"/>
  <c r="J1330" i="5" s="1" a="1"/>
  <c r="J1330" i="5" s="1"/>
  <c r="X1324" i="9" s="1"/>
  <c r="B1331" i="5"/>
  <c r="H1331" i="5" s="1"/>
  <c r="I1331" i="5" s="1"/>
  <c r="J1331" i="5" s="1" a="1"/>
  <c r="J1331" i="5" s="1"/>
  <c r="X1325" i="9" s="1"/>
  <c r="B1332" i="5"/>
  <c r="H1332" i="5" s="1"/>
  <c r="I1332" i="5" s="1"/>
  <c r="J1332" i="5" s="1" a="1"/>
  <c r="J1332" i="5" s="1"/>
  <c r="X1326" i="9" s="1"/>
  <c r="B1333" i="5"/>
  <c r="H1333" i="5" s="1"/>
  <c r="I1333" i="5" s="1"/>
  <c r="J1333" i="5" s="1" a="1"/>
  <c r="J1333" i="5" s="1"/>
  <c r="X1327" i="9" s="1"/>
  <c r="B1334" i="5"/>
  <c r="H1334" i="5" s="1"/>
  <c r="I1334" i="5" s="1"/>
  <c r="J1334" i="5" s="1" a="1"/>
  <c r="J1334" i="5" s="1"/>
  <c r="X1328" i="9" s="1"/>
  <c r="B1335" i="5"/>
  <c r="H1335" i="5" s="1"/>
  <c r="I1335" i="5" s="1"/>
  <c r="J1335" i="5" s="1" a="1"/>
  <c r="J1335" i="5" s="1"/>
  <c r="X1329" i="9" s="1"/>
  <c r="B1336" i="5"/>
  <c r="H1336" i="5" s="1"/>
  <c r="I1336" i="5" s="1"/>
  <c r="J1336" i="5" s="1" a="1"/>
  <c r="J1336" i="5" s="1"/>
  <c r="X1330" i="9" s="1"/>
  <c r="B1337" i="5"/>
  <c r="H1337" i="5" s="1"/>
  <c r="I1337" i="5" s="1"/>
  <c r="J1337" i="5" s="1" a="1"/>
  <c r="J1337" i="5" s="1"/>
  <c r="X1331" i="9" s="1"/>
  <c r="B1338" i="5"/>
  <c r="H1338" i="5" s="1"/>
  <c r="I1338" i="5" s="1"/>
  <c r="J1338" i="5" s="1" a="1"/>
  <c r="J1338" i="5" s="1"/>
  <c r="X1332" i="9" s="1"/>
  <c r="B1339" i="5"/>
  <c r="H1339" i="5" s="1"/>
  <c r="I1339" i="5" s="1"/>
  <c r="J1339" i="5" s="1" a="1"/>
  <c r="J1339" i="5" s="1"/>
  <c r="X1333" i="9" s="1"/>
  <c r="B1340" i="5"/>
  <c r="H1340" i="5" s="1"/>
  <c r="I1340" i="5" s="1"/>
  <c r="J1340" i="5" s="1" a="1"/>
  <c r="J1340" i="5" s="1"/>
  <c r="X1334" i="9" s="1"/>
  <c r="B1341" i="5"/>
  <c r="H1341" i="5" s="1"/>
  <c r="I1341" i="5" s="1"/>
  <c r="J1341" i="5" s="1" a="1"/>
  <c r="J1341" i="5" s="1"/>
  <c r="X1335" i="9" s="1"/>
  <c r="B1342" i="5"/>
  <c r="H1342" i="5" s="1"/>
  <c r="I1342" i="5" s="1"/>
  <c r="J1342" i="5" s="1" a="1"/>
  <c r="J1342" i="5" s="1"/>
  <c r="X1336" i="9" s="1"/>
  <c r="B1343" i="5"/>
  <c r="H1343" i="5" s="1"/>
  <c r="I1343" i="5" s="1"/>
  <c r="J1343" i="5" s="1" a="1"/>
  <c r="J1343" i="5" s="1"/>
  <c r="X1337" i="9" s="1"/>
  <c r="B1344" i="5"/>
  <c r="H1344" i="5" s="1"/>
  <c r="I1344" i="5" s="1"/>
  <c r="J1344" i="5" s="1" a="1"/>
  <c r="J1344" i="5" s="1"/>
  <c r="X1338" i="9" s="1"/>
  <c r="B1345" i="5"/>
  <c r="H1345" i="5" s="1"/>
  <c r="I1345" i="5" s="1"/>
  <c r="J1345" i="5" s="1" a="1"/>
  <c r="J1345" i="5" s="1"/>
  <c r="X1339" i="9" s="1"/>
  <c r="B1346" i="5"/>
  <c r="H1346" i="5" s="1"/>
  <c r="I1346" i="5" s="1"/>
  <c r="J1346" i="5" s="1" a="1"/>
  <c r="J1346" i="5" s="1"/>
  <c r="X1340" i="9" s="1"/>
  <c r="B1347" i="5"/>
  <c r="H1347" i="5" s="1"/>
  <c r="I1347" i="5" s="1"/>
  <c r="J1347" i="5" s="1" a="1"/>
  <c r="J1347" i="5" s="1"/>
  <c r="X1341" i="9" s="1"/>
  <c r="B1348" i="5"/>
  <c r="H1348" i="5" s="1"/>
  <c r="I1348" i="5" s="1"/>
  <c r="J1348" i="5" s="1" a="1"/>
  <c r="J1348" i="5" s="1"/>
  <c r="X1342" i="9" s="1"/>
  <c r="B1349" i="5"/>
  <c r="H1349" i="5" s="1"/>
  <c r="I1349" i="5" s="1"/>
  <c r="J1349" i="5" s="1" a="1"/>
  <c r="J1349" i="5" s="1"/>
  <c r="X1343" i="9" s="1"/>
  <c r="B1350" i="5"/>
  <c r="H1350" i="5" s="1"/>
  <c r="I1350" i="5" s="1"/>
  <c r="J1350" i="5" s="1" a="1"/>
  <c r="J1350" i="5" s="1"/>
  <c r="X1344" i="9" s="1"/>
  <c r="B1351" i="5"/>
  <c r="H1351" i="5" s="1"/>
  <c r="I1351" i="5" s="1"/>
  <c r="J1351" i="5" s="1" a="1"/>
  <c r="J1351" i="5" s="1"/>
  <c r="X1345" i="9" s="1"/>
  <c r="B1352" i="5"/>
  <c r="H1352" i="5" s="1"/>
  <c r="I1352" i="5" s="1"/>
  <c r="J1352" i="5" s="1" a="1"/>
  <c r="J1352" i="5" s="1"/>
  <c r="X1346" i="9" s="1"/>
  <c r="B1353" i="5"/>
  <c r="H1353" i="5" s="1"/>
  <c r="I1353" i="5" s="1"/>
  <c r="J1353" i="5" s="1" a="1"/>
  <c r="J1353" i="5" s="1"/>
  <c r="X1347" i="9" s="1"/>
  <c r="B1354" i="5"/>
  <c r="H1354" i="5" s="1"/>
  <c r="I1354" i="5" s="1"/>
  <c r="J1354" i="5" s="1" a="1"/>
  <c r="J1354" i="5" s="1"/>
  <c r="X1348" i="9" s="1"/>
  <c r="B1355" i="5"/>
  <c r="H1355" i="5" s="1"/>
  <c r="I1355" i="5" s="1"/>
  <c r="J1355" i="5" s="1" a="1"/>
  <c r="J1355" i="5" s="1"/>
  <c r="X1349" i="9" s="1"/>
  <c r="B1356" i="5"/>
  <c r="H1356" i="5" s="1"/>
  <c r="I1356" i="5" s="1"/>
  <c r="J1356" i="5" s="1" a="1"/>
  <c r="J1356" i="5" s="1"/>
  <c r="X1350" i="9" s="1"/>
  <c r="B1357" i="5"/>
  <c r="H1357" i="5" s="1"/>
  <c r="I1357" i="5" s="1"/>
  <c r="J1357" i="5" s="1" a="1"/>
  <c r="J1357" i="5" s="1"/>
  <c r="X1351" i="9" s="1"/>
  <c r="B1358" i="5"/>
  <c r="H1358" i="5" s="1"/>
  <c r="I1358" i="5" s="1"/>
  <c r="J1358" i="5" s="1" a="1"/>
  <c r="J1358" i="5" s="1"/>
  <c r="X1352" i="9" s="1"/>
  <c r="B1359" i="5"/>
  <c r="H1359" i="5" s="1"/>
  <c r="I1359" i="5" s="1"/>
  <c r="J1359" i="5" s="1" a="1"/>
  <c r="J1359" i="5" s="1"/>
  <c r="X1353" i="9" s="1"/>
  <c r="B1360" i="5"/>
  <c r="H1360" i="5" s="1"/>
  <c r="I1360" i="5" s="1"/>
  <c r="J1360" i="5" s="1" a="1"/>
  <c r="J1360" i="5" s="1"/>
  <c r="X1354" i="9" s="1"/>
  <c r="B1361" i="5"/>
  <c r="H1361" i="5" s="1"/>
  <c r="I1361" i="5" s="1"/>
  <c r="J1361" i="5" s="1" a="1"/>
  <c r="J1361" i="5" s="1"/>
  <c r="X1355" i="9" s="1"/>
  <c r="B1362" i="5"/>
  <c r="H1362" i="5" s="1"/>
  <c r="I1362" i="5" s="1"/>
  <c r="J1362" i="5" s="1" a="1"/>
  <c r="J1362" i="5" s="1"/>
  <c r="X1356" i="9" s="1"/>
  <c r="B1363" i="5"/>
  <c r="H1363" i="5" s="1"/>
  <c r="I1363" i="5" s="1"/>
  <c r="J1363" i="5" s="1" a="1"/>
  <c r="J1363" i="5" s="1"/>
  <c r="X1357" i="9" s="1"/>
  <c r="B1364" i="5"/>
  <c r="H1364" i="5" s="1"/>
  <c r="I1364" i="5" s="1"/>
  <c r="J1364" i="5" s="1" a="1"/>
  <c r="J1364" i="5" s="1"/>
  <c r="X1358" i="9" s="1"/>
  <c r="B1365" i="5"/>
  <c r="H1365" i="5" s="1"/>
  <c r="I1365" i="5" s="1"/>
  <c r="J1365" i="5" s="1" a="1"/>
  <c r="J1365" i="5" s="1"/>
  <c r="X1359" i="9" s="1"/>
  <c r="B1366" i="5"/>
  <c r="H1366" i="5" s="1"/>
  <c r="I1366" i="5" s="1"/>
  <c r="J1366" i="5" s="1" a="1"/>
  <c r="J1366" i="5" s="1"/>
  <c r="X1360" i="9" s="1"/>
  <c r="B1367" i="5"/>
  <c r="H1367" i="5" s="1"/>
  <c r="I1367" i="5" s="1"/>
  <c r="J1367" i="5" s="1" a="1"/>
  <c r="J1367" i="5" s="1"/>
  <c r="X1361" i="9" s="1"/>
  <c r="B1368" i="5"/>
  <c r="H1368" i="5" s="1"/>
  <c r="I1368" i="5" s="1"/>
  <c r="J1368" i="5" s="1" a="1"/>
  <c r="J1368" i="5" s="1"/>
  <c r="X1362" i="9" s="1"/>
  <c r="B1369" i="5"/>
  <c r="H1369" i="5" s="1"/>
  <c r="I1369" i="5" s="1"/>
  <c r="J1369" i="5" s="1" a="1"/>
  <c r="J1369" i="5" s="1"/>
  <c r="X1363" i="9" s="1"/>
  <c r="B1370" i="5"/>
  <c r="H1370" i="5" s="1"/>
  <c r="I1370" i="5" s="1"/>
  <c r="J1370" i="5" s="1" a="1"/>
  <c r="J1370" i="5" s="1"/>
  <c r="X1364" i="9" s="1"/>
  <c r="B1371" i="5"/>
  <c r="H1371" i="5" s="1"/>
  <c r="I1371" i="5" s="1"/>
  <c r="J1371" i="5" s="1" a="1"/>
  <c r="J1371" i="5" s="1"/>
  <c r="X1365" i="9" s="1"/>
  <c r="B1372" i="5"/>
  <c r="H1372" i="5" s="1"/>
  <c r="I1372" i="5" s="1"/>
  <c r="J1372" i="5" s="1" a="1"/>
  <c r="J1372" i="5" s="1"/>
  <c r="X1366" i="9" s="1"/>
  <c r="B1373" i="5"/>
  <c r="H1373" i="5" s="1"/>
  <c r="I1373" i="5" s="1"/>
  <c r="J1373" i="5" s="1" a="1"/>
  <c r="J1373" i="5" s="1"/>
  <c r="X1367" i="9" s="1"/>
  <c r="B1374" i="5"/>
  <c r="H1374" i="5" s="1"/>
  <c r="I1374" i="5" s="1"/>
  <c r="J1374" i="5" s="1" a="1"/>
  <c r="J1374" i="5" s="1"/>
  <c r="X1368" i="9" s="1"/>
  <c r="B1375" i="5"/>
  <c r="H1375" i="5" s="1"/>
  <c r="I1375" i="5" s="1"/>
  <c r="J1375" i="5" s="1" a="1"/>
  <c r="J1375" i="5" s="1"/>
  <c r="X1369" i="9" s="1"/>
  <c r="B1376" i="5"/>
  <c r="H1376" i="5" s="1"/>
  <c r="I1376" i="5" s="1"/>
  <c r="J1376" i="5" s="1" a="1"/>
  <c r="J1376" i="5" s="1"/>
  <c r="X1370" i="9" s="1"/>
  <c r="B1377" i="5"/>
  <c r="H1377" i="5" s="1"/>
  <c r="I1377" i="5" s="1"/>
  <c r="J1377" i="5" s="1" a="1"/>
  <c r="J1377" i="5" s="1"/>
  <c r="X1371" i="9" s="1"/>
  <c r="B1378" i="5"/>
  <c r="H1378" i="5" s="1"/>
  <c r="I1378" i="5" s="1"/>
  <c r="J1378" i="5" s="1" a="1"/>
  <c r="J1378" i="5" s="1"/>
  <c r="X1372" i="9" s="1"/>
  <c r="B1379" i="5"/>
  <c r="H1379" i="5" s="1"/>
  <c r="I1379" i="5" s="1"/>
  <c r="J1379" i="5" s="1" a="1"/>
  <c r="J1379" i="5" s="1"/>
  <c r="X1373" i="9" s="1"/>
  <c r="B1380" i="5"/>
  <c r="H1380" i="5" s="1"/>
  <c r="I1380" i="5" s="1"/>
  <c r="J1380" i="5" s="1" a="1"/>
  <c r="J1380" i="5" s="1"/>
  <c r="X1374" i="9" s="1"/>
  <c r="B1381" i="5"/>
  <c r="H1381" i="5" s="1"/>
  <c r="I1381" i="5" s="1"/>
  <c r="J1381" i="5" s="1" a="1"/>
  <c r="J1381" i="5" s="1"/>
  <c r="X1375" i="9" s="1"/>
  <c r="B1382" i="5"/>
  <c r="H1382" i="5" s="1"/>
  <c r="I1382" i="5" s="1"/>
  <c r="J1382" i="5" s="1" a="1"/>
  <c r="J1382" i="5" s="1"/>
  <c r="X1376" i="9" s="1"/>
  <c r="B1383" i="5"/>
  <c r="H1383" i="5" s="1"/>
  <c r="I1383" i="5" s="1"/>
  <c r="J1383" i="5" s="1" a="1"/>
  <c r="J1383" i="5" s="1"/>
  <c r="X1377" i="9" s="1"/>
  <c r="B1384" i="5"/>
  <c r="H1384" i="5" s="1"/>
  <c r="I1384" i="5" s="1"/>
  <c r="J1384" i="5" s="1" a="1"/>
  <c r="J1384" i="5" s="1"/>
  <c r="X1378" i="9" s="1"/>
  <c r="B1385" i="5"/>
  <c r="H1385" i="5" s="1"/>
  <c r="I1385" i="5" s="1"/>
  <c r="J1385" i="5" s="1" a="1"/>
  <c r="J1385" i="5" s="1"/>
  <c r="X1379" i="9" s="1"/>
  <c r="B1386" i="5"/>
  <c r="H1386" i="5" s="1"/>
  <c r="I1386" i="5" s="1"/>
  <c r="J1386" i="5" s="1" a="1"/>
  <c r="J1386" i="5" s="1"/>
  <c r="X1380" i="9" s="1"/>
  <c r="B1387" i="5"/>
  <c r="H1387" i="5" s="1"/>
  <c r="I1387" i="5" s="1"/>
  <c r="J1387" i="5" s="1" a="1"/>
  <c r="J1387" i="5" s="1"/>
  <c r="X1381" i="9" s="1"/>
  <c r="B1388" i="5"/>
  <c r="H1388" i="5" s="1"/>
  <c r="I1388" i="5" s="1"/>
  <c r="J1388" i="5" s="1" a="1"/>
  <c r="J1388" i="5" s="1"/>
  <c r="X1382" i="9" s="1"/>
  <c r="B1389" i="5"/>
  <c r="H1389" i="5" s="1"/>
  <c r="I1389" i="5" s="1"/>
  <c r="J1389" i="5" s="1" a="1"/>
  <c r="J1389" i="5" s="1"/>
  <c r="X1383" i="9" s="1"/>
  <c r="B1390" i="5"/>
  <c r="H1390" i="5" s="1"/>
  <c r="I1390" i="5" s="1"/>
  <c r="J1390" i="5" s="1" a="1"/>
  <c r="J1390" i="5" s="1"/>
  <c r="X1384" i="9" s="1"/>
  <c r="B1391" i="5"/>
  <c r="H1391" i="5" s="1"/>
  <c r="I1391" i="5" s="1"/>
  <c r="J1391" i="5" s="1" a="1"/>
  <c r="J1391" i="5" s="1"/>
  <c r="X1385" i="9" s="1"/>
  <c r="B1392" i="5"/>
  <c r="H1392" i="5" s="1"/>
  <c r="I1392" i="5" s="1"/>
  <c r="J1392" i="5" s="1" a="1"/>
  <c r="J1392" i="5" s="1"/>
  <c r="X1386" i="9" s="1"/>
  <c r="B1393" i="5"/>
  <c r="H1393" i="5" s="1"/>
  <c r="I1393" i="5" s="1"/>
  <c r="J1393" i="5" s="1" a="1"/>
  <c r="J1393" i="5" s="1"/>
  <c r="X1387" i="9" s="1"/>
  <c r="B1394" i="5"/>
  <c r="H1394" i="5" s="1"/>
  <c r="I1394" i="5" s="1"/>
  <c r="J1394" i="5" s="1" a="1"/>
  <c r="J1394" i="5" s="1"/>
  <c r="X1388" i="9" s="1"/>
  <c r="B1395" i="5"/>
  <c r="H1395" i="5" s="1"/>
  <c r="I1395" i="5" s="1"/>
  <c r="J1395" i="5" s="1" a="1"/>
  <c r="J1395" i="5" s="1"/>
  <c r="X1389" i="9" s="1"/>
  <c r="B1396" i="5"/>
  <c r="H1396" i="5" s="1"/>
  <c r="I1396" i="5" s="1"/>
  <c r="J1396" i="5" s="1" a="1"/>
  <c r="J1396" i="5" s="1"/>
  <c r="X1390" i="9" s="1"/>
  <c r="B1397" i="5"/>
  <c r="H1397" i="5" s="1"/>
  <c r="I1397" i="5" s="1"/>
  <c r="J1397" i="5" s="1" a="1"/>
  <c r="J1397" i="5" s="1"/>
  <c r="X1391" i="9" s="1"/>
  <c r="B1398" i="5"/>
  <c r="H1398" i="5" s="1"/>
  <c r="I1398" i="5" s="1"/>
  <c r="J1398" i="5" s="1" a="1"/>
  <c r="J1398" i="5" s="1"/>
  <c r="X1392" i="9" s="1"/>
  <c r="B1399" i="5"/>
  <c r="H1399" i="5" s="1"/>
  <c r="I1399" i="5" s="1"/>
  <c r="J1399" i="5" s="1" a="1"/>
  <c r="J1399" i="5" s="1"/>
  <c r="X1393" i="9" s="1"/>
  <c r="B1400" i="5"/>
  <c r="H1400" i="5" s="1"/>
  <c r="I1400" i="5" s="1"/>
  <c r="J1400" i="5" s="1" a="1"/>
  <c r="J1400" i="5" s="1"/>
  <c r="X1394" i="9" s="1"/>
  <c r="B1401" i="5"/>
  <c r="H1401" i="5" s="1"/>
  <c r="I1401" i="5" s="1"/>
  <c r="J1401" i="5" s="1" a="1"/>
  <c r="J1401" i="5" s="1"/>
  <c r="X1395" i="9" s="1"/>
  <c r="B1402" i="5"/>
  <c r="H1402" i="5" s="1"/>
  <c r="I1402" i="5" s="1"/>
  <c r="J1402" i="5" s="1" a="1"/>
  <c r="J1402" i="5" s="1"/>
  <c r="X1396" i="9" s="1"/>
  <c r="B1403" i="5"/>
  <c r="H1403" i="5" s="1"/>
  <c r="I1403" i="5" s="1"/>
  <c r="J1403" i="5" s="1" a="1"/>
  <c r="J1403" i="5" s="1"/>
  <c r="X1397" i="9" s="1"/>
  <c r="B1404" i="5"/>
  <c r="H1404" i="5" s="1"/>
  <c r="I1404" i="5" s="1"/>
  <c r="J1404" i="5" s="1" a="1"/>
  <c r="J1404" i="5" s="1"/>
  <c r="X1398" i="9" s="1"/>
  <c r="B1405" i="5"/>
  <c r="H1405" i="5" s="1"/>
  <c r="I1405" i="5" s="1"/>
  <c r="J1405" i="5" s="1" a="1"/>
  <c r="J1405" i="5" s="1"/>
  <c r="X1399" i="9" s="1"/>
  <c r="B1406" i="5"/>
  <c r="H1406" i="5" s="1"/>
  <c r="I1406" i="5" s="1"/>
  <c r="J1406" i="5" s="1" a="1"/>
  <c r="J1406" i="5" s="1"/>
  <c r="X1400" i="9" s="1"/>
  <c r="B1407" i="5"/>
  <c r="H1407" i="5" s="1"/>
  <c r="I1407" i="5" s="1"/>
  <c r="J1407" i="5" s="1" a="1"/>
  <c r="J1407" i="5" s="1"/>
  <c r="X1401" i="9" s="1"/>
  <c r="B1408" i="5"/>
  <c r="H1408" i="5" s="1"/>
  <c r="I1408" i="5" s="1"/>
  <c r="J1408" i="5" s="1" a="1"/>
  <c r="J1408" i="5" s="1"/>
  <c r="X1402" i="9" s="1"/>
  <c r="B1409" i="5"/>
  <c r="H1409" i="5" s="1"/>
  <c r="I1409" i="5" s="1"/>
  <c r="J1409" i="5" s="1" a="1"/>
  <c r="J1409" i="5" s="1"/>
  <c r="X1403" i="9" s="1"/>
  <c r="B1410" i="5"/>
  <c r="H1410" i="5" s="1"/>
  <c r="I1410" i="5" s="1"/>
  <c r="J1410" i="5" s="1" a="1"/>
  <c r="J1410" i="5" s="1"/>
  <c r="X1404" i="9" s="1"/>
  <c r="B1411" i="5"/>
  <c r="H1411" i="5" s="1"/>
  <c r="I1411" i="5" s="1"/>
  <c r="J1411" i="5" s="1" a="1"/>
  <c r="J1411" i="5" s="1"/>
  <c r="X1405" i="9" s="1"/>
  <c r="B1412" i="5"/>
  <c r="H1412" i="5" s="1"/>
  <c r="I1412" i="5" s="1"/>
  <c r="J1412" i="5" s="1" a="1"/>
  <c r="J1412" i="5" s="1"/>
  <c r="X1406" i="9" s="1"/>
  <c r="B1413" i="5"/>
  <c r="H1413" i="5" s="1"/>
  <c r="I1413" i="5" s="1"/>
  <c r="J1413" i="5" s="1" a="1"/>
  <c r="J1413" i="5" s="1"/>
  <c r="X1407" i="9" s="1"/>
  <c r="B1414" i="5"/>
  <c r="H1414" i="5" s="1"/>
  <c r="I1414" i="5" s="1"/>
  <c r="J1414" i="5" s="1" a="1"/>
  <c r="J1414" i="5" s="1"/>
  <c r="X1408" i="9" s="1"/>
  <c r="B1415" i="5"/>
  <c r="H1415" i="5" s="1"/>
  <c r="I1415" i="5" s="1"/>
  <c r="J1415" i="5" s="1" a="1"/>
  <c r="J1415" i="5" s="1"/>
  <c r="X1409" i="9" s="1"/>
  <c r="B1416" i="5"/>
  <c r="H1416" i="5" s="1"/>
  <c r="I1416" i="5" s="1"/>
  <c r="J1416" i="5" s="1" a="1"/>
  <c r="J1416" i="5" s="1"/>
  <c r="X1410" i="9" s="1"/>
  <c r="B1417" i="5"/>
  <c r="H1417" i="5" s="1"/>
  <c r="I1417" i="5" s="1"/>
  <c r="J1417" i="5" s="1" a="1"/>
  <c r="J1417" i="5" s="1"/>
  <c r="X1411" i="9" s="1"/>
  <c r="B1418" i="5"/>
  <c r="H1418" i="5" s="1"/>
  <c r="I1418" i="5" s="1"/>
  <c r="J1418" i="5" s="1" a="1"/>
  <c r="J1418" i="5" s="1"/>
  <c r="X1412" i="9" s="1"/>
  <c r="B1419" i="5"/>
  <c r="H1419" i="5" s="1"/>
  <c r="I1419" i="5" s="1"/>
  <c r="J1419" i="5" s="1" a="1"/>
  <c r="J1419" i="5" s="1"/>
  <c r="X1413" i="9" s="1"/>
  <c r="B1420" i="5"/>
  <c r="H1420" i="5" s="1"/>
  <c r="I1420" i="5" s="1"/>
  <c r="J1420" i="5" s="1" a="1"/>
  <c r="J1420" i="5" s="1"/>
  <c r="X1414" i="9" s="1"/>
  <c r="B1421" i="5"/>
  <c r="H1421" i="5" s="1"/>
  <c r="I1421" i="5" s="1"/>
  <c r="J1421" i="5" s="1" a="1"/>
  <c r="J1421" i="5" s="1"/>
  <c r="X1415" i="9" s="1"/>
  <c r="B1422" i="5"/>
  <c r="H1422" i="5" s="1"/>
  <c r="I1422" i="5" s="1"/>
  <c r="J1422" i="5" s="1" a="1"/>
  <c r="J1422" i="5" s="1"/>
  <c r="X1416" i="9" s="1"/>
  <c r="B1423" i="5"/>
  <c r="H1423" i="5" s="1"/>
  <c r="I1423" i="5" s="1"/>
  <c r="J1423" i="5" s="1" a="1"/>
  <c r="J1423" i="5" s="1"/>
  <c r="X1417" i="9" s="1"/>
  <c r="B1424" i="5"/>
  <c r="H1424" i="5" s="1"/>
  <c r="I1424" i="5" s="1"/>
  <c r="J1424" i="5" s="1" a="1"/>
  <c r="J1424" i="5" s="1"/>
  <c r="X1418" i="9" s="1"/>
  <c r="B1425" i="5"/>
  <c r="H1425" i="5" s="1"/>
  <c r="I1425" i="5" s="1"/>
  <c r="J1425" i="5" s="1" a="1"/>
  <c r="J1425" i="5" s="1"/>
  <c r="X1419" i="9" s="1"/>
  <c r="B1426" i="5"/>
  <c r="H1426" i="5" s="1"/>
  <c r="I1426" i="5" s="1"/>
  <c r="J1426" i="5" s="1" a="1"/>
  <c r="J1426" i="5" s="1"/>
  <c r="X1420" i="9" s="1"/>
  <c r="B1427" i="5"/>
  <c r="H1427" i="5" s="1"/>
  <c r="I1427" i="5" s="1"/>
  <c r="J1427" i="5" s="1" a="1"/>
  <c r="J1427" i="5" s="1"/>
  <c r="X1421" i="9" s="1"/>
  <c r="B1428" i="5"/>
  <c r="H1428" i="5" s="1"/>
  <c r="I1428" i="5" s="1"/>
  <c r="J1428" i="5" s="1" a="1"/>
  <c r="J1428" i="5" s="1"/>
  <c r="X1422" i="9" s="1"/>
  <c r="B1429" i="5"/>
  <c r="H1429" i="5" s="1"/>
  <c r="I1429" i="5" s="1"/>
  <c r="J1429" i="5" s="1" a="1"/>
  <c r="J1429" i="5" s="1"/>
  <c r="X1423" i="9" s="1"/>
  <c r="B1430" i="5"/>
  <c r="H1430" i="5" s="1"/>
  <c r="I1430" i="5" s="1"/>
  <c r="J1430" i="5" s="1" a="1"/>
  <c r="J1430" i="5" s="1"/>
  <c r="X1424" i="9" s="1"/>
  <c r="B1431" i="5"/>
  <c r="H1431" i="5" s="1"/>
  <c r="I1431" i="5" s="1"/>
  <c r="J1431" i="5" s="1" a="1"/>
  <c r="J1431" i="5" s="1"/>
  <c r="X1425" i="9" s="1"/>
  <c r="B1432" i="5"/>
  <c r="H1432" i="5" s="1"/>
  <c r="I1432" i="5" s="1"/>
  <c r="J1432" i="5" s="1" a="1"/>
  <c r="J1432" i="5" s="1"/>
  <c r="X1426" i="9" s="1"/>
  <c r="B1433" i="5"/>
  <c r="H1433" i="5" s="1"/>
  <c r="I1433" i="5" s="1"/>
  <c r="J1433" i="5" s="1" a="1"/>
  <c r="J1433" i="5" s="1"/>
  <c r="X1427" i="9" s="1"/>
  <c r="B1434" i="5"/>
  <c r="H1434" i="5" s="1"/>
  <c r="I1434" i="5" s="1"/>
  <c r="J1434" i="5" s="1" a="1"/>
  <c r="J1434" i="5" s="1"/>
  <c r="X1428" i="9" s="1"/>
  <c r="B1435" i="5"/>
  <c r="H1435" i="5" s="1"/>
  <c r="I1435" i="5" s="1"/>
  <c r="J1435" i="5" s="1" a="1"/>
  <c r="J1435" i="5" s="1"/>
  <c r="X1429" i="9" s="1"/>
  <c r="B1436" i="5"/>
  <c r="H1436" i="5" s="1"/>
  <c r="I1436" i="5" s="1"/>
  <c r="J1436" i="5" s="1" a="1"/>
  <c r="J1436" i="5" s="1"/>
  <c r="X1430" i="9" s="1"/>
  <c r="B1437" i="5"/>
  <c r="H1437" i="5" s="1"/>
  <c r="I1437" i="5" s="1"/>
  <c r="J1437" i="5" s="1" a="1"/>
  <c r="J1437" i="5" s="1"/>
  <c r="X1431" i="9" s="1"/>
  <c r="B1438" i="5"/>
  <c r="H1438" i="5" s="1"/>
  <c r="I1438" i="5" s="1"/>
  <c r="J1438" i="5" s="1" a="1"/>
  <c r="J1438" i="5" s="1"/>
  <c r="X1432" i="9" s="1"/>
  <c r="B1439" i="5"/>
  <c r="H1439" i="5" s="1"/>
  <c r="I1439" i="5" s="1"/>
  <c r="J1439" i="5" s="1" a="1"/>
  <c r="J1439" i="5" s="1"/>
  <c r="X1433" i="9" s="1"/>
  <c r="B1440" i="5"/>
  <c r="H1440" i="5" s="1"/>
  <c r="I1440" i="5" s="1"/>
  <c r="J1440" i="5" s="1" a="1"/>
  <c r="J1440" i="5" s="1"/>
  <c r="X1434" i="9" s="1"/>
  <c r="B1441" i="5"/>
  <c r="H1441" i="5" s="1"/>
  <c r="I1441" i="5" s="1"/>
  <c r="J1441" i="5" s="1" a="1"/>
  <c r="J1441" i="5" s="1"/>
  <c r="X1435" i="9" s="1"/>
  <c r="B1442" i="5"/>
  <c r="H1442" i="5" s="1"/>
  <c r="I1442" i="5" s="1"/>
  <c r="J1442" i="5" s="1" a="1"/>
  <c r="J1442" i="5" s="1"/>
  <c r="X1436" i="9" s="1"/>
  <c r="B1443" i="5"/>
  <c r="H1443" i="5" s="1"/>
  <c r="I1443" i="5" s="1"/>
  <c r="J1443" i="5" s="1" a="1"/>
  <c r="J1443" i="5" s="1"/>
  <c r="X1437" i="9" s="1"/>
  <c r="B1444" i="5"/>
  <c r="H1444" i="5" s="1"/>
  <c r="I1444" i="5" s="1"/>
  <c r="J1444" i="5" s="1" a="1"/>
  <c r="J1444" i="5" s="1"/>
  <c r="X1438" i="9" s="1"/>
  <c r="B1445" i="5"/>
  <c r="H1445" i="5" s="1"/>
  <c r="I1445" i="5" s="1"/>
  <c r="J1445" i="5" s="1" a="1"/>
  <c r="J1445" i="5" s="1"/>
  <c r="X1439" i="9" s="1"/>
  <c r="B1446" i="5"/>
  <c r="H1446" i="5" s="1"/>
  <c r="I1446" i="5" s="1"/>
  <c r="J1446" i="5" s="1" a="1"/>
  <c r="J1446" i="5" s="1"/>
  <c r="X1440" i="9" s="1"/>
  <c r="B1447" i="5"/>
  <c r="H1447" i="5" s="1"/>
  <c r="I1447" i="5" s="1"/>
  <c r="J1447" i="5" s="1" a="1"/>
  <c r="J1447" i="5" s="1"/>
  <c r="X1441" i="9" s="1"/>
  <c r="B1448" i="5"/>
  <c r="H1448" i="5" s="1"/>
  <c r="I1448" i="5" s="1"/>
  <c r="J1448" i="5" s="1" a="1"/>
  <c r="J1448" i="5" s="1"/>
  <c r="X1442" i="9" s="1"/>
  <c r="B1449" i="5"/>
  <c r="H1449" i="5" s="1"/>
  <c r="I1449" i="5" s="1"/>
  <c r="J1449" i="5" s="1" a="1"/>
  <c r="J1449" i="5" s="1"/>
  <c r="X1443" i="9" s="1"/>
  <c r="B1450" i="5"/>
  <c r="H1450" i="5" s="1"/>
  <c r="I1450" i="5" s="1"/>
  <c r="J1450" i="5" s="1" a="1"/>
  <c r="J1450" i="5" s="1"/>
  <c r="X1444" i="9" s="1"/>
  <c r="B1451" i="5"/>
  <c r="H1451" i="5" s="1"/>
  <c r="I1451" i="5" s="1"/>
  <c r="J1451" i="5" s="1" a="1"/>
  <c r="J1451" i="5" s="1"/>
  <c r="X1445" i="9" s="1"/>
  <c r="B1452" i="5"/>
  <c r="H1452" i="5" s="1"/>
  <c r="I1452" i="5" s="1"/>
  <c r="J1452" i="5" s="1" a="1"/>
  <c r="J1452" i="5" s="1"/>
  <c r="X1446" i="9" s="1"/>
  <c r="B1453" i="5"/>
  <c r="H1453" i="5" s="1"/>
  <c r="I1453" i="5" s="1"/>
  <c r="J1453" i="5" s="1" a="1"/>
  <c r="J1453" i="5" s="1"/>
  <c r="X1447" i="9" s="1"/>
  <c r="B1454" i="5"/>
  <c r="H1454" i="5" s="1"/>
  <c r="I1454" i="5" s="1"/>
  <c r="J1454" i="5" s="1" a="1"/>
  <c r="J1454" i="5" s="1"/>
  <c r="X1448" i="9" s="1"/>
  <c r="B1455" i="5"/>
  <c r="H1455" i="5" s="1"/>
  <c r="I1455" i="5" s="1"/>
  <c r="J1455" i="5" s="1" a="1"/>
  <c r="J1455" i="5" s="1"/>
  <c r="X1449" i="9" s="1"/>
  <c r="B1456" i="5"/>
  <c r="H1456" i="5" s="1"/>
  <c r="I1456" i="5" s="1"/>
  <c r="J1456" i="5" s="1" a="1"/>
  <c r="J1456" i="5" s="1"/>
  <c r="X1450" i="9" s="1"/>
  <c r="B1457" i="5"/>
  <c r="H1457" i="5" s="1"/>
  <c r="I1457" i="5" s="1"/>
  <c r="J1457" i="5" s="1" a="1"/>
  <c r="J1457" i="5" s="1"/>
  <c r="X1451" i="9" s="1"/>
  <c r="B1458" i="5"/>
  <c r="H1458" i="5" s="1"/>
  <c r="I1458" i="5" s="1"/>
  <c r="J1458" i="5" s="1" a="1"/>
  <c r="J1458" i="5" s="1"/>
  <c r="X1452" i="9" s="1"/>
  <c r="B1459" i="5"/>
  <c r="H1459" i="5" s="1"/>
  <c r="I1459" i="5" s="1"/>
  <c r="J1459" i="5" s="1" a="1"/>
  <c r="J1459" i="5" s="1"/>
  <c r="X1453" i="9" s="1"/>
  <c r="B1460" i="5"/>
  <c r="H1460" i="5" s="1"/>
  <c r="I1460" i="5" s="1"/>
  <c r="J1460" i="5" s="1" a="1"/>
  <c r="J1460" i="5" s="1"/>
  <c r="X1454" i="9" s="1"/>
  <c r="B1461" i="5"/>
  <c r="H1461" i="5" s="1"/>
  <c r="I1461" i="5" s="1"/>
  <c r="J1461" i="5" s="1" a="1"/>
  <c r="J1461" i="5" s="1"/>
  <c r="X1455" i="9" s="1"/>
  <c r="B1462" i="5"/>
  <c r="H1462" i="5" s="1"/>
  <c r="I1462" i="5" s="1"/>
  <c r="J1462" i="5" s="1" a="1"/>
  <c r="J1462" i="5" s="1"/>
  <c r="X1456" i="9" s="1"/>
  <c r="B1463" i="5"/>
  <c r="H1463" i="5" s="1"/>
  <c r="I1463" i="5" s="1"/>
  <c r="J1463" i="5" s="1" a="1"/>
  <c r="J1463" i="5" s="1"/>
  <c r="X1457" i="9" s="1"/>
  <c r="B1464" i="5"/>
  <c r="H1464" i="5" s="1"/>
  <c r="I1464" i="5" s="1"/>
  <c r="J1464" i="5" s="1" a="1"/>
  <c r="J1464" i="5" s="1"/>
  <c r="X1458" i="9" s="1"/>
  <c r="B1465" i="5"/>
  <c r="H1465" i="5" s="1"/>
  <c r="I1465" i="5" s="1"/>
  <c r="J1465" i="5" s="1" a="1"/>
  <c r="J1465" i="5" s="1"/>
  <c r="X1459" i="9" s="1"/>
  <c r="B1466" i="5"/>
  <c r="H1466" i="5" s="1"/>
  <c r="I1466" i="5" s="1"/>
  <c r="J1466" i="5" s="1" a="1"/>
  <c r="J1466" i="5" s="1"/>
  <c r="X1460" i="9" s="1"/>
  <c r="B1467" i="5"/>
  <c r="H1467" i="5" s="1"/>
  <c r="I1467" i="5" s="1"/>
  <c r="J1467" i="5" s="1" a="1"/>
  <c r="J1467" i="5" s="1"/>
  <c r="X1461" i="9" s="1"/>
  <c r="B1468" i="5"/>
  <c r="H1468" i="5" s="1"/>
  <c r="I1468" i="5" s="1"/>
  <c r="J1468" i="5" s="1" a="1"/>
  <c r="J1468" i="5" s="1"/>
  <c r="X1462" i="9" s="1"/>
  <c r="B1469" i="5"/>
  <c r="H1469" i="5" s="1"/>
  <c r="I1469" i="5" s="1"/>
  <c r="J1469" i="5" s="1" a="1"/>
  <c r="J1469" i="5" s="1"/>
  <c r="X1463" i="9" s="1"/>
  <c r="B1470" i="5"/>
  <c r="H1470" i="5" s="1"/>
  <c r="I1470" i="5" s="1"/>
  <c r="J1470" i="5" s="1" a="1"/>
  <c r="J1470" i="5" s="1"/>
  <c r="X1464" i="9" s="1"/>
  <c r="B1471" i="5"/>
  <c r="H1471" i="5" s="1"/>
  <c r="I1471" i="5" s="1"/>
  <c r="J1471" i="5" s="1" a="1"/>
  <c r="J1471" i="5" s="1"/>
  <c r="X1465" i="9" s="1"/>
  <c r="B1472" i="5"/>
  <c r="H1472" i="5" s="1"/>
  <c r="I1472" i="5" s="1"/>
  <c r="J1472" i="5" s="1" a="1"/>
  <c r="J1472" i="5" s="1"/>
  <c r="X1466" i="9" s="1"/>
  <c r="B1473" i="5"/>
  <c r="H1473" i="5" s="1"/>
  <c r="I1473" i="5" s="1"/>
  <c r="J1473" i="5" s="1" a="1"/>
  <c r="J1473" i="5" s="1"/>
  <c r="X1467" i="9" s="1"/>
  <c r="B1474" i="5"/>
  <c r="H1474" i="5" s="1"/>
  <c r="I1474" i="5" s="1"/>
  <c r="J1474" i="5" s="1" a="1"/>
  <c r="J1474" i="5" s="1"/>
  <c r="X1468" i="9" s="1"/>
  <c r="B1475" i="5"/>
  <c r="H1475" i="5" s="1"/>
  <c r="I1475" i="5" s="1"/>
  <c r="J1475" i="5" s="1" a="1"/>
  <c r="J1475" i="5" s="1"/>
  <c r="X1469" i="9" s="1"/>
  <c r="B1476" i="5"/>
  <c r="H1476" i="5" s="1"/>
  <c r="I1476" i="5" s="1"/>
  <c r="J1476" i="5" s="1" a="1"/>
  <c r="J1476" i="5" s="1"/>
  <c r="X1470" i="9" s="1"/>
  <c r="B1477" i="5"/>
  <c r="H1477" i="5" s="1"/>
  <c r="I1477" i="5" s="1"/>
  <c r="J1477" i="5" s="1" a="1"/>
  <c r="J1477" i="5" s="1"/>
  <c r="X1471" i="9" s="1"/>
  <c r="B1478" i="5"/>
  <c r="H1478" i="5" s="1"/>
  <c r="I1478" i="5" s="1"/>
  <c r="J1478" i="5" s="1" a="1"/>
  <c r="J1478" i="5" s="1"/>
  <c r="X1472" i="9" s="1"/>
  <c r="B1479" i="5"/>
  <c r="H1479" i="5" s="1"/>
  <c r="I1479" i="5" s="1"/>
  <c r="J1479" i="5" s="1" a="1"/>
  <c r="J1479" i="5" s="1"/>
  <c r="X1473" i="9" s="1"/>
  <c r="B1480" i="5"/>
  <c r="H1480" i="5" s="1"/>
  <c r="I1480" i="5" s="1"/>
  <c r="J1480" i="5" s="1" a="1"/>
  <c r="J1480" i="5" s="1"/>
  <c r="X1474" i="9" s="1"/>
  <c r="B1481" i="5"/>
  <c r="H1481" i="5" s="1"/>
  <c r="I1481" i="5" s="1"/>
  <c r="J1481" i="5" s="1" a="1"/>
  <c r="J1481" i="5" s="1"/>
  <c r="X1475" i="9" s="1"/>
  <c r="B1482" i="5"/>
  <c r="H1482" i="5" s="1"/>
  <c r="I1482" i="5" s="1"/>
  <c r="J1482" i="5" s="1" a="1"/>
  <c r="J1482" i="5" s="1"/>
  <c r="X1476" i="9" s="1"/>
  <c r="B1483" i="5"/>
  <c r="H1483" i="5" s="1"/>
  <c r="I1483" i="5" s="1"/>
  <c r="J1483" i="5" s="1" a="1"/>
  <c r="J1483" i="5" s="1"/>
  <c r="X1477" i="9" s="1"/>
  <c r="B1484" i="5"/>
  <c r="H1484" i="5" s="1"/>
  <c r="I1484" i="5" s="1"/>
  <c r="J1484" i="5" s="1" a="1"/>
  <c r="J1484" i="5" s="1"/>
  <c r="X1478" i="9" s="1"/>
  <c r="B1485" i="5"/>
  <c r="H1485" i="5" s="1"/>
  <c r="I1485" i="5" s="1"/>
  <c r="J1485" i="5" s="1" a="1"/>
  <c r="J1485" i="5" s="1"/>
  <c r="X1479" i="9" s="1"/>
  <c r="B1486" i="5"/>
  <c r="H1486" i="5" s="1"/>
  <c r="I1486" i="5" s="1"/>
  <c r="J1486" i="5" s="1" a="1"/>
  <c r="J1486" i="5" s="1"/>
  <c r="X1480" i="9" s="1"/>
  <c r="B1487" i="5"/>
  <c r="H1487" i="5" s="1"/>
  <c r="I1487" i="5" s="1"/>
  <c r="J1487" i="5" s="1" a="1"/>
  <c r="J1487" i="5" s="1"/>
  <c r="X1481" i="9" s="1"/>
  <c r="B1488" i="5"/>
  <c r="H1488" i="5" s="1"/>
  <c r="I1488" i="5" s="1"/>
  <c r="J1488" i="5" s="1" a="1"/>
  <c r="J1488" i="5" s="1"/>
  <c r="X1482" i="9" s="1"/>
  <c r="B1489" i="5"/>
  <c r="H1489" i="5" s="1"/>
  <c r="I1489" i="5" s="1"/>
  <c r="J1489" i="5" s="1" a="1"/>
  <c r="J1489" i="5" s="1"/>
  <c r="X1483" i="9" s="1"/>
  <c r="B1490" i="5"/>
  <c r="H1490" i="5" s="1"/>
  <c r="I1490" i="5" s="1"/>
  <c r="J1490" i="5" s="1" a="1"/>
  <c r="J1490" i="5" s="1"/>
  <c r="X1484" i="9" s="1"/>
  <c r="B1491" i="5"/>
  <c r="H1491" i="5" s="1"/>
  <c r="I1491" i="5" s="1"/>
  <c r="J1491" i="5" s="1" a="1"/>
  <c r="J1491" i="5" s="1"/>
  <c r="X1485" i="9" s="1"/>
  <c r="B1492" i="5"/>
  <c r="H1492" i="5" s="1"/>
  <c r="I1492" i="5" s="1"/>
  <c r="J1492" i="5" s="1" a="1"/>
  <c r="J1492" i="5" s="1"/>
  <c r="X1486" i="9" s="1"/>
  <c r="B1493" i="5"/>
  <c r="H1493" i="5" s="1"/>
  <c r="I1493" i="5" s="1"/>
  <c r="J1493" i="5" s="1" a="1"/>
  <c r="J1493" i="5" s="1"/>
  <c r="X1487" i="9" s="1"/>
  <c r="B1494" i="5"/>
  <c r="H1494" i="5" s="1"/>
  <c r="I1494" i="5" s="1"/>
  <c r="J1494" i="5" s="1" a="1"/>
  <c r="J1494" i="5" s="1"/>
  <c r="X1488" i="9" s="1"/>
  <c r="B1495" i="5"/>
  <c r="H1495" i="5" s="1"/>
  <c r="I1495" i="5" s="1"/>
  <c r="J1495" i="5" s="1" a="1"/>
  <c r="J1495" i="5" s="1"/>
  <c r="X1489" i="9" s="1"/>
  <c r="B1496" i="5"/>
  <c r="H1496" i="5" s="1"/>
  <c r="I1496" i="5" s="1"/>
  <c r="J1496" i="5" s="1" a="1"/>
  <c r="J1496" i="5" s="1"/>
  <c r="X1490" i="9" s="1"/>
  <c r="B1497" i="5"/>
  <c r="H1497" i="5" s="1"/>
  <c r="I1497" i="5" s="1"/>
  <c r="J1497" i="5" s="1" a="1"/>
  <c r="J1497" i="5" s="1"/>
  <c r="X1491" i="9" s="1"/>
  <c r="B1498" i="5"/>
  <c r="H1498" i="5" s="1"/>
  <c r="I1498" i="5" s="1"/>
  <c r="J1498" i="5" s="1" a="1"/>
  <c r="J1498" i="5" s="1"/>
  <c r="X1492" i="9" s="1"/>
  <c r="B1499" i="5"/>
  <c r="H1499" i="5" s="1"/>
  <c r="I1499" i="5" s="1"/>
  <c r="J1499" i="5" s="1" a="1"/>
  <c r="J1499" i="5" s="1"/>
  <c r="X1493" i="9" s="1"/>
  <c r="B1500" i="5"/>
  <c r="H1500" i="5" s="1"/>
  <c r="I1500" i="5" s="1"/>
  <c r="J1500" i="5" s="1" a="1"/>
  <c r="J1500" i="5" s="1"/>
  <c r="X1494" i="9" s="1"/>
  <c r="B1501" i="5"/>
  <c r="H1501" i="5" s="1"/>
  <c r="I1501" i="5" s="1"/>
  <c r="J1501" i="5" s="1" a="1"/>
  <c r="J1501" i="5" s="1"/>
  <c r="X1495" i="9" s="1"/>
  <c r="B1502" i="5"/>
  <c r="H1502" i="5" s="1"/>
  <c r="I1502" i="5" s="1"/>
  <c r="J1502" i="5" s="1" a="1"/>
  <c r="J1502" i="5" s="1"/>
  <c r="X1496" i="9" s="1"/>
  <c r="B1503" i="5"/>
  <c r="H1503" i="5" s="1"/>
  <c r="I1503" i="5" s="1"/>
  <c r="J1503" i="5" s="1" a="1"/>
  <c r="J1503" i="5" s="1"/>
  <c r="X1497" i="9" s="1"/>
  <c r="B1504" i="5"/>
  <c r="H1504" i="5" s="1"/>
  <c r="I1504" i="5" s="1"/>
  <c r="J1504" i="5" s="1" a="1"/>
  <c r="J1504" i="5" s="1"/>
  <c r="X1498" i="9" s="1"/>
  <c r="B1505" i="5"/>
  <c r="H1505" i="5" s="1"/>
  <c r="I1505" i="5" s="1"/>
  <c r="J1505" i="5" s="1" a="1"/>
  <c r="J1505" i="5" s="1"/>
  <c r="X1499" i="9" s="1"/>
  <c r="B1506" i="5"/>
  <c r="H1506" i="5" s="1"/>
  <c r="I1506" i="5" s="1"/>
  <c r="J1506" i="5" s="1" a="1"/>
  <c r="J1506" i="5" s="1"/>
  <c r="X1500" i="9" s="1"/>
  <c r="B1507" i="5"/>
  <c r="H1507" i="5" s="1"/>
  <c r="I1507" i="5" s="1"/>
  <c r="J1507" i="5" s="1" a="1"/>
  <c r="J1507" i="5" s="1"/>
  <c r="X1501" i="9" s="1"/>
  <c r="B1508" i="5"/>
  <c r="H1508" i="5" s="1"/>
  <c r="I1508" i="5" s="1"/>
  <c r="J1508" i="5" s="1" a="1"/>
  <c r="J1508" i="5" s="1"/>
  <c r="X1502" i="9" s="1"/>
  <c r="B1509" i="5"/>
  <c r="H1509" i="5" s="1"/>
  <c r="I1509" i="5" s="1"/>
  <c r="J1509" i="5" s="1" a="1"/>
  <c r="J1509" i="5" s="1"/>
  <c r="X1503" i="9" s="1"/>
  <c r="B1510" i="5"/>
  <c r="H1510" i="5" s="1"/>
  <c r="I1510" i="5" s="1"/>
  <c r="J1510" i="5" s="1" a="1"/>
  <c r="J1510" i="5" s="1"/>
  <c r="X1504" i="9" s="1"/>
  <c r="B1511" i="5"/>
  <c r="H1511" i="5" s="1"/>
  <c r="I1511" i="5" s="1"/>
  <c r="J1511" i="5" s="1" a="1"/>
  <c r="J1511" i="5" s="1"/>
  <c r="X1505" i="9" s="1"/>
  <c r="B1512" i="5"/>
  <c r="H1512" i="5" s="1"/>
  <c r="I1512" i="5" s="1"/>
  <c r="J1512" i="5" s="1" a="1"/>
  <c r="J1512" i="5" s="1"/>
  <c r="X1506" i="9" s="1"/>
  <c r="B1513" i="5"/>
  <c r="H1513" i="5" s="1"/>
  <c r="I1513" i="5" s="1"/>
  <c r="J1513" i="5" s="1" a="1"/>
  <c r="J1513" i="5" s="1"/>
  <c r="X1507" i="9" s="1"/>
  <c r="B1514" i="5"/>
  <c r="H1514" i="5" s="1"/>
  <c r="I1514" i="5" s="1"/>
  <c r="J1514" i="5" s="1" a="1"/>
  <c r="J1514" i="5" s="1"/>
  <c r="X1508" i="9" s="1"/>
  <c r="B1515" i="5"/>
  <c r="H1515" i="5" s="1"/>
  <c r="I1515" i="5" s="1"/>
  <c r="J1515" i="5" s="1" a="1"/>
  <c r="J1515" i="5" s="1"/>
  <c r="X1509" i="9" s="1"/>
  <c r="B1516" i="5"/>
  <c r="H1516" i="5" s="1"/>
  <c r="I1516" i="5" s="1"/>
  <c r="J1516" i="5" s="1" a="1"/>
  <c r="J1516" i="5" s="1"/>
  <c r="X1510" i="9" s="1"/>
  <c r="B1517" i="5"/>
  <c r="H1517" i="5" s="1"/>
  <c r="I1517" i="5" s="1"/>
  <c r="J1517" i="5" s="1" a="1"/>
  <c r="J1517" i="5" s="1"/>
  <c r="X1511" i="9" s="1"/>
  <c r="B1518" i="5"/>
  <c r="H1518" i="5" s="1"/>
  <c r="I1518" i="5" s="1"/>
  <c r="J1518" i="5" s="1" a="1"/>
  <c r="J1518" i="5" s="1"/>
  <c r="X1512" i="9" s="1"/>
  <c r="B1519" i="5"/>
  <c r="H1519" i="5" s="1"/>
  <c r="I1519" i="5" s="1"/>
  <c r="J1519" i="5" s="1" a="1"/>
  <c r="J1519" i="5" s="1"/>
  <c r="X1513" i="9" s="1"/>
  <c r="B1520" i="5"/>
  <c r="H1520" i="5" s="1"/>
  <c r="I1520" i="5" s="1"/>
  <c r="J1520" i="5" s="1" a="1"/>
  <c r="J1520" i="5" s="1"/>
  <c r="X1514" i="9" s="1"/>
  <c r="B1521" i="5"/>
  <c r="H1521" i="5" s="1"/>
  <c r="I1521" i="5" s="1"/>
  <c r="J1521" i="5" s="1" a="1"/>
  <c r="J1521" i="5" s="1"/>
  <c r="X1515" i="9" s="1"/>
  <c r="B1522" i="5"/>
  <c r="H1522" i="5" s="1"/>
  <c r="I1522" i="5" s="1"/>
  <c r="J1522" i="5" s="1" a="1"/>
  <c r="J1522" i="5" s="1"/>
  <c r="X1516" i="9" s="1"/>
  <c r="B1523" i="5"/>
  <c r="H1523" i="5" s="1"/>
  <c r="I1523" i="5" s="1"/>
  <c r="J1523" i="5" s="1" a="1"/>
  <c r="J1523" i="5" s="1"/>
  <c r="X1517" i="9" s="1"/>
  <c r="B1524" i="5"/>
  <c r="H1524" i="5" s="1"/>
  <c r="I1524" i="5" s="1"/>
  <c r="J1524" i="5" s="1" a="1"/>
  <c r="J1524" i="5" s="1"/>
  <c r="X1518" i="9" s="1"/>
  <c r="B1525" i="5"/>
  <c r="H1525" i="5" s="1"/>
  <c r="I1525" i="5" s="1"/>
  <c r="J1525" i="5" s="1" a="1"/>
  <c r="J1525" i="5" s="1"/>
  <c r="X1519" i="9" s="1"/>
  <c r="B1526" i="5"/>
  <c r="H1526" i="5" s="1"/>
  <c r="I1526" i="5" s="1"/>
  <c r="J1526" i="5" s="1" a="1"/>
  <c r="J1526" i="5" s="1"/>
  <c r="X1520" i="9" s="1"/>
  <c r="B1527" i="5"/>
  <c r="H1527" i="5" s="1"/>
  <c r="I1527" i="5" s="1"/>
  <c r="J1527" i="5" s="1" a="1"/>
  <c r="J1527" i="5" s="1"/>
  <c r="X1521" i="9" s="1"/>
  <c r="B1528" i="5"/>
  <c r="H1528" i="5" s="1"/>
  <c r="I1528" i="5" s="1"/>
  <c r="J1528" i="5" s="1" a="1"/>
  <c r="J1528" i="5" s="1"/>
  <c r="X1522" i="9" s="1"/>
  <c r="B1529" i="5"/>
  <c r="H1529" i="5" s="1"/>
  <c r="I1529" i="5" s="1"/>
  <c r="J1529" i="5" s="1" a="1"/>
  <c r="J1529" i="5" s="1"/>
  <c r="X1523" i="9" s="1"/>
  <c r="B1530" i="5"/>
  <c r="H1530" i="5" s="1"/>
  <c r="I1530" i="5" s="1"/>
  <c r="J1530" i="5" s="1" a="1"/>
  <c r="J1530" i="5" s="1"/>
  <c r="X1524" i="9" s="1"/>
  <c r="B1531" i="5"/>
  <c r="H1531" i="5" s="1"/>
  <c r="I1531" i="5" s="1"/>
  <c r="J1531" i="5" s="1" a="1"/>
  <c r="J1531" i="5" s="1"/>
  <c r="X1525" i="9" s="1"/>
  <c r="B1532" i="5"/>
  <c r="H1532" i="5" s="1"/>
  <c r="I1532" i="5" s="1"/>
  <c r="J1532" i="5" s="1" a="1"/>
  <c r="J1532" i="5" s="1"/>
  <c r="X1526" i="9" s="1"/>
  <c r="B1533" i="5"/>
  <c r="H1533" i="5" s="1"/>
  <c r="I1533" i="5" s="1"/>
  <c r="J1533" i="5" s="1" a="1"/>
  <c r="J1533" i="5" s="1"/>
  <c r="X1527" i="9" s="1"/>
  <c r="B1534" i="5"/>
  <c r="H1534" i="5" s="1"/>
  <c r="I1534" i="5" s="1"/>
  <c r="J1534" i="5" s="1" a="1"/>
  <c r="J1534" i="5" s="1"/>
  <c r="X1528" i="9" s="1"/>
  <c r="B1535" i="5"/>
  <c r="H1535" i="5" s="1"/>
  <c r="I1535" i="5" s="1"/>
  <c r="J1535" i="5" s="1" a="1"/>
  <c r="J1535" i="5" s="1"/>
  <c r="X1529" i="9" s="1"/>
  <c r="B1536" i="5"/>
  <c r="H1536" i="5" s="1"/>
  <c r="I1536" i="5" s="1"/>
  <c r="J1536" i="5" s="1" a="1"/>
  <c r="J1536" i="5" s="1"/>
  <c r="X1530" i="9" s="1"/>
  <c r="B1537" i="5"/>
  <c r="H1537" i="5" s="1"/>
  <c r="I1537" i="5" s="1"/>
  <c r="J1537" i="5" s="1" a="1"/>
  <c r="J1537" i="5" s="1"/>
  <c r="X1531" i="9" s="1"/>
  <c r="B1538" i="5"/>
  <c r="H1538" i="5" s="1"/>
  <c r="I1538" i="5" s="1"/>
  <c r="J1538" i="5" s="1" a="1"/>
  <c r="J1538" i="5" s="1"/>
  <c r="X1532" i="9" s="1"/>
  <c r="B1539" i="5"/>
  <c r="H1539" i="5" s="1"/>
  <c r="I1539" i="5" s="1"/>
  <c r="J1539" i="5" s="1" a="1"/>
  <c r="J1539" i="5" s="1"/>
  <c r="X1533" i="9" s="1"/>
  <c r="B1540" i="5"/>
  <c r="H1540" i="5" s="1"/>
  <c r="I1540" i="5" s="1"/>
  <c r="J1540" i="5" s="1" a="1"/>
  <c r="J1540" i="5" s="1"/>
  <c r="X1534" i="9" s="1"/>
  <c r="B1541" i="5"/>
  <c r="H1541" i="5" s="1"/>
  <c r="I1541" i="5" s="1"/>
  <c r="J1541" i="5" s="1" a="1"/>
  <c r="J1541" i="5" s="1"/>
  <c r="X1535" i="9" s="1"/>
  <c r="B1542" i="5"/>
  <c r="H1542" i="5" s="1"/>
  <c r="I1542" i="5" s="1"/>
  <c r="J1542" i="5" s="1" a="1"/>
  <c r="J1542" i="5" s="1"/>
  <c r="X1536" i="9" s="1"/>
  <c r="B1543" i="5"/>
  <c r="H1543" i="5" s="1"/>
  <c r="I1543" i="5" s="1"/>
  <c r="J1543" i="5" s="1" a="1"/>
  <c r="J1543" i="5" s="1"/>
  <c r="X1537" i="9" s="1"/>
  <c r="B1544" i="5"/>
  <c r="H1544" i="5" s="1"/>
  <c r="I1544" i="5" s="1"/>
  <c r="J1544" i="5" s="1" a="1"/>
  <c r="J1544" i="5" s="1"/>
  <c r="X1538" i="9" s="1"/>
  <c r="B1545" i="5"/>
  <c r="H1545" i="5" s="1"/>
  <c r="I1545" i="5" s="1"/>
  <c r="J1545" i="5" s="1" a="1"/>
  <c r="J1545" i="5" s="1"/>
  <c r="X1539" i="9" s="1"/>
  <c r="B1546" i="5"/>
  <c r="H1546" i="5" s="1"/>
  <c r="I1546" i="5" s="1"/>
  <c r="J1546" i="5" s="1" a="1"/>
  <c r="J1546" i="5" s="1"/>
  <c r="X1540" i="9" s="1"/>
  <c r="B1547" i="5"/>
  <c r="H1547" i="5" s="1"/>
  <c r="I1547" i="5" s="1"/>
  <c r="J1547" i="5" s="1" a="1"/>
  <c r="J1547" i="5" s="1"/>
  <c r="X1541" i="9" s="1"/>
  <c r="B1548" i="5"/>
  <c r="H1548" i="5" s="1"/>
  <c r="I1548" i="5" s="1"/>
  <c r="J1548" i="5" s="1" a="1"/>
  <c r="J1548" i="5" s="1"/>
  <c r="X1542" i="9" s="1"/>
  <c r="B1549" i="5"/>
  <c r="H1549" i="5" s="1"/>
  <c r="I1549" i="5" s="1"/>
  <c r="J1549" i="5" s="1" a="1"/>
  <c r="J1549" i="5" s="1"/>
  <c r="X1543" i="9" s="1"/>
  <c r="B1550" i="5"/>
  <c r="H1550" i="5" s="1"/>
  <c r="I1550" i="5" s="1"/>
  <c r="J1550" i="5" s="1" a="1"/>
  <c r="J1550" i="5" s="1"/>
  <c r="X1544" i="9" s="1"/>
  <c r="B1551" i="5"/>
  <c r="H1551" i="5" s="1"/>
  <c r="I1551" i="5" s="1"/>
  <c r="J1551" i="5" s="1" a="1"/>
  <c r="J1551" i="5" s="1"/>
  <c r="X1545" i="9" s="1"/>
  <c r="B1552" i="5"/>
  <c r="H1552" i="5" s="1"/>
  <c r="I1552" i="5" s="1"/>
  <c r="J1552" i="5" s="1" a="1"/>
  <c r="J1552" i="5" s="1"/>
  <c r="X1546" i="9" s="1"/>
  <c r="B1553" i="5"/>
  <c r="H1553" i="5" s="1"/>
  <c r="I1553" i="5" s="1"/>
  <c r="J1553" i="5" s="1" a="1"/>
  <c r="J1553" i="5" s="1"/>
  <c r="X1547" i="9" s="1"/>
  <c r="B1554" i="5"/>
  <c r="H1554" i="5" s="1"/>
  <c r="I1554" i="5" s="1"/>
  <c r="J1554" i="5" s="1" a="1"/>
  <c r="J1554" i="5" s="1"/>
  <c r="X1548" i="9" s="1"/>
  <c r="B1555" i="5"/>
  <c r="H1555" i="5" s="1"/>
  <c r="I1555" i="5" s="1"/>
  <c r="J1555" i="5" s="1" a="1"/>
  <c r="J1555" i="5" s="1"/>
  <c r="X1549" i="9" s="1"/>
  <c r="B1556" i="5"/>
  <c r="H1556" i="5" s="1"/>
  <c r="I1556" i="5" s="1"/>
  <c r="J1556" i="5" s="1" a="1"/>
  <c r="J1556" i="5" s="1"/>
  <c r="X1550" i="9" s="1"/>
  <c r="B1557" i="5"/>
  <c r="H1557" i="5" s="1"/>
  <c r="I1557" i="5" s="1"/>
  <c r="J1557" i="5" s="1" a="1"/>
  <c r="J1557" i="5" s="1"/>
  <c r="X1551" i="9" s="1"/>
  <c r="B1558" i="5"/>
  <c r="H1558" i="5" s="1"/>
  <c r="I1558" i="5" s="1"/>
  <c r="J1558" i="5" s="1" a="1"/>
  <c r="J1558" i="5" s="1"/>
  <c r="X1552" i="9" s="1"/>
  <c r="B1559" i="5"/>
  <c r="H1559" i="5" s="1"/>
  <c r="I1559" i="5" s="1"/>
  <c r="J1559" i="5" s="1" a="1"/>
  <c r="J1559" i="5" s="1"/>
  <c r="X1553" i="9" s="1"/>
  <c r="B1560" i="5"/>
  <c r="H1560" i="5" s="1"/>
  <c r="I1560" i="5" s="1"/>
  <c r="J1560" i="5" s="1" a="1"/>
  <c r="J1560" i="5" s="1"/>
  <c r="X1554" i="9" s="1"/>
  <c r="B1561" i="5"/>
  <c r="H1561" i="5" s="1"/>
  <c r="I1561" i="5" s="1"/>
  <c r="J1561" i="5" s="1" a="1"/>
  <c r="J1561" i="5" s="1"/>
  <c r="X1555" i="9" s="1"/>
  <c r="B1562" i="5"/>
  <c r="H1562" i="5" s="1"/>
  <c r="I1562" i="5" s="1"/>
  <c r="J1562" i="5" s="1" a="1"/>
  <c r="J1562" i="5" s="1"/>
  <c r="X1556" i="9" s="1"/>
  <c r="B1563" i="5"/>
  <c r="H1563" i="5" s="1"/>
  <c r="I1563" i="5" s="1"/>
  <c r="J1563" i="5" s="1" a="1"/>
  <c r="J1563" i="5" s="1"/>
  <c r="X1557" i="9" s="1"/>
  <c r="B1564" i="5"/>
  <c r="H1564" i="5" s="1"/>
  <c r="I1564" i="5" s="1"/>
  <c r="J1564" i="5" s="1" a="1"/>
  <c r="J1564" i="5" s="1"/>
  <c r="X1558" i="9" s="1"/>
  <c r="B1565" i="5"/>
  <c r="H1565" i="5" s="1"/>
  <c r="I1565" i="5" s="1"/>
  <c r="J1565" i="5" s="1" a="1"/>
  <c r="J1565" i="5" s="1"/>
  <c r="X1559" i="9" s="1"/>
  <c r="B1566" i="5"/>
  <c r="H1566" i="5" s="1"/>
  <c r="I1566" i="5" s="1"/>
  <c r="J1566" i="5" s="1" a="1"/>
  <c r="J1566" i="5" s="1"/>
  <c r="X1560" i="9" s="1"/>
  <c r="B1567" i="5"/>
  <c r="H1567" i="5" s="1"/>
  <c r="I1567" i="5" s="1"/>
  <c r="J1567" i="5" s="1" a="1"/>
  <c r="J1567" i="5" s="1"/>
  <c r="X1561" i="9" s="1"/>
  <c r="B1568" i="5"/>
  <c r="H1568" i="5" s="1"/>
  <c r="I1568" i="5" s="1"/>
  <c r="J1568" i="5" s="1" a="1"/>
  <c r="J1568" i="5" s="1"/>
  <c r="X1562" i="9" s="1"/>
  <c r="B1569" i="5"/>
  <c r="H1569" i="5" s="1"/>
  <c r="I1569" i="5" s="1"/>
  <c r="J1569" i="5" s="1" a="1"/>
  <c r="J1569" i="5" s="1"/>
  <c r="X1563" i="9" s="1"/>
  <c r="B1570" i="5"/>
  <c r="H1570" i="5" s="1"/>
  <c r="I1570" i="5" s="1"/>
  <c r="J1570" i="5" s="1" a="1"/>
  <c r="J1570" i="5" s="1"/>
  <c r="X1564" i="9" s="1"/>
  <c r="B1571" i="5"/>
  <c r="H1571" i="5" s="1"/>
  <c r="I1571" i="5" s="1"/>
  <c r="J1571" i="5" s="1" a="1"/>
  <c r="J1571" i="5" s="1"/>
  <c r="X1565" i="9" s="1"/>
  <c r="B1572" i="5"/>
  <c r="H1572" i="5" s="1"/>
  <c r="I1572" i="5" s="1"/>
  <c r="J1572" i="5" s="1" a="1"/>
  <c r="J1572" i="5" s="1"/>
  <c r="X1566" i="9" s="1"/>
  <c r="B1573" i="5"/>
  <c r="H1573" i="5" s="1"/>
  <c r="I1573" i="5" s="1"/>
  <c r="J1573" i="5" s="1" a="1"/>
  <c r="J1573" i="5" s="1"/>
  <c r="X1567" i="9" s="1"/>
  <c r="B1574" i="5"/>
  <c r="H1574" i="5" s="1"/>
  <c r="I1574" i="5" s="1"/>
  <c r="J1574" i="5" s="1" a="1"/>
  <c r="J1574" i="5" s="1"/>
  <c r="X1568" i="9" s="1"/>
  <c r="B1575" i="5"/>
  <c r="H1575" i="5" s="1"/>
  <c r="I1575" i="5" s="1"/>
  <c r="J1575" i="5" s="1" a="1"/>
  <c r="J1575" i="5" s="1"/>
  <c r="X1569" i="9" s="1"/>
  <c r="B1576" i="5"/>
  <c r="H1576" i="5" s="1"/>
  <c r="I1576" i="5" s="1"/>
  <c r="J1576" i="5" s="1" a="1"/>
  <c r="J1576" i="5" s="1"/>
  <c r="X1570" i="9" s="1"/>
  <c r="B1577" i="5"/>
  <c r="H1577" i="5" s="1"/>
  <c r="I1577" i="5" s="1"/>
  <c r="J1577" i="5" s="1" a="1"/>
  <c r="J1577" i="5" s="1"/>
  <c r="X1571" i="9" s="1"/>
  <c r="B1578" i="5"/>
  <c r="H1578" i="5" s="1"/>
  <c r="I1578" i="5" s="1"/>
  <c r="J1578" i="5" s="1" a="1"/>
  <c r="J1578" i="5" s="1"/>
  <c r="X1572" i="9" s="1"/>
  <c r="B1579" i="5"/>
  <c r="H1579" i="5" s="1"/>
  <c r="I1579" i="5" s="1"/>
  <c r="J1579" i="5" s="1" a="1"/>
  <c r="J1579" i="5" s="1"/>
  <c r="X1573" i="9" s="1"/>
  <c r="B1580" i="5"/>
  <c r="H1580" i="5" s="1"/>
  <c r="I1580" i="5" s="1"/>
  <c r="J1580" i="5" s="1" a="1"/>
  <c r="J1580" i="5" s="1"/>
  <c r="X1574" i="9" s="1"/>
  <c r="B1581" i="5"/>
  <c r="H1581" i="5" s="1"/>
  <c r="I1581" i="5" s="1"/>
  <c r="J1581" i="5" s="1" a="1"/>
  <c r="J1581" i="5" s="1"/>
  <c r="X1575" i="9" s="1"/>
  <c r="B1582" i="5"/>
  <c r="H1582" i="5" s="1"/>
  <c r="I1582" i="5" s="1"/>
  <c r="J1582" i="5" s="1" a="1"/>
  <c r="J1582" i="5" s="1"/>
  <c r="X1576" i="9" s="1"/>
  <c r="B1583" i="5"/>
  <c r="H1583" i="5" s="1"/>
  <c r="I1583" i="5" s="1"/>
  <c r="J1583" i="5" s="1" a="1"/>
  <c r="J1583" i="5" s="1"/>
  <c r="X1577" i="9" s="1"/>
  <c r="B1584" i="5"/>
  <c r="H1584" i="5" s="1"/>
  <c r="I1584" i="5" s="1"/>
  <c r="J1584" i="5" s="1" a="1"/>
  <c r="J1584" i="5" s="1"/>
  <c r="X1578" i="9" s="1"/>
  <c r="B1585" i="5"/>
  <c r="H1585" i="5" s="1"/>
  <c r="I1585" i="5" s="1"/>
  <c r="J1585" i="5" s="1" a="1"/>
  <c r="J1585" i="5" s="1"/>
  <c r="X1579" i="9" s="1"/>
  <c r="B1586" i="5"/>
  <c r="H1586" i="5" s="1"/>
  <c r="I1586" i="5" s="1"/>
  <c r="J1586" i="5" s="1" a="1"/>
  <c r="J1586" i="5" s="1"/>
  <c r="X1580" i="9" s="1"/>
  <c r="B1587" i="5"/>
  <c r="H1587" i="5" s="1"/>
  <c r="I1587" i="5" s="1"/>
  <c r="J1587" i="5" s="1" a="1"/>
  <c r="J1587" i="5" s="1"/>
  <c r="X1581" i="9" s="1"/>
  <c r="B1588" i="5"/>
  <c r="H1588" i="5" s="1"/>
  <c r="I1588" i="5" s="1"/>
  <c r="J1588" i="5" s="1" a="1"/>
  <c r="J1588" i="5" s="1"/>
  <c r="X1582" i="9" s="1"/>
  <c r="B1589" i="5"/>
  <c r="H1589" i="5" s="1"/>
  <c r="I1589" i="5" s="1"/>
  <c r="J1589" i="5" s="1" a="1"/>
  <c r="J1589" i="5" s="1"/>
  <c r="X1583" i="9" s="1"/>
  <c r="B1590" i="5"/>
  <c r="H1590" i="5" s="1"/>
  <c r="I1590" i="5" s="1"/>
  <c r="J1590" i="5" s="1" a="1"/>
  <c r="J1590" i="5" s="1"/>
  <c r="X1584" i="9" s="1"/>
  <c r="B1591" i="5"/>
  <c r="H1591" i="5" s="1"/>
  <c r="I1591" i="5" s="1"/>
  <c r="J1591" i="5" s="1" a="1"/>
  <c r="J1591" i="5" s="1"/>
  <c r="X1585" i="9" s="1"/>
  <c r="B1592" i="5"/>
  <c r="H1592" i="5" s="1"/>
  <c r="I1592" i="5" s="1"/>
  <c r="J1592" i="5" s="1" a="1"/>
  <c r="J1592" i="5" s="1"/>
  <c r="X1586" i="9" s="1"/>
  <c r="B1593" i="5"/>
  <c r="H1593" i="5" s="1"/>
  <c r="I1593" i="5" s="1"/>
  <c r="J1593" i="5" s="1" a="1"/>
  <c r="J1593" i="5" s="1"/>
  <c r="X1587" i="9" s="1"/>
  <c r="B1594" i="5"/>
  <c r="H1594" i="5" s="1"/>
  <c r="I1594" i="5" s="1"/>
  <c r="J1594" i="5" s="1" a="1"/>
  <c r="J1594" i="5" s="1"/>
  <c r="X1588" i="9" s="1"/>
  <c r="B1595" i="5"/>
  <c r="H1595" i="5" s="1"/>
  <c r="I1595" i="5" s="1"/>
  <c r="J1595" i="5" s="1" a="1"/>
  <c r="J1595" i="5" s="1"/>
  <c r="X1589" i="9" s="1"/>
  <c r="B1596" i="5"/>
  <c r="H1596" i="5" s="1"/>
  <c r="I1596" i="5" s="1"/>
  <c r="J1596" i="5" s="1" a="1"/>
  <c r="J1596" i="5" s="1"/>
  <c r="X1590" i="9" s="1"/>
  <c r="B1597" i="5"/>
  <c r="H1597" i="5" s="1"/>
  <c r="I1597" i="5" s="1"/>
  <c r="J1597" i="5" s="1" a="1"/>
  <c r="J1597" i="5" s="1"/>
  <c r="X1591" i="9" s="1"/>
  <c r="B1598" i="5"/>
  <c r="H1598" i="5" s="1"/>
  <c r="I1598" i="5" s="1"/>
  <c r="J1598" i="5" s="1" a="1"/>
  <c r="J1598" i="5" s="1"/>
  <c r="X1592" i="9" s="1"/>
  <c r="B1599" i="5"/>
  <c r="H1599" i="5" s="1"/>
  <c r="I1599" i="5" s="1"/>
  <c r="J1599" i="5" s="1" a="1"/>
  <c r="J1599" i="5" s="1"/>
  <c r="X1593" i="9" s="1"/>
  <c r="B1600" i="5"/>
  <c r="H1600" i="5" s="1"/>
  <c r="I1600" i="5" s="1"/>
  <c r="J1600" i="5" s="1" a="1"/>
  <c r="J1600" i="5" s="1"/>
  <c r="X1594" i="9" s="1"/>
  <c r="B1601" i="5"/>
  <c r="H1601" i="5" s="1"/>
  <c r="I1601" i="5" s="1"/>
  <c r="J1601" i="5" s="1" a="1"/>
  <c r="J1601" i="5" s="1"/>
  <c r="X1595" i="9" s="1"/>
  <c r="B1602" i="5"/>
  <c r="H1602" i="5" s="1"/>
  <c r="I1602" i="5" s="1"/>
  <c r="J1602" i="5" s="1" a="1"/>
  <c r="J1602" i="5" s="1"/>
  <c r="X1596" i="9" s="1"/>
  <c r="B1603" i="5"/>
  <c r="H1603" i="5" s="1"/>
  <c r="I1603" i="5" s="1"/>
  <c r="J1603" i="5" s="1" a="1"/>
  <c r="J1603" i="5" s="1"/>
  <c r="X1597" i="9" s="1"/>
  <c r="B1604" i="5"/>
  <c r="H1604" i="5" s="1"/>
  <c r="I1604" i="5" s="1"/>
  <c r="J1604" i="5" s="1" a="1"/>
  <c r="J1604" i="5" s="1"/>
  <c r="X1598" i="9" s="1"/>
  <c r="B1605" i="5"/>
  <c r="H1605" i="5" s="1"/>
  <c r="I1605" i="5" s="1"/>
  <c r="J1605" i="5" s="1" a="1"/>
  <c r="J1605" i="5" s="1"/>
  <c r="X1599" i="9" s="1"/>
  <c r="B1606" i="5"/>
  <c r="H1606" i="5" s="1"/>
  <c r="I1606" i="5" s="1"/>
  <c r="J1606" i="5" s="1" a="1"/>
  <c r="J1606" i="5" s="1"/>
  <c r="X1600" i="9" s="1"/>
  <c r="B1607" i="5"/>
  <c r="H1607" i="5" s="1"/>
  <c r="I1607" i="5" s="1"/>
  <c r="J1607" i="5" s="1" a="1"/>
  <c r="J1607" i="5" s="1"/>
  <c r="X1601" i="9" s="1"/>
  <c r="B1608" i="5"/>
  <c r="H1608" i="5" s="1"/>
  <c r="I1608" i="5" s="1"/>
  <c r="J1608" i="5" s="1" a="1"/>
  <c r="J1608" i="5" s="1"/>
  <c r="X1602" i="9" s="1"/>
  <c r="B1609" i="5"/>
  <c r="H1609" i="5" s="1"/>
  <c r="I1609" i="5" s="1"/>
  <c r="J1609" i="5" s="1" a="1"/>
  <c r="J1609" i="5" s="1"/>
  <c r="X1603" i="9" s="1"/>
  <c r="B1610" i="5"/>
  <c r="H1610" i="5" s="1"/>
  <c r="I1610" i="5" s="1"/>
  <c r="J1610" i="5" s="1" a="1"/>
  <c r="J1610" i="5" s="1"/>
  <c r="X1604" i="9" s="1"/>
  <c r="B1611" i="5"/>
  <c r="H1611" i="5" s="1"/>
  <c r="I1611" i="5" s="1"/>
  <c r="J1611" i="5" s="1" a="1"/>
  <c r="J1611" i="5" s="1"/>
  <c r="X1605" i="9" s="1"/>
  <c r="B1612" i="5"/>
  <c r="H1612" i="5" s="1"/>
  <c r="I1612" i="5" s="1"/>
  <c r="J1612" i="5" s="1" a="1"/>
  <c r="J1612" i="5" s="1"/>
  <c r="X1606" i="9" s="1"/>
  <c r="B1613" i="5"/>
  <c r="H1613" i="5" s="1"/>
  <c r="I1613" i="5" s="1"/>
  <c r="J1613" i="5" s="1" a="1"/>
  <c r="J1613" i="5" s="1"/>
  <c r="X1607" i="9" s="1"/>
  <c r="B1614" i="5"/>
  <c r="H1614" i="5" s="1"/>
  <c r="I1614" i="5" s="1"/>
  <c r="J1614" i="5" s="1" a="1"/>
  <c r="J1614" i="5" s="1"/>
  <c r="X1608" i="9" s="1"/>
  <c r="B1615" i="5"/>
  <c r="H1615" i="5" s="1"/>
  <c r="I1615" i="5" s="1"/>
  <c r="J1615" i="5" s="1" a="1"/>
  <c r="J1615" i="5" s="1"/>
  <c r="X1609" i="9" s="1"/>
  <c r="B1616" i="5"/>
  <c r="H1616" i="5" s="1"/>
  <c r="I1616" i="5" s="1"/>
  <c r="J1616" i="5" s="1" a="1"/>
  <c r="J1616" i="5" s="1"/>
  <c r="X1610" i="9" s="1"/>
  <c r="B1617" i="5"/>
  <c r="H1617" i="5" s="1"/>
  <c r="I1617" i="5" s="1"/>
  <c r="J1617" i="5" s="1" a="1"/>
  <c r="J1617" i="5" s="1"/>
  <c r="X1611" i="9" s="1"/>
  <c r="B1618" i="5"/>
  <c r="H1618" i="5" s="1"/>
  <c r="I1618" i="5" s="1"/>
  <c r="J1618" i="5" s="1" a="1"/>
  <c r="J1618" i="5" s="1"/>
  <c r="X1612" i="9" s="1"/>
  <c r="B1619" i="5"/>
  <c r="H1619" i="5" s="1"/>
  <c r="I1619" i="5" s="1"/>
  <c r="J1619" i="5" s="1" a="1"/>
  <c r="J1619" i="5" s="1"/>
  <c r="X1613" i="9" s="1"/>
  <c r="B1620" i="5"/>
  <c r="H1620" i="5" s="1"/>
  <c r="I1620" i="5" s="1"/>
  <c r="J1620" i="5" s="1" a="1"/>
  <c r="J1620" i="5" s="1"/>
  <c r="X1614" i="9" s="1"/>
  <c r="B1621" i="5"/>
  <c r="H1621" i="5" s="1"/>
  <c r="I1621" i="5" s="1"/>
  <c r="J1621" i="5" s="1" a="1"/>
  <c r="J1621" i="5" s="1"/>
  <c r="X1615" i="9" s="1"/>
  <c r="B1622" i="5"/>
  <c r="H1622" i="5" s="1"/>
  <c r="I1622" i="5" s="1"/>
  <c r="J1622" i="5" s="1" a="1"/>
  <c r="J1622" i="5" s="1"/>
  <c r="X1616" i="9" s="1"/>
  <c r="B1623" i="5"/>
  <c r="H1623" i="5" s="1"/>
  <c r="I1623" i="5" s="1"/>
  <c r="J1623" i="5" s="1" a="1"/>
  <c r="J1623" i="5" s="1"/>
  <c r="X1617" i="9" s="1"/>
  <c r="B1624" i="5"/>
  <c r="H1624" i="5" s="1"/>
  <c r="I1624" i="5" s="1"/>
  <c r="J1624" i="5" s="1" a="1"/>
  <c r="J1624" i="5" s="1"/>
  <c r="X1618" i="9" s="1"/>
  <c r="B1625" i="5"/>
  <c r="H1625" i="5" s="1"/>
  <c r="I1625" i="5" s="1"/>
  <c r="J1625" i="5" s="1" a="1"/>
  <c r="J1625" i="5" s="1"/>
  <c r="X1619" i="9" s="1"/>
  <c r="B1626" i="5"/>
  <c r="H1626" i="5" s="1"/>
  <c r="I1626" i="5" s="1"/>
  <c r="J1626" i="5" s="1" a="1"/>
  <c r="J1626" i="5" s="1"/>
  <c r="X1620" i="9" s="1"/>
  <c r="B1627" i="5"/>
  <c r="H1627" i="5" s="1"/>
  <c r="I1627" i="5" s="1"/>
  <c r="J1627" i="5" s="1" a="1"/>
  <c r="J1627" i="5" s="1"/>
  <c r="X1621" i="9" s="1"/>
  <c r="B1628" i="5"/>
  <c r="H1628" i="5" s="1"/>
  <c r="I1628" i="5" s="1"/>
  <c r="J1628" i="5" s="1" a="1"/>
  <c r="J1628" i="5" s="1"/>
  <c r="X1622" i="9" s="1"/>
  <c r="B1629" i="5"/>
  <c r="H1629" i="5" s="1"/>
  <c r="I1629" i="5" s="1"/>
  <c r="J1629" i="5" s="1" a="1"/>
  <c r="J1629" i="5" s="1"/>
  <c r="X1623" i="9" s="1"/>
  <c r="B1630" i="5"/>
  <c r="H1630" i="5" s="1"/>
  <c r="I1630" i="5" s="1"/>
  <c r="J1630" i="5" s="1" a="1"/>
  <c r="J1630" i="5" s="1"/>
  <c r="X1624" i="9" s="1"/>
  <c r="B1631" i="5"/>
  <c r="H1631" i="5" s="1"/>
  <c r="I1631" i="5" s="1"/>
  <c r="J1631" i="5" s="1" a="1"/>
  <c r="J1631" i="5" s="1"/>
  <c r="X1625" i="9" s="1"/>
  <c r="B1632" i="5"/>
  <c r="H1632" i="5" s="1"/>
  <c r="I1632" i="5" s="1"/>
  <c r="J1632" i="5" s="1" a="1"/>
  <c r="J1632" i="5" s="1"/>
  <c r="X1626" i="9" s="1"/>
  <c r="B1633" i="5"/>
  <c r="H1633" i="5" s="1"/>
  <c r="I1633" i="5" s="1"/>
  <c r="J1633" i="5" s="1" a="1"/>
  <c r="J1633" i="5" s="1"/>
  <c r="X1627" i="9" s="1"/>
  <c r="B1634" i="5"/>
  <c r="H1634" i="5" s="1"/>
  <c r="I1634" i="5" s="1"/>
  <c r="J1634" i="5" s="1" a="1"/>
  <c r="J1634" i="5" s="1"/>
  <c r="X1628" i="9" s="1"/>
  <c r="B1635" i="5"/>
  <c r="H1635" i="5" s="1"/>
  <c r="I1635" i="5" s="1"/>
  <c r="J1635" i="5" s="1" a="1"/>
  <c r="J1635" i="5" s="1"/>
  <c r="X1629" i="9" s="1"/>
  <c r="B1636" i="5"/>
  <c r="H1636" i="5" s="1"/>
  <c r="I1636" i="5" s="1"/>
  <c r="J1636" i="5" s="1" a="1"/>
  <c r="J1636" i="5" s="1"/>
  <c r="X1630" i="9" s="1"/>
  <c r="B1637" i="5"/>
  <c r="H1637" i="5" s="1"/>
  <c r="I1637" i="5" s="1"/>
  <c r="J1637" i="5" s="1" a="1"/>
  <c r="J1637" i="5" s="1"/>
  <c r="X1631" i="9" s="1"/>
  <c r="B1638" i="5"/>
  <c r="H1638" i="5" s="1"/>
  <c r="I1638" i="5" s="1"/>
  <c r="J1638" i="5" s="1" a="1"/>
  <c r="J1638" i="5" s="1"/>
  <c r="X1632" i="9" s="1"/>
  <c r="B1639" i="5"/>
  <c r="H1639" i="5" s="1"/>
  <c r="I1639" i="5" s="1"/>
  <c r="J1639" i="5" s="1" a="1"/>
  <c r="J1639" i="5" s="1"/>
  <c r="X1633" i="9" s="1"/>
  <c r="B1640" i="5"/>
  <c r="H1640" i="5" s="1"/>
  <c r="I1640" i="5" s="1"/>
  <c r="J1640" i="5" s="1" a="1"/>
  <c r="J1640" i="5" s="1"/>
  <c r="X1634" i="9" s="1"/>
  <c r="B1641" i="5"/>
  <c r="H1641" i="5" s="1"/>
  <c r="I1641" i="5" s="1"/>
  <c r="J1641" i="5" s="1" a="1"/>
  <c r="J1641" i="5" s="1"/>
  <c r="X1635" i="9" s="1"/>
  <c r="B1642" i="5"/>
  <c r="H1642" i="5" s="1"/>
  <c r="I1642" i="5" s="1"/>
  <c r="J1642" i="5" s="1" a="1"/>
  <c r="J1642" i="5" s="1"/>
  <c r="X1636" i="9" s="1"/>
  <c r="B1643" i="5"/>
  <c r="H1643" i="5" s="1"/>
  <c r="I1643" i="5" s="1"/>
  <c r="J1643" i="5" s="1" a="1"/>
  <c r="J1643" i="5" s="1"/>
  <c r="X1637" i="9" s="1"/>
  <c r="B1644" i="5"/>
  <c r="H1644" i="5" s="1"/>
  <c r="I1644" i="5" s="1"/>
  <c r="J1644" i="5" s="1" a="1"/>
  <c r="J1644" i="5" s="1"/>
  <c r="X1638" i="9" s="1"/>
  <c r="B1645" i="5"/>
  <c r="H1645" i="5" s="1"/>
  <c r="I1645" i="5" s="1"/>
  <c r="J1645" i="5" s="1" a="1"/>
  <c r="J1645" i="5" s="1"/>
  <c r="X1639" i="9" s="1"/>
  <c r="B1646" i="5"/>
  <c r="H1646" i="5" s="1"/>
  <c r="I1646" i="5" s="1"/>
  <c r="J1646" i="5" s="1" a="1"/>
  <c r="J1646" i="5" s="1"/>
  <c r="X1640" i="9" s="1"/>
  <c r="B1647" i="5"/>
  <c r="H1647" i="5" s="1"/>
  <c r="I1647" i="5" s="1"/>
  <c r="J1647" i="5" s="1" a="1"/>
  <c r="J1647" i="5" s="1"/>
  <c r="X1641" i="9" s="1"/>
  <c r="B1648" i="5"/>
  <c r="H1648" i="5" s="1"/>
  <c r="I1648" i="5" s="1"/>
  <c r="J1648" i="5" s="1" a="1"/>
  <c r="J1648" i="5" s="1"/>
  <c r="X1642" i="9" s="1"/>
  <c r="B1649" i="5"/>
  <c r="H1649" i="5" s="1"/>
  <c r="I1649" i="5" s="1"/>
  <c r="J1649" i="5" s="1" a="1"/>
  <c r="J1649" i="5" s="1"/>
  <c r="X1643" i="9" s="1"/>
  <c r="B1650" i="5"/>
  <c r="H1650" i="5" s="1"/>
  <c r="I1650" i="5" s="1"/>
  <c r="J1650" i="5" s="1" a="1"/>
  <c r="J1650" i="5" s="1"/>
  <c r="X1644" i="9" s="1"/>
  <c r="B1651" i="5"/>
  <c r="H1651" i="5" s="1"/>
  <c r="I1651" i="5" s="1"/>
  <c r="J1651" i="5" s="1" a="1"/>
  <c r="J1651" i="5" s="1"/>
  <c r="X1645" i="9" s="1"/>
  <c r="B1652" i="5"/>
  <c r="H1652" i="5" s="1"/>
  <c r="I1652" i="5" s="1"/>
  <c r="J1652" i="5" s="1" a="1"/>
  <c r="J1652" i="5" s="1"/>
  <c r="X1646" i="9" s="1"/>
  <c r="B1653" i="5"/>
  <c r="H1653" i="5" s="1"/>
  <c r="I1653" i="5" s="1"/>
  <c r="J1653" i="5" s="1" a="1"/>
  <c r="J1653" i="5" s="1"/>
  <c r="X1647" i="9" s="1"/>
  <c r="B1654" i="5"/>
  <c r="H1654" i="5" s="1"/>
  <c r="I1654" i="5" s="1"/>
  <c r="J1654" i="5" s="1" a="1"/>
  <c r="J1654" i="5" s="1"/>
  <c r="X1648" i="9" s="1"/>
  <c r="B1655" i="5"/>
  <c r="H1655" i="5" s="1"/>
  <c r="I1655" i="5" s="1"/>
  <c r="J1655" i="5" s="1" a="1"/>
  <c r="J1655" i="5" s="1"/>
  <c r="X1649" i="9" s="1"/>
  <c r="B1656" i="5"/>
  <c r="H1656" i="5" s="1"/>
  <c r="I1656" i="5" s="1"/>
  <c r="J1656" i="5" s="1" a="1"/>
  <c r="J1656" i="5" s="1"/>
  <c r="X1650" i="9" s="1"/>
  <c r="B1657" i="5"/>
  <c r="H1657" i="5" s="1"/>
  <c r="I1657" i="5" s="1"/>
  <c r="J1657" i="5" s="1" a="1"/>
  <c r="J1657" i="5" s="1"/>
  <c r="X1651" i="9" s="1"/>
  <c r="B1658" i="5"/>
  <c r="H1658" i="5" s="1"/>
  <c r="I1658" i="5" s="1"/>
  <c r="J1658" i="5" s="1" a="1"/>
  <c r="J1658" i="5" s="1"/>
  <c r="X1652" i="9" s="1"/>
  <c r="B1659" i="5"/>
  <c r="H1659" i="5" s="1"/>
  <c r="I1659" i="5" s="1"/>
  <c r="J1659" i="5" s="1" a="1"/>
  <c r="J1659" i="5" s="1"/>
  <c r="X1653" i="9" s="1"/>
  <c r="B1660" i="5"/>
  <c r="H1660" i="5" s="1"/>
  <c r="I1660" i="5" s="1"/>
  <c r="J1660" i="5" s="1" a="1"/>
  <c r="J1660" i="5" s="1"/>
  <c r="X1654" i="9" s="1"/>
  <c r="B1661" i="5"/>
  <c r="H1661" i="5" s="1"/>
  <c r="I1661" i="5" s="1"/>
  <c r="J1661" i="5" s="1" a="1"/>
  <c r="J1661" i="5" s="1"/>
  <c r="X1655" i="9" s="1"/>
  <c r="B1662" i="5"/>
  <c r="H1662" i="5" s="1"/>
  <c r="I1662" i="5" s="1"/>
  <c r="J1662" i="5" s="1" a="1"/>
  <c r="J1662" i="5" s="1"/>
  <c r="X1656" i="9" s="1"/>
  <c r="B1663" i="5"/>
  <c r="H1663" i="5" s="1"/>
  <c r="I1663" i="5" s="1"/>
  <c r="J1663" i="5" s="1" a="1"/>
  <c r="J1663" i="5" s="1"/>
  <c r="X1657" i="9" s="1"/>
  <c r="B1664" i="5"/>
  <c r="H1664" i="5" s="1"/>
  <c r="I1664" i="5" s="1"/>
  <c r="J1664" i="5" s="1" a="1"/>
  <c r="J1664" i="5" s="1"/>
  <c r="X1658" i="9" s="1"/>
  <c r="B1665" i="5"/>
  <c r="H1665" i="5" s="1"/>
  <c r="I1665" i="5" s="1"/>
  <c r="J1665" i="5" s="1" a="1"/>
  <c r="J1665" i="5" s="1"/>
  <c r="X1659" i="9" s="1"/>
  <c r="B1666" i="5"/>
  <c r="H1666" i="5" s="1"/>
  <c r="I1666" i="5" s="1"/>
  <c r="J1666" i="5" s="1" a="1"/>
  <c r="J1666" i="5" s="1"/>
  <c r="X1660" i="9" s="1"/>
  <c r="B1667" i="5"/>
  <c r="H1667" i="5" s="1"/>
  <c r="I1667" i="5" s="1"/>
  <c r="J1667" i="5" s="1" a="1"/>
  <c r="J1667" i="5" s="1"/>
  <c r="X1661" i="9" s="1"/>
  <c r="B1668" i="5"/>
  <c r="H1668" i="5" s="1"/>
  <c r="I1668" i="5" s="1"/>
  <c r="J1668" i="5" s="1" a="1"/>
  <c r="J1668" i="5" s="1"/>
  <c r="X1662" i="9" s="1"/>
  <c r="B1669" i="5"/>
  <c r="H1669" i="5" s="1"/>
  <c r="I1669" i="5" s="1"/>
  <c r="J1669" i="5" s="1" a="1"/>
  <c r="J1669" i="5" s="1"/>
  <c r="X1663" i="9" s="1"/>
  <c r="B1670" i="5"/>
  <c r="H1670" i="5" s="1"/>
  <c r="I1670" i="5" s="1"/>
  <c r="J1670" i="5" s="1" a="1"/>
  <c r="J1670" i="5" s="1"/>
  <c r="X1664" i="9" s="1"/>
  <c r="B1671" i="5"/>
  <c r="H1671" i="5" s="1"/>
  <c r="I1671" i="5" s="1"/>
  <c r="J1671" i="5" s="1" a="1"/>
  <c r="J1671" i="5" s="1"/>
  <c r="X1665" i="9" s="1"/>
  <c r="B1672" i="5"/>
  <c r="H1672" i="5" s="1"/>
  <c r="I1672" i="5" s="1"/>
  <c r="J1672" i="5" s="1" a="1"/>
  <c r="J1672" i="5" s="1"/>
  <c r="X1666" i="9" s="1"/>
  <c r="B1673" i="5"/>
  <c r="H1673" i="5" s="1"/>
  <c r="I1673" i="5" s="1"/>
  <c r="J1673" i="5" s="1" a="1"/>
  <c r="J1673" i="5" s="1"/>
  <c r="X1667" i="9" s="1"/>
  <c r="B1674" i="5"/>
  <c r="H1674" i="5" s="1"/>
  <c r="I1674" i="5" s="1"/>
  <c r="J1674" i="5" s="1" a="1"/>
  <c r="J1674" i="5" s="1"/>
  <c r="X1668" i="9" s="1"/>
  <c r="B1675" i="5"/>
  <c r="H1675" i="5" s="1"/>
  <c r="I1675" i="5" s="1"/>
  <c r="J1675" i="5" s="1" a="1"/>
  <c r="J1675" i="5" s="1"/>
  <c r="X1669" i="9" s="1"/>
  <c r="B1676" i="5"/>
  <c r="H1676" i="5" s="1"/>
  <c r="I1676" i="5" s="1"/>
  <c r="J1676" i="5" s="1" a="1"/>
  <c r="J1676" i="5" s="1"/>
  <c r="X1670" i="9" s="1"/>
  <c r="B1677" i="5"/>
  <c r="H1677" i="5" s="1"/>
  <c r="I1677" i="5" s="1"/>
  <c r="J1677" i="5" s="1" a="1"/>
  <c r="J1677" i="5" s="1"/>
  <c r="X1671" i="9" s="1"/>
  <c r="B1678" i="5"/>
  <c r="H1678" i="5" s="1"/>
  <c r="I1678" i="5" s="1"/>
  <c r="J1678" i="5" s="1" a="1"/>
  <c r="J1678" i="5" s="1"/>
  <c r="X1672" i="9" s="1"/>
  <c r="B1679" i="5"/>
  <c r="H1679" i="5" s="1"/>
  <c r="I1679" i="5" s="1"/>
  <c r="J1679" i="5" s="1" a="1"/>
  <c r="J1679" i="5" s="1"/>
  <c r="X1673" i="9" s="1"/>
  <c r="B1680" i="5"/>
  <c r="H1680" i="5" s="1"/>
  <c r="I1680" i="5" s="1"/>
  <c r="J1680" i="5" s="1" a="1"/>
  <c r="J1680" i="5" s="1"/>
  <c r="X1674" i="9" s="1"/>
  <c r="B1681" i="5"/>
  <c r="H1681" i="5" s="1"/>
  <c r="I1681" i="5" s="1"/>
  <c r="J1681" i="5" s="1" a="1"/>
  <c r="J1681" i="5" s="1"/>
  <c r="X1675" i="9" s="1"/>
  <c r="B1682" i="5"/>
  <c r="H1682" i="5" s="1"/>
  <c r="I1682" i="5" s="1"/>
  <c r="J1682" i="5" s="1" a="1"/>
  <c r="J1682" i="5" s="1"/>
  <c r="X1676" i="9" s="1"/>
  <c r="B1683" i="5"/>
  <c r="H1683" i="5" s="1"/>
  <c r="I1683" i="5" s="1"/>
  <c r="J1683" i="5" s="1" a="1"/>
  <c r="J1683" i="5" s="1"/>
  <c r="X1677" i="9" s="1"/>
  <c r="B1684" i="5"/>
  <c r="H1684" i="5" s="1"/>
  <c r="I1684" i="5" s="1"/>
  <c r="J1684" i="5" s="1" a="1"/>
  <c r="J1684" i="5" s="1"/>
  <c r="X1678" i="9" s="1"/>
  <c r="B1685" i="5"/>
  <c r="H1685" i="5" s="1"/>
  <c r="I1685" i="5" s="1"/>
  <c r="J1685" i="5" s="1" a="1"/>
  <c r="J1685" i="5" s="1"/>
  <c r="X1679" i="9" s="1"/>
  <c r="B1686" i="5"/>
  <c r="H1686" i="5" s="1"/>
  <c r="I1686" i="5" s="1"/>
  <c r="J1686" i="5" s="1" a="1"/>
  <c r="J1686" i="5" s="1"/>
  <c r="X1680" i="9" s="1"/>
  <c r="B1687" i="5"/>
  <c r="H1687" i="5" s="1"/>
  <c r="I1687" i="5" s="1"/>
  <c r="J1687" i="5" s="1" a="1"/>
  <c r="J1687" i="5" s="1"/>
  <c r="X1681" i="9" s="1"/>
  <c r="B1688" i="5"/>
  <c r="H1688" i="5" s="1"/>
  <c r="I1688" i="5" s="1"/>
  <c r="J1688" i="5" s="1" a="1"/>
  <c r="J1688" i="5" s="1"/>
  <c r="X1682" i="9" s="1"/>
  <c r="B1689" i="5"/>
  <c r="H1689" i="5" s="1"/>
  <c r="I1689" i="5" s="1"/>
  <c r="J1689" i="5" s="1" a="1"/>
  <c r="J1689" i="5" s="1"/>
  <c r="X1683" i="9" s="1"/>
  <c r="B1690" i="5"/>
  <c r="H1690" i="5" s="1"/>
  <c r="I1690" i="5" s="1"/>
  <c r="J1690" i="5" s="1" a="1"/>
  <c r="J1690" i="5" s="1"/>
  <c r="X1684" i="9" s="1"/>
  <c r="B1691" i="5"/>
  <c r="H1691" i="5" s="1"/>
  <c r="I1691" i="5" s="1"/>
  <c r="J1691" i="5" s="1" a="1"/>
  <c r="J1691" i="5" s="1"/>
  <c r="X1685" i="9" s="1"/>
  <c r="B1692" i="5"/>
  <c r="H1692" i="5" s="1"/>
  <c r="I1692" i="5" s="1"/>
  <c r="J1692" i="5" s="1" a="1"/>
  <c r="J1692" i="5" s="1"/>
  <c r="X1686" i="9" s="1"/>
  <c r="B1693" i="5"/>
  <c r="H1693" i="5" s="1"/>
  <c r="I1693" i="5" s="1"/>
  <c r="J1693" i="5" s="1" a="1"/>
  <c r="J1693" i="5" s="1"/>
  <c r="X1687" i="9" s="1"/>
  <c r="B1694" i="5"/>
  <c r="H1694" i="5" s="1"/>
  <c r="I1694" i="5" s="1"/>
  <c r="J1694" i="5" s="1" a="1"/>
  <c r="J1694" i="5" s="1"/>
  <c r="X1688" i="9" s="1"/>
  <c r="B1695" i="5"/>
  <c r="H1695" i="5" s="1"/>
  <c r="I1695" i="5" s="1"/>
  <c r="J1695" i="5" s="1" a="1"/>
  <c r="J1695" i="5" s="1"/>
  <c r="X1689" i="9" s="1"/>
  <c r="B1696" i="5"/>
  <c r="H1696" i="5" s="1"/>
  <c r="I1696" i="5" s="1"/>
  <c r="J1696" i="5" s="1" a="1"/>
  <c r="J1696" i="5" s="1"/>
  <c r="X1690" i="9" s="1"/>
  <c r="B1697" i="5"/>
  <c r="H1697" i="5" s="1"/>
  <c r="I1697" i="5" s="1"/>
  <c r="J1697" i="5" s="1" a="1"/>
  <c r="J1697" i="5" s="1"/>
  <c r="X1691" i="9" s="1"/>
  <c r="B1698" i="5"/>
  <c r="H1698" i="5" s="1"/>
  <c r="I1698" i="5" s="1"/>
  <c r="J1698" i="5" s="1" a="1"/>
  <c r="J1698" i="5" s="1"/>
  <c r="X1692" i="9" s="1"/>
  <c r="B1699" i="5"/>
  <c r="H1699" i="5" s="1"/>
  <c r="I1699" i="5" s="1"/>
  <c r="J1699" i="5" s="1" a="1"/>
  <c r="J1699" i="5" s="1"/>
  <c r="X1693" i="9" s="1"/>
  <c r="B1700" i="5"/>
  <c r="H1700" i="5" s="1"/>
  <c r="I1700" i="5" s="1"/>
  <c r="J1700" i="5" s="1" a="1"/>
  <c r="J1700" i="5" s="1"/>
  <c r="X1694" i="9" s="1"/>
  <c r="B1701" i="5"/>
  <c r="H1701" i="5" s="1"/>
  <c r="I1701" i="5" s="1"/>
  <c r="J1701" i="5" s="1" a="1"/>
  <c r="J1701" i="5" s="1"/>
  <c r="X1695" i="9" s="1"/>
  <c r="B1702" i="5"/>
  <c r="H1702" i="5" s="1"/>
  <c r="I1702" i="5" s="1"/>
  <c r="J1702" i="5" s="1" a="1"/>
  <c r="J1702" i="5" s="1"/>
  <c r="X1696" i="9" s="1"/>
  <c r="B1703" i="5"/>
  <c r="H1703" i="5" s="1"/>
  <c r="I1703" i="5" s="1"/>
  <c r="J1703" i="5" s="1" a="1"/>
  <c r="J1703" i="5" s="1"/>
  <c r="X1697" i="9" s="1"/>
  <c r="B1704" i="5"/>
  <c r="H1704" i="5" s="1"/>
  <c r="I1704" i="5" s="1"/>
  <c r="J1704" i="5" s="1" a="1"/>
  <c r="J1704" i="5" s="1"/>
  <c r="X1698" i="9" s="1"/>
  <c r="B1705" i="5"/>
  <c r="H1705" i="5" s="1"/>
  <c r="I1705" i="5" s="1"/>
  <c r="J1705" i="5" s="1" a="1"/>
  <c r="J1705" i="5" s="1"/>
  <c r="X1699" i="9" s="1"/>
  <c r="B1706" i="5"/>
  <c r="H1706" i="5" s="1"/>
  <c r="I1706" i="5" s="1"/>
  <c r="J1706" i="5" s="1" a="1"/>
  <c r="J1706" i="5" s="1"/>
  <c r="X1700" i="9" s="1"/>
  <c r="B1707" i="5"/>
  <c r="H1707" i="5" s="1"/>
  <c r="I1707" i="5" s="1"/>
  <c r="J1707" i="5" s="1" a="1"/>
  <c r="J1707" i="5" s="1"/>
  <c r="X1701" i="9" s="1"/>
  <c r="B1708" i="5"/>
  <c r="H1708" i="5" s="1"/>
  <c r="I1708" i="5" s="1"/>
  <c r="J1708" i="5" s="1" a="1"/>
  <c r="J1708" i="5" s="1"/>
  <c r="X1702" i="9" s="1"/>
  <c r="B1709" i="5"/>
  <c r="H1709" i="5" s="1"/>
  <c r="I1709" i="5" s="1"/>
  <c r="J1709" i="5" s="1" a="1"/>
  <c r="J1709" i="5" s="1"/>
  <c r="X1703" i="9" s="1"/>
  <c r="B1710" i="5"/>
  <c r="H1710" i="5" s="1"/>
  <c r="I1710" i="5" s="1"/>
  <c r="J1710" i="5" s="1" a="1"/>
  <c r="J1710" i="5" s="1"/>
  <c r="X1704" i="9" s="1"/>
  <c r="B1711" i="5"/>
  <c r="H1711" i="5" s="1"/>
  <c r="I1711" i="5" s="1"/>
  <c r="J1711" i="5" s="1" a="1"/>
  <c r="J1711" i="5" s="1"/>
  <c r="X1705" i="9" s="1"/>
  <c r="B1712" i="5"/>
  <c r="H1712" i="5" s="1"/>
  <c r="I1712" i="5" s="1"/>
  <c r="J1712" i="5" s="1" a="1"/>
  <c r="J1712" i="5" s="1"/>
  <c r="X1706" i="9" s="1"/>
  <c r="B1713" i="5"/>
  <c r="H1713" i="5" s="1"/>
  <c r="I1713" i="5" s="1"/>
  <c r="J1713" i="5" s="1" a="1"/>
  <c r="J1713" i="5" s="1"/>
  <c r="X1707" i="9" s="1"/>
  <c r="B1714" i="5"/>
  <c r="H1714" i="5" s="1"/>
  <c r="I1714" i="5" s="1"/>
  <c r="J1714" i="5" s="1" a="1"/>
  <c r="J1714" i="5" s="1"/>
  <c r="X1708" i="9" s="1"/>
  <c r="B1715" i="5"/>
  <c r="H1715" i="5" s="1"/>
  <c r="I1715" i="5" s="1"/>
  <c r="J1715" i="5" s="1" a="1"/>
  <c r="J1715" i="5" s="1"/>
  <c r="X1709" i="9" s="1"/>
  <c r="B1716" i="5"/>
  <c r="H1716" i="5" s="1"/>
  <c r="I1716" i="5" s="1"/>
  <c r="J1716" i="5" s="1" a="1"/>
  <c r="J1716" i="5" s="1"/>
  <c r="X1710" i="9" s="1"/>
  <c r="B1717" i="5"/>
  <c r="H1717" i="5" s="1"/>
  <c r="I1717" i="5" s="1"/>
  <c r="J1717" i="5" s="1" a="1"/>
  <c r="J1717" i="5" s="1"/>
  <c r="X1711" i="9" s="1"/>
  <c r="B1718" i="5"/>
  <c r="H1718" i="5" s="1"/>
  <c r="I1718" i="5" s="1"/>
  <c r="J1718" i="5" s="1" a="1"/>
  <c r="J1718" i="5" s="1"/>
  <c r="X1712" i="9" s="1"/>
  <c r="B1719" i="5"/>
  <c r="H1719" i="5" s="1"/>
  <c r="I1719" i="5" s="1"/>
  <c r="J1719" i="5" s="1" a="1"/>
  <c r="J1719" i="5" s="1"/>
  <c r="X1713" i="9" s="1"/>
  <c r="B1720" i="5"/>
  <c r="H1720" i="5" s="1"/>
  <c r="I1720" i="5" s="1"/>
  <c r="J1720" i="5" s="1" a="1"/>
  <c r="J1720" i="5" s="1"/>
  <c r="X1714" i="9" s="1"/>
  <c r="B1721" i="5"/>
  <c r="H1721" i="5" s="1"/>
  <c r="I1721" i="5" s="1"/>
  <c r="J1721" i="5" s="1" a="1"/>
  <c r="J1721" i="5" s="1"/>
  <c r="X1715" i="9" s="1"/>
  <c r="B1722" i="5"/>
  <c r="H1722" i="5" s="1"/>
  <c r="I1722" i="5" s="1"/>
  <c r="J1722" i="5" s="1" a="1"/>
  <c r="J1722" i="5" s="1"/>
  <c r="X1716" i="9" s="1"/>
  <c r="B1723" i="5"/>
  <c r="H1723" i="5" s="1"/>
  <c r="I1723" i="5" s="1"/>
  <c r="J1723" i="5" s="1" a="1"/>
  <c r="J1723" i="5" s="1"/>
  <c r="X1717" i="9" s="1"/>
  <c r="B1724" i="5"/>
  <c r="H1724" i="5" s="1"/>
  <c r="I1724" i="5" s="1"/>
  <c r="J1724" i="5" s="1" a="1"/>
  <c r="J1724" i="5" s="1"/>
  <c r="X1718" i="9" s="1"/>
  <c r="B1725" i="5"/>
  <c r="H1725" i="5" s="1"/>
  <c r="I1725" i="5" s="1"/>
  <c r="J1725" i="5" s="1" a="1"/>
  <c r="J1725" i="5" s="1"/>
  <c r="X1719" i="9" s="1"/>
  <c r="B1726" i="5"/>
  <c r="H1726" i="5" s="1"/>
  <c r="I1726" i="5" s="1"/>
  <c r="J1726" i="5" s="1" a="1"/>
  <c r="J1726" i="5" s="1"/>
  <c r="X1720" i="9" s="1"/>
  <c r="B1727" i="5"/>
  <c r="H1727" i="5" s="1"/>
  <c r="I1727" i="5" s="1"/>
  <c r="J1727" i="5" s="1" a="1"/>
  <c r="J1727" i="5" s="1"/>
  <c r="X1721" i="9" s="1"/>
  <c r="B1728" i="5"/>
  <c r="H1728" i="5" s="1"/>
  <c r="I1728" i="5" s="1"/>
  <c r="J1728" i="5" s="1" a="1"/>
  <c r="J1728" i="5" s="1"/>
  <c r="X1722" i="9" s="1"/>
  <c r="B1729" i="5"/>
  <c r="H1729" i="5" s="1"/>
  <c r="I1729" i="5" s="1"/>
  <c r="J1729" i="5" s="1" a="1"/>
  <c r="J1729" i="5" s="1"/>
  <c r="X1723" i="9" s="1"/>
  <c r="B1730" i="5"/>
  <c r="H1730" i="5" s="1"/>
  <c r="I1730" i="5" s="1"/>
  <c r="J1730" i="5" s="1" a="1"/>
  <c r="J1730" i="5" s="1"/>
  <c r="X1724" i="9" s="1"/>
  <c r="B1731" i="5"/>
  <c r="H1731" i="5" s="1"/>
  <c r="I1731" i="5" s="1"/>
  <c r="J1731" i="5" s="1" a="1"/>
  <c r="J1731" i="5" s="1"/>
  <c r="X1725" i="9" s="1"/>
  <c r="B1732" i="5"/>
  <c r="H1732" i="5" s="1"/>
  <c r="I1732" i="5" s="1"/>
  <c r="J1732" i="5" s="1" a="1"/>
  <c r="J1732" i="5" s="1"/>
  <c r="X1726" i="9" s="1"/>
  <c r="B1733" i="5"/>
  <c r="H1733" i="5" s="1"/>
  <c r="I1733" i="5" s="1"/>
  <c r="J1733" i="5" s="1" a="1"/>
  <c r="J1733" i="5" s="1"/>
  <c r="X1727" i="9" s="1"/>
  <c r="B1734" i="5"/>
  <c r="H1734" i="5" s="1"/>
  <c r="I1734" i="5" s="1"/>
  <c r="J1734" i="5" s="1" a="1"/>
  <c r="J1734" i="5" s="1"/>
  <c r="X1728" i="9" s="1"/>
  <c r="B1735" i="5"/>
  <c r="H1735" i="5" s="1"/>
  <c r="I1735" i="5" s="1"/>
  <c r="J1735" i="5" s="1" a="1"/>
  <c r="J1735" i="5" s="1"/>
  <c r="X1729" i="9" s="1"/>
  <c r="B1736" i="5"/>
  <c r="H1736" i="5" s="1"/>
  <c r="I1736" i="5" s="1"/>
  <c r="J1736" i="5" s="1" a="1"/>
  <c r="J1736" i="5" s="1"/>
  <c r="X1730" i="9" s="1"/>
  <c r="B1737" i="5"/>
  <c r="H1737" i="5" s="1"/>
  <c r="I1737" i="5" s="1"/>
  <c r="J1737" i="5" s="1" a="1"/>
  <c r="J1737" i="5" s="1"/>
  <c r="X1731" i="9" s="1"/>
  <c r="B1738" i="5"/>
  <c r="H1738" i="5" s="1"/>
  <c r="I1738" i="5" s="1"/>
  <c r="J1738" i="5" s="1" a="1"/>
  <c r="J1738" i="5" s="1"/>
  <c r="X1732" i="9" s="1"/>
  <c r="B1739" i="5"/>
  <c r="H1739" i="5" s="1"/>
  <c r="I1739" i="5" s="1"/>
  <c r="J1739" i="5" s="1" a="1"/>
  <c r="J1739" i="5" s="1"/>
  <c r="X1733" i="9" s="1"/>
  <c r="B1740" i="5"/>
  <c r="H1740" i="5" s="1"/>
  <c r="I1740" i="5" s="1"/>
  <c r="J1740" i="5" s="1" a="1"/>
  <c r="J1740" i="5" s="1"/>
  <c r="X1734" i="9" s="1"/>
  <c r="B1741" i="5"/>
  <c r="H1741" i="5" s="1"/>
  <c r="I1741" i="5" s="1"/>
  <c r="J1741" i="5" s="1" a="1"/>
  <c r="J1741" i="5" s="1"/>
  <c r="X1735" i="9" s="1"/>
  <c r="B1742" i="5"/>
  <c r="H1742" i="5" s="1"/>
  <c r="I1742" i="5" s="1"/>
  <c r="J1742" i="5" s="1" a="1"/>
  <c r="J1742" i="5" s="1"/>
  <c r="X1736" i="9" s="1"/>
  <c r="B1743" i="5"/>
  <c r="H1743" i="5" s="1"/>
  <c r="I1743" i="5" s="1"/>
  <c r="J1743" i="5" s="1" a="1"/>
  <c r="J1743" i="5" s="1"/>
  <c r="X1737" i="9" s="1"/>
  <c r="B1744" i="5"/>
  <c r="H1744" i="5" s="1"/>
  <c r="I1744" i="5" s="1"/>
  <c r="J1744" i="5" s="1" a="1"/>
  <c r="J1744" i="5" s="1"/>
  <c r="X1738" i="9" s="1"/>
  <c r="B1745" i="5"/>
  <c r="H1745" i="5" s="1"/>
  <c r="I1745" i="5" s="1"/>
  <c r="J1745" i="5" s="1" a="1"/>
  <c r="J1745" i="5" s="1"/>
  <c r="X1739" i="9" s="1"/>
  <c r="B1746" i="5"/>
  <c r="H1746" i="5" s="1"/>
  <c r="I1746" i="5" s="1"/>
  <c r="J1746" i="5" s="1" a="1"/>
  <c r="J1746" i="5" s="1"/>
  <c r="X1740" i="9" s="1"/>
  <c r="B1747" i="5"/>
  <c r="H1747" i="5" s="1"/>
  <c r="I1747" i="5" s="1"/>
  <c r="J1747" i="5" s="1" a="1"/>
  <c r="J1747" i="5" s="1"/>
  <c r="X1741" i="9" s="1"/>
  <c r="B1748" i="5"/>
  <c r="H1748" i="5" s="1"/>
  <c r="I1748" i="5" s="1"/>
  <c r="J1748" i="5" s="1" a="1"/>
  <c r="J1748" i="5" s="1"/>
  <c r="X1742" i="9" s="1"/>
  <c r="B1749" i="5"/>
  <c r="H1749" i="5" s="1"/>
  <c r="I1749" i="5" s="1"/>
  <c r="J1749" i="5" s="1" a="1"/>
  <c r="J1749" i="5" s="1"/>
  <c r="X1743" i="9" s="1"/>
  <c r="B1750" i="5"/>
  <c r="H1750" i="5" s="1"/>
  <c r="I1750" i="5" s="1"/>
  <c r="J1750" i="5" s="1" a="1"/>
  <c r="J1750" i="5" s="1"/>
  <c r="X1744" i="9" s="1"/>
  <c r="B1751" i="5"/>
  <c r="H1751" i="5" s="1"/>
  <c r="I1751" i="5" s="1"/>
  <c r="J1751" i="5" s="1" a="1"/>
  <c r="J1751" i="5" s="1"/>
  <c r="X1745" i="9" s="1"/>
  <c r="B1752" i="5"/>
  <c r="H1752" i="5" s="1"/>
  <c r="I1752" i="5" s="1"/>
  <c r="J1752" i="5" s="1" a="1"/>
  <c r="J1752" i="5" s="1"/>
  <c r="X1746" i="9" s="1"/>
  <c r="B1753" i="5"/>
  <c r="H1753" i="5" s="1"/>
  <c r="I1753" i="5" s="1"/>
  <c r="J1753" i="5" s="1" a="1"/>
  <c r="J1753" i="5" s="1"/>
  <c r="X1747" i="9" s="1"/>
  <c r="B1754" i="5"/>
  <c r="H1754" i="5" s="1"/>
  <c r="I1754" i="5" s="1"/>
  <c r="J1754" i="5" s="1" a="1"/>
  <c r="J1754" i="5" s="1"/>
  <c r="X1748" i="9" s="1"/>
  <c r="B1755" i="5"/>
  <c r="H1755" i="5" s="1"/>
  <c r="I1755" i="5" s="1"/>
  <c r="J1755" i="5" s="1" a="1"/>
  <c r="J1755" i="5" s="1"/>
  <c r="X1749" i="9" s="1"/>
  <c r="B1756" i="5"/>
  <c r="H1756" i="5" s="1"/>
  <c r="I1756" i="5" s="1"/>
  <c r="J1756" i="5" s="1" a="1"/>
  <c r="J1756" i="5" s="1"/>
  <c r="X1750" i="9" s="1"/>
  <c r="B1757" i="5"/>
  <c r="H1757" i="5" s="1"/>
  <c r="I1757" i="5" s="1"/>
  <c r="J1757" i="5" s="1" a="1"/>
  <c r="J1757" i="5" s="1"/>
  <c r="X1751" i="9" s="1"/>
  <c r="B1758" i="5"/>
  <c r="H1758" i="5" s="1"/>
  <c r="I1758" i="5" s="1"/>
  <c r="J1758" i="5" s="1" a="1"/>
  <c r="J1758" i="5" s="1"/>
  <c r="X1752" i="9" s="1"/>
  <c r="B1759" i="5"/>
  <c r="H1759" i="5" s="1"/>
  <c r="I1759" i="5" s="1"/>
  <c r="J1759" i="5" s="1" a="1"/>
  <c r="J1759" i="5" s="1"/>
  <c r="X1753" i="9" s="1"/>
  <c r="B1760" i="5"/>
  <c r="H1760" i="5" s="1"/>
  <c r="I1760" i="5" s="1"/>
  <c r="J1760" i="5" s="1" a="1"/>
  <c r="J1760" i="5" s="1"/>
  <c r="X1754" i="9" s="1"/>
  <c r="B1761" i="5"/>
  <c r="H1761" i="5" s="1"/>
  <c r="I1761" i="5" s="1"/>
  <c r="J1761" i="5" s="1" a="1"/>
  <c r="J1761" i="5" s="1"/>
  <c r="X1755" i="9" s="1"/>
  <c r="B1762" i="5"/>
  <c r="H1762" i="5" s="1"/>
  <c r="I1762" i="5" s="1"/>
  <c r="J1762" i="5" s="1" a="1"/>
  <c r="J1762" i="5" s="1"/>
  <c r="X1756" i="9" s="1"/>
  <c r="B1763" i="5"/>
  <c r="H1763" i="5" s="1"/>
  <c r="I1763" i="5" s="1"/>
  <c r="J1763" i="5" s="1" a="1"/>
  <c r="J1763" i="5" s="1"/>
  <c r="X1757" i="9" s="1"/>
  <c r="B1764" i="5"/>
  <c r="H1764" i="5" s="1"/>
  <c r="I1764" i="5" s="1"/>
  <c r="J1764" i="5" s="1" a="1"/>
  <c r="J1764" i="5" s="1"/>
  <c r="X1758" i="9" s="1"/>
  <c r="B1765" i="5"/>
  <c r="H1765" i="5" s="1"/>
  <c r="I1765" i="5" s="1"/>
  <c r="J1765" i="5" s="1" a="1"/>
  <c r="J1765" i="5" s="1"/>
  <c r="X1759" i="9" s="1"/>
  <c r="B1766" i="5"/>
  <c r="H1766" i="5" s="1"/>
  <c r="I1766" i="5" s="1"/>
  <c r="J1766" i="5" s="1" a="1"/>
  <c r="J1766" i="5" s="1"/>
  <c r="X1760" i="9" s="1"/>
  <c r="B1767" i="5"/>
  <c r="H1767" i="5" s="1"/>
  <c r="I1767" i="5" s="1"/>
  <c r="J1767" i="5" s="1" a="1"/>
  <c r="J1767" i="5" s="1"/>
  <c r="X1761" i="9" s="1"/>
  <c r="B1768" i="5"/>
  <c r="H1768" i="5" s="1"/>
  <c r="I1768" i="5" s="1"/>
  <c r="J1768" i="5" s="1" a="1"/>
  <c r="J1768" i="5" s="1"/>
  <c r="X1762" i="9" s="1"/>
  <c r="B1769" i="5"/>
  <c r="H1769" i="5" s="1"/>
  <c r="I1769" i="5" s="1"/>
  <c r="J1769" i="5" s="1" a="1"/>
  <c r="J1769" i="5" s="1"/>
  <c r="X1763" i="9" s="1"/>
  <c r="B1770" i="5"/>
  <c r="H1770" i="5" s="1"/>
  <c r="I1770" i="5" s="1"/>
  <c r="J1770" i="5" s="1" a="1"/>
  <c r="J1770" i="5" s="1"/>
  <c r="X1764" i="9" s="1"/>
  <c r="B1771" i="5"/>
  <c r="H1771" i="5" s="1"/>
  <c r="I1771" i="5" s="1"/>
  <c r="J1771" i="5" s="1" a="1"/>
  <c r="J1771" i="5" s="1"/>
  <c r="X1765" i="9" s="1"/>
  <c r="B1772" i="5"/>
  <c r="H1772" i="5" s="1"/>
  <c r="I1772" i="5" s="1"/>
  <c r="J1772" i="5" s="1" a="1"/>
  <c r="J1772" i="5" s="1"/>
  <c r="X1766" i="9" s="1"/>
  <c r="B1773" i="5"/>
  <c r="H1773" i="5" s="1"/>
  <c r="I1773" i="5" s="1"/>
  <c r="J1773" i="5" s="1" a="1"/>
  <c r="J1773" i="5" s="1"/>
  <c r="X1767" i="9" s="1"/>
  <c r="B1774" i="5"/>
  <c r="H1774" i="5" s="1"/>
  <c r="I1774" i="5" s="1"/>
  <c r="J1774" i="5" s="1" a="1"/>
  <c r="J1774" i="5" s="1"/>
  <c r="X1768" i="9" s="1"/>
  <c r="B1775" i="5"/>
  <c r="H1775" i="5" s="1"/>
  <c r="I1775" i="5" s="1"/>
  <c r="J1775" i="5" s="1" a="1"/>
  <c r="J1775" i="5" s="1"/>
  <c r="X1769" i="9" s="1"/>
  <c r="B1776" i="5"/>
  <c r="H1776" i="5" s="1"/>
  <c r="I1776" i="5" s="1"/>
  <c r="J1776" i="5" s="1" a="1"/>
  <c r="J1776" i="5" s="1"/>
  <c r="X1770" i="9" s="1"/>
  <c r="B1777" i="5"/>
  <c r="H1777" i="5" s="1"/>
  <c r="I1777" i="5" s="1"/>
  <c r="J1777" i="5" s="1" a="1"/>
  <c r="J1777" i="5" s="1"/>
  <c r="X1771" i="9" s="1"/>
  <c r="B1778" i="5"/>
  <c r="H1778" i="5" s="1"/>
  <c r="I1778" i="5" s="1"/>
  <c r="J1778" i="5" s="1" a="1"/>
  <c r="J1778" i="5" s="1"/>
  <c r="X1772" i="9" s="1"/>
  <c r="B1779" i="5"/>
  <c r="H1779" i="5" s="1"/>
  <c r="I1779" i="5" s="1"/>
  <c r="J1779" i="5" s="1" a="1"/>
  <c r="J1779" i="5" s="1"/>
  <c r="X1773" i="9" s="1"/>
  <c r="B1780" i="5"/>
  <c r="H1780" i="5" s="1"/>
  <c r="I1780" i="5" s="1"/>
  <c r="J1780" i="5" s="1" a="1"/>
  <c r="J1780" i="5" s="1"/>
  <c r="X1774" i="9" s="1"/>
  <c r="B1781" i="5"/>
  <c r="H1781" i="5" s="1"/>
  <c r="I1781" i="5" s="1"/>
  <c r="J1781" i="5" s="1" a="1"/>
  <c r="J1781" i="5" s="1"/>
  <c r="X1775" i="9" s="1"/>
  <c r="B1782" i="5"/>
  <c r="H1782" i="5" s="1"/>
  <c r="I1782" i="5" s="1"/>
  <c r="J1782" i="5" s="1" a="1"/>
  <c r="J1782" i="5" s="1"/>
  <c r="X1776" i="9" s="1"/>
  <c r="B1783" i="5"/>
  <c r="H1783" i="5" s="1"/>
  <c r="I1783" i="5" s="1"/>
  <c r="J1783" i="5" s="1" a="1"/>
  <c r="J1783" i="5" s="1"/>
  <c r="X1777" i="9" s="1"/>
  <c r="B1784" i="5"/>
  <c r="H1784" i="5" s="1"/>
  <c r="I1784" i="5" s="1"/>
  <c r="J1784" i="5" s="1" a="1"/>
  <c r="J1784" i="5" s="1"/>
  <c r="X1778" i="9" s="1"/>
  <c r="B1785" i="5"/>
  <c r="H1785" i="5" s="1"/>
  <c r="I1785" i="5" s="1"/>
  <c r="J1785" i="5" s="1" a="1"/>
  <c r="J1785" i="5" s="1"/>
  <c r="X1779" i="9" s="1"/>
  <c r="B1786" i="5"/>
  <c r="H1786" i="5" s="1"/>
  <c r="I1786" i="5" s="1"/>
  <c r="J1786" i="5" s="1" a="1"/>
  <c r="J1786" i="5" s="1"/>
  <c r="X1780" i="9" s="1"/>
  <c r="B1787" i="5"/>
  <c r="H1787" i="5" s="1"/>
  <c r="I1787" i="5" s="1"/>
  <c r="J1787" i="5" s="1" a="1"/>
  <c r="J1787" i="5" s="1"/>
  <c r="X1781" i="9" s="1"/>
  <c r="B1788" i="5"/>
  <c r="H1788" i="5" s="1"/>
  <c r="I1788" i="5" s="1"/>
  <c r="J1788" i="5" s="1" a="1"/>
  <c r="J1788" i="5" s="1"/>
  <c r="X1782" i="9" s="1"/>
  <c r="B1789" i="5"/>
  <c r="H1789" i="5" s="1"/>
  <c r="I1789" i="5" s="1"/>
  <c r="J1789" i="5" s="1" a="1"/>
  <c r="J1789" i="5" s="1"/>
  <c r="X1783" i="9" s="1"/>
  <c r="B1790" i="5"/>
  <c r="H1790" i="5" s="1"/>
  <c r="I1790" i="5" s="1"/>
  <c r="J1790" i="5" s="1" a="1"/>
  <c r="J1790" i="5" s="1"/>
  <c r="X1784" i="9" s="1"/>
  <c r="B1791" i="5"/>
  <c r="H1791" i="5" s="1"/>
  <c r="I1791" i="5" s="1"/>
  <c r="J1791" i="5" s="1" a="1"/>
  <c r="J1791" i="5" s="1"/>
  <c r="X1785" i="9" s="1"/>
  <c r="B1792" i="5"/>
  <c r="H1792" i="5" s="1"/>
  <c r="I1792" i="5" s="1"/>
  <c r="J1792" i="5" s="1" a="1"/>
  <c r="J1792" i="5" s="1"/>
  <c r="X1786" i="9" s="1"/>
  <c r="B1793" i="5"/>
  <c r="H1793" i="5" s="1"/>
  <c r="I1793" i="5" s="1"/>
  <c r="J1793" i="5" s="1" a="1"/>
  <c r="J1793" i="5" s="1"/>
  <c r="X1787" i="9" s="1"/>
  <c r="B1794" i="5"/>
  <c r="H1794" i="5" s="1"/>
  <c r="I1794" i="5" s="1"/>
  <c r="J1794" i="5" s="1" a="1"/>
  <c r="J1794" i="5" s="1"/>
  <c r="X1788" i="9" s="1"/>
  <c r="B1795" i="5"/>
  <c r="H1795" i="5" s="1"/>
  <c r="I1795" i="5" s="1"/>
  <c r="J1795" i="5" s="1" a="1"/>
  <c r="J1795" i="5" s="1"/>
  <c r="X1789" i="9" s="1"/>
  <c r="B1796" i="5"/>
  <c r="H1796" i="5" s="1"/>
  <c r="I1796" i="5" s="1"/>
  <c r="J1796" i="5" s="1" a="1"/>
  <c r="J1796" i="5" s="1"/>
  <c r="X1790" i="9" s="1"/>
  <c r="B1797" i="5"/>
  <c r="H1797" i="5" s="1"/>
  <c r="I1797" i="5" s="1"/>
  <c r="J1797" i="5" s="1" a="1"/>
  <c r="J1797" i="5" s="1"/>
  <c r="X1791" i="9" s="1"/>
  <c r="B1798" i="5"/>
  <c r="H1798" i="5" s="1"/>
  <c r="I1798" i="5" s="1"/>
  <c r="J1798" i="5" s="1" a="1"/>
  <c r="J1798" i="5" s="1"/>
  <c r="X1792" i="9" s="1"/>
  <c r="B1799" i="5"/>
  <c r="H1799" i="5" s="1"/>
  <c r="I1799" i="5" s="1"/>
  <c r="J1799" i="5" s="1" a="1"/>
  <c r="J1799" i="5" s="1"/>
  <c r="X1793" i="9" s="1"/>
  <c r="B1800" i="5"/>
  <c r="H1800" i="5" s="1"/>
  <c r="I1800" i="5" s="1"/>
  <c r="J1800" i="5" s="1" a="1"/>
  <c r="J1800" i="5" s="1"/>
  <c r="X1794" i="9" s="1"/>
  <c r="B1801" i="5"/>
  <c r="H1801" i="5" s="1"/>
  <c r="I1801" i="5" s="1"/>
  <c r="J1801" i="5" s="1" a="1"/>
  <c r="J1801" i="5" s="1"/>
  <c r="X1795" i="9" s="1"/>
  <c r="B1802" i="5"/>
  <c r="H1802" i="5" s="1"/>
  <c r="I1802" i="5" s="1"/>
  <c r="J1802" i="5" s="1" a="1"/>
  <c r="J1802" i="5" s="1"/>
  <c r="X1796" i="9" s="1"/>
  <c r="B1803" i="5"/>
  <c r="H1803" i="5" s="1"/>
  <c r="I1803" i="5" s="1"/>
  <c r="J1803" i="5" s="1" a="1"/>
  <c r="J1803" i="5" s="1"/>
  <c r="X1797" i="9" s="1"/>
  <c r="B1804" i="5"/>
  <c r="H1804" i="5" s="1"/>
  <c r="I1804" i="5" s="1"/>
  <c r="J1804" i="5" s="1" a="1"/>
  <c r="J1804" i="5" s="1"/>
  <c r="X1798" i="9" s="1"/>
  <c r="B1805" i="5"/>
  <c r="H1805" i="5" s="1"/>
  <c r="I1805" i="5" s="1"/>
  <c r="J1805" i="5" s="1" a="1"/>
  <c r="J1805" i="5" s="1"/>
  <c r="X1799" i="9" s="1"/>
  <c r="B1806" i="5"/>
  <c r="H1806" i="5" s="1"/>
  <c r="I1806" i="5" s="1"/>
  <c r="J1806" i="5" s="1" a="1"/>
  <c r="J1806" i="5" s="1"/>
  <c r="X1800" i="9" s="1"/>
  <c r="B1807" i="5"/>
  <c r="H1807" i="5" s="1"/>
  <c r="I1807" i="5" s="1"/>
  <c r="J1807" i="5" s="1" a="1"/>
  <c r="J1807" i="5" s="1"/>
  <c r="X1801" i="9" s="1"/>
  <c r="B1808" i="5"/>
  <c r="H1808" i="5" s="1"/>
  <c r="I1808" i="5" s="1"/>
  <c r="J1808" i="5" s="1" a="1"/>
  <c r="J1808" i="5" s="1"/>
  <c r="X1802" i="9" s="1"/>
  <c r="B1809" i="5"/>
  <c r="H1809" i="5" s="1"/>
  <c r="I1809" i="5" s="1"/>
  <c r="J1809" i="5" s="1" a="1"/>
  <c r="J1809" i="5" s="1"/>
  <c r="X1803" i="9" s="1"/>
  <c r="B1810" i="5"/>
  <c r="H1810" i="5" s="1"/>
  <c r="I1810" i="5" s="1"/>
  <c r="J1810" i="5" s="1" a="1"/>
  <c r="J1810" i="5" s="1"/>
  <c r="X1804" i="9" s="1"/>
  <c r="B1811" i="5"/>
  <c r="H1811" i="5" s="1"/>
  <c r="I1811" i="5" s="1"/>
  <c r="J1811" i="5" s="1" a="1"/>
  <c r="J1811" i="5" s="1"/>
  <c r="X1805" i="9" s="1"/>
  <c r="B1812" i="5"/>
  <c r="H1812" i="5" s="1"/>
  <c r="I1812" i="5" s="1"/>
  <c r="J1812" i="5" s="1" a="1"/>
  <c r="J1812" i="5" s="1"/>
  <c r="X1806" i="9" s="1"/>
  <c r="B1813" i="5"/>
  <c r="H1813" i="5" s="1"/>
  <c r="I1813" i="5" s="1"/>
  <c r="J1813" i="5" s="1" a="1"/>
  <c r="J1813" i="5" s="1"/>
  <c r="X1807" i="9" s="1"/>
  <c r="B1814" i="5"/>
  <c r="H1814" i="5" s="1"/>
  <c r="I1814" i="5" s="1"/>
  <c r="J1814" i="5" s="1" a="1"/>
  <c r="J1814" i="5" s="1"/>
  <c r="X1808" i="9" s="1"/>
  <c r="B1815" i="5"/>
  <c r="H1815" i="5" s="1"/>
  <c r="I1815" i="5" s="1"/>
  <c r="J1815" i="5" s="1" a="1"/>
  <c r="J1815" i="5" s="1"/>
  <c r="X1809" i="9" s="1"/>
  <c r="B1816" i="5"/>
  <c r="H1816" i="5" s="1"/>
  <c r="I1816" i="5" s="1"/>
  <c r="J1816" i="5" s="1" a="1"/>
  <c r="J1816" i="5" s="1"/>
  <c r="X1810" i="9" s="1"/>
  <c r="B1817" i="5"/>
  <c r="H1817" i="5" s="1"/>
  <c r="I1817" i="5" s="1"/>
  <c r="J1817" i="5" s="1" a="1"/>
  <c r="J1817" i="5" s="1"/>
  <c r="X1811" i="9" s="1"/>
  <c r="B1818" i="5"/>
  <c r="H1818" i="5" s="1"/>
  <c r="I1818" i="5" s="1"/>
  <c r="J1818" i="5" s="1" a="1"/>
  <c r="J1818" i="5" s="1"/>
  <c r="X1812" i="9" s="1"/>
  <c r="B1819" i="5"/>
  <c r="H1819" i="5" s="1"/>
  <c r="I1819" i="5" s="1"/>
  <c r="J1819" i="5" s="1" a="1"/>
  <c r="J1819" i="5" s="1"/>
  <c r="X1813" i="9" s="1"/>
  <c r="B1820" i="5"/>
  <c r="H1820" i="5" s="1"/>
  <c r="I1820" i="5" s="1"/>
  <c r="J1820" i="5" s="1" a="1"/>
  <c r="J1820" i="5" s="1"/>
  <c r="X1814" i="9" s="1"/>
  <c r="B1821" i="5"/>
  <c r="H1821" i="5" s="1"/>
  <c r="I1821" i="5" s="1"/>
  <c r="J1821" i="5" s="1" a="1"/>
  <c r="J1821" i="5" s="1"/>
  <c r="X1815" i="9" s="1"/>
  <c r="B1822" i="5"/>
  <c r="H1822" i="5" s="1"/>
  <c r="I1822" i="5" s="1"/>
  <c r="J1822" i="5" s="1" a="1"/>
  <c r="J1822" i="5" s="1"/>
  <c r="X1816" i="9" s="1"/>
  <c r="B1823" i="5"/>
  <c r="H1823" i="5" s="1"/>
  <c r="I1823" i="5" s="1"/>
  <c r="J1823" i="5" s="1" a="1"/>
  <c r="J1823" i="5" s="1"/>
  <c r="X1817" i="9" s="1"/>
  <c r="B1824" i="5"/>
  <c r="H1824" i="5" s="1"/>
  <c r="I1824" i="5" s="1"/>
  <c r="J1824" i="5" s="1" a="1"/>
  <c r="J1824" i="5" s="1"/>
  <c r="X1818" i="9" s="1"/>
  <c r="B1825" i="5"/>
  <c r="H1825" i="5" s="1"/>
  <c r="I1825" i="5" s="1"/>
  <c r="J1825" i="5" s="1" a="1"/>
  <c r="J1825" i="5" s="1"/>
  <c r="X1819" i="9" s="1"/>
  <c r="B1826" i="5"/>
  <c r="H1826" i="5" s="1"/>
  <c r="I1826" i="5" s="1"/>
  <c r="J1826" i="5" s="1" a="1"/>
  <c r="J1826" i="5" s="1"/>
  <c r="X1820" i="9" s="1"/>
  <c r="B1827" i="5"/>
  <c r="H1827" i="5" s="1"/>
  <c r="I1827" i="5" s="1"/>
  <c r="J1827" i="5" s="1" a="1"/>
  <c r="J1827" i="5" s="1"/>
  <c r="X1821" i="9" s="1"/>
  <c r="B1828" i="5"/>
  <c r="H1828" i="5" s="1"/>
  <c r="I1828" i="5" s="1"/>
  <c r="J1828" i="5" s="1" a="1"/>
  <c r="J1828" i="5" s="1"/>
  <c r="X1822" i="9" s="1"/>
  <c r="B1829" i="5"/>
  <c r="H1829" i="5" s="1"/>
  <c r="I1829" i="5" s="1"/>
  <c r="J1829" i="5" s="1" a="1"/>
  <c r="J1829" i="5" s="1"/>
  <c r="X1823" i="9" s="1"/>
  <c r="B1830" i="5"/>
  <c r="H1830" i="5" s="1"/>
  <c r="I1830" i="5" s="1"/>
  <c r="J1830" i="5" s="1" a="1"/>
  <c r="J1830" i="5" s="1"/>
  <c r="X1824" i="9" s="1"/>
  <c r="B1831" i="5"/>
  <c r="H1831" i="5" s="1"/>
  <c r="I1831" i="5" s="1"/>
  <c r="J1831" i="5" s="1" a="1"/>
  <c r="J1831" i="5" s="1"/>
  <c r="X1825" i="9" s="1"/>
  <c r="B1832" i="5"/>
  <c r="H1832" i="5" s="1"/>
  <c r="I1832" i="5" s="1"/>
  <c r="J1832" i="5" s="1" a="1"/>
  <c r="J1832" i="5" s="1"/>
  <c r="X1826" i="9" s="1"/>
  <c r="B1833" i="5"/>
  <c r="H1833" i="5" s="1"/>
  <c r="I1833" i="5" s="1"/>
  <c r="J1833" i="5" s="1" a="1"/>
  <c r="J1833" i="5" s="1"/>
  <c r="X1827" i="9" s="1"/>
  <c r="B1834" i="5"/>
  <c r="H1834" i="5" s="1"/>
  <c r="I1834" i="5" s="1"/>
  <c r="J1834" i="5" s="1" a="1"/>
  <c r="J1834" i="5" s="1"/>
  <c r="X1828" i="9" s="1"/>
  <c r="B1835" i="5"/>
  <c r="H1835" i="5" s="1"/>
  <c r="I1835" i="5" s="1"/>
  <c r="J1835" i="5" s="1" a="1"/>
  <c r="J1835" i="5" s="1"/>
  <c r="X1829" i="9" s="1"/>
  <c r="B1836" i="5"/>
  <c r="H1836" i="5" s="1"/>
  <c r="I1836" i="5" s="1"/>
  <c r="J1836" i="5" s="1" a="1"/>
  <c r="J1836" i="5" s="1"/>
  <c r="X1830" i="9" s="1"/>
  <c r="B1837" i="5"/>
  <c r="H1837" i="5" s="1"/>
  <c r="I1837" i="5" s="1"/>
  <c r="J1837" i="5" s="1" a="1"/>
  <c r="J1837" i="5" s="1"/>
  <c r="X1831" i="9" s="1"/>
  <c r="B1838" i="5"/>
  <c r="H1838" i="5" s="1"/>
  <c r="I1838" i="5" s="1"/>
  <c r="J1838" i="5" s="1" a="1"/>
  <c r="J1838" i="5" s="1"/>
  <c r="X1832" i="9" s="1"/>
  <c r="B1839" i="5"/>
  <c r="H1839" i="5" s="1"/>
  <c r="I1839" i="5" s="1"/>
  <c r="J1839" i="5" s="1" a="1"/>
  <c r="J1839" i="5" s="1"/>
  <c r="X1833" i="9" s="1"/>
  <c r="B1840" i="5"/>
  <c r="H1840" i="5" s="1"/>
  <c r="I1840" i="5" s="1"/>
  <c r="J1840" i="5" s="1" a="1"/>
  <c r="J1840" i="5" s="1"/>
  <c r="X1834" i="9" s="1"/>
  <c r="B1841" i="5"/>
  <c r="H1841" i="5" s="1"/>
  <c r="I1841" i="5" s="1"/>
  <c r="J1841" i="5" s="1" a="1"/>
  <c r="J1841" i="5" s="1"/>
  <c r="X1835" i="9" s="1"/>
  <c r="B1842" i="5"/>
  <c r="H1842" i="5" s="1"/>
  <c r="I1842" i="5" s="1"/>
  <c r="J1842" i="5" s="1" a="1"/>
  <c r="J1842" i="5" s="1"/>
  <c r="X1836" i="9" s="1"/>
  <c r="B1843" i="5"/>
  <c r="H1843" i="5" s="1"/>
  <c r="I1843" i="5" s="1"/>
  <c r="J1843" i="5" s="1" a="1"/>
  <c r="J1843" i="5" s="1"/>
  <c r="X1837" i="9" s="1"/>
  <c r="B1844" i="5"/>
  <c r="H1844" i="5" s="1"/>
  <c r="I1844" i="5" s="1"/>
  <c r="J1844" i="5" s="1" a="1"/>
  <c r="J1844" i="5" s="1"/>
  <c r="X1838" i="9" s="1"/>
  <c r="B1845" i="5"/>
  <c r="H1845" i="5" s="1"/>
  <c r="I1845" i="5" s="1"/>
  <c r="J1845" i="5" s="1" a="1"/>
  <c r="J1845" i="5" s="1"/>
  <c r="X1839" i="9" s="1"/>
  <c r="B1846" i="5"/>
  <c r="H1846" i="5" s="1"/>
  <c r="I1846" i="5" s="1"/>
  <c r="J1846" i="5" s="1" a="1"/>
  <c r="J1846" i="5" s="1"/>
  <c r="X1840" i="9" s="1"/>
  <c r="B1847" i="5"/>
  <c r="H1847" i="5" s="1"/>
  <c r="I1847" i="5" s="1"/>
  <c r="J1847" i="5" s="1" a="1"/>
  <c r="J1847" i="5" s="1"/>
  <c r="X1841" i="9" s="1"/>
  <c r="B1848" i="5"/>
  <c r="H1848" i="5" s="1"/>
  <c r="I1848" i="5" s="1"/>
  <c r="J1848" i="5" s="1" a="1"/>
  <c r="J1848" i="5" s="1"/>
  <c r="X1842" i="9" s="1"/>
  <c r="B1849" i="5"/>
  <c r="H1849" i="5" s="1"/>
  <c r="I1849" i="5" s="1"/>
  <c r="J1849" i="5" s="1" a="1"/>
  <c r="J1849" i="5" s="1"/>
  <c r="X1843" i="9" s="1"/>
  <c r="B1850" i="5"/>
  <c r="H1850" i="5" s="1"/>
  <c r="I1850" i="5" s="1"/>
  <c r="J1850" i="5" s="1" a="1"/>
  <c r="J1850" i="5" s="1"/>
  <c r="X1844" i="9" s="1"/>
  <c r="B1851" i="5"/>
  <c r="H1851" i="5" s="1"/>
  <c r="I1851" i="5" s="1"/>
  <c r="J1851" i="5" s="1" a="1"/>
  <c r="J1851" i="5" s="1"/>
  <c r="X1845" i="9" s="1"/>
  <c r="B1852" i="5"/>
  <c r="H1852" i="5" s="1"/>
  <c r="I1852" i="5" s="1"/>
  <c r="J1852" i="5" s="1" a="1"/>
  <c r="J1852" i="5" s="1"/>
  <c r="X1846" i="9" s="1"/>
  <c r="B1853" i="5"/>
  <c r="H1853" i="5" s="1"/>
  <c r="I1853" i="5" s="1"/>
  <c r="J1853" i="5" s="1" a="1"/>
  <c r="J1853" i="5" s="1"/>
  <c r="X1847" i="9" s="1"/>
  <c r="B1854" i="5"/>
  <c r="H1854" i="5" s="1"/>
  <c r="I1854" i="5" s="1"/>
  <c r="J1854" i="5" s="1" a="1"/>
  <c r="J1854" i="5" s="1"/>
  <c r="X1848" i="9" s="1"/>
  <c r="B1855" i="5"/>
  <c r="H1855" i="5" s="1"/>
  <c r="I1855" i="5" s="1"/>
  <c r="J1855" i="5" s="1" a="1"/>
  <c r="J1855" i="5" s="1"/>
  <c r="X1849" i="9" s="1"/>
  <c r="B1856" i="5"/>
  <c r="H1856" i="5" s="1"/>
  <c r="I1856" i="5" s="1"/>
  <c r="J1856" i="5" s="1" a="1"/>
  <c r="J1856" i="5" s="1"/>
  <c r="X1850" i="9" s="1"/>
  <c r="B1857" i="5"/>
  <c r="H1857" i="5" s="1"/>
  <c r="I1857" i="5" s="1"/>
  <c r="J1857" i="5" s="1" a="1"/>
  <c r="J1857" i="5" s="1"/>
  <c r="X1851" i="9" s="1"/>
  <c r="B1858" i="5"/>
  <c r="H1858" i="5" s="1"/>
  <c r="I1858" i="5" s="1"/>
  <c r="J1858" i="5" s="1" a="1"/>
  <c r="J1858" i="5" s="1"/>
  <c r="X1852" i="9" s="1"/>
  <c r="B1859" i="5"/>
  <c r="H1859" i="5" s="1"/>
  <c r="I1859" i="5" s="1"/>
  <c r="J1859" i="5" s="1" a="1"/>
  <c r="J1859" i="5" s="1"/>
  <c r="X1853" i="9" s="1"/>
  <c r="B1860" i="5"/>
  <c r="H1860" i="5" s="1"/>
  <c r="I1860" i="5" s="1"/>
  <c r="J1860" i="5" s="1" a="1"/>
  <c r="J1860" i="5" s="1"/>
  <c r="X1854" i="9" s="1"/>
  <c r="B1861" i="5"/>
  <c r="H1861" i="5" s="1"/>
  <c r="I1861" i="5" s="1"/>
  <c r="J1861" i="5" s="1" a="1"/>
  <c r="J1861" i="5" s="1"/>
  <c r="X1855" i="9" s="1"/>
  <c r="B1862" i="5"/>
  <c r="H1862" i="5" s="1"/>
  <c r="I1862" i="5" s="1"/>
  <c r="J1862" i="5" s="1" a="1"/>
  <c r="J1862" i="5" s="1"/>
  <c r="X1856" i="9" s="1"/>
  <c r="B1863" i="5"/>
  <c r="H1863" i="5" s="1"/>
  <c r="I1863" i="5" s="1"/>
  <c r="J1863" i="5" s="1" a="1"/>
  <c r="J1863" i="5" s="1"/>
  <c r="X1857" i="9" s="1"/>
  <c r="B1864" i="5"/>
  <c r="H1864" i="5" s="1"/>
  <c r="I1864" i="5" s="1"/>
  <c r="J1864" i="5" s="1" a="1"/>
  <c r="J1864" i="5" s="1"/>
  <c r="X1858" i="9" s="1"/>
  <c r="B1865" i="5"/>
  <c r="H1865" i="5" s="1"/>
  <c r="I1865" i="5" s="1"/>
  <c r="J1865" i="5" s="1" a="1"/>
  <c r="J1865" i="5" s="1"/>
  <c r="X1859" i="9" s="1"/>
  <c r="B1866" i="5"/>
  <c r="H1866" i="5" s="1"/>
  <c r="I1866" i="5" s="1"/>
  <c r="J1866" i="5" s="1" a="1"/>
  <c r="J1866" i="5" s="1"/>
  <c r="X1860" i="9" s="1"/>
  <c r="B1867" i="5"/>
  <c r="H1867" i="5" s="1"/>
  <c r="I1867" i="5" s="1"/>
  <c r="J1867" i="5" s="1" a="1"/>
  <c r="J1867" i="5" s="1"/>
  <c r="X1861" i="9" s="1"/>
  <c r="B1868" i="5"/>
  <c r="H1868" i="5" s="1"/>
  <c r="I1868" i="5" s="1"/>
  <c r="J1868" i="5" s="1" a="1"/>
  <c r="J1868" i="5" s="1"/>
  <c r="X1862" i="9" s="1"/>
  <c r="B1869" i="5"/>
  <c r="H1869" i="5" s="1"/>
  <c r="I1869" i="5" s="1"/>
  <c r="J1869" i="5" s="1" a="1"/>
  <c r="J1869" i="5" s="1"/>
  <c r="X1863" i="9" s="1"/>
  <c r="B1870" i="5"/>
  <c r="H1870" i="5" s="1"/>
  <c r="I1870" i="5" s="1"/>
  <c r="J1870" i="5" s="1" a="1"/>
  <c r="J1870" i="5" s="1"/>
  <c r="X1864" i="9" s="1"/>
  <c r="B1871" i="5"/>
  <c r="H1871" i="5" s="1"/>
  <c r="I1871" i="5" s="1"/>
  <c r="J1871" i="5" s="1" a="1"/>
  <c r="J1871" i="5" s="1"/>
  <c r="X1865" i="9" s="1"/>
  <c r="B1872" i="5"/>
  <c r="H1872" i="5" s="1"/>
  <c r="I1872" i="5" s="1"/>
  <c r="J1872" i="5" s="1" a="1"/>
  <c r="J1872" i="5" s="1"/>
  <c r="X1866" i="9" s="1"/>
  <c r="B1873" i="5"/>
  <c r="H1873" i="5" s="1"/>
  <c r="I1873" i="5" s="1"/>
  <c r="J1873" i="5" s="1" a="1"/>
  <c r="J1873" i="5" s="1"/>
  <c r="X1867" i="9" s="1"/>
  <c r="B1874" i="5"/>
  <c r="H1874" i="5" s="1"/>
  <c r="I1874" i="5" s="1"/>
  <c r="J1874" i="5" s="1" a="1"/>
  <c r="J1874" i="5" s="1"/>
  <c r="X1868" i="9" s="1"/>
  <c r="B1875" i="5"/>
  <c r="H1875" i="5" s="1"/>
  <c r="I1875" i="5" s="1"/>
  <c r="J1875" i="5" s="1" a="1"/>
  <c r="J1875" i="5" s="1"/>
  <c r="X1869" i="9" s="1"/>
  <c r="B1876" i="5"/>
  <c r="H1876" i="5" s="1"/>
  <c r="I1876" i="5" s="1"/>
  <c r="J1876" i="5" s="1" a="1"/>
  <c r="J1876" i="5" s="1"/>
  <c r="X1870" i="9" s="1"/>
  <c r="B1877" i="5"/>
  <c r="H1877" i="5" s="1"/>
  <c r="I1877" i="5" s="1"/>
  <c r="J1877" i="5" s="1" a="1"/>
  <c r="J1877" i="5" s="1"/>
  <c r="X1871" i="9" s="1"/>
  <c r="B1878" i="5"/>
  <c r="H1878" i="5" s="1"/>
  <c r="I1878" i="5" s="1"/>
  <c r="J1878" i="5" s="1" a="1"/>
  <c r="J1878" i="5" s="1"/>
  <c r="X1872" i="9" s="1"/>
  <c r="B1879" i="5"/>
  <c r="H1879" i="5" s="1"/>
  <c r="I1879" i="5" s="1"/>
  <c r="J1879" i="5" s="1" a="1"/>
  <c r="J1879" i="5" s="1"/>
  <c r="X1873" i="9" s="1"/>
  <c r="B1880" i="5"/>
  <c r="H1880" i="5" s="1"/>
  <c r="I1880" i="5" s="1"/>
  <c r="J1880" i="5" s="1" a="1"/>
  <c r="J1880" i="5" s="1"/>
  <c r="X1874" i="9" s="1"/>
  <c r="B1881" i="5"/>
  <c r="H1881" i="5" s="1"/>
  <c r="I1881" i="5" s="1"/>
  <c r="J1881" i="5" s="1" a="1"/>
  <c r="J1881" i="5" s="1"/>
  <c r="X1875" i="9" s="1"/>
  <c r="B1882" i="5"/>
  <c r="H1882" i="5" s="1"/>
  <c r="I1882" i="5" s="1"/>
  <c r="J1882" i="5" s="1" a="1"/>
  <c r="J1882" i="5" s="1"/>
  <c r="X1876" i="9" s="1"/>
  <c r="B1883" i="5"/>
  <c r="H1883" i="5" s="1"/>
  <c r="I1883" i="5" s="1"/>
  <c r="J1883" i="5" s="1" a="1"/>
  <c r="J1883" i="5" s="1"/>
  <c r="X1877" i="9" s="1"/>
  <c r="B1884" i="5"/>
  <c r="H1884" i="5" s="1"/>
  <c r="I1884" i="5" s="1"/>
  <c r="J1884" i="5" s="1" a="1"/>
  <c r="J1884" i="5" s="1"/>
  <c r="X1878" i="9" s="1"/>
  <c r="B1885" i="5"/>
  <c r="H1885" i="5" s="1"/>
  <c r="I1885" i="5" s="1"/>
  <c r="J1885" i="5" s="1" a="1"/>
  <c r="J1885" i="5" s="1"/>
  <c r="X1879" i="9" s="1"/>
  <c r="B1886" i="5"/>
  <c r="H1886" i="5" s="1"/>
  <c r="I1886" i="5" s="1"/>
  <c r="J1886" i="5" s="1" a="1"/>
  <c r="J1886" i="5" s="1"/>
  <c r="X1880" i="9" s="1"/>
  <c r="B1887" i="5"/>
  <c r="H1887" i="5" s="1"/>
  <c r="I1887" i="5" s="1"/>
  <c r="J1887" i="5" s="1" a="1"/>
  <c r="J1887" i="5" s="1"/>
  <c r="X1881" i="9" s="1"/>
  <c r="B1888" i="5"/>
  <c r="H1888" i="5" s="1"/>
  <c r="I1888" i="5" s="1"/>
  <c r="J1888" i="5" s="1" a="1"/>
  <c r="J1888" i="5" s="1"/>
  <c r="X1882" i="9" s="1"/>
  <c r="B1889" i="5"/>
  <c r="H1889" i="5" s="1"/>
  <c r="I1889" i="5" s="1"/>
  <c r="J1889" i="5" s="1" a="1"/>
  <c r="J1889" i="5" s="1"/>
  <c r="X1883" i="9" s="1"/>
  <c r="B1890" i="5"/>
  <c r="H1890" i="5" s="1"/>
  <c r="I1890" i="5" s="1"/>
  <c r="J1890" i="5" s="1" a="1"/>
  <c r="J1890" i="5" s="1"/>
  <c r="X1884" i="9" s="1"/>
  <c r="B1891" i="5"/>
  <c r="H1891" i="5" s="1"/>
  <c r="I1891" i="5" s="1"/>
  <c r="J1891" i="5" s="1" a="1"/>
  <c r="J1891" i="5" s="1"/>
  <c r="X1885" i="9" s="1"/>
  <c r="B1892" i="5"/>
  <c r="H1892" i="5" s="1"/>
  <c r="I1892" i="5" s="1"/>
  <c r="J1892" i="5" s="1" a="1"/>
  <c r="J1892" i="5" s="1"/>
  <c r="X1886" i="9" s="1"/>
  <c r="B1893" i="5"/>
  <c r="H1893" i="5" s="1"/>
  <c r="I1893" i="5" s="1"/>
  <c r="J1893" i="5" s="1" a="1"/>
  <c r="J1893" i="5" s="1"/>
  <c r="X1887" i="9" s="1"/>
  <c r="B1894" i="5"/>
  <c r="H1894" i="5" s="1"/>
  <c r="I1894" i="5" s="1"/>
  <c r="J1894" i="5" s="1" a="1"/>
  <c r="J1894" i="5" s="1"/>
  <c r="X1888" i="9" s="1"/>
  <c r="B1895" i="5"/>
  <c r="H1895" i="5" s="1"/>
  <c r="I1895" i="5" s="1"/>
  <c r="J1895" i="5" s="1" a="1"/>
  <c r="J1895" i="5" s="1"/>
  <c r="X1889" i="9" s="1"/>
  <c r="B1896" i="5"/>
  <c r="H1896" i="5" s="1"/>
  <c r="I1896" i="5" s="1"/>
  <c r="J1896" i="5" s="1" a="1"/>
  <c r="J1896" i="5" s="1"/>
  <c r="X1890" i="9" s="1"/>
  <c r="B1897" i="5"/>
  <c r="H1897" i="5" s="1"/>
  <c r="I1897" i="5" s="1"/>
  <c r="J1897" i="5" s="1" a="1"/>
  <c r="J1897" i="5" s="1"/>
  <c r="X1891" i="9" s="1"/>
  <c r="B1898" i="5"/>
  <c r="H1898" i="5" s="1"/>
  <c r="I1898" i="5" s="1"/>
  <c r="J1898" i="5" s="1" a="1"/>
  <c r="J1898" i="5" s="1"/>
  <c r="X1892" i="9" s="1"/>
  <c r="B1899" i="5"/>
  <c r="H1899" i="5" s="1"/>
  <c r="I1899" i="5" s="1"/>
  <c r="J1899" i="5" s="1" a="1"/>
  <c r="J1899" i="5" s="1"/>
  <c r="X1893" i="9" s="1"/>
  <c r="B1900" i="5"/>
  <c r="H1900" i="5" s="1"/>
  <c r="I1900" i="5" s="1"/>
  <c r="J1900" i="5" s="1" a="1"/>
  <c r="J1900" i="5" s="1"/>
  <c r="X1894" i="9" s="1"/>
  <c r="B1901" i="5"/>
  <c r="H1901" i="5" s="1"/>
  <c r="I1901" i="5" s="1"/>
  <c r="J1901" i="5" s="1" a="1"/>
  <c r="J1901" i="5" s="1"/>
  <c r="X1895" i="9" s="1"/>
  <c r="B1902" i="5"/>
  <c r="H1902" i="5" s="1"/>
  <c r="I1902" i="5" s="1"/>
  <c r="J1902" i="5" s="1" a="1"/>
  <c r="J1902" i="5" s="1"/>
  <c r="X1896" i="9" s="1"/>
  <c r="B1903" i="5"/>
  <c r="H1903" i="5" s="1"/>
  <c r="I1903" i="5" s="1"/>
  <c r="J1903" i="5" s="1" a="1"/>
  <c r="J1903" i="5" s="1"/>
  <c r="X1897" i="9" s="1"/>
  <c r="B1904" i="5"/>
  <c r="H1904" i="5" s="1"/>
  <c r="I1904" i="5" s="1"/>
  <c r="J1904" i="5" s="1" a="1"/>
  <c r="J1904" i="5" s="1"/>
  <c r="X1898" i="9" s="1"/>
  <c r="B1905" i="5"/>
  <c r="H1905" i="5" s="1"/>
  <c r="I1905" i="5" s="1"/>
  <c r="J1905" i="5" s="1" a="1"/>
  <c r="J1905" i="5" s="1"/>
  <c r="X1899" i="9" s="1"/>
  <c r="B1906" i="5"/>
  <c r="H1906" i="5" s="1"/>
  <c r="I1906" i="5" s="1"/>
  <c r="J1906" i="5" s="1" a="1"/>
  <c r="J1906" i="5" s="1"/>
  <c r="X1900" i="9" s="1"/>
  <c r="B1907" i="5"/>
  <c r="H1907" i="5" s="1"/>
  <c r="I1907" i="5" s="1"/>
  <c r="J1907" i="5" s="1" a="1"/>
  <c r="J1907" i="5" s="1"/>
  <c r="X1901" i="9" s="1"/>
  <c r="B1908" i="5"/>
  <c r="H1908" i="5" s="1"/>
  <c r="I1908" i="5" s="1"/>
  <c r="J1908" i="5" s="1" a="1"/>
  <c r="J1908" i="5" s="1"/>
  <c r="X1902" i="9" s="1"/>
  <c r="B1909" i="5"/>
  <c r="H1909" i="5" s="1"/>
  <c r="I1909" i="5" s="1"/>
  <c r="J1909" i="5" s="1" a="1"/>
  <c r="J1909" i="5" s="1"/>
  <c r="X1903" i="9" s="1"/>
  <c r="B1910" i="5"/>
  <c r="H1910" i="5" s="1"/>
  <c r="I1910" i="5" s="1"/>
  <c r="J1910" i="5" s="1" a="1"/>
  <c r="J1910" i="5" s="1"/>
  <c r="X1904" i="9" s="1"/>
  <c r="B1911" i="5"/>
  <c r="H1911" i="5" s="1"/>
  <c r="I1911" i="5" s="1"/>
  <c r="J1911" i="5" s="1" a="1"/>
  <c r="J1911" i="5" s="1"/>
  <c r="X1905" i="9" s="1"/>
  <c r="B1912" i="5"/>
  <c r="H1912" i="5" s="1"/>
  <c r="I1912" i="5" s="1"/>
  <c r="J1912" i="5" s="1" a="1"/>
  <c r="J1912" i="5" s="1"/>
  <c r="X1906" i="9" s="1"/>
  <c r="B1913" i="5"/>
  <c r="H1913" i="5" s="1"/>
  <c r="I1913" i="5" s="1"/>
  <c r="J1913" i="5" s="1" a="1"/>
  <c r="J1913" i="5" s="1"/>
  <c r="X1907" i="9" s="1"/>
  <c r="B1914" i="5"/>
  <c r="H1914" i="5" s="1"/>
  <c r="I1914" i="5" s="1"/>
  <c r="J1914" i="5" s="1" a="1"/>
  <c r="J1914" i="5" s="1"/>
  <c r="X1908" i="9" s="1"/>
  <c r="B1915" i="5"/>
  <c r="H1915" i="5" s="1"/>
  <c r="I1915" i="5" s="1"/>
  <c r="J1915" i="5" s="1" a="1"/>
  <c r="J1915" i="5" s="1"/>
  <c r="X1909" i="9" s="1"/>
  <c r="B1916" i="5"/>
  <c r="H1916" i="5" s="1"/>
  <c r="I1916" i="5" s="1"/>
  <c r="J1916" i="5" s="1" a="1"/>
  <c r="J1916" i="5" s="1"/>
  <c r="X1910" i="9" s="1"/>
  <c r="B1917" i="5"/>
  <c r="H1917" i="5" s="1"/>
  <c r="I1917" i="5" s="1"/>
  <c r="J1917" i="5" s="1" a="1"/>
  <c r="J1917" i="5" s="1"/>
  <c r="X1911" i="9" s="1"/>
  <c r="B1918" i="5"/>
  <c r="H1918" i="5" s="1"/>
  <c r="I1918" i="5" s="1"/>
  <c r="J1918" i="5" s="1" a="1"/>
  <c r="J1918" i="5" s="1"/>
  <c r="X1912" i="9" s="1"/>
  <c r="B1919" i="5"/>
  <c r="H1919" i="5" s="1"/>
  <c r="I1919" i="5" s="1"/>
  <c r="J1919" i="5" s="1" a="1"/>
  <c r="J1919" i="5" s="1"/>
  <c r="X1913" i="9" s="1"/>
  <c r="B1920" i="5"/>
  <c r="H1920" i="5" s="1"/>
  <c r="I1920" i="5" s="1"/>
  <c r="J1920" i="5" s="1" a="1"/>
  <c r="J1920" i="5" s="1"/>
  <c r="X1914" i="9" s="1"/>
  <c r="B1921" i="5"/>
  <c r="H1921" i="5" s="1"/>
  <c r="I1921" i="5" s="1"/>
  <c r="J1921" i="5" s="1" a="1"/>
  <c r="J1921" i="5" s="1"/>
  <c r="X1915" i="9" s="1"/>
  <c r="B1922" i="5"/>
  <c r="H1922" i="5" s="1"/>
  <c r="I1922" i="5" s="1"/>
  <c r="J1922" i="5" s="1" a="1"/>
  <c r="J1922" i="5" s="1"/>
  <c r="X1916" i="9" s="1"/>
  <c r="B1923" i="5"/>
  <c r="H1923" i="5" s="1"/>
  <c r="I1923" i="5" s="1"/>
  <c r="J1923" i="5" s="1" a="1"/>
  <c r="J1923" i="5" s="1"/>
  <c r="X1917" i="9" s="1"/>
  <c r="B1924" i="5"/>
  <c r="H1924" i="5" s="1"/>
  <c r="I1924" i="5" s="1"/>
  <c r="J1924" i="5" s="1" a="1"/>
  <c r="J1924" i="5" s="1"/>
  <c r="X1918" i="9" s="1"/>
  <c r="B1925" i="5"/>
  <c r="H1925" i="5" s="1"/>
  <c r="I1925" i="5" s="1"/>
  <c r="J1925" i="5" s="1" a="1"/>
  <c r="J1925" i="5" s="1"/>
  <c r="X1919" i="9" s="1"/>
  <c r="B1926" i="5"/>
  <c r="H1926" i="5" s="1"/>
  <c r="I1926" i="5" s="1"/>
  <c r="J1926" i="5" s="1" a="1"/>
  <c r="J1926" i="5" s="1"/>
  <c r="X1920" i="9" s="1"/>
  <c r="B1927" i="5"/>
  <c r="H1927" i="5" s="1"/>
  <c r="I1927" i="5" s="1"/>
  <c r="J1927" i="5" s="1" a="1"/>
  <c r="J1927" i="5" s="1"/>
  <c r="X1921" i="9" s="1"/>
  <c r="B1928" i="5"/>
  <c r="H1928" i="5" s="1"/>
  <c r="I1928" i="5" s="1"/>
  <c r="J1928" i="5" s="1" a="1"/>
  <c r="J1928" i="5" s="1"/>
  <c r="X1922" i="9" s="1"/>
  <c r="B1929" i="5"/>
  <c r="H1929" i="5" s="1"/>
  <c r="I1929" i="5" s="1"/>
  <c r="J1929" i="5" s="1" a="1"/>
  <c r="J1929" i="5" s="1"/>
  <c r="X1923" i="9" s="1"/>
  <c r="B1930" i="5"/>
  <c r="H1930" i="5" s="1"/>
  <c r="I1930" i="5" s="1"/>
  <c r="J1930" i="5" s="1" a="1"/>
  <c r="J1930" i="5" s="1"/>
  <c r="X1924" i="9" s="1"/>
  <c r="B1931" i="5"/>
  <c r="H1931" i="5" s="1"/>
  <c r="I1931" i="5" s="1"/>
  <c r="J1931" i="5" s="1" a="1"/>
  <c r="J1931" i="5" s="1"/>
  <c r="X1925" i="9" s="1"/>
  <c r="B1932" i="5"/>
  <c r="H1932" i="5" s="1"/>
  <c r="I1932" i="5" s="1"/>
  <c r="J1932" i="5" s="1" a="1"/>
  <c r="J1932" i="5" s="1"/>
  <c r="X1926" i="9" s="1"/>
  <c r="B1933" i="5"/>
  <c r="H1933" i="5" s="1"/>
  <c r="I1933" i="5" s="1"/>
  <c r="J1933" i="5" s="1" a="1"/>
  <c r="J1933" i="5" s="1"/>
  <c r="X1927" i="9" s="1"/>
  <c r="B1934" i="5"/>
  <c r="H1934" i="5" s="1"/>
  <c r="I1934" i="5" s="1"/>
  <c r="J1934" i="5" s="1" a="1"/>
  <c r="J1934" i="5" s="1"/>
  <c r="X1928" i="9" s="1"/>
  <c r="B1935" i="5"/>
  <c r="H1935" i="5" s="1"/>
  <c r="I1935" i="5" s="1"/>
  <c r="J1935" i="5" s="1" a="1"/>
  <c r="J1935" i="5" s="1"/>
  <c r="X1929" i="9" s="1"/>
  <c r="B1936" i="5"/>
  <c r="H1936" i="5" s="1"/>
  <c r="I1936" i="5" s="1"/>
  <c r="J1936" i="5" s="1" a="1"/>
  <c r="J1936" i="5" s="1"/>
  <c r="X1930" i="9" s="1"/>
  <c r="B1937" i="5"/>
  <c r="H1937" i="5" s="1"/>
  <c r="I1937" i="5" s="1"/>
  <c r="J1937" i="5" s="1" a="1"/>
  <c r="J1937" i="5" s="1"/>
  <c r="X1931" i="9" s="1"/>
  <c r="B1938" i="5"/>
  <c r="H1938" i="5" s="1"/>
  <c r="I1938" i="5" s="1"/>
  <c r="J1938" i="5" s="1" a="1"/>
  <c r="J1938" i="5" s="1"/>
  <c r="X1932" i="9" s="1"/>
  <c r="B1939" i="5"/>
  <c r="H1939" i="5" s="1"/>
  <c r="I1939" i="5" s="1"/>
  <c r="J1939" i="5" s="1" a="1"/>
  <c r="J1939" i="5" s="1"/>
  <c r="X1933" i="9" s="1"/>
  <c r="B1940" i="5"/>
  <c r="H1940" i="5" s="1"/>
  <c r="I1940" i="5" s="1"/>
  <c r="J1940" i="5" s="1" a="1"/>
  <c r="J1940" i="5" s="1"/>
  <c r="X1934" i="9" s="1"/>
  <c r="B1941" i="5"/>
  <c r="H1941" i="5" s="1"/>
  <c r="I1941" i="5" s="1"/>
  <c r="J1941" i="5" s="1" a="1"/>
  <c r="J1941" i="5" s="1"/>
  <c r="X1935" i="9" s="1"/>
  <c r="B1942" i="5"/>
  <c r="H1942" i="5" s="1"/>
  <c r="I1942" i="5" s="1"/>
  <c r="J1942" i="5" s="1" a="1"/>
  <c r="J1942" i="5" s="1"/>
  <c r="X1936" i="9" s="1"/>
  <c r="B1943" i="5"/>
  <c r="H1943" i="5" s="1"/>
  <c r="I1943" i="5" s="1"/>
  <c r="J1943" i="5" s="1" a="1"/>
  <c r="J1943" i="5" s="1"/>
  <c r="X1937" i="9" s="1"/>
  <c r="B1944" i="5"/>
  <c r="H1944" i="5" s="1"/>
  <c r="I1944" i="5" s="1"/>
  <c r="J1944" i="5" s="1" a="1"/>
  <c r="J1944" i="5" s="1"/>
  <c r="X1938" i="9" s="1"/>
  <c r="B1945" i="5"/>
  <c r="H1945" i="5" s="1"/>
  <c r="I1945" i="5" s="1"/>
  <c r="J1945" i="5" s="1" a="1"/>
  <c r="J1945" i="5" s="1"/>
  <c r="X1939" i="9" s="1"/>
  <c r="B1946" i="5"/>
  <c r="H1946" i="5" s="1"/>
  <c r="I1946" i="5" s="1"/>
  <c r="J1946" i="5" s="1" a="1"/>
  <c r="J1946" i="5" s="1"/>
  <c r="X1940" i="9" s="1"/>
  <c r="B1947" i="5"/>
  <c r="H1947" i="5" s="1"/>
  <c r="I1947" i="5" s="1"/>
  <c r="J1947" i="5" s="1" a="1"/>
  <c r="J1947" i="5" s="1"/>
  <c r="X1941" i="9" s="1"/>
  <c r="B1948" i="5"/>
  <c r="H1948" i="5" s="1"/>
  <c r="I1948" i="5" s="1"/>
  <c r="J1948" i="5" s="1" a="1"/>
  <c r="J1948" i="5" s="1"/>
  <c r="X1942" i="9" s="1"/>
  <c r="B1949" i="5"/>
  <c r="H1949" i="5" s="1"/>
  <c r="I1949" i="5" s="1"/>
  <c r="J1949" i="5" s="1" a="1"/>
  <c r="J1949" i="5" s="1"/>
  <c r="X1943" i="9" s="1"/>
  <c r="B1950" i="5"/>
  <c r="H1950" i="5" s="1"/>
  <c r="I1950" i="5" s="1"/>
  <c r="J1950" i="5" s="1" a="1"/>
  <c r="J1950" i="5" s="1"/>
  <c r="X1944" i="9" s="1"/>
  <c r="B1951" i="5"/>
  <c r="H1951" i="5" s="1"/>
  <c r="I1951" i="5" s="1"/>
  <c r="J1951" i="5" s="1" a="1"/>
  <c r="J1951" i="5" s="1"/>
  <c r="X1945" i="9" s="1"/>
  <c r="B1952" i="5"/>
  <c r="H1952" i="5" s="1"/>
  <c r="I1952" i="5" s="1"/>
  <c r="J1952" i="5" s="1" a="1"/>
  <c r="J1952" i="5" s="1"/>
  <c r="X1946" i="9" s="1"/>
  <c r="B1953" i="5"/>
  <c r="H1953" i="5" s="1"/>
  <c r="I1953" i="5" s="1"/>
  <c r="J1953" i="5" s="1" a="1"/>
  <c r="J1953" i="5" s="1"/>
  <c r="X1947" i="9" s="1"/>
  <c r="B1954" i="5"/>
  <c r="H1954" i="5" s="1"/>
  <c r="I1954" i="5" s="1"/>
  <c r="J1954" i="5" s="1" a="1"/>
  <c r="J1954" i="5" s="1"/>
  <c r="X1948" i="9" s="1"/>
  <c r="B1955" i="5"/>
  <c r="H1955" i="5" s="1"/>
  <c r="I1955" i="5" s="1"/>
  <c r="J1955" i="5" s="1" a="1"/>
  <c r="J1955" i="5" s="1"/>
  <c r="X1949" i="9" s="1"/>
  <c r="B1956" i="5"/>
  <c r="H1956" i="5" s="1"/>
  <c r="I1956" i="5" s="1"/>
  <c r="J1956" i="5" s="1" a="1"/>
  <c r="J1956" i="5" s="1"/>
  <c r="X1950" i="9" s="1"/>
  <c r="B1957" i="5"/>
  <c r="H1957" i="5" s="1"/>
  <c r="I1957" i="5" s="1"/>
  <c r="J1957" i="5" s="1" a="1"/>
  <c r="J1957" i="5" s="1"/>
  <c r="X1951" i="9" s="1"/>
  <c r="B1958" i="5"/>
  <c r="H1958" i="5" s="1"/>
  <c r="I1958" i="5" s="1"/>
  <c r="J1958" i="5" s="1" a="1"/>
  <c r="J1958" i="5" s="1"/>
  <c r="X1952" i="9" s="1"/>
  <c r="B1959" i="5"/>
  <c r="H1959" i="5" s="1"/>
  <c r="I1959" i="5" s="1"/>
  <c r="J1959" i="5" s="1" a="1"/>
  <c r="J1959" i="5" s="1"/>
  <c r="X1953" i="9" s="1"/>
  <c r="B1960" i="5"/>
  <c r="H1960" i="5" s="1"/>
  <c r="I1960" i="5" s="1"/>
  <c r="J1960" i="5" s="1" a="1"/>
  <c r="J1960" i="5" s="1"/>
  <c r="X1954" i="9" s="1"/>
  <c r="B1961" i="5"/>
  <c r="H1961" i="5" s="1"/>
  <c r="I1961" i="5" s="1"/>
  <c r="J1961" i="5" s="1" a="1"/>
  <c r="J1961" i="5" s="1"/>
  <c r="X1955" i="9" s="1"/>
  <c r="B1962" i="5"/>
  <c r="H1962" i="5" s="1"/>
  <c r="I1962" i="5" s="1"/>
  <c r="J1962" i="5" s="1" a="1"/>
  <c r="J1962" i="5" s="1"/>
  <c r="X1956" i="9" s="1"/>
  <c r="B1963" i="5"/>
  <c r="H1963" i="5" s="1"/>
  <c r="I1963" i="5" s="1"/>
  <c r="J1963" i="5" s="1" a="1"/>
  <c r="J1963" i="5" s="1"/>
  <c r="X1957" i="9" s="1"/>
  <c r="B1964" i="5"/>
  <c r="H1964" i="5" s="1"/>
  <c r="I1964" i="5" s="1"/>
  <c r="J1964" i="5" s="1" a="1"/>
  <c r="J1964" i="5" s="1"/>
  <c r="X1958" i="9" s="1"/>
  <c r="B1965" i="5"/>
  <c r="H1965" i="5" s="1"/>
  <c r="I1965" i="5" s="1"/>
  <c r="J1965" i="5" s="1" a="1"/>
  <c r="J1965" i="5" s="1"/>
  <c r="X1959" i="9" s="1"/>
  <c r="B1966" i="5"/>
  <c r="H1966" i="5" s="1"/>
  <c r="I1966" i="5" s="1"/>
  <c r="J1966" i="5" s="1" a="1"/>
  <c r="J1966" i="5" s="1"/>
  <c r="X1960" i="9" s="1"/>
  <c r="B1967" i="5"/>
  <c r="H1967" i="5" s="1"/>
  <c r="I1967" i="5" s="1"/>
  <c r="J1967" i="5" s="1" a="1"/>
  <c r="J1967" i="5" s="1"/>
  <c r="X1961" i="9" s="1"/>
  <c r="B1968" i="5"/>
  <c r="H1968" i="5" s="1"/>
  <c r="I1968" i="5" s="1"/>
  <c r="J1968" i="5" s="1" a="1"/>
  <c r="J1968" i="5" s="1"/>
  <c r="X1962" i="9" s="1"/>
  <c r="B1969" i="5"/>
  <c r="H1969" i="5" s="1"/>
  <c r="I1969" i="5" s="1"/>
  <c r="J1969" i="5" s="1" a="1"/>
  <c r="J1969" i="5" s="1"/>
  <c r="X1963" i="9" s="1"/>
  <c r="B1970" i="5"/>
  <c r="H1970" i="5" s="1"/>
  <c r="I1970" i="5" s="1"/>
  <c r="J1970" i="5" s="1" a="1"/>
  <c r="J1970" i="5" s="1"/>
  <c r="X1964" i="9" s="1"/>
  <c r="B1971" i="5"/>
  <c r="H1971" i="5" s="1"/>
  <c r="I1971" i="5" s="1"/>
  <c r="J1971" i="5" s="1" a="1"/>
  <c r="J1971" i="5" s="1"/>
  <c r="X1965" i="9" s="1"/>
  <c r="B1972" i="5"/>
  <c r="H1972" i="5" s="1"/>
  <c r="I1972" i="5" s="1"/>
  <c r="J1972" i="5" s="1" a="1"/>
  <c r="J1972" i="5" s="1"/>
  <c r="X1966" i="9" s="1"/>
  <c r="B1973" i="5"/>
  <c r="H1973" i="5" s="1"/>
  <c r="I1973" i="5" s="1"/>
  <c r="J1973" i="5" s="1" a="1"/>
  <c r="J1973" i="5" s="1"/>
  <c r="X1967" i="9" s="1"/>
  <c r="B1974" i="5"/>
  <c r="H1974" i="5" s="1"/>
  <c r="I1974" i="5" s="1"/>
  <c r="J1974" i="5" s="1" a="1"/>
  <c r="J1974" i="5" s="1"/>
  <c r="X1968" i="9" s="1"/>
  <c r="B1975" i="5"/>
  <c r="H1975" i="5" s="1"/>
  <c r="I1975" i="5" s="1"/>
  <c r="J1975" i="5" s="1" a="1"/>
  <c r="J1975" i="5" s="1"/>
  <c r="X1969" i="9" s="1"/>
  <c r="B1976" i="5"/>
  <c r="H1976" i="5" s="1"/>
  <c r="I1976" i="5" s="1"/>
  <c r="J1976" i="5" s="1" a="1"/>
  <c r="J1976" i="5" s="1"/>
  <c r="X1970" i="9" s="1"/>
  <c r="B1977" i="5"/>
  <c r="H1977" i="5" s="1"/>
  <c r="I1977" i="5" s="1"/>
  <c r="J1977" i="5" s="1" a="1"/>
  <c r="J1977" i="5" s="1"/>
  <c r="X1971" i="9" s="1"/>
  <c r="B1978" i="5"/>
  <c r="H1978" i="5" s="1"/>
  <c r="I1978" i="5" s="1"/>
  <c r="J1978" i="5" s="1" a="1"/>
  <c r="J1978" i="5" s="1"/>
  <c r="X1972" i="9" s="1"/>
  <c r="B1979" i="5"/>
  <c r="H1979" i="5" s="1"/>
  <c r="I1979" i="5" s="1"/>
  <c r="J1979" i="5" s="1" a="1"/>
  <c r="J1979" i="5" s="1"/>
  <c r="X1973" i="9" s="1"/>
  <c r="B1980" i="5"/>
  <c r="H1980" i="5" s="1"/>
  <c r="I1980" i="5" s="1"/>
  <c r="J1980" i="5" s="1" a="1"/>
  <c r="J1980" i="5" s="1"/>
  <c r="X1974" i="9" s="1"/>
  <c r="B1981" i="5"/>
  <c r="H1981" i="5" s="1"/>
  <c r="I1981" i="5" s="1"/>
  <c r="J1981" i="5" s="1" a="1"/>
  <c r="J1981" i="5" s="1"/>
  <c r="X1975" i="9" s="1"/>
  <c r="B1982" i="5"/>
  <c r="H1982" i="5" s="1"/>
  <c r="I1982" i="5" s="1"/>
  <c r="J1982" i="5" s="1" a="1"/>
  <c r="J1982" i="5" s="1"/>
  <c r="X1976" i="9" s="1"/>
  <c r="B1983" i="5"/>
  <c r="H1983" i="5" s="1"/>
  <c r="I1983" i="5" s="1"/>
  <c r="J1983" i="5" s="1" a="1"/>
  <c r="J1983" i="5" s="1"/>
  <c r="X1977" i="9" s="1"/>
  <c r="B1984" i="5"/>
  <c r="H1984" i="5" s="1"/>
  <c r="I1984" i="5" s="1"/>
  <c r="J1984" i="5" s="1" a="1"/>
  <c r="J1984" i="5" s="1"/>
  <c r="X1978" i="9" s="1"/>
  <c r="B1985" i="5"/>
  <c r="H1985" i="5" s="1"/>
  <c r="I1985" i="5" s="1"/>
  <c r="J1985" i="5" s="1" a="1"/>
  <c r="J1985" i="5" s="1"/>
  <c r="X1979" i="9" s="1"/>
  <c r="B1986" i="5"/>
  <c r="H1986" i="5" s="1"/>
  <c r="I1986" i="5" s="1"/>
  <c r="J1986" i="5" s="1" a="1"/>
  <c r="J1986" i="5" s="1"/>
  <c r="X1980" i="9" s="1"/>
  <c r="B1987" i="5"/>
  <c r="H1987" i="5" s="1"/>
  <c r="I1987" i="5" s="1"/>
  <c r="J1987" i="5" s="1" a="1"/>
  <c r="J1987" i="5" s="1"/>
  <c r="X1981" i="9" s="1"/>
  <c r="B1988" i="5"/>
  <c r="H1988" i="5" s="1"/>
  <c r="I1988" i="5" s="1"/>
  <c r="J1988" i="5" s="1" a="1"/>
  <c r="J1988" i="5" s="1"/>
  <c r="X1982" i="9" s="1"/>
  <c r="B1989" i="5"/>
  <c r="H1989" i="5" s="1"/>
  <c r="I1989" i="5" s="1"/>
  <c r="J1989" i="5" s="1" a="1"/>
  <c r="J1989" i="5" s="1"/>
  <c r="X1983" i="9" s="1"/>
  <c r="B1990" i="5"/>
  <c r="H1990" i="5" s="1"/>
  <c r="I1990" i="5" s="1"/>
  <c r="J1990" i="5" s="1" a="1"/>
  <c r="J1990" i="5" s="1"/>
  <c r="X1984" i="9" s="1"/>
  <c r="B1991" i="5"/>
  <c r="H1991" i="5" s="1"/>
  <c r="I1991" i="5" s="1"/>
  <c r="J1991" i="5" s="1" a="1"/>
  <c r="J1991" i="5" s="1"/>
  <c r="X1985" i="9" s="1"/>
  <c r="B1992" i="5"/>
  <c r="H1992" i="5" s="1"/>
  <c r="I1992" i="5" s="1"/>
  <c r="J1992" i="5" s="1" a="1"/>
  <c r="J1992" i="5" s="1"/>
  <c r="X1986" i="9" s="1"/>
  <c r="B1993" i="5"/>
  <c r="H1993" i="5" s="1"/>
  <c r="I1993" i="5" s="1"/>
  <c r="J1993" i="5" s="1" a="1"/>
  <c r="J1993" i="5" s="1"/>
  <c r="X1987" i="9" s="1"/>
  <c r="B1994" i="5"/>
  <c r="H1994" i="5" s="1"/>
  <c r="I1994" i="5" s="1"/>
  <c r="J1994" i="5" s="1" a="1"/>
  <c r="J1994" i="5" s="1"/>
  <c r="X1988" i="9" s="1"/>
  <c r="B1995" i="5"/>
  <c r="H1995" i="5" s="1"/>
  <c r="I1995" i="5" s="1"/>
  <c r="J1995" i="5" s="1" a="1"/>
  <c r="J1995" i="5" s="1"/>
  <c r="X1989" i="9" s="1"/>
  <c r="B1996" i="5"/>
  <c r="H1996" i="5" s="1"/>
  <c r="I1996" i="5" s="1"/>
  <c r="J1996" i="5" s="1" a="1"/>
  <c r="J1996" i="5" s="1"/>
  <c r="X1990" i="9" s="1"/>
  <c r="B1997" i="5"/>
  <c r="H1997" i="5" s="1"/>
  <c r="I1997" i="5" s="1"/>
  <c r="J1997" i="5" s="1" a="1"/>
  <c r="J1997" i="5" s="1"/>
  <c r="X1991" i="9" s="1"/>
  <c r="B1998" i="5"/>
  <c r="H1998" i="5" s="1"/>
  <c r="I1998" i="5" s="1"/>
  <c r="J1998" i="5" s="1" a="1"/>
  <c r="J1998" i="5" s="1"/>
  <c r="X1992" i="9" s="1"/>
  <c r="B1999" i="5"/>
  <c r="H1999" i="5" s="1"/>
  <c r="I1999" i="5" s="1"/>
  <c r="J1999" i="5" s="1" a="1"/>
  <c r="J1999" i="5" s="1"/>
  <c r="X1993" i="9" s="1"/>
  <c r="B2000" i="5"/>
  <c r="H2000" i="5" s="1"/>
  <c r="I2000" i="5" s="1"/>
  <c r="J2000" i="5" s="1" a="1"/>
  <c r="J2000" i="5" s="1"/>
  <c r="X1994" i="9" s="1"/>
  <c r="B2001" i="5"/>
  <c r="H2001" i="5" s="1"/>
  <c r="I2001" i="5" s="1"/>
  <c r="J2001" i="5" s="1" a="1"/>
  <c r="J2001" i="5" s="1"/>
  <c r="X1995" i="9" s="1"/>
  <c r="B2002" i="5"/>
  <c r="H2002" i="5" s="1"/>
  <c r="I2002" i="5" s="1"/>
  <c r="J2002" i="5" s="1" a="1"/>
  <c r="J2002" i="5" s="1"/>
  <c r="X1996" i="9" s="1"/>
  <c r="B2003" i="5"/>
  <c r="H2003" i="5" s="1"/>
  <c r="I2003" i="5" s="1"/>
  <c r="J2003" i="5" s="1" a="1"/>
  <c r="J2003" i="5" s="1"/>
  <c r="X1997" i="9" s="1"/>
  <c r="B2004" i="5"/>
  <c r="H2004" i="5" s="1"/>
  <c r="I2004" i="5" s="1"/>
  <c r="J2004" i="5" s="1" a="1"/>
  <c r="J2004" i="5" s="1"/>
  <c r="X1998" i="9" s="1"/>
  <c r="B2005" i="5"/>
  <c r="H2005" i="5" s="1"/>
  <c r="I2005" i="5" s="1"/>
  <c r="J2005" i="5" s="1" a="1"/>
  <c r="J2005" i="5" s="1"/>
  <c r="X1999" i="9" s="1"/>
  <c r="B2006" i="5"/>
  <c r="H2006" i="5" s="1"/>
  <c r="I2006" i="5" s="1"/>
  <c r="J2006" i="5" s="1" a="1"/>
  <c r="J2006" i="5" s="1"/>
  <c r="X2000" i="9" s="1"/>
  <c r="B2007" i="5"/>
  <c r="H2007" i="5" s="1"/>
  <c r="I2007" i="5" s="1"/>
  <c r="J2007" i="5" s="1" a="1"/>
  <c r="J2007" i="5" s="1"/>
  <c r="X2001" i="9" s="1"/>
  <c r="B2008" i="5"/>
  <c r="H2008" i="5" s="1"/>
  <c r="I2008" i="5" s="1"/>
  <c r="J2008" i="5" s="1" a="1"/>
  <c r="J2008" i="5" s="1"/>
  <c r="X2002" i="9" s="1"/>
  <c r="B2009" i="5"/>
  <c r="H2009" i="5" s="1"/>
  <c r="I2009" i="5" s="1"/>
  <c r="J2009" i="5" s="1" a="1"/>
  <c r="J2009" i="5" s="1"/>
  <c r="X2003" i="9" s="1"/>
  <c r="B2010" i="5"/>
  <c r="H2010" i="5" s="1"/>
  <c r="I2010" i="5" s="1"/>
  <c r="J2010" i="5" s="1" a="1"/>
  <c r="J2010" i="5" s="1"/>
  <c r="X2004" i="9" s="1"/>
  <c r="H969" i="5" l="1"/>
  <c r="I969" i="5" s="1"/>
  <c r="J969" i="5" s="1" a="1"/>
  <c r="J969" i="5" s="1"/>
  <c r="X963" i="9" s="1"/>
  <c r="H965" i="5"/>
  <c r="I965" i="5" s="1"/>
  <c r="J965" i="5" s="1" a="1"/>
  <c r="J965" i="5" s="1"/>
  <c r="X959" i="9" s="1"/>
  <c r="H961" i="5"/>
  <c r="I961" i="5" s="1"/>
  <c r="J961" i="5" s="1" a="1"/>
  <c r="J961" i="5" s="1"/>
  <c r="X955" i="9" s="1"/>
  <c r="H957" i="5"/>
  <c r="I957" i="5" s="1"/>
  <c r="J957" i="5" s="1" a="1"/>
  <c r="J957" i="5" s="1"/>
  <c r="X951" i="9" s="1"/>
  <c r="H953" i="5"/>
  <c r="I953" i="5" s="1"/>
  <c r="J953" i="5" s="1" a="1"/>
  <c r="J953" i="5" s="1"/>
  <c r="X947" i="9" s="1"/>
  <c r="H949" i="5"/>
  <c r="I949" i="5" s="1"/>
  <c r="J949" i="5" s="1" a="1"/>
  <c r="J949" i="5" s="1"/>
  <c r="X943" i="9" s="1"/>
  <c r="H945" i="5"/>
  <c r="I945" i="5" s="1"/>
  <c r="J945" i="5" s="1" a="1"/>
  <c r="J945" i="5" s="1"/>
  <c r="X939" i="9" s="1"/>
  <c r="H941" i="5"/>
  <c r="I941" i="5" s="1"/>
  <c r="J941" i="5" s="1" a="1"/>
  <c r="J941" i="5" s="1"/>
  <c r="X935" i="9" s="1"/>
  <c r="H937" i="5"/>
  <c r="I937" i="5" s="1"/>
  <c r="J937" i="5" s="1" a="1"/>
  <c r="J937" i="5" s="1"/>
  <c r="X931" i="9" s="1"/>
  <c r="H933" i="5"/>
  <c r="I933" i="5" s="1"/>
  <c r="J933" i="5" s="1" a="1"/>
  <c r="J933" i="5" s="1"/>
  <c r="X927" i="9" s="1"/>
  <c r="H929" i="5"/>
  <c r="I929" i="5" s="1"/>
  <c r="J929" i="5" s="1" a="1"/>
  <c r="J929" i="5" s="1"/>
  <c r="X923" i="9" s="1"/>
  <c r="H925" i="5"/>
  <c r="I925" i="5" s="1"/>
  <c r="J925" i="5" s="1" a="1"/>
  <c r="J925" i="5" s="1"/>
  <c r="X919" i="9" s="1"/>
  <c r="H921" i="5"/>
  <c r="I921" i="5" s="1"/>
  <c r="J921" i="5" s="1" a="1"/>
  <c r="J921" i="5" s="1"/>
  <c r="X915" i="9" s="1"/>
  <c r="H917" i="5"/>
  <c r="I917" i="5" s="1"/>
  <c r="J917" i="5" s="1" a="1"/>
  <c r="J917" i="5" s="1"/>
  <c r="X911" i="9" s="1"/>
  <c r="H913" i="5"/>
  <c r="I913" i="5" s="1"/>
  <c r="J913" i="5" s="1" a="1"/>
  <c r="J913" i="5" s="1"/>
  <c r="X907" i="9" s="1"/>
  <c r="H909" i="5"/>
  <c r="I909" i="5" s="1"/>
  <c r="J909" i="5" s="1" a="1"/>
  <c r="J909" i="5" s="1"/>
  <c r="X903" i="9" s="1"/>
  <c r="H905" i="5"/>
  <c r="I905" i="5" s="1"/>
  <c r="J905" i="5" s="1" a="1"/>
  <c r="J905" i="5" s="1"/>
  <c r="X899" i="9" s="1"/>
  <c r="H901" i="5"/>
  <c r="I901" i="5" s="1"/>
  <c r="J901" i="5" s="1" a="1"/>
  <c r="J901" i="5" s="1"/>
  <c r="X895" i="9" s="1"/>
  <c r="H897" i="5"/>
  <c r="I897" i="5" s="1"/>
  <c r="J897" i="5" s="1" a="1"/>
  <c r="J897" i="5" s="1"/>
  <c r="X891" i="9" s="1"/>
  <c r="H893" i="5"/>
  <c r="I893" i="5" s="1"/>
  <c r="J893" i="5" s="1" a="1"/>
  <c r="J893" i="5" s="1"/>
  <c r="X887" i="9" s="1"/>
  <c r="H889" i="5"/>
  <c r="I889" i="5" s="1"/>
  <c r="J889" i="5" s="1" a="1"/>
  <c r="J889" i="5" s="1"/>
  <c r="X883" i="9" s="1"/>
  <c r="H885" i="5"/>
  <c r="I885" i="5" s="1"/>
  <c r="J885" i="5" s="1" a="1"/>
  <c r="J885" i="5" s="1"/>
  <c r="X879" i="9" s="1"/>
  <c r="H881" i="5"/>
  <c r="I881" i="5" s="1"/>
  <c r="J881" i="5" s="1" a="1"/>
  <c r="J881" i="5" s="1"/>
  <c r="X875" i="9" s="1"/>
  <c r="H877" i="5"/>
  <c r="I877" i="5" s="1"/>
  <c r="J877" i="5" s="1" a="1"/>
  <c r="J877" i="5" s="1"/>
  <c r="X871" i="9" s="1"/>
  <c r="H873" i="5"/>
  <c r="I873" i="5" s="1"/>
  <c r="J873" i="5" s="1" a="1"/>
  <c r="J873" i="5" s="1"/>
  <c r="X867" i="9" s="1"/>
  <c r="H869" i="5"/>
  <c r="I869" i="5" s="1"/>
  <c r="J869" i="5" s="1" a="1"/>
  <c r="J869" i="5" s="1"/>
  <c r="X863" i="9" s="1"/>
  <c r="H865" i="5"/>
  <c r="I865" i="5" s="1"/>
  <c r="J865" i="5" s="1" a="1"/>
  <c r="J865" i="5" s="1"/>
  <c r="X859" i="9" s="1"/>
  <c r="H861" i="5"/>
  <c r="I861" i="5" s="1"/>
  <c r="J861" i="5" s="1" a="1"/>
  <c r="J861" i="5" s="1"/>
  <c r="X855" i="9" s="1"/>
  <c r="H857" i="5"/>
  <c r="I857" i="5" s="1"/>
  <c r="J857" i="5" s="1" a="1"/>
  <c r="J857" i="5" s="1"/>
  <c r="X851" i="9" s="1"/>
  <c r="H853" i="5"/>
  <c r="I853" i="5" s="1"/>
  <c r="J853" i="5" s="1" a="1"/>
  <c r="J853" i="5" s="1"/>
  <c r="X847" i="9" s="1"/>
  <c r="H849" i="5"/>
  <c r="I849" i="5" s="1"/>
  <c r="J849" i="5" s="1" a="1"/>
  <c r="J849" i="5" s="1"/>
  <c r="X843" i="9" s="1"/>
  <c r="H845" i="5"/>
  <c r="I845" i="5" s="1"/>
  <c r="J845" i="5" s="1" a="1"/>
  <c r="J845" i="5" s="1"/>
  <c r="X839" i="9" s="1"/>
  <c r="H841" i="5"/>
  <c r="I841" i="5" s="1"/>
  <c r="J841" i="5" s="1" a="1"/>
  <c r="J841" i="5" s="1"/>
  <c r="X835" i="9" s="1"/>
  <c r="H837" i="5"/>
  <c r="I837" i="5" s="1"/>
  <c r="J837" i="5" s="1" a="1"/>
  <c r="J837" i="5" s="1"/>
  <c r="X831" i="9" s="1"/>
  <c r="H833" i="5"/>
  <c r="I833" i="5" s="1"/>
  <c r="J833" i="5" s="1" a="1"/>
  <c r="J833" i="5" s="1"/>
  <c r="X827" i="9" s="1"/>
  <c r="H829" i="5"/>
  <c r="I829" i="5" s="1"/>
  <c r="J829" i="5" s="1" a="1"/>
  <c r="J829" i="5" s="1"/>
  <c r="X823" i="9" s="1"/>
  <c r="H825" i="5"/>
  <c r="I825" i="5" s="1"/>
  <c r="J825" i="5" s="1" a="1"/>
  <c r="J825" i="5" s="1"/>
  <c r="X819" i="9" s="1"/>
  <c r="H821" i="5"/>
  <c r="I821" i="5" s="1"/>
  <c r="J821" i="5" s="1" a="1"/>
  <c r="J821" i="5" s="1"/>
  <c r="X815" i="9" s="1"/>
  <c r="H817" i="5"/>
  <c r="I817" i="5" s="1"/>
  <c r="J817" i="5" s="1" a="1"/>
  <c r="J817" i="5" s="1"/>
  <c r="X811" i="9" s="1"/>
  <c r="H813" i="5"/>
  <c r="I813" i="5" s="1"/>
  <c r="J813" i="5" s="1" a="1"/>
  <c r="J813" i="5" s="1"/>
  <c r="X807" i="9" s="1"/>
  <c r="H809" i="5"/>
  <c r="I809" i="5" s="1"/>
  <c r="J809" i="5" s="1" a="1"/>
  <c r="J809" i="5" s="1"/>
  <c r="X803" i="9" s="1"/>
  <c r="H805" i="5"/>
  <c r="I805" i="5" s="1"/>
  <c r="J805" i="5" s="1" a="1"/>
  <c r="J805" i="5" s="1"/>
  <c r="X799" i="9" s="1"/>
  <c r="H801" i="5"/>
  <c r="I801" i="5" s="1"/>
  <c r="J801" i="5" s="1" a="1"/>
  <c r="J801" i="5" s="1"/>
  <c r="X795" i="9" s="1"/>
  <c r="H797" i="5"/>
  <c r="I797" i="5" s="1"/>
  <c r="J797" i="5" s="1" a="1"/>
  <c r="J797" i="5" s="1"/>
  <c r="X791" i="9" s="1"/>
  <c r="H793" i="5"/>
  <c r="I793" i="5" s="1"/>
  <c r="J793" i="5" s="1" a="1"/>
  <c r="J793" i="5" s="1"/>
  <c r="X787" i="9" s="1"/>
  <c r="H789" i="5"/>
  <c r="I789" i="5" s="1"/>
  <c r="J789" i="5" s="1" a="1"/>
  <c r="J789" i="5" s="1"/>
  <c r="X783" i="9" s="1"/>
  <c r="H785" i="5"/>
  <c r="I785" i="5" s="1"/>
  <c r="J785" i="5" s="1" a="1"/>
  <c r="J785" i="5" s="1"/>
  <c r="X779" i="9" s="1"/>
  <c r="H781" i="5"/>
  <c r="I781" i="5" s="1"/>
  <c r="J781" i="5" s="1" a="1"/>
  <c r="J781" i="5" s="1"/>
  <c r="X775" i="9" s="1"/>
  <c r="H777" i="5"/>
  <c r="I777" i="5" s="1"/>
  <c r="J777" i="5" s="1" a="1"/>
  <c r="J777" i="5" s="1"/>
  <c r="X771" i="9" s="1"/>
  <c r="H773" i="5"/>
  <c r="I773" i="5" s="1"/>
  <c r="J773" i="5" s="1" a="1"/>
  <c r="J773" i="5" s="1"/>
  <c r="X767" i="9" s="1"/>
  <c r="H769" i="5"/>
  <c r="I769" i="5" s="1"/>
  <c r="J769" i="5" s="1" a="1"/>
  <c r="J769" i="5" s="1"/>
  <c r="X763" i="9" s="1"/>
  <c r="H765" i="5"/>
  <c r="I765" i="5" s="1"/>
  <c r="J765" i="5" s="1" a="1"/>
  <c r="J765" i="5" s="1"/>
  <c r="X759" i="9" s="1"/>
  <c r="H761" i="5"/>
  <c r="I761" i="5" s="1"/>
  <c r="J761" i="5" s="1" a="1"/>
  <c r="J761" i="5" s="1"/>
  <c r="X755" i="9" s="1"/>
  <c r="H757" i="5"/>
  <c r="I757" i="5" s="1"/>
  <c r="J757" i="5" s="1" a="1"/>
  <c r="J757" i="5" s="1"/>
  <c r="X751" i="9" s="1"/>
  <c r="H753" i="5"/>
  <c r="I753" i="5" s="1"/>
  <c r="J753" i="5" s="1" a="1"/>
  <c r="J753" i="5" s="1"/>
  <c r="X747" i="9" s="1"/>
  <c r="H749" i="5"/>
  <c r="I749" i="5" s="1"/>
  <c r="J749" i="5" s="1" a="1"/>
  <c r="J749" i="5" s="1"/>
  <c r="X743" i="9" s="1"/>
  <c r="H745" i="5"/>
  <c r="I745" i="5" s="1"/>
  <c r="J745" i="5" s="1" a="1"/>
  <c r="J745" i="5" s="1"/>
  <c r="X739" i="9" s="1"/>
  <c r="H741" i="5"/>
  <c r="I741" i="5" s="1"/>
  <c r="J741" i="5" s="1" a="1"/>
  <c r="J741" i="5" s="1"/>
  <c r="X735" i="9" s="1"/>
  <c r="H737" i="5"/>
  <c r="I737" i="5" s="1"/>
  <c r="J737" i="5" s="1" a="1"/>
  <c r="J737" i="5" s="1"/>
  <c r="X731" i="9" s="1"/>
  <c r="H733" i="5"/>
  <c r="I733" i="5" s="1"/>
  <c r="J733" i="5" s="1" a="1"/>
  <c r="J733" i="5" s="1"/>
  <c r="X727" i="9" s="1"/>
  <c r="H729" i="5"/>
  <c r="I729" i="5" s="1"/>
  <c r="J729" i="5" s="1" a="1"/>
  <c r="J729" i="5" s="1"/>
  <c r="X723" i="9" s="1"/>
  <c r="H725" i="5"/>
  <c r="I725" i="5" s="1"/>
  <c r="J725" i="5" s="1" a="1"/>
  <c r="J725" i="5" s="1"/>
  <c r="X719" i="9" s="1"/>
  <c r="H721" i="5"/>
  <c r="I721" i="5" s="1"/>
  <c r="J721" i="5" s="1" a="1"/>
  <c r="J721" i="5" s="1"/>
  <c r="X715" i="9" s="1"/>
  <c r="H717" i="5"/>
  <c r="I717" i="5" s="1"/>
  <c r="J717" i="5" s="1" a="1"/>
  <c r="J717" i="5" s="1"/>
  <c r="X711" i="9" s="1"/>
  <c r="H713" i="5"/>
  <c r="I713" i="5" s="1"/>
  <c r="J713" i="5" s="1" a="1"/>
  <c r="J713" i="5" s="1"/>
  <c r="X707" i="9" s="1"/>
  <c r="H709" i="5"/>
  <c r="I709" i="5" s="1"/>
  <c r="J709" i="5" s="1" a="1"/>
  <c r="J709" i="5" s="1"/>
  <c r="X703" i="9" s="1"/>
  <c r="H705" i="5"/>
  <c r="I705" i="5" s="1"/>
  <c r="J705" i="5" s="1" a="1"/>
  <c r="J705" i="5" s="1"/>
  <c r="X699" i="9" s="1"/>
  <c r="H701" i="5"/>
  <c r="I701" i="5" s="1"/>
  <c r="J701" i="5" s="1" a="1"/>
  <c r="J701" i="5" s="1"/>
  <c r="X695" i="9" s="1"/>
  <c r="H697" i="5"/>
  <c r="I697" i="5" s="1"/>
  <c r="J697" i="5" s="1" a="1"/>
  <c r="J697" i="5" s="1"/>
  <c r="X691" i="9" s="1"/>
  <c r="H693" i="5"/>
  <c r="I693" i="5" s="1"/>
  <c r="J693" i="5" s="1" a="1"/>
  <c r="J693" i="5" s="1"/>
  <c r="X687" i="9" s="1"/>
  <c r="H689" i="5"/>
  <c r="I689" i="5" s="1"/>
  <c r="J689" i="5" s="1" a="1"/>
  <c r="J689" i="5" s="1"/>
  <c r="X683" i="9" s="1"/>
  <c r="H685" i="5"/>
  <c r="I685" i="5" s="1"/>
  <c r="J685" i="5" s="1" a="1"/>
  <c r="J685" i="5" s="1"/>
  <c r="X679" i="9" s="1"/>
  <c r="H681" i="5"/>
  <c r="I681" i="5" s="1"/>
  <c r="J681" i="5" s="1" a="1"/>
  <c r="J681" i="5" s="1"/>
  <c r="X675" i="9" s="1"/>
  <c r="H677" i="5"/>
  <c r="I677" i="5" s="1"/>
  <c r="J677" i="5" s="1" a="1"/>
  <c r="J677" i="5" s="1"/>
  <c r="X671" i="9" s="1"/>
  <c r="H673" i="5"/>
  <c r="I673" i="5" s="1"/>
  <c r="J673" i="5" s="1" a="1"/>
  <c r="J673" i="5" s="1"/>
  <c r="X667" i="9" s="1"/>
  <c r="H669" i="5"/>
  <c r="I669" i="5" s="1"/>
  <c r="J669" i="5" s="1" a="1"/>
  <c r="J669" i="5" s="1"/>
  <c r="X663" i="9" s="1"/>
  <c r="H665" i="5"/>
  <c r="I665" i="5" s="1"/>
  <c r="J665" i="5" s="1" a="1"/>
  <c r="J665" i="5" s="1"/>
  <c r="X659" i="9" s="1"/>
  <c r="H661" i="5"/>
  <c r="I661" i="5" s="1"/>
  <c r="J661" i="5" s="1" a="1"/>
  <c r="J661" i="5" s="1"/>
  <c r="X655" i="9" s="1"/>
  <c r="H657" i="5"/>
  <c r="I657" i="5" s="1"/>
  <c r="J657" i="5" s="1" a="1"/>
  <c r="J657" i="5" s="1"/>
  <c r="X651" i="9" s="1"/>
  <c r="H653" i="5"/>
  <c r="I653" i="5" s="1"/>
  <c r="J653" i="5" s="1" a="1"/>
  <c r="J653" i="5" s="1"/>
  <c r="X647" i="9" s="1"/>
  <c r="H649" i="5"/>
  <c r="I649" i="5" s="1"/>
  <c r="J649" i="5" s="1" a="1"/>
  <c r="J649" i="5" s="1"/>
  <c r="X643" i="9" s="1"/>
  <c r="H645" i="5"/>
  <c r="I645" i="5" s="1"/>
  <c r="J645" i="5" s="1" a="1"/>
  <c r="J645" i="5" s="1"/>
  <c r="X639" i="9" s="1"/>
  <c r="H641" i="5"/>
  <c r="I641" i="5" s="1"/>
  <c r="J641" i="5" s="1" a="1"/>
  <c r="J641" i="5" s="1"/>
  <c r="X635" i="9" s="1"/>
  <c r="H637" i="5"/>
  <c r="I637" i="5" s="1"/>
  <c r="J637" i="5" s="1" a="1"/>
  <c r="J637" i="5" s="1"/>
  <c r="X631" i="9" s="1"/>
  <c r="H633" i="5"/>
  <c r="I633" i="5" s="1"/>
  <c r="J633" i="5" s="1" a="1"/>
  <c r="J633" i="5" s="1"/>
  <c r="X627" i="9" s="1"/>
  <c r="H629" i="5"/>
  <c r="I629" i="5" s="1"/>
  <c r="J629" i="5" s="1" a="1"/>
  <c r="J629" i="5" s="1"/>
  <c r="X623" i="9" s="1"/>
  <c r="H625" i="5"/>
  <c r="I625" i="5" s="1"/>
  <c r="J625" i="5" s="1" a="1"/>
  <c r="J625" i="5" s="1"/>
  <c r="X619" i="9" s="1"/>
  <c r="H621" i="5"/>
  <c r="I621" i="5" s="1"/>
  <c r="J621" i="5" s="1" a="1"/>
  <c r="J621" i="5" s="1"/>
  <c r="X615" i="9" s="1"/>
  <c r="H617" i="5"/>
  <c r="I617" i="5" s="1"/>
  <c r="J617" i="5" s="1" a="1"/>
  <c r="J617" i="5" s="1"/>
  <c r="X611" i="9" s="1"/>
  <c r="H613" i="5"/>
  <c r="I613" i="5" s="1"/>
  <c r="J613" i="5" s="1" a="1"/>
  <c r="J613" i="5" s="1"/>
  <c r="X607" i="9" s="1"/>
  <c r="H609" i="5"/>
  <c r="I609" i="5" s="1"/>
  <c r="J609" i="5" s="1" a="1"/>
  <c r="J609" i="5" s="1"/>
  <c r="X603" i="9" s="1"/>
  <c r="H605" i="5"/>
  <c r="I605" i="5" s="1"/>
  <c r="J605" i="5" s="1" a="1"/>
  <c r="J605" i="5" s="1"/>
  <c r="X599" i="9" s="1"/>
  <c r="H601" i="5"/>
  <c r="I601" i="5" s="1"/>
  <c r="J601" i="5" s="1" a="1"/>
  <c r="J601" i="5" s="1"/>
  <c r="X595" i="9" s="1"/>
  <c r="H597" i="5"/>
  <c r="I597" i="5" s="1"/>
  <c r="J597" i="5" s="1" a="1"/>
  <c r="J597" i="5" s="1"/>
  <c r="X591" i="9" s="1"/>
  <c r="H593" i="5"/>
  <c r="I593" i="5" s="1"/>
  <c r="J593" i="5" s="1" a="1"/>
  <c r="J593" i="5" s="1"/>
  <c r="X587" i="9" s="1"/>
  <c r="H589" i="5"/>
  <c r="I589" i="5" s="1"/>
  <c r="J589" i="5" s="1" a="1"/>
  <c r="J589" i="5" s="1"/>
  <c r="X583" i="9" s="1"/>
  <c r="H585" i="5"/>
  <c r="I585" i="5" s="1"/>
  <c r="J585" i="5" s="1" a="1"/>
  <c r="J585" i="5" s="1"/>
  <c r="X579" i="9" s="1"/>
  <c r="H581" i="5"/>
  <c r="I581" i="5" s="1"/>
  <c r="J581" i="5" s="1" a="1"/>
  <c r="J581" i="5" s="1"/>
  <c r="X575" i="9" s="1"/>
  <c r="H577" i="5"/>
  <c r="I577" i="5" s="1"/>
  <c r="J577" i="5" s="1" a="1"/>
  <c r="J577" i="5" s="1"/>
  <c r="X571" i="9" s="1"/>
  <c r="H573" i="5"/>
  <c r="I573" i="5" s="1"/>
  <c r="J573" i="5" s="1" a="1"/>
  <c r="J573" i="5" s="1"/>
  <c r="X567" i="9" s="1"/>
  <c r="H569" i="5"/>
  <c r="I569" i="5" s="1"/>
  <c r="J569" i="5" s="1" a="1"/>
  <c r="J569" i="5" s="1"/>
  <c r="X563" i="9" s="1"/>
  <c r="H565" i="5"/>
  <c r="I565" i="5" s="1"/>
  <c r="J565" i="5" s="1" a="1"/>
  <c r="J565" i="5" s="1"/>
  <c r="X559" i="9" s="1"/>
  <c r="H561" i="5"/>
  <c r="I561" i="5" s="1"/>
  <c r="J561" i="5" s="1" a="1"/>
  <c r="J561" i="5" s="1"/>
  <c r="X555" i="9" s="1"/>
  <c r="H557" i="5"/>
  <c r="I557" i="5" s="1"/>
  <c r="J557" i="5" s="1" a="1"/>
  <c r="J557" i="5" s="1"/>
  <c r="X551" i="9" s="1"/>
  <c r="H553" i="5"/>
  <c r="I553" i="5" s="1"/>
  <c r="J553" i="5" s="1" a="1"/>
  <c r="J553" i="5" s="1"/>
  <c r="X547" i="9" s="1"/>
  <c r="H549" i="5"/>
  <c r="I549" i="5" s="1"/>
  <c r="J549" i="5" s="1" a="1"/>
  <c r="J549" i="5" s="1"/>
  <c r="X543" i="9" s="1"/>
  <c r="H545" i="5"/>
  <c r="I545" i="5" s="1"/>
  <c r="J545" i="5" s="1" a="1"/>
  <c r="J545" i="5" s="1"/>
  <c r="X539" i="9" s="1"/>
  <c r="H541" i="5"/>
  <c r="I541" i="5" s="1"/>
  <c r="J541" i="5" s="1" a="1"/>
  <c r="J541" i="5" s="1"/>
  <c r="X535" i="9" s="1"/>
  <c r="H537" i="5"/>
  <c r="I537" i="5" s="1"/>
  <c r="J537" i="5" s="1" a="1"/>
  <c r="J537" i="5" s="1"/>
  <c r="X531" i="9" s="1"/>
  <c r="H533" i="5"/>
  <c r="I533" i="5" s="1"/>
  <c r="J533" i="5" s="1" a="1"/>
  <c r="J533" i="5" s="1"/>
  <c r="X527" i="9" s="1"/>
  <c r="H529" i="5"/>
  <c r="I529" i="5" s="1"/>
  <c r="J529" i="5" s="1" a="1"/>
  <c r="J529" i="5" s="1"/>
  <c r="X523" i="9" s="1"/>
  <c r="H525" i="5"/>
  <c r="I525" i="5" s="1"/>
  <c r="J525" i="5" s="1" a="1"/>
  <c r="J525" i="5" s="1"/>
  <c r="X519" i="9" s="1"/>
  <c r="H521" i="5"/>
  <c r="I521" i="5" s="1"/>
  <c r="J521" i="5" s="1" a="1"/>
  <c r="J521" i="5" s="1"/>
  <c r="X515" i="9" s="1"/>
  <c r="H517" i="5"/>
  <c r="I517" i="5" s="1"/>
  <c r="J517" i="5" s="1" a="1"/>
  <c r="J517" i="5" s="1"/>
  <c r="X511" i="9" s="1"/>
  <c r="H513" i="5"/>
  <c r="I513" i="5" s="1"/>
  <c r="J513" i="5" s="1" a="1"/>
  <c r="J513" i="5" s="1"/>
  <c r="X507" i="9" s="1"/>
  <c r="H509" i="5"/>
  <c r="I509" i="5" s="1"/>
  <c r="J509" i="5" s="1" a="1"/>
  <c r="J509" i="5" s="1"/>
  <c r="X503" i="9" s="1"/>
  <c r="H505" i="5"/>
  <c r="I505" i="5" s="1"/>
  <c r="J505" i="5" s="1" a="1"/>
  <c r="J505" i="5" s="1"/>
  <c r="X499" i="9" s="1"/>
  <c r="H501" i="5"/>
  <c r="I501" i="5" s="1"/>
  <c r="J501" i="5" s="1" a="1"/>
  <c r="J501" i="5" s="1"/>
  <c r="X495" i="9" s="1"/>
  <c r="H497" i="5"/>
  <c r="I497" i="5" s="1"/>
  <c r="J497" i="5" s="1" a="1"/>
  <c r="J497" i="5" s="1"/>
  <c r="X491" i="9" s="1"/>
  <c r="H493" i="5"/>
  <c r="I493" i="5" s="1"/>
  <c r="J493" i="5" s="1" a="1"/>
  <c r="J493" i="5" s="1"/>
  <c r="X487" i="9" s="1"/>
  <c r="H489" i="5"/>
  <c r="I489" i="5" s="1"/>
  <c r="J489" i="5" s="1" a="1"/>
  <c r="J489" i="5" s="1"/>
  <c r="X483" i="9" s="1"/>
  <c r="H485" i="5"/>
  <c r="I485" i="5" s="1"/>
  <c r="J485" i="5" s="1" a="1"/>
  <c r="J485" i="5" s="1"/>
  <c r="X479" i="9" s="1"/>
  <c r="H481" i="5"/>
  <c r="I481" i="5" s="1"/>
  <c r="J481" i="5" s="1" a="1"/>
  <c r="J481" i="5" s="1"/>
  <c r="X475" i="9" s="1"/>
  <c r="H477" i="5"/>
  <c r="I477" i="5" s="1"/>
  <c r="J477" i="5" s="1" a="1"/>
  <c r="J477" i="5" s="1"/>
  <c r="X471" i="9" s="1"/>
  <c r="H473" i="5"/>
  <c r="I473" i="5" s="1"/>
  <c r="J473" i="5" s="1" a="1"/>
  <c r="J473" i="5" s="1"/>
  <c r="X467" i="9" s="1"/>
  <c r="H469" i="5"/>
  <c r="I469" i="5" s="1"/>
  <c r="J469" i="5" s="1" a="1"/>
  <c r="J469" i="5" s="1"/>
  <c r="X463" i="9" s="1"/>
  <c r="H465" i="5"/>
  <c r="I465" i="5" s="1"/>
  <c r="J465" i="5" s="1" a="1"/>
  <c r="J465" i="5" s="1"/>
  <c r="X459" i="9" s="1"/>
  <c r="H461" i="5"/>
  <c r="I461" i="5" s="1"/>
  <c r="J461" i="5" s="1" a="1"/>
  <c r="J461" i="5" s="1"/>
  <c r="X455" i="9" s="1"/>
  <c r="H457" i="5"/>
  <c r="I457" i="5" s="1"/>
  <c r="J457" i="5" s="1" a="1"/>
  <c r="J457" i="5" s="1"/>
  <c r="X451" i="9" s="1"/>
  <c r="H453" i="5"/>
  <c r="I453" i="5" s="1"/>
  <c r="J453" i="5" s="1" a="1"/>
  <c r="J453" i="5" s="1"/>
  <c r="X447" i="9" s="1"/>
  <c r="H449" i="5"/>
  <c r="I449" i="5" s="1"/>
  <c r="J449" i="5" s="1" a="1"/>
  <c r="J449" i="5" s="1"/>
  <c r="X443" i="9" s="1"/>
  <c r="H445" i="5"/>
  <c r="I445" i="5" s="1"/>
  <c r="J445" i="5" s="1" a="1"/>
  <c r="J445" i="5" s="1"/>
  <c r="X439" i="9" s="1"/>
  <c r="H441" i="5"/>
  <c r="I441" i="5" s="1"/>
  <c r="J441" i="5" s="1" a="1"/>
  <c r="J441" i="5" s="1"/>
  <c r="X435" i="9" s="1"/>
  <c r="H437" i="5"/>
  <c r="I437" i="5" s="1"/>
  <c r="J437" i="5" s="1" a="1"/>
  <c r="J437" i="5" s="1"/>
  <c r="X431" i="9" s="1"/>
  <c r="H433" i="5"/>
  <c r="I433" i="5" s="1"/>
  <c r="J433" i="5" s="1" a="1"/>
  <c r="J433" i="5" s="1"/>
  <c r="X427" i="9" s="1"/>
  <c r="H429" i="5"/>
  <c r="I429" i="5" s="1"/>
  <c r="J429" i="5" s="1" a="1"/>
  <c r="J429" i="5" s="1"/>
  <c r="X423" i="9" s="1"/>
  <c r="H425" i="5"/>
  <c r="I425" i="5" s="1"/>
  <c r="J425" i="5" s="1" a="1"/>
  <c r="J425" i="5" s="1"/>
  <c r="X419" i="9" s="1"/>
  <c r="H421" i="5"/>
  <c r="I421" i="5" s="1"/>
  <c r="J421" i="5" s="1" a="1"/>
  <c r="J421" i="5" s="1"/>
  <c r="X415" i="9" s="1"/>
  <c r="H417" i="5"/>
  <c r="I417" i="5" s="1"/>
  <c r="J417" i="5" s="1" a="1"/>
  <c r="J417" i="5" s="1"/>
  <c r="X411" i="9" s="1"/>
  <c r="H413" i="5"/>
  <c r="I413" i="5" s="1"/>
  <c r="J413" i="5" s="1" a="1"/>
  <c r="J413" i="5" s="1"/>
  <c r="X407" i="9" s="1"/>
  <c r="H409" i="5"/>
  <c r="I409" i="5" s="1"/>
  <c r="J409" i="5" s="1" a="1"/>
  <c r="J409" i="5" s="1"/>
  <c r="X403" i="9" s="1"/>
  <c r="H405" i="5"/>
  <c r="I405" i="5" s="1"/>
  <c r="J405" i="5" s="1" a="1"/>
  <c r="J405" i="5" s="1"/>
  <c r="X399" i="9" s="1"/>
  <c r="H401" i="5"/>
  <c r="I401" i="5" s="1"/>
  <c r="J401" i="5" s="1" a="1"/>
  <c r="J401" i="5" s="1"/>
  <c r="X395" i="9" s="1"/>
  <c r="H397" i="5"/>
  <c r="I397" i="5" s="1"/>
  <c r="J397" i="5" s="1" a="1"/>
  <c r="J397" i="5" s="1"/>
  <c r="X391" i="9" s="1"/>
  <c r="H393" i="5"/>
  <c r="I393" i="5" s="1"/>
  <c r="J393" i="5" s="1" a="1"/>
  <c r="J393" i="5" s="1"/>
  <c r="X387" i="9" s="1"/>
  <c r="H389" i="5"/>
  <c r="I389" i="5" s="1"/>
  <c r="J389" i="5" s="1" a="1"/>
  <c r="J389" i="5" s="1"/>
  <c r="X383" i="9" s="1"/>
  <c r="H385" i="5"/>
  <c r="I385" i="5" s="1"/>
  <c r="J385" i="5" s="1" a="1"/>
  <c r="J385" i="5" s="1"/>
  <c r="X379" i="9" s="1"/>
  <c r="H381" i="5"/>
  <c r="I381" i="5" s="1"/>
  <c r="J381" i="5" s="1" a="1"/>
  <c r="J381" i="5" s="1"/>
  <c r="X375" i="9" s="1"/>
  <c r="H377" i="5"/>
  <c r="I377" i="5" s="1"/>
  <c r="J377" i="5" s="1" a="1"/>
  <c r="J377" i="5" s="1"/>
  <c r="X371" i="9" s="1"/>
  <c r="H373" i="5"/>
  <c r="I373" i="5" s="1"/>
  <c r="J373" i="5" s="1" a="1"/>
  <c r="J373" i="5" s="1"/>
  <c r="X367" i="9" s="1"/>
  <c r="H369" i="5"/>
  <c r="I369" i="5" s="1"/>
  <c r="J369" i="5" s="1" a="1"/>
  <c r="J369" i="5" s="1"/>
  <c r="X363" i="9" s="1"/>
  <c r="H365" i="5"/>
  <c r="I365" i="5" s="1"/>
  <c r="J365" i="5" s="1" a="1"/>
  <c r="J365" i="5" s="1"/>
  <c r="X359" i="9" s="1"/>
  <c r="H361" i="5"/>
  <c r="I361" i="5" s="1"/>
  <c r="J361" i="5" s="1" a="1"/>
  <c r="J361" i="5" s="1"/>
  <c r="X355" i="9" s="1"/>
  <c r="H357" i="5"/>
  <c r="I357" i="5" s="1"/>
  <c r="J357" i="5" s="1" a="1"/>
  <c r="J357" i="5" s="1"/>
  <c r="X351" i="9" s="1"/>
  <c r="H353" i="5"/>
  <c r="I353" i="5" s="1"/>
  <c r="J353" i="5" s="1" a="1"/>
  <c r="J353" i="5" s="1"/>
  <c r="X347" i="9" s="1"/>
  <c r="H349" i="5"/>
  <c r="I349" i="5" s="1"/>
  <c r="J349" i="5" s="1" a="1"/>
  <c r="J349" i="5" s="1"/>
  <c r="X343" i="9" s="1"/>
  <c r="H345" i="5"/>
  <c r="I345" i="5" s="1"/>
  <c r="J345" i="5" s="1" a="1"/>
  <c r="J345" i="5" s="1"/>
  <c r="X339" i="9" s="1"/>
  <c r="H341" i="5"/>
  <c r="I341" i="5" s="1"/>
  <c r="J341" i="5" s="1" a="1"/>
  <c r="J341" i="5" s="1"/>
  <c r="X335" i="9" s="1"/>
  <c r="H337" i="5"/>
  <c r="I337" i="5" s="1"/>
  <c r="J337" i="5" s="1" a="1"/>
  <c r="J337" i="5" s="1"/>
  <c r="X331" i="9" s="1"/>
  <c r="H333" i="5"/>
  <c r="I333" i="5" s="1"/>
  <c r="J333" i="5" s="1" a="1"/>
  <c r="J333" i="5" s="1"/>
  <c r="X327" i="9" s="1"/>
  <c r="H329" i="5"/>
  <c r="I329" i="5" s="1"/>
  <c r="J329" i="5" s="1" a="1"/>
  <c r="J329" i="5" s="1"/>
  <c r="X323" i="9" s="1"/>
  <c r="H325" i="5"/>
  <c r="I325" i="5" s="1"/>
  <c r="J325" i="5" s="1" a="1"/>
  <c r="J325" i="5" s="1"/>
  <c r="X319" i="9" s="1"/>
  <c r="H321" i="5"/>
  <c r="I321" i="5" s="1"/>
  <c r="J321" i="5" s="1" a="1"/>
  <c r="J321" i="5" s="1"/>
  <c r="X315" i="9" s="1"/>
  <c r="H317" i="5"/>
  <c r="I317" i="5" s="1"/>
  <c r="J317" i="5" s="1" a="1"/>
  <c r="J317" i="5" s="1"/>
  <c r="X311" i="9" s="1"/>
  <c r="H313" i="5"/>
  <c r="I313" i="5" s="1"/>
  <c r="J313" i="5" s="1" a="1"/>
  <c r="J313" i="5" s="1"/>
  <c r="X307" i="9" s="1"/>
  <c r="H309" i="5"/>
  <c r="I309" i="5" s="1"/>
  <c r="J309" i="5" s="1" a="1"/>
  <c r="J309" i="5" s="1"/>
  <c r="X303" i="9" s="1"/>
  <c r="H305" i="5"/>
  <c r="I305" i="5" s="1"/>
  <c r="J305" i="5" s="1" a="1"/>
  <c r="J305" i="5" s="1"/>
  <c r="X299" i="9" s="1"/>
  <c r="H301" i="5"/>
  <c r="I301" i="5" s="1"/>
  <c r="J301" i="5" s="1" a="1"/>
  <c r="J301" i="5" s="1"/>
  <c r="X295" i="9" s="1"/>
  <c r="H297" i="5"/>
  <c r="I297" i="5" s="1"/>
  <c r="J297" i="5" s="1" a="1"/>
  <c r="J297" i="5" s="1"/>
  <c r="X291" i="9" s="1"/>
  <c r="H293" i="5"/>
  <c r="I293" i="5" s="1"/>
  <c r="J293" i="5" s="1" a="1"/>
  <c r="J293" i="5" s="1"/>
  <c r="X287" i="9" s="1"/>
  <c r="H289" i="5"/>
  <c r="I289" i="5" s="1"/>
  <c r="J289" i="5" s="1" a="1"/>
  <c r="J289" i="5" s="1"/>
  <c r="X283" i="9" s="1"/>
  <c r="H285" i="5"/>
  <c r="I285" i="5" s="1"/>
  <c r="J285" i="5" s="1" a="1"/>
  <c r="J285" i="5" s="1"/>
  <c r="X279" i="9" s="1"/>
  <c r="H281" i="5"/>
  <c r="I281" i="5" s="1"/>
  <c r="J281" i="5" s="1" a="1"/>
  <c r="J281" i="5" s="1"/>
  <c r="X275" i="9" s="1"/>
  <c r="H277" i="5"/>
  <c r="I277" i="5" s="1"/>
  <c r="J277" i="5" s="1" a="1"/>
  <c r="J277" i="5" s="1"/>
  <c r="X271" i="9" s="1"/>
  <c r="H273" i="5"/>
  <c r="I273" i="5" s="1"/>
  <c r="J273" i="5" s="1" a="1"/>
  <c r="J273" i="5" s="1"/>
  <c r="X267" i="9" s="1"/>
  <c r="H269" i="5"/>
  <c r="I269" i="5" s="1"/>
  <c r="J269" i="5" s="1" a="1"/>
  <c r="J269" i="5" s="1"/>
  <c r="X263" i="9" s="1"/>
  <c r="H265" i="5"/>
  <c r="I265" i="5" s="1"/>
  <c r="J265" i="5" s="1" a="1"/>
  <c r="J265" i="5" s="1"/>
  <c r="X259" i="9" s="1"/>
  <c r="H261" i="5"/>
  <c r="I261" i="5" s="1"/>
  <c r="J261" i="5" s="1" a="1"/>
  <c r="J261" i="5" s="1"/>
  <c r="X255" i="9" s="1"/>
  <c r="H257" i="5"/>
  <c r="I257" i="5" s="1"/>
  <c r="J257" i="5" s="1" a="1"/>
  <c r="J257" i="5" s="1"/>
  <c r="X251" i="9" s="1"/>
  <c r="H253" i="5"/>
  <c r="I253" i="5" s="1"/>
  <c r="J253" i="5" s="1" a="1"/>
  <c r="J253" i="5" s="1"/>
  <c r="X247" i="9" s="1"/>
  <c r="H249" i="5"/>
  <c r="I249" i="5" s="1"/>
  <c r="J249" i="5" s="1" a="1"/>
  <c r="J249" i="5" s="1"/>
  <c r="X243" i="9" s="1"/>
  <c r="H245" i="5"/>
  <c r="I245" i="5" s="1"/>
  <c r="J245" i="5" s="1" a="1"/>
  <c r="J245" i="5" s="1"/>
  <c r="X239" i="9" s="1"/>
  <c r="H241" i="5"/>
  <c r="I241" i="5" s="1"/>
  <c r="J241" i="5" s="1" a="1"/>
  <c r="J241" i="5" s="1"/>
  <c r="X235" i="9" s="1"/>
  <c r="H237" i="5"/>
  <c r="I237" i="5" s="1"/>
  <c r="J237" i="5" s="1" a="1"/>
  <c r="J237" i="5" s="1"/>
  <c r="X231" i="9" s="1"/>
  <c r="H233" i="5"/>
  <c r="I233" i="5" s="1"/>
  <c r="J233" i="5" s="1" a="1"/>
  <c r="J233" i="5" s="1"/>
  <c r="X227" i="9" s="1"/>
  <c r="H229" i="5"/>
  <c r="I229" i="5" s="1"/>
  <c r="J229" i="5" s="1" a="1"/>
  <c r="J229" i="5" s="1"/>
  <c r="X223" i="9" s="1"/>
  <c r="H225" i="5"/>
  <c r="I225" i="5" s="1"/>
  <c r="J225" i="5" s="1" a="1"/>
  <c r="J225" i="5" s="1"/>
  <c r="X219" i="9" s="1"/>
  <c r="H221" i="5"/>
  <c r="I221" i="5" s="1"/>
  <c r="J221" i="5" s="1" a="1"/>
  <c r="J221" i="5" s="1"/>
  <c r="X215" i="9" s="1"/>
  <c r="H217" i="5"/>
  <c r="I217" i="5" s="1"/>
  <c r="J217" i="5" s="1" a="1"/>
  <c r="J217" i="5" s="1"/>
  <c r="X211" i="9" s="1"/>
  <c r="H213" i="5"/>
  <c r="I213" i="5" s="1"/>
  <c r="J213" i="5" s="1" a="1"/>
  <c r="J213" i="5" s="1"/>
  <c r="X207" i="9" s="1"/>
  <c r="H209" i="5"/>
  <c r="I209" i="5" s="1"/>
  <c r="J209" i="5" s="1" a="1"/>
  <c r="J209" i="5" s="1"/>
  <c r="X203" i="9" s="1"/>
  <c r="H205" i="5"/>
  <c r="I205" i="5" s="1"/>
  <c r="J205" i="5" s="1" a="1"/>
  <c r="J205" i="5" s="1"/>
  <c r="X199" i="9" s="1"/>
  <c r="H201" i="5"/>
  <c r="I201" i="5" s="1"/>
  <c r="J201" i="5" s="1" a="1"/>
  <c r="J201" i="5" s="1"/>
  <c r="X195" i="9" s="1"/>
  <c r="H197" i="5"/>
  <c r="I197" i="5" s="1"/>
  <c r="J197" i="5" s="1" a="1"/>
  <c r="J197" i="5" s="1"/>
  <c r="X191" i="9" s="1"/>
  <c r="H193" i="5"/>
  <c r="I193" i="5" s="1"/>
  <c r="J193" i="5" s="1" a="1"/>
  <c r="J193" i="5" s="1"/>
  <c r="X187" i="9" s="1"/>
  <c r="H189" i="5"/>
  <c r="I189" i="5" s="1"/>
  <c r="J189" i="5" s="1" a="1"/>
  <c r="J189" i="5" s="1"/>
  <c r="X183" i="9" s="1"/>
  <c r="H185" i="5"/>
  <c r="I185" i="5" s="1"/>
  <c r="J185" i="5" s="1" a="1"/>
  <c r="J185" i="5" s="1"/>
  <c r="X179" i="9" s="1"/>
  <c r="H181" i="5"/>
  <c r="I181" i="5" s="1"/>
  <c r="J181" i="5" s="1" a="1"/>
  <c r="J181" i="5" s="1"/>
  <c r="X175" i="9" s="1"/>
  <c r="H177" i="5"/>
  <c r="I177" i="5" s="1"/>
  <c r="J177" i="5" s="1" a="1"/>
  <c r="J177" i="5" s="1"/>
  <c r="X171" i="9" s="1"/>
  <c r="H173" i="5"/>
  <c r="I173" i="5" s="1"/>
  <c r="J173" i="5" s="1" a="1"/>
  <c r="J173" i="5" s="1"/>
  <c r="X167" i="9" s="1"/>
  <c r="H169" i="5"/>
  <c r="I169" i="5" s="1"/>
  <c r="J169" i="5" s="1" a="1"/>
  <c r="J169" i="5" s="1"/>
  <c r="X163" i="9" s="1"/>
  <c r="H165" i="5"/>
  <c r="I165" i="5" s="1"/>
  <c r="J165" i="5" s="1" a="1"/>
  <c r="J165" i="5" s="1"/>
  <c r="X159" i="9" s="1"/>
  <c r="H161" i="5"/>
  <c r="I161" i="5" s="1"/>
  <c r="J161" i="5" s="1" a="1"/>
  <c r="J161" i="5" s="1"/>
  <c r="X155" i="9" s="1"/>
  <c r="H157" i="5"/>
  <c r="I157" i="5" s="1"/>
  <c r="J157" i="5" s="1" a="1"/>
  <c r="J157" i="5" s="1"/>
  <c r="X151" i="9" s="1"/>
  <c r="H153" i="5"/>
  <c r="I153" i="5" s="1"/>
  <c r="J153" i="5" s="1" a="1"/>
  <c r="J153" i="5" s="1"/>
  <c r="X147" i="9" s="1"/>
  <c r="H149" i="5"/>
  <c r="I149" i="5" s="1"/>
  <c r="J149" i="5" s="1" a="1"/>
  <c r="J149" i="5" s="1"/>
  <c r="X143" i="9" s="1"/>
  <c r="H145" i="5"/>
  <c r="I145" i="5" s="1"/>
  <c r="J145" i="5" s="1" a="1"/>
  <c r="J145" i="5" s="1"/>
  <c r="X139" i="9" s="1"/>
  <c r="H141" i="5"/>
  <c r="I141" i="5" s="1"/>
  <c r="J141" i="5" s="1" a="1"/>
  <c r="J141" i="5" s="1"/>
  <c r="X135" i="9" s="1"/>
  <c r="H137" i="5"/>
  <c r="I137" i="5" s="1"/>
  <c r="J137" i="5" s="1" a="1"/>
  <c r="J137" i="5" s="1"/>
  <c r="X131" i="9" s="1"/>
  <c r="H133" i="5"/>
  <c r="I133" i="5" s="1"/>
  <c r="J133" i="5" s="1" a="1"/>
  <c r="J133" i="5" s="1"/>
  <c r="X127" i="9" s="1"/>
  <c r="H129" i="5"/>
  <c r="I129" i="5" s="1"/>
  <c r="J129" i="5" s="1" a="1"/>
  <c r="J129" i="5" s="1"/>
  <c r="X123" i="9" s="1"/>
  <c r="H125" i="5"/>
  <c r="I125" i="5" s="1"/>
  <c r="J125" i="5" s="1" a="1"/>
  <c r="J125" i="5" s="1"/>
  <c r="X119" i="9" s="1"/>
  <c r="H121" i="5"/>
  <c r="I121" i="5" s="1"/>
  <c r="J121" i="5" s="1" a="1"/>
  <c r="J121" i="5" s="1"/>
  <c r="X115" i="9" s="1"/>
  <c r="H117" i="5"/>
  <c r="I117" i="5" s="1"/>
  <c r="J117" i="5" s="1" a="1"/>
  <c r="J117" i="5" s="1"/>
  <c r="X111" i="9" s="1"/>
  <c r="H113" i="5"/>
  <c r="I113" i="5" s="1"/>
  <c r="J113" i="5" s="1" a="1"/>
  <c r="J113" i="5" s="1"/>
  <c r="X107" i="9" s="1"/>
  <c r="H109" i="5"/>
  <c r="I109" i="5" s="1"/>
  <c r="J109" i="5" s="1" a="1"/>
  <c r="J109" i="5" s="1"/>
  <c r="X103" i="9" s="1"/>
  <c r="H105" i="5"/>
  <c r="I105" i="5" s="1"/>
  <c r="J105" i="5" s="1" a="1"/>
  <c r="J105" i="5" s="1"/>
  <c r="X99" i="9" s="1"/>
  <c r="H101" i="5"/>
  <c r="I101" i="5" s="1"/>
  <c r="J101" i="5" s="1" a="1"/>
  <c r="J101" i="5" s="1"/>
  <c r="X95" i="9" s="1"/>
  <c r="H97" i="5"/>
  <c r="I97" i="5" s="1"/>
  <c r="J97" i="5" s="1" a="1"/>
  <c r="J97" i="5" s="1"/>
  <c r="X91" i="9" s="1"/>
  <c r="H93" i="5"/>
  <c r="I93" i="5" s="1"/>
  <c r="J93" i="5" s="1" a="1"/>
  <c r="J93" i="5" s="1"/>
  <c r="X87" i="9" s="1"/>
  <c r="H89" i="5"/>
  <c r="I89" i="5" s="1"/>
  <c r="J89" i="5" s="1" a="1"/>
  <c r="J89" i="5" s="1"/>
  <c r="X83" i="9" s="1"/>
  <c r="H85" i="5"/>
  <c r="I85" i="5" s="1"/>
  <c r="J85" i="5" s="1" a="1"/>
  <c r="J85" i="5" s="1"/>
  <c r="X79" i="9" s="1"/>
  <c r="H81" i="5"/>
  <c r="I81" i="5" s="1"/>
  <c r="J81" i="5" s="1" a="1"/>
  <c r="J81" i="5" s="1"/>
  <c r="X75" i="9" s="1"/>
  <c r="H77" i="5"/>
  <c r="I77" i="5" s="1"/>
  <c r="J77" i="5" s="1" a="1"/>
  <c r="J77" i="5" s="1"/>
  <c r="X71" i="9" s="1"/>
  <c r="H73" i="5"/>
  <c r="I73" i="5" s="1"/>
  <c r="J73" i="5" s="1" a="1"/>
  <c r="J73" i="5" s="1"/>
  <c r="X67" i="9" s="1"/>
  <c r="H69" i="5"/>
  <c r="I69" i="5" s="1"/>
  <c r="J69" i="5" s="1" a="1"/>
  <c r="J69" i="5" s="1"/>
  <c r="X63" i="9" s="1"/>
  <c r="H65" i="5"/>
  <c r="I65" i="5" s="1"/>
  <c r="J65" i="5" s="1" a="1"/>
  <c r="J65" i="5" s="1"/>
  <c r="X59" i="9" s="1"/>
  <c r="H61" i="5"/>
  <c r="I61" i="5" s="1"/>
  <c r="J61" i="5" s="1" a="1"/>
  <c r="J61" i="5" s="1"/>
  <c r="X55" i="9" s="1"/>
  <c r="H57" i="5"/>
  <c r="I57" i="5" s="1"/>
  <c r="J57" i="5" s="1" a="1"/>
  <c r="J57" i="5" s="1"/>
  <c r="X51" i="9" s="1"/>
  <c r="H53" i="5"/>
  <c r="I53" i="5" s="1"/>
  <c r="J53" i="5" s="1" a="1"/>
  <c r="J53" i="5" s="1"/>
  <c r="X47" i="9" s="1"/>
  <c r="H49" i="5"/>
  <c r="I49" i="5" s="1"/>
  <c r="J49" i="5" s="1" a="1"/>
  <c r="J49" i="5" s="1"/>
  <c r="X43" i="9" s="1"/>
  <c r="H45" i="5"/>
  <c r="I45" i="5" s="1"/>
  <c r="J45" i="5" s="1" a="1"/>
  <c r="J45" i="5" s="1"/>
  <c r="X39" i="9" s="1"/>
  <c r="H41" i="5"/>
  <c r="I41" i="5" s="1"/>
  <c r="J41" i="5" s="1" a="1"/>
  <c r="J41" i="5" s="1"/>
  <c r="X35" i="9" s="1"/>
  <c r="H37" i="5"/>
  <c r="I37" i="5" s="1"/>
  <c r="J37" i="5" s="1" a="1"/>
  <c r="J37" i="5" s="1"/>
  <c r="X31" i="9" s="1"/>
  <c r="H33" i="5"/>
  <c r="I33" i="5" s="1"/>
  <c r="J33" i="5" s="1" a="1"/>
  <c r="J33" i="5" s="1"/>
  <c r="X27" i="9" s="1"/>
  <c r="H29" i="5"/>
  <c r="I29" i="5" s="1"/>
  <c r="J29" i="5" s="1" a="1"/>
  <c r="J29" i="5" s="1"/>
  <c r="X23" i="9" s="1"/>
  <c r="H25" i="5"/>
  <c r="I25" i="5" s="1"/>
  <c r="J25" i="5" s="1" a="1"/>
  <c r="J25" i="5" s="1"/>
  <c r="X19" i="9" s="1"/>
  <c r="D29" i="10"/>
  <c r="E29" i="10"/>
  <c r="C29" i="10"/>
  <c r="G29" i="10"/>
  <c r="H29" i="10"/>
  <c r="F29" i="10"/>
  <c r="F30" i="3"/>
  <c r="A9" i="5"/>
  <c r="X4" i="9" l="1"/>
  <c r="C30" i="10" l="1"/>
  <c r="C31" i="10" s="1"/>
  <c r="C32" i="10" s="1" a="1"/>
  <c r="C32" i="10" s="1"/>
  <c r="C33" i="10" l="1"/>
  <c r="A33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<sst xmlns="http://schemas.openxmlformats.org/spreadsheetml/2006/main" count="147" uniqueCount="79">
  <si>
    <t/>
  </si>
  <si>
    <t>(Constant)</t>
  </si>
  <si>
    <t>Segment</t>
  </si>
  <si>
    <t>ID</t>
  </si>
  <si>
    <t>seg1</t>
  </si>
  <si>
    <t>seg2</t>
  </si>
  <si>
    <t>seg3</t>
  </si>
  <si>
    <t>seg4</t>
  </si>
  <si>
    <t>seg5</t>
  </si>
  <si>
    <t>max</t>
  </si>
  <si>
    <t>segments</t>
  </si>
  <si>
    <t>Classification Function Coefficients</t>
  </si>
  <si>
    <t>1</t>
  </si>
  <si>
    <t>2</t>
  </si>
  <si>
    <t>3</t>
  </si>
  <si>
    <t>4</t>
  </si>
  <si>
    <t>5</t>
  </si>
  <si>
    <t>Blistex Lip Care Segments Typing Tool</t>
  </si>
  <si>
    <t>GENDER</t>
  </si>
  <si>
    <t>AGE</t>
  </si>
  <si>
    <t xml:space="preserve">GENDER       </t>
  </si>
  <si>
    <t>Male</t>
  </si>
  <si>
    <t>Female</t>
  </si>
  <si>
    <t>18-24</t>
  </si>
  <si>
    <t>25-34</t>
  </si>
  <si>
    <t>35-44</t>
  </si>
  <si>
    <t>45-54</t>
  </si>
  <si>
    <t>55-65</t>
  </si>
  <si>
    <t>FEATURES - Can feel it on my lips when I apply</t>
  </si>
  <si>
    <t>FEATURES - Can feel it absorbing into my lips when I apply</t>
  </si>
  <si>
    <t>FEATURES - Is small/easily fits in a pocket or purse</t>
  </si>
  <si>
    <t>FEATURES - Has a taste I like</t>
  </si>
  <si>
    <t>FEATURES - Has no taste</t>
  </si>
  <si>
    <t>FEATURES - Has a smell I like</t>
  </si>
  <si>
    <t>FEATURES - Has no smell</t>
  </si>
  <si>
    <t>FEATURES - Is all natural</t>
  </si>
  <si>
    <t>FEATURES - Has advanced skincare ingredients (e.g., hyaluronic acid, Vitamin E)</t>
  </si>
  <si>
    <t>FEATURES - Has SPF/sunscreen</t>
  </si>
  <si>
    <t>FEATURES - Comes in a wide variety of colors or tints</t>
  </si>
  <si>
    <t>FEATURES - Comes in multi-packs so I have more than one</t>
  </si>
  <si>
    <t>FEATURES - Comes in a variety of flavors or tastes</t>
  </si>
  <si>
    <t>Can feel it on my lips when I apply</t>
  </si>
  <si>
    <t>Can feel it absorbing into my lips when I apply</t>
  </si>
  <si>
    <t>Is small/easily fits in a pocket or purse</t>
  </si>
  <si>
    <t>Has a taste I like</t>
  </si>
  <si>
    <t>Has no taste</t>
  </si>
  <si>
    <t>Has a smell I like</t>
  </si>
  <si>
    <t>Has no smell</t>
  </si>
  <si>
    <t>Is all natural</t>
  </si>
  <si>
    <t>Has advanced skincare ingredients (e.g., hyaluronic acid, Vitamin E)</t>
  </si>
  <si>
    <t>Has SPF/sunscreen</t>
  </si>
  <si>
    <t>Comes in a wide variety of colors or tints</t>
  </si>
  <si>
    <t>Comes in multi-packs so I have more than one</t>
  </si>
  <si>
    <t>Comes in a variety of flavors or tastes</t>
  </si>
  <si>
    <t>Other</t>
  </si>
  <si>
    <t>Other occasions</t>
  </si>
  <si>
    <t>FINAL LIP CARE 6 SEGMENTS</t>
  </si>
  <si>
    <t>6</t>
  </si>
  <si>
    <t>C5. FEATURES    What kinds of features do the lip care products that you own have? Select all that apply</t>
  </si>
  <si>
    <t>C6.  USAGE OCCASIONS   Using the list below, please select all of the specific times when you use lip balm care products. Select all that apply (1= Selected, 0 = Not Selected)</t>
  </si>
  <si>
    <t>C5. FEATURES    What kinds of features do the lip care products that you own have? Select all that apply (1= Selected, 0 = Not Selected)</t>
  </si>
  <si>
    <t>1= 18-24
2=25-34
3=35-44
4=45-54
5=55-65</t>
  </si>
  <si>
    <t>seg6</t>
  </si>
  <si>
    <t>1=Male
 2=Female</t>
  </si>
  <si>
    <t>Segment 1- Moisture Seeker</t>
  </si>
  <si>
    <t>Segment 2- Trendy Treater</t>
  </si>
  <si>
    <t>Segment 3- Young Experimenter</t>
  </si>
  <si>
    <t>Segment 4- Basic Routiner</t>
  </si>
  <si>
    <t>Segment 5- Added Benefit Searcher</t>
  </si>
  <si>
    <t>Part of a daily routine (e.g., getting ready, bedtime, throughout day when lips are dry)</t>
  </si>
  <si>
    <t>Based on conditions outside (e.g., cold/windy, dry, sunny)</t>
  </si>
  <si>
    <t>Based on how lips feel (e.g., lips feel chapped, cracked, dry, developing a blister, dehydrated)</t>
  </si>
  <si>
    <t>Before/after physical activity (e.g., water sports, winter sports, summer sports)</t>
  </si>
  <si>
    <t>For social situations/gatherings (e.g., before/after kissing, a date, social event, meeting, taking a photo)</t>
  </si>
  <si>
    <t>Before/after food or for taste/flavor (e.g., to avoid eating, after eating/drinking, want refreshing taste/flavor, after smoking)</t>
  </si>
  <si>
    <t>When I'm reminded to (e.g., feel in my pocket, no longer feel/taste lip care on lips, see someone else use)</t>
  </si>
  <si>
    <t>Fisher's linear discriminant functions</t>
  </si>
  <si>
    <t>Segment 6- Self-Conscious Male</t>
  </si>
  <si>
    <t>C6.  USAGE OCCASIONS   Using the list below, please select all of the specific times when you use lip  care products. Select all that apply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</si>
</sst>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"/>
      <name val="Arial Bold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70C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/>
      <diagonal/>
    </border>
    <border>
      <left style="thin">
        <color indexed="8"/>
      </left>
      <right style="thin">
        <color indexed="8"/>
      </right>
      <top style="thick">
        <color indexed="8"/>
      </top>
      <bottom/>
      <diagonal/>
    </border>
    <border>
      <left style="thin">
        <color indexed="8"/>
      </left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/>
      <bottom/>
      <diagonal/>
    </border>
    <border>
      <left style="thick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ck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4" fillId="3" borderId="1" xfId="0" applyFont="1" applyFill="1" applyBorder="1" applyAlignment="1">
      <alignment horizontal="center"/>
    </xf>
    <xf numFmtId="2" fontId="0" fillId="0" borderId="0" xfId="0" applyNumberFormat="1"/>
    <xf numFmtId="0" fontId="4" fillId="0" borderId="0" xfId="0" applyFont="1" applyProtection="1"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3" borderId="4" xfId="0" applyFont="1" applyFill="1" applyBorder="1" applyAlignment="1">
      <alignment horizontal="center" wrapText="1"/>
    </xf>
    <xf numFmtId="0" fontId="14" fillId="0" borderId="0" xfId="0" applyFont="1" applyAlignment="1">
      <alignment horizontal="center"/>
    </xf>
    <xf numFmtId="0" fontId="4" fillId="2" borderId="1" xfId="0" applyFont="1" applyFill="1" applyBorder="1"/>
    <xf numFmtId="0" fontId="4" fillId="5" borderId="1" xfId="0" applyFont="1" applyFill="1" applyBorder="1"/>
    <xf numFmtId="0" fontId="4" fillId="6" borderId="1" xfId="0" applyFont="1" applyFill="1" applyBorder="1"/>
    <xf numFmtId="0" fontId="4" fillId="3" borderId="0" xfId="0" applyFont="1" applyFill="1" applyAlignment="1">
      <alignment horizontal="right" wrapText="1"/>
    </xf>
    <xf numFmtId="0" fontId="4" fillId="3" borderId="0" xfId="0" applyFont="1" applyFill="1" applyAlignment="1">
      <alignment wrapText="1"/>
    </xf>
    <xf numFmtId="0" fontId="4" fillId="3" borderId="0" xfId="0" applyFont="1" applyFill="1" applyAlignment="1">
      <alignment horizontal="right"/>
    </xf>
    <xf numFmtId="0" fontId="4" fillId="2" borderId="0" xfId="0" applyFont="1" applyFill="1" applyAlignment="1" applyProtection="1">
      <alignment horizontal="center"/>
      <protection locked="0"/>
    </xf>
    <xf numFmtId="0" fontId="3" fillId="0" borderId="10" xfId="3" applyFont="1" applyBorder="1" applyAlignment="1">
      <alignment horizontal="center"/>
    </xf>
    <xf numFmtId="0" fontId="3" fillId="0" borderId="11" xfId="3" applyFont="1" applyBorder="1" applyAlignment="1">
      <alignment horizontal="center"/>
    </xf>
    <xf numFmtId="0" fontId="3" fillId="0" borderId="12" xfId="3" applyFont="1" applyBorder="1" applyAlignment="1">
      <alignment horizontal="center"/>
    </xf>
    <xf numFmtId="0" fontId="3" fillId="0" borderId="5" xfId="3" applyFont="1" applyBorder="1" applyAlignment="1">
      <alignment horizontal="left" vertical="top"/>
    </xf>
    <xf numFmtId="164" fontId="3" fillId="0" borderId="13" xfId="3" applyNumberFormat="1" applyFont="1" applyBorder="1" applyAlignment="1">
      <alignment horizontal="right" vertical="top"/>
    </xf>
    <xf numFmtId="164" fontId="3" fillId="0" borderId="14" xfId="3" applyNumberFormat="1" applyFont="1" applyBorder="1" applyAlignment="1">
      <alignment horizontal="right" vertical="top"/>
    </xf>
    <xf numFmtId="164" fontId="3" fillId="0" borderId="15" xfId="3" applyNumberFormat="1" applyFont="1" applyBorder="1" applyAlignment="1">
      <alignment horizontal="right" vertical="top"/>
    </xf>
    <xf numFmtId="0" fontId="3" fillId="0" borderId="16" xfId="3" applyFont="1" applyBorder="1" applyAlignment="1">
      <alignment horizontal="left" vertical="top"/>
    </xf>
    <xf numFmtId="164" fontId="3" fillId="0" borderId="17" xfId="3" applyNumberFormat="1" applyFont="1" applyBorder="1" applyAlignment="1">
      <alignment horizontal="right" vertical="top"/>
    </xf>
    <xf numFmtId="164" fontId="3" fillId="0" borderId="18" xfId="3" applyNumberFormat="1" applyFont="1" applyBorder="1" applyAlignment="1">
      <alignment horizontal="right" vertical="top"/>
    </xf>
    <xf numFmtId="164" fontId="3" fillId="0" borderId="19" xfId="3" applyNumberFormat="1" applyFont="1" applyBorder="1" applyAlignment="1">
      <alignment horizontal="right" vertical="top"/>
    </xf>
    <xf numFmtId="0" fontId="3" fillId="0" borderId="9" xfId="3" applyFont="1" applyBorder="1" applyAlignment="1">
      <alignment horizontal="left" vertical="top"/>
    </xf>
    <xf numFmtId="164" fontId="3" fillId="0" borderId="20" xfId="3" applyNumberFormat="1" applyFont="1" applyBorder="1" applyAlignment="1">
      <alignment horizontal="right" vertical="top"/>
    </xf>
    <xf numFmtId="164" fontId="3" fillId="0" borderId="21" xfId="3" applyNumberFormat="1" applyFont="1" applyBorder="1" applyAlignment="1">
      <alignment horizontal="right" vertical="top"/>
    </xf>
    <xf numFmtId="164" fontId="3" fillId="0" borderId="22" xfId="3" applyNumberFormat="1" applyFont="1" applyBorder="1" applyAlignment="1">
      <alignment horizontal="right" vertical="top"/>
    </xf>
    <xf numFmtId="164" fontId="3" fillId="0" borderId="24" xfId="3" applyNumberFormat="1" applyFont="1" applyBorder="1" applyAlignment="1">
      <alignment horizontal="right" vertical="top"/>
    </xf>
    <xf numFmtId="0" fontId="3" fillId="0" borderId="1" xfId="3" applyFont="1" applyBorder="1" applyAlignment="1">
      <alignment horizontal="center"/>
    </xf>
    <xf numFmtId="0" fontId="3" fillId="0" borderId="1" xfId="2" applyFont="1" applyBorder="1"/>
    <xf numFmtId="0" fontId="3" fillId="0" borderId="1" xfId="3" applyFont="1" applyBorder="1"/>
    <xf numFmtId="0" fontId="3" fillId="0" borderId="1" xfId="3" applyFont="1" applyBorder="1" applyAlignment="1">
      <alignment horizontal="left" vertical="top"/>
    </xf>
    <xf numFmtId="164" fontId="3" fillId="0" borderId="1" xfId="3" applyNumberFormat="1" applyFont="1" applyBorder="1" applyAlignment="1">
      <alignment horizontal="right" vertical="top"/>
    </xf>
    <xf numFmtId="0" fontId="13" fillId="3" borderId="1" xfId="0" applyFont="1" applyFill="1" applyBorder="1" applyAlignment="1">
      <alignment horizont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3" fillId="0" borderId="1" xfId="1" applyFont="1" applyBorder="1" applyAlignment="1">
      <alignment horizontal="left"/>
    </xf>
    <xf numFmtId="0" fontId="3" fillId="0" borderId="1" xfId="3" applyFont="1" applyBorder="1" applyAlignment="1">
      <alignment horizontal="center" wrapText="1"/>
    </xf>
    <xf numFmtId="0" fontId="7" fillId="3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wrapText="1" indent="3"/>
    </xf>
    <xf numFmtId="0" fontId="1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horizontal="right" wrapText="1"/>
    </xf>
    <xf numFmtId="0" fontId="12" fillId="0" borderId="0" xfId="3" applyFont="1" applyAlignment="1">
      <alignment horizontal="center" vertical="center"/>
    </xf>
    <xf numFmtId="0" fontId="3" fillId="0" borderId="6" xfId="3" applyFont="1" applyBorder="1" applyAlignment="1">
      <alignment horizontal="center"/>
    </xf>
    <xf numFmtId="0" fontId="3" fillId="0" borderId="7" xfId="3" applyFont="1" applyBorder="1" applyAlignment="1">
      <alignment horizontal="center"/>
    </xf>
    <xf numFmtId="0" fontId="3" fillId="0" borderId="8" xfId="3" applyFont="1" applyBorder="1" applyAlignment="1">
      <alignment horizontal="center"/>
    </xf>
    <xf numFmtId="0" fontId="3" fillId="0" borderId="5" xfId="3" applyFont="1" applyBorder="1" applyAlignment="1">
      <alignment horizontal="left"/>
    </xf>
    <xf numFmtId="0" fontId="3" fillId="0" borderId="9" xfId="3" applyFont="1" applyBorder="1" applyAlignment="1">
      <alignment horizontal="left"/>
    </xf>
    <xf numFmtId="0" fontId="3" fillId="0" borderId="0" xfId="3" applyFont="1" applyAlignment="1">
      <alignment horizontal="left" vertical="top"/>
    </xf>
    <xf numFmtId="0" fontId="7" fillId="3" borderId="1" xfId="0" applyFont="1" applyFill="1" applyBorder="1" applyAlignment="1">
      <alignment horizontal="left" indent="15"/>
    </xf>
    <xf numFmtId="0" fontId="13" fillId="3" borderId="1" xfId="0" applyFont="1" applyFill="1" applyBorder="1" applyAlignment="1">
      <alignment horizontal="center" vertical="center" wrapText="1"/>
    </xf>
  </cellXfs>
  <cellStyles count="4">
    <cellStyle name="Normal" xfId="0" builtinId="0"/>
    <cellStyle name="Normal_coef" xfId="3"/>
    <cellStyle name="Normal_Sheet1_2" xfId="1"/>
    <cellStyle name="Normal_Sheet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99FFCC"/>
      <color rgb="FFCCFFCC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G$6" lockText="1" noThreeD="1"/>
</file>

<file path=xl/ctrlProps/ctrlProp3.xml><?xml version="1.0" encoding="utf-8"?>
<formControlPr xmlns="http://schemas.microsoft.com/office/spreadsheetml/2009/9/main" objectType="CheckBox" fmlaLink="$G$14" lockText="1" noThreeD="1"/>
</file>

<file path=xl/ctrlProps/ctrlProp4.xml><?xml version="1.0" encoding="utf-8"?>
<formControlPr xmlns="http://schemas.microsoft.com/office/spreadsheetml/2009/9/main" objectType="CheckBox" fmlaLink="$G$15" lockText="1" noThreeD="1"/>
</file>

<file path=xl/ctrlProps/ctrlProp5.xml><?xml version="1.0" encoding="utf-8"?>
<formControlPr xmlns="http://schemas.microsoft.com/office/spreadsheetml/2009/9/main" objectType="CheckBox" fmlaLink="$G$16" lockText="1" noThreeD="1"/>
</file>

<file path=xl/ctrlProps/ctrlProp6.xml><?xml version="1.0" encoding="utf-8"?>
<formControlPr xmlns="http://schemas.microsoft.com/office/spreadsheetml/2009/9/main" objectType="CheckBox" fmlaLink="$G$17" lockText="1" noThreeD="1"/>
</file>

<file path=xl/ctrlProps/ctrlProp7.xml><?xml version="1.0" encoding="utf-8"?>
<formControlPr xmlns="http://schemas.microsoft.com/office/spreadsheetml/2009/9/main" objectType="Drop" dropStyle="combo" dx="22" fmlaLink="$G$3" fmlaRange="$J$2:$J$4" noThreeD="1" sel="0" val="0"/>
</file>

<file path=xl/ctrlProps/ctrlProp8.xml><?xml version="1.0" encoding="utf-8"?>
<formControlPr xmlns="http://schemas.microsoft.com/office/spreadsheetml/2009/9/main" objectType="Drop" dropStyle="combo" dx="22" fmlaLink="$G$4" fmlaRange="$J$5:$J$10" noThreeD="1" sel="0" val="0"/>
</file>

<file path=xl/ctrlProps/ctrlProp9.xml><?xml version="1.0" encoding="utf-8"?>
<formControlPr xmlns="http://schemas.microsoft.com/office/spreadsheetml/2009/9/main" objectType="CheckBox" fmlaLink="$G$18" lockText="1" noThreeD="1"/>
</file>

<file path=xl/ctrlProps/ctrlProp10.xml><?xml version="1.0" encoding="utf-8"?>
<formControlPr xmlns="http://schemas.microsoft.com/office/spreadsheetml/2009/9/main" objectType="CheckBox" fmlaLink="$G$21" lockText="1" noThreeD="1"/>
</file>

<file path=xl/ctrlProps/ctrlProp11.xml><?xml version="1.0" encoding="utf-8"?>
<formControlPr xmlns="http://schemas.microsoft.com/office/spreadsheetml/2009/9/main" objectType="CheckBox" fmlaLink="$G$22" lockText="1" noThreeD="1"/>
</file>

<file path=xl/ctrlProps/ctrlProp12.xml><?xml version="1.0" encoding="utf-8"?>
<formControlPr xmlns="http://schemas.microsoft.com/office/spreadsheetml/2009/9/main" objectType="CheckBox" fmlaLink="$G$23" lockText="1" noThreeD="1"/>
</file>

<file path=xl/ctrlProps/ctrlProp13.xml><?xml version="1.0" encoding="utf-8"?>
<formControlPr xmlns="http://schemas.microsoft.com/office/spreadsheetml/2009/9/main" objectType="CheckBox" fmlaLink="$G$24" lockText="1" noThreeD="1"/>
</file>

<file path=xl/ctrlProps/ctrlProp14.xml><?xml version="1.0" encoding="utf-8"?>
<formControlPr xmlns="http://schemas.microsoft.com/office/spreadsheetml/2009/9/main" objectType="CheckBox" fmlaLink="$G$25" lockText="1" noThreeD="1"/>
</file>

<file path=xl/ctrlProps/ctrlProp15.xml><?xml version="1.0" encoding="utf-8"?>
<formControlPr xmlns="http://schemas.microsoft.com/office/spreadsheetml/2009/9/main" objectType="CheckBox" fmlaLink="$G$26" lockText="1" noThreeD="1"/>
</file>

<file path=xl/ctrlProps/ctrlProp16.xml><?xml version="1.0" encoding="utf-8"?>
<formControlPr xmlns="http://schemas.microsoft.com/office/spreadsheetml/2009/9/main" objectType="CheckBox" fmlaLink="$G$27" lockText="1" noThreeD="1"/>
</file>

<file path=xl/ctrlProps/ctrlProp17.xml><?xml version="1.0" encoding="utf-8"?>
<formControlPr xmlns="http://schemas.microsoft.com/office/spreadsheetml/2009/9/main" objectType="CheckBox" fmlaLink="$G$8" lockText="1" noThreeD="1"/>
</file>

<file path=xl/ctrlProps/ctrlProp18.xml><?xml version="1.0" encoding="utf-8"?>
<formControlPr xmlns="http://schemas.microsoft.com/office/spreadsheetml/2009/9/main" objectType="CheckBox" fmlaLink="$G$7" lockText="1" noThreeD="1"/>
</file>

<file path=xl/ctrlProps/ctrlProp19.xml><?xml version="1.0" encoding="utf-8"?>
<formControlPr xmlns="http://schemas.microsoft.com/office/spreadsheetml/2009/9/main" objectType="CheckBox" fmlaLink="$G$9" lockText="1" noThreeD="1"/>
</file>

<file path=xl/ctrlProps/ctrlProp20.xml><?xml version="1.0" encoding="utf-8"?>
<formControlPr xmlns="http://schemas.microsoft.com/office/spreadsheetml/2009/9/main" objectType="CheckBox" fmlaLink="$G$10" lockText="1" noThreeD="1"/>
</file>

<file path=xl/ctrlProps/ctrlProp21.xml><?xml version="1.0" encoding="utf-8"?>
<formControlPr xmlns="http://schemas.microsoft.com/office/spreadsheetml/2009/9/main" objectType="CheckBox" fmlaLink="$G$11" lockText="1" noThreeD="1"/>
</file>

<file path=xl/ctrlProps/ctrlProp22.xml><?xml version="1.0" encoding="utf-8"?>
<formControlPr xmlns="http://schemas.microsoft.com/office/spreadsheetml/2009/9/main" objectType="CheckBox" fmlaLink="$G$13" lockText="1" noThreeD="1"/>
</file>

<file path=xl/ctrlProps/ctrlProp23.xml><?xml version="1.0" encoding="utf-8"?>
<formControlPr xmlns="http://schemas.microsoft.com/office/spreadsheetml/2009/9/main" objectType="CheckBox" fmlaLink="$G$12" lockText="1" noThreeD="1"/>
</file>

<file path=xl/ctrlProps/ctrlProp24.xml><?xml version="1.0" encoding="utf-8"?>
<formControlPr xmlns="http://schemas.microsoft.com/office/spreadsheetml/2009/9/main" objectType="CheckBox" fmlaLink="$G$19" lockText="1" noThreeD="1"/>
</file>

<file path=xl/ctrlProps/ctrlProp25.xml><?xml version="1.0" encoding="utf-8"?>
<formControlPr xmlns="http://schemas.microsoft.com/office/spreadsheetml/2009/9/main" objectType="CheckBox" fmlaLink="$G$2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781050</xdr:colOff>
          <xdr:row>29</xdr:row>
          <xdr:rowOff>95250</xdr:rowOff>
        </xdr:from>
        <xdr:to>
          <xdr:col>0</xdr:col>
          <xdr:colOff>2466975</xdr:colOff>
          <xdr:row>30</xdr:row>
          <xdr:rowOff>133350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xmlns="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1</xdr:col>
          <xdr:colOff>504825</xdr:colOff>
          <xdr:row>6</xdr:row>
          <xdr:rowOff>85725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xmlns="" id="{00000000-0008-0000-00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38100</xdr:rowOff>
        </xdr:from>
        <xdr:to>
          <xdr:col>1</xdr:col>
          <xdr:colOff>504825</xdr:colOff>
          <xdr:row>14</xdr:row>
          <xdr:rowOff>104775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xmlns="" id="{00000000-0008-0000-00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38100</xdr:rowOff>
        </xdr:from>
        <xdr:to>
          <xdr:col>1</xdr:col>
          <xdr:colOff>504825</xdr:colOff>
          <xdr:row>15</xdr:row>
          <xdr:rowOff>104775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xmlns="" id="{00000000-0008-0000-00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504825</xdr:colOff>
          <xdr:row>16</xdr:row>
          <xdr:rowOff>95250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xmlns="" id="{00000000-0008-0000-00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28575</xdr:rowOff>
        </xdr:from>
        <xdr:to>
          <xdr:col>1</xdr:col>
          <xdr:colOff>504825</xdr:colOff>
          <xdr:row>17</xdr:row>
          <xdr:rowOff>95250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xmlns="" id="{00000000-0008-0000-00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857250</xdr:colOff>
          <xdr:row>2</xdr:row>
          <xdr:rowOff>38100</xdr:rowOff>
        </xdr:from>
        <xdr:to>
          <xdr:col>0</xdr:col>
          <xdr:colOff>2219325</xdr:colOff>
          <xdr:row>2</xdr:row>
          <xdr:rowOff>247650</xdr:rowOff>
        </xdr:to>
        <xdr:sp macro="" textlink="">
          <xdr:nvSpPr>
            <xdr:cNvPr id="3250" name="Drop Dow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xmlns="" id="{00000000-0008-0000-00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857250</xdr:colOff>
          <xdr:row>3</xdr:row>
          <xdr:rowOff>38100</xdr:rowOff>
        </xdr:from>
        <xdr:to>
          <xdr:col>0</xdr:col>
          <xdr:colOff>2219325</xdr:colOff>
          <xdr:row>3</xdr:row>
          <xdr:rowOff>247650</xdr:rowOff>
        </xdr:to>
        <xdr:sp macro="" textlink="">
          <xdr:nvSpPr>
            <xdr:cNvPr id="3251" name="Drop Dow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xmlns="" id="{00000000-0008-0000-00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19050</xdr:rowOff>
        </xdr:from>
        <xdr:to>
          <xdr:col>1</xdr:col>
          <xdr:colOff>504825</xdr:colOff>
          <xdr:row>18</xdr:row>
          <xdr:rowOff>85725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xmlns="" id="{00000000-0008-0000-00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19</xdr:row>
          <xdr:rowOff>428625</xdr:rowOff>
        </xdr:from>
        <xdr:to>
          <xdr:col>3</xdr:col>
          <xdr:colOff>28575</xdr:colOff>
          <xdr:row>21</xdr:row>
          <xdr:rowOff>66675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xmlns="" id="{00000000-0008-0000-00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20</xdr:row>
          <xdr:rowOff>219075</xdr:rowOff>
        </xdr:from>
        <xdr:to>
          <xdr:col>3</xdr:col>
          <xdr:colOff>28575</xdr:colOff>
          <xdr:row>22</xdr:row>
          <xdr:rowOff>76200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xmlns="" id="{00000000-0008-0000-00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22</xdr:row>
          <xdr:rowOff>0</xdr:rowOff>
        </xdr:from>
        <xdr:to>
          <xdr:col>3</xdr:col>
          <xdr:colOff>28575</xdr:colOff>
          <xdr:row>23</xdr:row>
          <xdr:rowOff>76200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xmlns="" id="{00000000-0008-0000-00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23</xdr:row>
          <xdr:rowOff>9525</xdr:rowOff>
        </xdr:from>
        <xdr:to>
          <xdr:col>3</xdr:col>
          <xdr:colOff>28575</xdr:colOff>
          <xdr:row>24</xdr:row>
          <xdr:rowOff>85725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xmlns="" id="{00000000-0008-0000-00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24</xdr:row>
          <xdr:rowOff>9525</xdr:rowOff>
        </xdr:from>
        <xdr:to>
          <xdr:col>3</xdr:col>
          <xdr:colOff>28575</xdr:colOff>
          <xdr:row>25</xdr:row>
          <xdr:rowOff>85725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xmlns="" id="{00000000-0008-0000-00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25</xdr:row>
          <xdr:rowOff>19050</xdr:rowOff>
        </xdr:from>
        <xdr:to>
          <xdr:col>3</xdr:col>
          <xdr:colOff>28575</xdr:colOff>
          <xdr:row>26</xdr:row>
          <xdr:rowOff>95250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xmlns="" id="{00000000-0008-0000-00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26</xdr:row>
          <xdr:rowOff>19050</xdr:rowOff>
        </xdr:from>
        <xdr:to>
          <xdr:col>3</xdr:col>
          <xdr:colOff>28575</xdr:colOff>
          <xdr:row>27</xdr:row>
          <xdr:rowOff>95250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xmlns="" id="{00000000-0008-0000-00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19050</xdr:rowOff>
        </xdr:from>
        <xdr:to>
          <xdr:col>1</xdr:col>
          <xdr:colOff>504825</xdr:colOff>
          <xdr:row>8</xdr:row>
          <xdr:rowOff>95250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xmlns="" id="{00000000-0008-0000-00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9525</xdr:rowOff>
        </xdr:from>
        <xdr:to>
          <xdr:col>1</xdr:col>
          <xdr:colOff>504825</xdr:colOff>
          <xdr:row>7</xdr:row>
          <xdr:rowOff>85725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xmlns="" id="{00000000-0008-0000-00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19050</xdr:rowOff>
        </xdr:from>
        <xdr:to>
          <xdr:col>1</xdr:col>
          <xdr:colOff>504825</xdr:colOff>
          <xdr:row>9</xdr:row>
          <xdr:rowOff>95250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xmlns="" id="{00000000-0008-0000-00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28575</xdr:rowOff>
        </xdr:from>
        <xdr:to>
          <xdr:col>1</xdr:col>
          <xdr:colOff>504825</xdr:colOff>
          <xdr:row>10</xdr:row>
          <xdr:rowOff>104775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xmlns="" id="{00000000-0008-0000-00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28575</xdr:rowOff>
        </xdr:from>
        <xdr:to>
          <xdr:col>1</xdr:col>
          <xdr:colOff>504825</xdr:colOff>
          <xdr:row>11</xdr:row>
          <xdr:rowOff>104775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xmlns="" id="{00000000-0008-0000-00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38100</xdr:rowOff>
        </xdr:from>
        <xdr:to>
          <xdr:col>1</xdr:col>
          <xdr:colOff>504825</xdr:colOff>
          <xdr:row>13</xdr:row>
          <xdr:rowOff>114300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xmlns="" id="{00000000-0008-0000-00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38100</xdr:rowOff>
        </xdr:from>
        <xdr:to>
          <xdr:col>1</xdr:col>
          <xdr:colOff>504825</xdr:colOff>
          <xdr:row>12</xdr:row>
          <xdr:rowOff>114300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xmlns="" id="{00000000-0008-0000-00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38100</xdr:rowOff>
        </xdr:from>
        <xdr:to>
          <xdr:col>1</xdr:col>
          <xdr:colOff>504825</xdr:colOff>
          <xdr:row>19</xdr:row>
          <xdr:rowOff>104775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xmlns="" id="{00000000-0008-0000-00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27</xdr:row>
          <xdr:rowOff>28575</xdr:rowOff>
        </xdr:from>
        <xdr:to>
          <xdr:col>3</xdr:col>
          <xdr:colOff>28575</xdr:colOff>
          <xdr:row>28</xdr:row>
          <xdr:rowOff>104775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xmlns="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showGridLines="0" topLeftCell="B14" zoomScaleNormal="100" workbookViewId="0">
      <selection activeCell="O20" sqref="O20"/>
    </sheetView>
  </sheetViews>
  <sheetFormatPr defaultColWidth="9.140625" defaultRowHeight="12.75" x14ac:dyDescent="0.2"/>
  <cols>
    <col min="1" max="1" width="93.28515625" style="2" customWidth="1"/>
    <col min="2" max="2" width="20.140625" style="2" customWidth="1"/>
    <col min="3" max="3" width="8.5703125" style="2" customWidth="1"/>
    <col min="4" max="4" width="1.85546875" style="2" customWidth="1"/>
    <col min="5" max="5" width="2.5703125" style="2" customWidth="1"/>
    <col min="6" max="6" width="9.140625" style="2" hidden="1" customWidth="1"/>
    <col min="7" max="7" width="19.5703125" style="2" hidden="1" customWidth="1"/>
    <col min="8" max="8" width="12" style="2" hidden="1" customWidth="1"/>
    <col min="9" max="9" width="16.7109375" style="2" hidden="1" customWidth="1"/>
    <col min="10" max="10" width="17" style="2" hidden="1" customWidth="1"/>
    <col min="11" max="12" width="9.140625" style="2" customWidth="1"/>
    <col min="13" max="16384" width="9.140625" style="2"/>
  </cols>
  <sheetData>
    <row r="1" spans="1:10" ht="25.5" customHeight="1" x14ac:dyDescent="0.35">
      <c r="A1" s="49" t="s">
        <v>17</v>
      </c>
      <c r="B1" s="49"/>
      <c r="C1" s="49"/>
      <c r="D1" s="49"/>
      <c r="E1" s="49"/>
    </row>
    <row r="2" spans="1:10" ht="25.5" customHeight="1" x14ac:dyDescent="0.35">
      <c r="A2" s="10"/>
      <c r="B2" s="10"/>
      <c r="C2" s="10"/>
      <c r="D2" s="10"/>
      <c r="E2" s="10"/>
      <c r="I2" s="2">
        <v>1</v>
      </c>
      <c r="J2" s="17"/>
    </row>
    <row r="3" spans="1:10" ht="25.5" customHeight="1" x14ac:dyDescent="0.35">
      <c r="A3" s="52" t="s">
        <v>20</v>
      </c>
      <c r="B3" s="52"/>
      <c r="C3" s="52"/>
      <c r="D3" s="10"/>
      <c r="E3" s="10"/>
      <c r="H3" s="16">
        <f>G3-1</f>
        <v>-1</v>
      </c>
      <c r="I3" s="2">
        <v>2</v>
      </c>
      <c r="J3" s="17" t="s">
        <v>21</v>
      </c>
    </row>
    <row r="4" spans="1:10" ht="25.5" customHeight="1" x14ac:dyDescent="0.35">
      <c r="A4" s="52" t="s">
        <v>19</v>
      </c>
      <c r="B4" s="52"/>
      <c r="C4" s="52"/>
      <c r="D4" s="10"/>
      <c r="E4" s="10"/>
      <c r="F4" s="2">
        <f>COUNTIF(H3:H4, "&gt;0")</f>
        <v>0</v>
      </c>
      <c r="H4" s="16">
        <f>G4-1</f>
        <v>-1</v>
      </c>
      <c r="I4" s="2">
        <v>3</v>
      </c>
      <c r="J4" s="17" t="s">
        <v>22</v>
      </c>
    </row>
    <row r="5" spans="1:10" ht="21" customHeight="1" x14ac:dyDescent="0.2">
      <c r="A5" s="53" t="s">
        <v>58</v>
      </c>
      <c r="B5" s="53"/>
      <c r="C5" s="53"/>
      <c r="D5" s="53"/>
      <c r="E5" s="53"/>
      <c r="I5" s="2">
        <v>1</v>
      </c>
      <c r="J5" s="18"/>
    </row>
    <row r="6" spans="1:10" ht="18" customHeight="1" x14ac:dyDescent="0.2">
      <c r="A6" s="19" t="s">
        <v>41</v>
      </c>
      <c r="B6" s="20"/>
      <c r="C6" s="3"/>
      <c r="D6" s="3"/>
      <c r="E6" s="3"/>
      <c r="G6" s="8"/>
      <c r="H6" s="9">
        <f>IF(G6=TRUE, 1, 0)</f>
        <v>0</v>
      </c>
      <c r="I6" s="2">
        <v>2</v>
      </c>
      <c r="J6" s="18" t="s">
        <v>23</v>
      </c>
    </row>
    <row r="7" spans="1:10" ht="18" customHeight="1" x14ac:dyDescent="0.2">
      <c r="A7" s="19" t="s">
        <v>42</v>
      </c>
      <c r="B7" s="19"/>
      <c r="C7" s="3"/>
      <c r="D7" s="3"/>
      <c r="E7" s="3"/>
      <c r="G7" s="8"/>
      <c r="H7" s="9">
        <f t="shared" ref="H7:H26" si="0">IF(G7=TRUE, 1, 0)</f>
        <v>0</v>
      </c>
      <c r="I7" s="2">
        <v>3</v>
      </c>
      <c r="J7" s="18" t="s">
        <v>24</v>
      </c>
    </row>
    <row r="8" spans="1:10" ht="18" customHeight="1" x14ac:dyDescent="0.2">
      <c r="A8" s="19" t="s">
        <v>43</v>
      </c>
      <c r="B8" s="19"/>
      <c r="C8" s="3"/>
      <c r="D8" s="3"/>
      <c r="E8" s="3"/>
      <c r="G8" s="8"/>
      <c r="H8" s="9">
        <f t="shared" si="0"/>
        <v>0</v>
      </c>
      <c r="I8" s="2">
        <v>4</v>
      </c>
      <c r="J8" s="18" t="s">
        <v>25</v>
      </c>
    </row>
    <row r="9" spans="1:10" ht="18" customHeight="1" x14ac:dyDescent="0.2">
      <c r="A9" s="19" t="s">
        <v>44</v>
      </c>
      <c r="B9" s="19"/>
      <c r="C9" s="3"/>
      <c r="D9" s="3"/>
      <c r="E9" s="3"/>
      <c r="G9" s="8"/>
      <c r="H9" s="9">
        <f t="shared" si="0"/>
        <v>0</v>
      </c>
      <c r="I9" s="2">
        <v>5</v>
      </c>
      <c r="J9" s="18" t="s">
        <v>26</v>
      </c>
    </row>
    <row r="10" spans="1:10" ht="18" customHeight="1" x14ac:dyDescent="0.2">
      <c r="A10" s="19" t="s">
        <v>45</v>
      </c>
      <c r="B10" s="19"/>
      <c r="C10" s="3"/>
      <c r="D10" s="3"/>
      <c r="E10" s="3"/>
      <c r="G10" s="8"/>
      <c r="H10" s="9">
        <f t="shared" si="0"/>
        <v>0</v>
      </c>
      <c r="I10" s="2">
        <v>6</v>
      </c>
      <c r="J10" s="18" t="s">
        <v>27</v>
      </c>
    </row>
    <row r="11" spans="1:10" ht="18" customHeight="1" x14ac:dyDescent="0.2">
      <c r="A11" s="19" t="s">
        <v>46</v>
      </c>
      <c r="B11" s="19"/>
      <c r="C11" s="3"/>
      <c r="D11" s="3"/>
      <c r="E11" s="3"/>
      <c r="G11" s="8"/>
      <c r="H11" s="9">
        <f t="shared" si="0"/>
        <v>0</v>
      </c>
    </row>
    <row r="12" spans="1:10" ht="18" customHeight="1" x14ac:dyDescent="0.2">
      <c r="A12" s="19" t="s">
        <v>47</v>
      </c>
      <c r="B12" s="20"/>
      <c r="C12" s="3"/>
      <c r="D12" s="3"/>
      <c r="E12" s="3"/>
      <c r="G12" s="8"/>
      <c r="H12" s="9">
        <f t="shared" si="0"/>
        <v>0</v>
      </c>
    </row>
    <row r="13" spans="1:10" ht="18" customHeight="1" x14ac:dyDescent="0.2">
      <c r="A13" s="19" t="s">
        <v>48</v>
      </c>
      <c r="B13" s="20"/>
      <c r="C13" s="4"/>
      <c r="D13" s="3"/>
      <c r="E13" s="3"/>
      <c r="G13" s="8"/>
      <c r="H13" s="9">
        <f t="shared" si="0"/>
        <v>0</v>
      </c>
    </row>
    <row r="14" spans="1:10" ht="18" customHeight="1" x14ac:dyDescent="0.2">
      <c r="A14" s="19" t="s">
        <v>49</v>
      </c>
      <c r="B14" s="20"/>
      <c r="C14" s="3"/>
      <c r="D14" s="3"/>
      <c r="E14" s="3"/>
      <c r="G14" s="8"/>
      <c r="H14" s="9">
        <f t="shared" si="0"/>
        <v>0</v>
      </c>
    </row>
    <row r="15" spans="1:10" ht="18" customHeight="1" x14ac:dyDescent="0.2">
      <c r="A15" s="19" t="s">
        <v>50</v>
      </c>
      <c r="B15" s="20"/>
      <c r="C15" s="3"/>
      <c r="D15" s="3"/>
      <c r="E15" s="3"/>
      <c r="G15" s="8"/>
      <c r="H15" s="9">
        <f t="shared" si="0"/>
        <v>0</v>
      </c>
    </row>
    <row r="16" spans="1:10" ht="18" customHeight="1" x14ac:dyDescent="0.2">
      <c r="A16" s="19" t="s">
        <v>51</v>
      </c>
      <c r="B16" s="20"/>
      <c r="C16" s="3"/>
      <c r="D16" s="3"/>
      <c r="E16" s="3"/>
      <c r="G16" s="8"/>
      <c r="H16" s="9">
        <f t="shared" si="0"/>
        <v>0</v>
      </c>
    </row>
    <row r="17" spans="1:8" ht="18" customHeight="1" x14ac:dyDescent="0.2">
      <c r="A17" s="19" t="s">
        <v>52</v>
      </c>
      <c r="B17" s="20"/>
      <c r="C17" s="3"/>
      <c r="D17" s="3"/>
      <c r="E17" s="3"/>
      <c r="G17" s="8"/>
      <c r="H17" s="9">
        <f t="shared" si="0"/>
        <v>0</v>
      </c>
    </row>
    <row r="18" spans="1:8" ht="18" customHeight="1" x14ac:dyDescent="0.2">
      <c r="A18" s="21" t="s">
        <v>53</v>
      </c>
      <c r="B18" s="3"/>
      <c r="C18" s="3"/>
      <c r="D18" s="3"/>
      <c r="E18" s="3"/>
      <c r="H18" s="9">
        <f t="shared" si="0"/>
        <v>0</v>
      </c>
    </row>
    <row r="19" spans="1:8" ht="18" customHeight="1" x14ac:dyDescent="0.2">
      <c r="A19" s="21" t="s">
        <v>54</v>
      </c>
      <c r="B19" s="3"/>
      <c r="C19" s="3"/>
      <c r="D19" s="3"/>
      <c r="E19" s="3"/>
      <c r="F19" s="2">
        <f>COUNTIF(H6:H19,"&gt;0")</f>
        <v>0</v>
      </c>
      <c r="H19" s="22"/>
    </row>
    <row r="20" spans="1:8" ht="35.25" customHeight="1" x14ac:dyDescent="0.2">
      <c r="A20" s="53" t="s">
        <v>78</v>
      </c>
      <c r="B20" s="53"/>
      <c r="C20" s="53"/>
      <c r="D20" s="53"/>
      <c r="E20" s="53"/>
      <c r="G20" s="8"/>
      <c r="H20" s="8"/>
    </row>
    <row r="21" spans="1:8" ht="17.25" customHeight="1" x14ac:dyDescent="0.2">
      <c r="A21" s="54" t="s">
        <v>69</v>
      </c>
      <c r="B21" s="54"/>
      <c r="C21" s="3"/>
      <c r="D21" s="3"/>
      <c r="E21" s="3"/>
      <c r="G21" s="8"/>
      <c r="H21" s="9">
        <f t="shared" si="0"/>
        <v>0</v>
      </c>
    </row>
    <row r="22" spans="1:8" ht="17.25" customHeight="1" x14ac:dyDescent="0.2">
      <c r="A22" s="54" t="s">
        <v>70</v>
      </c>
      <c r="B22" s="54"/>
      <c r="C22" s="3"/>
      <c r="D22" s="3"/>
      <c r="E22" s="3"/>
      <c r="G22" s="8"/>
      <c r="H22" s="9">
        <f t="shared" si="0"/>
        <v>0</v>
      </c>
    </row>
    <row r="23" spans="1:8" ht="17.25" customHeight="1" x14ac:dyDescent="0.2">
      <c r="A23" s="54" t="s">
        <v>71</v>
      </c>
      <c r="B23" s="54"/>
      <c r="C23" s="4"/>
      <c r="D23" s="3"/>
      <c r="E23" s="3"/>
      <c r="G23" s="8"/>
      <c r="H23" s="9">
        <f t="shared" si="0"/>
        <v>0</v>
      </c>
    </row>
    <row r="24" spans="1:8" ht="17.25" customHeight="1" x14ac:dyDescent="0.2">
      <c r="A24" s="54" t="s">
        <v>72</v>
      </c>
      <c r="B24" s="54"/>
      <c r="C24" s="3"/>
      <c r="D24" s="3"/>
      <c r="E24" s="3"/>
      <c r="G24" s="8"/>
      <c r="H24" s="9">
        <f t="shared" si="0"/>
        <v>0</v>
      </c>
    </row>
    <row r="25" spans="1:8" ht="17.25" customHeight="1" x14ac:dyDescent="0.2">
      <c r="A25" s="54" t="s">
        <v>73</v>
      </c>
      <c r="B25" s="54"/>
      <c r="C25" s="3"/>
      <c r="D25" s="3"/>
      <c r="E25" s="3"/>
      <c r="G25" s="8"/>
      <c r="H25" s="9">
        <f t="shared" si="0"/>
        <v>0</v>
      </c>
    </row>
    <row r="26" spans="1:8" ht="17.25" customHeight="1" x14ac:dyDescent="0.2">
      <c r="A26" s="54" t="s">
        <v>74</v>
      </c>
      <c r="B26" s="54"/>
      <c r="C26" s="3"/>
      <c r="D26" s="3"/>
      <c r="E26" s="3"/>
      <c r="G26" s="8"/>
      <c r="H26" s="9">
        <f t="shared" si="0"/>
        <v>0</v>
      </c>
    </row>
    <row r="27" spans="1:8" ht="17.25" customHeight="1" x14ac:dyDescent="0.2">
      <c r="A27" s="54" t="s">
        <v>75</v>
      </c>
      <c r="B27" s="54"/>
      <c r="C27" s="3"/>
      <c r="D27" s="3"/>
      <c r="E27" s="3"/>
      <c r="G27" s="8"/>
      <c r="H27" s="9">
        <f>IF(G27=TRUE, 1, 0)</f>
        <v>0</v>
      </c>
    </row>
    <row r="28" spans="1:8" ht="17.25" customHeight="1" x14ac:dyDescent="0.2">
      <c r="A28" s="3"/>
      <c r="B28" s="21" t="s">
        <v>55</v>
      </c>
      <c r="C28" s="3"/>
      <c r="D28" s="3"/>
      <c r="E28" s="3"/>
      <c r="F28" s="2">
        <f>COUNTIF(H21:H28,"&gt;0")</f>
        <v>0</v>
      </c>
      <c r="G28" s="8"/>
      <c r="H28" s="9">
        <f>IF(G28=TRUE, 1, 0)</f>
        <v>0</v>
      </c>
    </row>
    <row r="29" spans="1:8" ht="15.75" customHeight="1" x14ac:dyDescent="0.2">
      <c r="A29" s="3"/>
      <c r="B29" s="3"/>
      <c r="C29" s="3"/>
      <c r="D29" s="3"/>
      <c r="E29" s="3"/>
    </row>
    <row r="30" spans="1:8" ht="15.75" customHeight="1" x14ac:dyDescent="0.2">
      <c r="A30" s="3"/>
      <c r="B30" s="3"/>
      <c r="C30" s="3"/>
      <c r="D30" s="3"/>
      <c r="E30" s="3"/>
      <c r="F30" s="2">
        <f>IF(AND(F28&gt;0,F19&gt;0,F4=2),1,0)</f>
        <v>0</v>
      </c>
    </row>
    <row r="31" spans="1:8" ht="15.75" customHeight="1" x14ac:dyDescent="0.2">
      <c r="A31" s="3"/>
      <c r="B31" s="5"/>
      <c r="C31" s="3"/>
      <c r="D31" s="3"/>
      <c r="E31" s="3"/>
    </row>
    <row r="32" spans="1:8" ht="7.5" customHeight="1" x14ac:dyDescent="0.2">
      <c r="A32" s="3"/>
      <c r="B32" s="3"/>
      <c r="C32" s="3"/>
      <c r="D32" s="3"/>
      <c r="E32" s="3"/>
    </row>
    <row r="33" spans="1:5" ht="19.5" customHeight="1" x14ac:dyDescent="0.2">
      <c r="A33" s="50" t="str">
        <f>'individual classification'!$C$33</f>
        <v>Incomplete</v>
      </c>
      <c r="B33" s="50"/>
      <c r="C33" s="51"/>
      <c r="D33" s="3"/>
      <c r="E33" s="3"/>
    </row>
    <row r="34" spans="1:5" ht="6.75" customHeight="1" x14ac:dyDescent="0.2">
      <c r="A34" s="3"/>
      <c r="B34" s="3"/>
      <c r="C34" s="3"/>
      <c r="D34" s="3"/>
      <c r="E34" s="3"/>
    </row>
    <row r="35" spans="1:5" x14ac:dyDescent="0.2">
      <c r="A35" s="3"/>
      <c r="B35" s="3"/>
      <c r="C35" s="3"/>
      <c r="D35" s="3"/>
      <c r="E35" s="3"/>
    </row>
  </sheetData>
  <mergeCells count="13">
    <mergeCell ref="A1:E1"/>
    <mergeCell ref="A33:C33"/>
    <mergeCell ref="A3:C3"/>
    <mergeCell ref="A4:C4"/>
    <mergeCell ref="A5:E5"/>
    <mergeCell ref="A20:E20"/>
    <mergeCell ref="A26:B26"/>
    <mergeCell ref="A27:B27"/>
    <mergeCell ref="A21:B21"/>
    <mergeCell ref="A22:B22"/>
    <mergeCell ref="A23:B23"/>
    <mergeCell ref="A24:B24"/>
    <mergeCell ref="A25:B25"/>
  </mergeCells>
  <conditionalFormatting sqref="A33">
    <cfRule type="containsText" dxfId="3" priority="10" operator="containsText" text="Incomplete">
      <formula>NOT(ISERROR(SEARCH("Incomplete",A33)))</formula>
    </cfRule>
  </conditionalFormatting>
  <conditionalFormatting sqref="H6:H19">
    <cfRule type="cellIs" dxfId="2" priority="5" operator="greaterThan">
      <formula>5</formula>
    </cfRule>
  </conditionalFormatting>
  <conditionalFormatting sqref="H21:H27">
    <cfRule type="cellIs" dxfId="1" priority="3" operator="greaterThan">
      <formula>5</formula>
    </cfRule>
  </conditionalFormatting>
  <conditionalFormatting sqref="H28">
    <cfRule type="cellIs" dxfId="0" priority="1" operator="greaterThan">
      <formula>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6" r:id="rId4" name="Button 24">
              <controlPr defaultSize="0" print="0" autoFill="0" autoPict="0" macro="[0]!clearall">
                <anchor moveWithCells="1" sizeWithCells="1">
                  <from>
                    <xdr:col>0</xdr:col>
                    <xdr:colOff>781050</xdr:colOff>
                    <xdr:row>29</xdr:row>
                    <xdr:rowOff>95250</xdr:rowOff>
                  </from>
                  <to>
                    <xdr:col>0</xdr:col>
                    <xdr:colOff>2466975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5" name="Check Box 172">
              <controlPr defaultSize="0" autoFill="0" autoLine="0" autoPict="0">
                <anchor moveWithCells="1">
                  <from>
                    <xdr:col>1</xdr:col>
                    <xdr:colOff>47625</xdr:colOff>
                    <xdr:row>5</xdr:row>
                    <xdr:rowOff>9525</xdr:rowOff>
                  </from>
                  <to>
                    <xdr:col>1</xdr:col>
                    <xdr:colOff>504825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6" name="Check Box 17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38100</xdr:rowOff>
                  </from>
                  <to>
                    <xdr:col>1</xdr:col>
                    <xdr:colOff>504825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7" name="Check Box 17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38100</xdr:rowOff>
                  </from>
                  <to>
                    <xdr:col>1</xdr:col>
                    <xdr:colOff>504825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8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504825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9" name="Check Box 177">
              <controlPr defaultSize="0" autoFill="0" autoLine="0" autoPict="0">
                <anchor moveWithCells="1">
                  <from>
                    <xdr:col>1</xdr:col>
                    <xdr:colOff>47625</xdr:colOff>
                    <xdr:row>16</xdr:row>
                    <xdr:rowOff>28575</xdr:rowOff>
                  </from>
                  <to>
                    <xdr:col>1</xdr:col>
                    <xdr:colOff>504825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" name="Drop Down 178">
              <controlPr defaultSize="0" autoLine="0" autoPict="0">
                <anchor moveWithCells="1">
                  <from>
                    <xdr:col>0</xdr:col>
                    <xdr:colOff>857250</xdr:colOff>
                    <xdr:row>2</xdr:row>
                    <xdr:rowOff>38100</xdr:rowOff>
                  </from>
                  <to>
                    <xdr:col>0</xdr:col>
                    <xdr:colOff>2219325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1" name="Drop Down 179">
              <controlPr defaultSize="0" autoLine="0" autoPict="0">
                <anchor moveWithCells="1">
                  <from>
                    <xdr:col>0</xdr:col>
                    <xdr:colOff>857250</xdr:colOff>
                    <xdr:row>3</xdr:row>
                    <xdr:rowOff>38100</xdr:rowOff>
                  </from>
                  <to>
                    <xdr:col>0</xdr:col>
                    <xdr:colOff>2219325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2" name="Check Box 181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19050</xdr:rowOff>
                  </from>
                  <to>
                    <xdr:col>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3" name="Check Box 182">
              <controlPr defaultSize="0" autoFill="0" autoLine="0" autoPict="0">
                <anchor moveWithCells="1">
                  <from>
                    <xdr:col>2</xdr:col>
                    <xdr:colOff>142875</xdr:colOff>
                    <xdr:row>19</xdr:row>
                    <xdr:rowOff>428625</xdr:rowOff>
                  </from>
                  <to>
                    <xdr:col>3</xdr:col>
                    <xdr:colOff>28575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4" name="Check Box 183">
              <controlPr defaultSize="0" autoFill="0" autoLine="0" autoPict="0">
                <anchor moveWithCells="1">
                  <from>
                    <xdr:col>2</xdr:col>
                    <xdr:colOff>142875</xdr:colOff>
                    <xdr:row>20</xdr:row>
                    <xdr:rowOff>219075</xdr:rowOff>
                  </from>
                  <to>
                    <xdr:col>3</xdr:col>
                    <xdr:colOff>28575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5" name="Check Box 184">
              <controlPr defaultSize="0" autoFill="0" autoLine="0" autoPict="0">
                <anchor moveWithCells="1">
                  <from>
                    <xdr:col>2</xdr:col>
                    <xdr:colOff>142875</xdr:colOff>
                    <xdr:row>22</xdr:row>
                    <xdr:rowOff>0</xdr:rowOff>
                  </from>
                  <to>
                    <xdr:col>3</xdr:col>
                    <xdr:colOff>28575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6" name="Check Box 185">
              <controlPr defaultSize="0" autoFill="0" autoLine="0" autoPict="0">
                <anchor moveWithCells="1">
                  <from>
                    <xdr:col>2</xdr:col>
                    <xdr:colOff>142875</xdr:colOff>
                    <xdr:row>23</xdr:row>
                    <xdr:rowOff>9525</xdr:rowOff>
                  </from>
                  <to>
                    <xdr:col>3</xdr:col>
                    <xdr:colOff>28575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7" name="Check Box 186">
              <controlPr defaultSize="0" autoFill="0" autoLine="0" autoPict="0">
                <anchor moveWithCells="1">
                  <from>
                    <xdr:col>2</xdr:col>
                    <xdr:colOff>142875</xdr:colOff>
                    <xdr:row>24</xdr:row>
                    <xdr:rowOff>9525</xdr:rowOff>
                  </from>
                  <to>
                    <xdr:col>3</xdr:col>
                    <xdr:colOff>28575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8" name="Check Box 187">
              <controlPr defaultSize="0" autoFill="0" autoLine="0" autoPict="0">
                <anchor moveWithCells="1">
                  <from>
                    <xdr:col>2</xdr:col>
                    <xdr:colOff>142875</xdr:colOff>
                    <xdr:row>25</xdr:row>
                    <xdr:rowOff>19050</xdr:rowOff>
                  </from>
                  <to>
                    <xdr:col>3</xdr:col>
                    <xdr:colOff>28575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" name="Check Box 188">
              <controlPr defaultSize="0" autoFill="0" autoLine="0" autoPict="0">
                <anchor moveWithCells="1">
                  <from>
                    <xdr:col>2</xdr:col>
                    <xdr:colOff>142875</xdr:colOff>
                    <xdr:row>26</xdr:row>
                    <xdr:rowOff>19050</xdr:rowOff>
                  </from>
                  <to>
                    <xdr:col>3</xdr:col>
                    <xdr:colOff>28575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20" name="Check Box 189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19050</xdr:rowOff>
                  </from>
                  <to>
                    <xdr:col>1</xdr:col>
                    <xdr:colOff>504825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21" name="Check Box 190">
              <controlPr defaultSize="0" autoFill="0" autoLine="0" autoPict="0">
                <anchor moveWithCells="1">
                  <from>
                    <xdr:col>1</xdr:col>
                    <xdr:colOff>47625</xdr:colOff>
                    <xdr:row>6</xdr:row>
                    <xdr:rowOff>9525</xdr:rowOff>
                  </from>
                  <to>
                    <xdr:col>1</xdr:col>
                    <xdr:colOff>504825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22" name="Check Box 191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19050</xdr:rowOff>
                  </from>
                  <to>
                    <xdr:col>1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23" name="Check Box 192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28575</xdr:rowOff>
                  </from>
                  <to>
                    <xdr:col>1</xdr:col>
                    <xdr:colOff>504825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24" name="Check Box 193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28575</xdr:rowOff>
                  </from>
                  <to>
                    <xdr:col>1</xdr:col>
                    <xdr:colOff>504825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25" name="Check Box 194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38100</xdr:rowOff>
                  </from>
                  <to>
                    <xdr:col>1</xdr:col>
                    <xdr:colOff>504825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26" name="Check Box 195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38100</xdr:rowOff>
                  </from>
                  <to>
                    <xdr:col>1</xdr:col>
                    <xdr:colOff>504825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27" name="Check Box 196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38100</xdr:rowOff>
                  </from>
                  <to>
                    <xdr:col>1</xdr:col>
                    <xdr:colOff>504825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8" name="Check Box 197">
              <controlPr defaultSize="0" autoFill="0" autoLine="0" autoPict="0">
                <anchor moveWithCells="1">
                  <from>
                    <xdr:col>2</xdr:col>
                    <xdr:colOff>142875</xdr:colOff>
                    <xdr:row>27</xdr:row>
                    <xdr:rowOff>28575</xdr:rowOff>
                  </from>
                  <to>
                    <xdr:col>3</xdr:col>
                    <xdr:colOff>28575</xdr:colOff>
                    <xdr:row>28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45"/>
  <sheetViews>
    <sheetView tabSelected="1" topLeftCell="A31" workbookViewId="0">
      <selection activeCell="B46" sqref="B46"/>
    </sheetView>
  </sheetViews>
  <sheetFormatPr defaultRowHeight="15" x14ac:dyDescent="0.25"/>
  <cols>
    <col min="2" max="2" width="101.85546875" bestFit="1" customWidth="1"/>
    <col min="12" max="12" width="9.42578125" customWidth="1"/>
  </cols>
  <sheetData>
    <row r="1" spans="2:9" ht="15.75" thickBot="1" x14ac:dyDescent="0.3">
      <c r="B1" s="55" t="s">
        <v>11</v>
      </c>
      <c r="C1" s="55"/>
      <c r="D1" s="55"/>
      <c r="E1" s="55"/>
      <c r="F1" s="55"/>
      <c r="G1" s="55"/>
      <c r="H1" s="55"/>
    </row>
    <row r="2" spans="2:9" ht="15.75" customHeight="1" thickTop="1" x14ac:dyDescent="0.25">
      <c r="B2" s="59" t="s">
        <v>0</v>
      </c>
      <c r="C2" s="56" t="s">
        <v>56</v>
      </c>
      <c r="D2" s="57"/>
      <c r="E2" s="57"/>
      <c r="F2" s="57"/>
      <c r="G2" s="57"/>
      <c r="H2" s="58"/>
    </row>
    <row r="3" spans="2:9" ht="15.75" thickBot="1" x14ac:dyDescent="0.3">
      <c r="B3" s="60"/>
      <c r="C3" s="23" t="s">
        <v>12</v>
      </c>
      <c r="D3" s="24" t="s">
        <v>13</v>
      </c>
      <c r="E3" s="24" t="s">
        <v>14</v>
      </c>
      <c r="F3" s="24" t="s">
        <v>15</v>
      </c>
      <c r="G3" s="24" t="s">
        <v>16</v>
      </c>
      <c r="H3" s="25" t="s">
        <v>57</v>
      </c>
    </row>
    <row r="4" spans="2:9" ht="15.75" thickTop="1" x14ac:dyDescent="0.25">
      <c r="B4" s="26" t="s">
        <v>18</v>
      </c>
      <c r="C4" s="27">
        <v>32.910025521734767</v>
      </c>
      <c r="D4" s="28">
        <v>31.439024344183572</v>
      </c>
      <c r="E4" s="28">
        <v>33.553583306006971</v>
      </c>
      <c r="F4" s="28">
        <v>32.140823230158148</v>
      </c>
      <c r="G4" s="28">
        <v>32.965049745039451</v>
      </c>
      <c r="H4" s="29">
        <v>15.793633399429776</v>
      </c>
      <c r="I4">
        <f>'individual tool'!H3</f>
        <v>-1</v>
      </c>
    </row>
    <row r="5" spans="2:9" x14ac:dyDescent="0.25">
      <c r="B5" s="30" t="s">
        <v>19</v>
      </c>
      <c r="C5" s="31">
        <v>4.1319718055494876</v>
      </c>
      <c r="D5" s="32">
        <v>2.2480861657359297</v>
      </c>
      <c r="E5" s="32">
        <v>1.7912110472440943</v>
      </c>
      <c r="F5" s="32">
        <v>4.2006285174350131</v>
      </c>
      <c r="G5" s="32">
        <v>3.3920368374634742</v>
      </c>
      <c r="H5" s="33">
        <v>3.3261808094384073</v>
      </c>
      <c r="I5">
        <f>'individual tool'!H4</f>
        <v>-1</v>
      </c>
    </row>
    <row r="6" spans="2:9" x14ac:dyDescent="0.25">
      <c r="B6" s="30" t="s">
        <v>28</v>
      </c>
      <c r="C6" s="31">
        <v>1.7210335779223971</v>
      </c>
      <c r="D6" s="32">
        <v>0.26458688129254831</v>
      </c>
      <c r="E6" s="32">
        <v>0.91622513925757043</v>
      </c>
      <c r="F6" s="32">
        <v>1.2210356248732461</v>
      </c>
      <c r="G6" s="32">
        <v>0.38192842103930413</v>
      </c>
      <c r="H6" s="33">
        <v>0.45827571354339719</v>
      </c>
      <c r="I6">
        <f>'individual tool'!H6</f>
        <v>0</v>
      </c>
    </row>
    <row r="7" spans="2:9" x14ac:dyDescent="0.25">
      <c r="B7" s="30" t="s">
        <v>29</v>
      </c>
      <c r="C7" s="31">
        <v>2.8325743462200452</v>
      </c>
      <c r="D7" s="32">
        <v>0.64891991851800124</v>
      </c>
      <c r="E7" s="32">
        <v>1.5241867712950297</v>
      </c>
      <c r="F7" s="32">
        <v>1.4263029975997714</v>
      </c>
      <c r="G7" s="32">
        <v>0.76055207131071356</v>
      </c>
      <c r="H7" s="33">
        <v>1.0653210289307133</v>
      </c>
      <c r="I7">
        <f>'individual tool'!H7</f>
        <v>0</v>
      </c>
    </row>
    <row r="8" spans="2:9" x14ac:dyDescent="0.25">
      <c r="B8" s="30" t="s">
        <v>30</v>
      </c>
      <c r="C8" s="31">
        <v>1.3874160642238804</v>
      </c>
      <c r="D8" s="32">
        <v>0.11164825051409764</v>
      </c>
      <c r="E8" s="32">
        <v>1.5608163509118878</v>
      </c>
      <c r="F8" s="32">
        <v>0.65531957896591875</v>
      </c>
      <c r="G8" s="32">
        <v>-5.4125878504978978E-2</v>
      </c>
      <c r="H8" s="33">
        <v>-4.6168331796220506E-2</v>
      </c>
      <c r="I8">
        <f>'individual tool'!H8</f>
        <v>0</v>
      </c>
    </row>
    <row r="9" spans="2:9" x14ac:dyDescent="0.25">
      <c r="B9" s="30" t="s">
        <v>31</v>
      </c>
      <c r="C9" s="31">
        <v>-0.34755460572206337</v>
      </c>
      <c r="D9" s="32">
        <v>-5.7512330295904857E-2</v>
      </c>
      <c r="E9" s="32">
        <v>-0.23767126469269342</v>
      </c>
      <c r="F9" s="32">
        <v>-6.9640691094080068E-2</v>
      </c>
      <c r="G9" s="32">
        <v>-0.12638849134064545</v>
      </c>
      <c r="H9" s="33">
        <v>0.31235479181791675</v>
      </c>
      <c r="I9">
        <f>'individual tool'!H9</f>
        <v>0</v>
      </c>
    </row>
    <row r="10" spans="2:9" x14ac:dyDescent="0.25">
      <c r="B10" s="30" t="s">
        <v>32</v>
      </c>
      <c r="C10" s="31">
        <v>1.0124625728848751</v>
      </c>
      <c r="D10" s="32">
        <v>1.5227062653344798</v>
      </c>
      <c r="E10" s="32">
        <v>1.5107928994223783</v>
      </c>
      <c r="F10" s="32">
        <v>9.2533499202708551</v>
      </c>
      <c r="G10" s="32">
        <v>1.2262366030928127</v>
      </c>
      <c r="H10" s="33">
        <v>1.4008770514553677</v>
      </c>
      <c r="I10">
        <f>'individual tool'!H10</f>
        <v>0</v>
      </c>
    </row>
    <row r="11" spans="2:9" x14ac:dyDescent="0.25">
      <c r="B11" s="30" t="s">
        <v>33</v>
      </c>
      <c r="C11" s="31">
        <v>1.4113815309469948</v>
      </c>
      <c r="D11" s="32">
        <v>1.2521723656915573</v>
      </c>
      <c r="E11" s="32">
        <v>1.8639592119786697</v>
      </c>
      <c r="F11" s="32">
        <v>0.77814222056581939</v>
      </c>
      <c r="G11" s="32">
        <v>1.4162972567751824</v>
      </c>
      <c r="H11" s="33">
        <v>1.2639814490889105</v>
      </c>
      <c r="I11">
        <f>'individual tool'!H11</f>
        <v>0</v>
      </c>
    </row>
    <row r="12" spans="2:9" x14ac:dyDescent="0.25">
      <c r="B12" s="30" t="s">
        <v>34</v>
      </c>
      <c r="C12" s="31">
        <v>3.67368190250534</v>
      </c>
      <c r="D12" s="32">
        <v>3.7259091718139286</v>
      </c>
      <c r="E12" s="32">
        <v>3.3958691924041551</v>
      </c>
      <c r="F12" s="32">
        <v>13.418399658327139</v>
      </c>
      <c r="G12" s="32">
        <v>4.0256641609894013</v>
      </c>
      <c r="H12" s="33">
        <v>3.17337522198501</v>
      </c>
      <c r="I12">
        <f>'individual tool'!H12</f>
        <v>0</v>
      </c>
    </row>
    <row r="13" spans="2:9" x14ac:dyDescent="0.25">
      <c r="B13" s="30" t="s">
        <v>35</v>
      </c>
      <c r="C13" s="31">
        <v>-0.51501509791102829</v>
      </c>
      <c r="D13" s="32">
        <v>0.85418017646517375</v>
      </c>
      <c r="E13" s="32">
        <v>2.4366014382851738E-2</v>
      </c>
      <c r="F13" s="32">
        <v>0.66856619773432224</v>
      </c>
      <c r="G13" s="32">
        <v>0.29293959504795875</v>
      </c>
      <c r="H13" s="33">
        <v>0.71924936025510855</v>
      </c>
      <c r="I13">
        <f>'individual tool'!H13</f>
        <v>0</v>
      </c>
    </row>
    <row r="14" spans="2:9" x14ac:dyDescent="0.25">
      <c r="B14" s="30" t="s">
        <v>36</v>
      </c>
      <c r="C14" s="31">
        <v>0.20073495733005303</v>
      </c>
      <c r="D14" s="32">
        <v>-0.39561559292047754</v>
      </c>
      <c r="E14" s="32">
        <v>0.31822764518447322</v>
      </c>
      <c r="F14" s="32">
        <v>-0.15516926769422629</v>
      </c>
      <c r="G14" s="32">
        <v>0.73161803096032729</v>
      </c>
      <c r="H14" s="33">
        <v>0.22700868978149871</v>
      </c>
      <c r="I14">
        <f>'individual tool'!H14</f>
        <v>0</v>
      </c>
    </row>
    <row r="15" spans="2:9" x14ac:dyDescent="0.25">
      <c r="B15" s="30" t="s">
        <v>37</v>
      </c>
      <c r="C15" s="31">
        <v>6.1244375040448017E-2</v>
      </c>
      <c r="D15" s="32">
        <v>-0.95664334551969299</v>
      </c>
      <c r="E15" s="32">
        <v>0.11539092665538567</v>
      </c>
      <c r="F15" s="32">
        <v>-0.85763686469548039</v>
      </c>
      <c r="G15" s="32">
        <v>0.12014522299727037</v>
      </c>
      <c r="H15" s="33">
        <v>-0.11120224989771968</v>
      </c>
      <c r="I15">
        <f>'individual tool'!H15</f>
        <v>0</v>
      </c>
    </row>
    <row r="16" spans="2:9" x14ac:dyDescent="0.25">
      <c r="B16" s="30" t="s">
        <v>38</v>
      </c>
      <c r="C16" s="31">
        <v>-2.5998283712700689</v>
      </c>
      <c r="D16" s="32">
        <v>-0.84323105205866222</v>
      </c>
      <c r="E16" s="32">
        <v>-0.45972362156950469</v>
      </c>
      <c r="F16" s="32">
        <v>-1.4679140080357016</v>
      </c>
      <c r="G16" s="32">
        <v>-2.2786158154787359</v>
      </c>
      <c r="H16" s="33">
        <v>-1.8440777247085325</v>
      </c>
      <c r="I16">
        <f>'individual tool'!H16</f>
        <v>0</v>
      </c>
    </row>
    <row r="17" spans="2:9" x14ac:dyDescent="0.25">
      <c r="B17" s="30" t="s">
        <v>39</v>
      </c>
      <c r="C17" s="31">
        <v>2.7689737539409247</v>
      </c>
      <c r="D17" s="32">
        <v>1.0160488214531787</v>
      </c>
      <c r="E17" s="32">
        <v>1.1804734027783756</v>
      </c>
      <c r="F17" s="32">
        <v>2.3469393024290079</v>
      </c>
      <c r="G17" s="32">
        <v>1.4202617732392848</v>
      </c>
      <c r="H17" s="33">
        <v>1.4466316440588558</v>
      </c>
      <c r="I17">
        <f>'individual tool'!H17</f>
        <v>0</v>
      </c>
    </row>
    <row r="18" spans="2:9" x14ac:dyDescent="0.25">
      <c r="B18" s="30" t="s">
        <v>40</v>
      </c>
      <c r="C18" s="31">
        <v>-0.84810455104575999</v>
      </c>
      <c r="D18" s="32">
        <v>-0.58224411829134659</v>
      </c>
      <c r="E18" s="32">
        <v>-0.23617003031642023</v>
      </c>
      <c r="F18" s="32">
        <v>-0.75536890619871278</v>
      </c>
      <c r="G18" s="32">
        <v>7.367215597444075E-3</v>
      </c>
      <c r="H18" s="33">
        <v>-0.39574592485780136</v>
      </c>
      <c r="I18">
        <f>'individual tool'!H18</f>
        <v>0</v>
      </c>
    </row>
    <row r="19" spans="2:9" x14ac:dyDescent="0.25">
      <c r="B19" s="30" t="s">
        <v>69</v>
      </c>
      <c r="C19" s="31">
        <v>3.4818543244645563</v>
      </c>
      <c r="D19" s="32">
        <v>1.7444885029343826</v>
      </c>
      <c r="E19" s="32">
        <v>2.6958377909948439</v>
      </c>
      <c r="F19" s="32">
        <v>5.1427414949604264</v>
      </c>
      <c r="G19" s="32">
        <v>3.02033700811648</v>
      </c>
      <c r="H19" s="33">
        <v>2.9957318106215025</v>
      </c>
      <c r="I19">
        <f>'individual tool'!H21</f>
        <v>0</v>
      </c>
    </row>
    <row r="20" spans="2:9" x14ac:dyDescent="0.25">
      <c r="B20" s="30" t="s">
        <v>70</v>
      </c>
      <c r="C20" s="31">
        <v>1.0742349694307394</v>
      </c>
      <c r="D20" s="32">
        <v>0.74493597758974328</v>
      </c>
      <c r="E20" s="32">
        <v>1.2684610240066538</v>
      </c>
      <c r="F20" s="32">
        <v>-7.9133747182872444E-2</v>
      </c>
      <c r="G20" s="32">
        <v>0.822181639574599</v>
      </c>
      <c r="H20" s="33">
        <v>1.1642390209259299</v>
      </c>
      <c r="I20">
        <f>'individual tool'!H22</f>
        <v>0</v>
      </c>
    </row>
    <row r="21" spans="2:9" x14ac:dyDescent="0.25">
      <c r="B21" s="30" t="s">
        <v>71</v>
      </c>
      <c r="C21" s="31">
        <v>6.4227710590516587</v>
      </c>
      <c r="D21" s="32">
        <v>4.4528462515042628</v>
      </c>
      <c r="E21" s="32">
        <v>6.1499379245430381</v>
      </c>
      <c r="F21" s="32">
        <v>3.4803019287620969</v>
      </c>
      <c r="G21" s="32">
        <v>6.3191937264329603</v>
      </c>
      <c r="H21" s="33">
        <v>6.2657678085344246</v>
      </c>
      <c r="I21">
        <f>'individual tool'!H23</f>
        <v>0</v>
      </c>
    </row>
    <row r="22" spans="2:9" x14ac:dyDescent="0.25">
      <c r="B22" s="30" t="s">
        <v>72</v>
      </c>
      <c r="C22" s="31">
        <v>-1.525045420466185</v>
      </c>
      <c r="D22" s="32">
        <v>-1.5972448120775491</v>
      </c>
      <c r="E22" s="32">
        <v>-1.9786971145775589</v>
      </c>
      <c r="F22" s="32">
        <v>-1.1575048835847461</v>
      </c>
      <c r="G22" s="32">
        <v>1.1656942068864158</v>
      </c>
      <c r="H22" s="33">
        <v>0.68500559992690502</v>
      </c>
      <c r="I22">
        <f>'individual tool'!H24</f>
        <v>0</v>
      </c>
    </row>
    <row r="23" spans="2:9" x14ac:dyDescent="0.25">
      <c r="B23" s="30" t="s">
        <v>73</v>
      </c>
      <c r="C23" s="31">
        <v>0.34821998660640657</v>
      </c>
      <c r="D23" s="32">
        <v>1.2314003949545171</v>
      </c>
      <c r="E23" s="32">
        <v>1.5514666060547972</v>
      </c>
      <c r="F23" s="32">
        <v>0.65963399430317649</v>
      </c>
      <c r="G23" s="32">
        <v>0.61020968463574532</v>
      </c>
      <c r="H23" s="33">
        <v>0.32080359143669696</v>
      </c>
      <c r="I23">
        <f>'individual tool'!H25</f>
        <v>0</v>
      </c>
    </row>
    <row r="24" spans="2:9" x14ac:dyDescent="0.25">
      <c r="B24" s="30" t="s">
        <v>74</v>
      </c>
      <c r="C24" s="31">
        <v>-1.9265875371589386E-3</v>
      </c>
      <c r="D24" s="32">
        <v>-0.40533994875061385</v>
      </c>
      <c r="E24" s="32">
        <v>-0.56307363561461199</v>
      </c>
      <c r="F24" s="32">
        <v>0.28702875662605953</v>
      </c>
      <c r="G24" s="32">
        <v>1.2573232786322492</v>
      </c>
      <c r="H24" s="33">
        <v>0.83705662386479485</v>
      </c>
      <c r="I24">
        <f>'individual tool'!H26</f>
        <v>0</v>
      </c>
    </row>
    <row r="25" spans="2:9" x14ac:dyDescent="0.25">
      <c r="B25" s="30" t="s">
        <v>75</v>
      </c>
      <c r="C25" s="31">
        <v>0.30116396603346146</v>
      </c>
      <c r="D25" s="32">
        <v>0.72424338142405575</v>
      </c>
      <c r="E25" s="32">
        <v>1.1073825478450567</v>
      </c>
      <c r="F25" s="32">
        <v>-7.4633000223339449E-2</v>
      </c>
      <c r="G25" s="32">
        <v>0.26470388141532386</v>
      </c>
      <c r="H25" s="33">
        <v>8.9114086603135148E-2</v>
      </c>
      <c r="I25">
        <f>'individual tool'!H27</f>
        <v>0</v>
      </c>
    </row>
    <row r="26" spans="2:9" ht="15.75" thickBot="1" x14ac:dyDescent="0.3">
      <c r="B26" s="34" t="s">
        <v>1</v>
      </c>
      <c r="C26" s="35">
        <v>-49.12272534143483</v>
      </c>
      <c r="D26" s="36">
        <v>-36.514029388465531</v>
      </c>
      <c r="E26" s="36">
        <v>-44.639843068043824</v>
      </c>
      <c r="F26" s="36">
        <v>-51.578889182477603</v>
      </c>
      <c r="G26" s="36">
        <v>-47.741473633885199</v>
      </c>
      <c r="H26" s="37">
        <v>-19.739516238059196</v>
      </c>
      <c r="I26" s="38">
        <v>1</v>
      </c>
    </row>
    <row r="27" spans="2:9" ht="15.75" thickTop="1" x14ac:dyDescent="0.25">
      <c r="B27" s="61" t="s">
        <v>76</v>
      </c>
      <c r="C27" s="61"/>
      <c r="D27" s="61"/>
      <c r="E27" s="61"/>
      <c r="F27" s="61"/>
      <c r="G27" s="61"/>
      <c r="H27" s="61"/>
    </row>
    <row r="28" spans="2:9" ht="48.75" x14ac:dyDescent="0.25">
      <c r="C28" s="48" t="s">
        <v>64</v>
      </c>
      <c r="D28" s="48" t="s">
        <v>65</v>
      </c>
      <c r="E28" s="48" t="s">
        <v>66</v>
      </c>
      <c r="F28" s="48" t="s">
        <v>67</v>
      </c>
      <c r="G28" s="48" t="s">
        <v>68</v>
      </c>
      <c r="H28" s="48" t="s">
        <v>77</v>
      </c>
    </row>
    <row r="29" spans="2:9" x14ac:dyDescent="0.25">
      <c r="C29" s="7">
        <f>SUMPRODUCT(C4:C26,$I$4:$I$26)</f>
        <v>-86.164722668719094</v>
      </c>
      <c r="D29" s="7">
        <f t="shared" ref="D29:H29" si="0">SUMPRODUCT(D4:D26,$I$4:$I$26)</f>
        <v>-70.201139898385037</v>
      </c>
      <c r="E29" s="7">
        <f t="shared" si="0"/>
        <v>-79.984637421294892</v>
      </c>
      <c r="F29" s="7">
        <f t="shared" si="0"/>
        <v>-87.920340930070765</v>
      </c>
      <c r="G29" s="7">
        <f t="shared" si="0"/>
        <v>-84.098560216388123</v>
      </c>
      <c r="H29" s="7">
        <f t="shared" si="0"/>
        <v>-38.85933044692738</v>
      </c>
    </row>
    <row r="30" spans="2:9" x14ac:dyDescent="0.25">
      <c r="C30" s="7">
        <f>MAX(C29:H29)</f>
        <v>-38.85933044692738</v>
      </c>
      <c r="D30" s="7"/>
      <c r="E30" s="7"/>
      <c r="F30" s="7"/>
      <c r="G30" s="7"/>
      <c r="H30" s="7"/>
    </row>
    <row r="31" spans="2:9" x14ac:dyDescent="0.25">
      <c r="C31">
        <f>MATCH(C30,C29:H29,0)</f>
        <v>6</v>
      </c>
    </row>
    <row r="32" spans="2:9" x14ac:dyDescent="0.25">
      <c r="C32" t="str" cm="1">
        <f t="array" ref="C32">INDEX(C28:H28,C31)</f>
        <v>Segment 6- Self-Conscious Male</v>
      </c>
    </row>
    <row r="33" spans="2:3" x14ac:dyDescent="0.25">
      <c r="C33" t="str">
        <f>IF('individual tool'!F30=1,'individual classification'!C32,"Incomplete")</f>
        <v>Incomplete</v>
      </c>
    </row>
    <row r="45" spans="2:3" x14ac:dyDescent="0.25">
      <c r="B45">
        <v>1</v>
      </c>
    </row>
  </sheetData>
  <mergeCells count="4">
    <mergeCell ref="B1:H1"/>
    <mergeCell ref="C2:H2"/>
    <mergeCell ref="B2:B3"/>
    <mergeCell ref="B27:H27"/>
  </mergeCells>
  <phoneticPr fontId="10" type="noConversion"/>
  <conditionalFormatting sqref="C4:H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H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H1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H2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:H2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H2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H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:H2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5:H2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H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H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:H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:H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H1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:H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H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H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:H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:H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:H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:H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H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990"/>
  <sheetViews>
    <sheetView workbookViewId="0">
      <selection activeCell="C8" sqref="C8"/>
    </sheetView>
  </sheetViews>
  <sheetFormatPr defaultRowHeight="15" x14ac:dyDescent="0.25"/>
  <cols>
    <col min="1" max="1" width="6.5703125" customWidth="1"/>
    <col min="2" max="3" width="10.5703125" customWidth="1"/>
    <col min="4" max="16" width="8.42578125" customWidth="1"/>
    <col min="17" max="23" width="16.85546875" customWidth="1"/>
    <col min="24" max="24" width="20.28515625" bestFit="1" customWidth="1"/>
  </cols>
  <sheetData>
    <row r="1" spans="1:24" ht="21" x14ac:dyDescent="0.35">
      <c r="A1" s="62" t="s">
        <v>17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</row>
    <row r="2" spans="1:24" s="15" customFormat="1" ht="20.25" customHeight="1" x14ac:dyDescent="0.2">
      <c r="A2" s="44" t="s">
        <v>3</v>
      </c>
      <c r="B2" s="44" t="s">
        <v>18</v>
      </c>
      <c r="C2" s="44" t="s">
        <v>19</v>
      </c>
      <c r="D2" s="63" t="s">
        <v>60</v>
      </c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 t="s">
        <v>59</v>
      </c>
      <c r="R2" s="63"/>
      <c r="S2" s="63"/>
      <c r="T2" s="63"/>
      <c r="U2" s="63"/>
      <c r="V2" s="63"/>
      <c r="W2" s="63"/>
      <c r="X2" s="14"/>
    </row>
    <row r="3" spans="1:24" s="13" customFormat="1" ht="72" customHeight="1" x14ac:dyDescent="0.25">
      <c r="A3" s="12"/>
      <c r="B3" s="12" t="s">
        <v>63</v>
      </c>
      <c r="C3" s="12" t="s">
        <v>61</v>
      </c>
      <c r="D3" s="12" t="s">
        <v>28</v>
      </c>
      <c r="E3" s="12" t="s">
        <v>29</v>
      </c>
      <c r="F3" s="12" t="s">
        <v>30</v>
      </c>
      <c r="G3" s="12" t="s">
        <v>31</v>
      </c>
      <c r="H3" s="12" t="s">
        <v>32</v>
      </c>
      <c r="I3" s="12" t="s">
        <v>33</v>
      </c>
      <c r="J3" s="12" t="s">
        <v>34</v>
      </c>
      <c r="K3" s="12" t="s">
        <v>35</v>
      </c>
      <c r="L3" s="12" t="s">
        <v>36</v>
      </c>
      <c r="M3" s="12" t="s">
        <v>37</v>
      </c>
      <c r="N3" s="12" t="s">
        <v>38</v>
      </c>
      <c r="O3" s="12" t="s">
        <v>39</v>
      </c>
      <c r="P3" s="12" t="s">
        <v>40</v>
      </c>
      <c r="Q3" s="12" t="s">
        <v>69</v>
      </c>
      <c r="R3" s="12" t="s">
        <v>70</v>
      </c>
      <c r="S3" s="12" t="s">
        <v>71</v>
      </c>
      <c r="T3" s="12" t="s">
        <v>72</v>
      </c>
      <c r="U3" s="12" t="s">
        <v>73</v>
      </c>
      <c r="V3" s="12" t="s">
        <v>74</v>
      </c>
      <c r="W3" s="12" t="s">
        <v>75</v>
      </c>
      <c r="X3" s="6" t="s">
        <v>2</v>
      </c>
    </row>
    <row r="4" spans="1:24" x14ac:dyDescent="0.25">
      <c r="A4" s="45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11" t="str">
        <f>IF(COUNTBLANK(B4:W4)&gt;0,"NA",'batch classification'!J10)</f>
        <v>NA</v>
      </c>
    </row>
    <row r="5" spans="1:24" x14ac:dyDescent="0.25">
      <c r="A5" s="45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11" t="str">
        <f>IF(COUNTBLANK(B5:W5)&gt;0,"NA",'batch classification'!J11)</f>
        <v>NA</v>
      </c>
    </row>
    <row r="6" spans="1:24" x14ac:dyDescent="0.25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11" t="str">
        <f>IF(COUNTBLANK(B6:W6)&gt;0,"NA",'batch classification'!J12)</f>
        <v>NA</v>
      </c>
    </row>
    <row r="7" spans="1:24" x14ac:dyDescent="0.25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11" t="str">
        <f>IF(COUNTBLANK(B7:W7)&gt;0,"NA",'batch classification'!J13)</f>
        <v>NA</v>
      </c>
    </row>
    <row r="8" spans="1:24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11" t="str">
        <f>IF(COUNTBLANK(B8:W8)&gt;0,"NA",'batch classification'!J14)</f>
        <v>NA</v>
      </c>
    </row>
    <row r="9" spans="1:24" x14ac:dyDescent="0.25">
      <c r="A9" s="45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11" t="str">
        <f>IF(COUNTBLANK(B9:W9)&gt;0,"NA",'batch classification'!J15)</f>
        <v>NA</v>
      </c>
    </row>
    <row r="10" spans="1:24" x14ac:dyDescent="0.25">
      <c r="A10" s="45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11" t="str">
        <f>IF(COUNTBLANK(B10:W10)&gt;0,"NA",'batch classification'!J16)</f>
        <v>NA</v>
      </c>
    </row>
    <row r="11" spans="1:24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11" t="str">
        <f>IF(COUNTBLANK(B11:W11)&gt;0,"NA",'batch classification'!J17)</f>
        <v>NA</v>
      </c>
    </row>
    <row r="12" spans="1:24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11" t="str">
        <f>IF(COUNTBLANK(B12:W12)&gt;0,"NA",'batch classification'!J18)</f>
        <v>NA</v>
      </c>
    </row>
    <row r="13" spans="1:24" x14ac:dyDescent="0.25">
      <c r="A13" s="45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11" t="str">
        <f>IF(COUNTBLANK(B13:W13)&gt;0,"NA",'batch classification'!J19)</f>
        <v>NA</v>
      </c>
    </row>
    <row r="14" spans="1:24" x14ac:dyDescent="0.25">
      <c r="A14" s="45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11" t="str">
        <f>IF(COUNTBLANK(B14:W14)&gt;0,"NA",'batch classification'!J20)</f>
        <v>NA</v>
      </c>
    </row>
    <row r="15" spans="1:24" x14ac:dyDescent="0.25">
      <c r="A15" s="45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11" t="str">
        <f>IF(COUNTBLANK(B15:W15)&gt;0,"NA",'batch classification'!J21)</f>
        <v>NA</v>
      </c>
    </row>
    <row r="16" spans="1:24" x14ac:dyDescent="0.25">
      <c r="A16" s="45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11" t="str">
        <f>IF(COUNTBLANK(B16:W16)&gt;0,"NA",'batch classification'!J22)</f>
        <v>NA</v>
      </c>
    </row>
    <row r="17" spans="1:24" x14ac:dyDescent="0.25">
      <c r="A17" s="45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11" t="str">
        <f>IF(COUNTBLANK(B17:W17)&gt;0,"NA",'batch classification'!J23)</f>
        <v>NA</v>
      </c>
    </row>
    <row r="18" spans="1:24" x14ac:dyDescent="0.25">
      <c r="A18" s="45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11" t="str">
        <f>IF(COUNTBLANK(B18:W18)&gt;0,"NA",'batch classification'!J24)</f>
        <v>NA</v>
      </c>
    </row>
    <row r="19" spans="1:24" x14ac:dyDescent="0.25">
      <c r="A19" s="45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11" t="str">
        <f>IF(COUNTBLANK(B19:W19)&gt;0,"NA",'batch classification'!J25)</f>
        <v>NA</v>
      </c>
    </row>
    <row r="20" spans="1:24" x14ac:dyDescent="0.25">
      <c r="A20" s="45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11" t="str">
        <f>IF(COUNTBLANK(B20:W20)&gt;0,"NA",'batch classification'!J26)</f>
        <v>NA</v>
      </c>
    </row>
    <row r="21" spans="1:24" x14ac:dyDescent="0.25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11" t="str">
        <f>IF(COUNTBLANK(B21:W21)&gt;0,"NA",'batch classification'!J27)</f>
        <v>NA</v>
      </c>
    </row>
    <row r="22" spans="1:24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11" t="str">
        <f>IF(COUNTBLANK(B22:W22)&gt;0,"NA",'batch classification'!J28)</f>
        <v>NA</v>
      </c>
    </row>
    <row r="23" spans="1:24" x14ac:dyDescent="0.25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11" t="str">
        <f>IF(COUNTBLANK(B23:W23)&gt;0,"NA",'batch classification'!J29)</f>
        <v>NA</v>
      </c>
    </row>
    <row r="24" spans="1:24" x14ac:dyDescent="0.25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11" t="str">
        <f>IF(COUNTBLANK(B24:W24)&gt;0,"NA",'batch classification'!J30)</f>
        <v>NA</v>
      </c>
    </row>
    <row r="25" spans="1:24" x14ac:dyDescent="0.25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11" t="str">
        <f>IF(COUNTBLANK(B25:W25)&gt;0,"NA",'batch classification'!J31)</f>
        <v>NA</v>
      </c>
    </row>
    <row r="26" spans="1:24" x14ac:dyDescent="0.2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11" t="str">
        <f>IF(COUNTBLANK(B26:W26)&gt;0,"NA",'batch classification'!J32)</f>
        <v>NA</v>
      </c>
    </row>
    <row r="27" spans="1:24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11" t="str">
        <f>IF(COUNTBLANK(B27:W27)&gt;0,"NA",'batch classification'!J33)</f>
        <v>NA</v>
      </c>
    </row>
    <row r="28" spans="1:24" x14ac:dyDescent="0.25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11" t="str">
        <f>IF(COUNTBLANK(B28:W28)&gt;0,"NA",'batch classification'!J34)</f>
        <v>NA</v>
      </c>
    </row>
    <row r="29" spans="1:24" x14ac:dyDescent="0.25">
      <c r="A29" s="45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11" t="str">
        <f>IF(COUNTBLANK(B29:W29)&gt;0,"NA",'batch classification'!J35)</f>
        <v>NA</v>
      </c>
    </row>
    <row r="30" spans="1:24" x14ac:dyDescent="0.25">
      <c r="A30" s="45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11" t="str">
        <f>IF(COUNTBLANK(B30:W30)&gt;0,"NA",'batch classification'!J36)</f>
        <v>NA</v>
      </c>
    </row>
    <row r="31" spans="1:24" x14ac:dyDescent="0.25">
      <c r="A31" s="45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11" t="str">
        <f>IF(COUNTBLANK(B31:W31)&gt;0,"NA",'batch classification'!J37)</f>
        <v>NA</v>
      </c>
    </row>
    <row r="32" spans="1:24" x14ac:dyDescent="0.25">
      <c r="A32" s="45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11" t="str">
        <f>IF(COUNTBLANK(B32:W32)&gt;0,"NA",'batch classification'!J38)</f>
        <v>NA</v>
      </c>
    </row>
    <row r="33" spans="1:24" x14ac:dyDescent="0.25">
      <c r="A33" s="45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11" t="str">
        <f>IF(COUNTBLANK(B33:W33)&gt;0,"NA",'batch classification'!J39)</f>
        <v>NA</v>
      </c>
    </row>
    <row r="34" spans="1:24" x14ac:dyDescent="0.25">
      <c r="A34" s="45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11" t="str">
        <f>IF(COUNTBLANK(B34:W34)&gt;0,"NA",'batch classification'!J40)</f>
        <v>NA</v>
      </c>
    </row>
    <row r="35" spans="1:24" x14ac:dyDescent="0.25">
      <c r="A35" s="45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11" t="str">
        <f>IF(COUNTBLANK(B35:W35)&gt;0,"NA",'batch classification'!J41)</f>
        <v>NA</v>
      </c>
    </row>
    <row r="36" spans="1:24" x14ac:dyDescent="0.25">
      <c r="A36" s="45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11" t="str">
        <f>IF(COUNTBLANK(B36:W36)&gt;0,"NA",'batch classification'!J42)</f>
        <v>NA</v>
      </c>
    </row>
    <row r="37" spans="1:24" x14ac:dyDescent="0.25">
      <c r="A37" s="45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11" t="str">
        <f>IF(COUNTBLANK(B37:W37)&gt;0,"NA",'batch classification'!J43)</f>
        <v>NA</v>
      </c>
    </row>
    <row r="38" spans="1:24" x14ac:dyDescent="0.25">
      <c r="A38" s="45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11" t="str">
        <f>IF(COUNTBLANK(B38:W38)&gt;0,"NA",'batch classification'!J44)</f>
        <v>NA</v>
      </c>
    </row>
    <row r="39" spans="1:24" x14ac:dyDescent="0.25">
      <c r="A39" s="45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11" t="str">
        <f>IF(COUNTBLANK(B39:W39)&gt;0,"NA",'batch classification'!J45)</f>
        <v>NA</v>
      </c>
    </row>
    <row r="40" spans="1:24" x14ac:dyDescent="0.25">
      <c r="A40" s="45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11" t="str">
        <f>IF(COUNTBLANK(B40:W40)&gt;0,"NA",'batch classification'!J46)</f>
        <v>NA</v>
      </c>
    </row>
    <row r="41" spans="1:24" x14ac:dyDescent="0.25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11" t="str">
        <f>IF(COUNTBLANK(B41:W41)&gt;0,"NA",'batch classification'!J47)</f>
        <v>NA</v>
      </c>
    </row>
    <row r="42" spans="1:24" x14ac:dyDescent="0.25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11" t="str">
        <f>IF(COUNTBLANK(B42:W42)&gt;0,"NA",'batch classification'!J48)</f>
        <v>NA</v>
      </c>
    </row>
    <row r="43" spans="1:24" x14ac:dyDescent="0.25">
      <c r="A43" s="45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11" t="str">
        <f>IF(COUNTBLANK(B43:W43)&gt;0,"NA",'batch classification'!J49)</f>
        <v>NA</v>
      </c>
    </row>
    <row r="44" spans="1:24" x14ac:dyDescent="0.25">
      <c r="A44" s="45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11" t="str">
        <f>IF(COUNTBLANK(B44:W44)&gt;0,"NA",'batch classification'!J50)</f>
        <v>NA</v>
      </c>
    </row>
    <row r="45" spans="1:24" x14ac:dyDescent="0.25">
      <c r="A45" s="45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11" t="str">
        <f>IF(COUNTBLANK(B45:W45)&gt;0,"NA",'batch classification'!J51)</f>
        <v>NA</v>
      </c>
    </row>
    <row r="46" spans="1:24" x14ac:dyDescent="0.25">
      <c r="A46" s="45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11" t="str">
        <f>IF(COUNTBLANK(B46:W46)&gt;0,"NA",'batch classification'!J52)</f>
        <v>NA</v>
      </c>
    </row>
    <row r="47" spans="1:24" x14ac:dyDescent="0.25">
      <c r="A47" s="45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11" t="str">
        <f>IF(COUNTBLANK(B47:W47)&gt;0,"NA",'batch classification'!J53)</f>
        <v>NA</v>
      </c>
    </row>
    <row r="48" spans="1:24" x14ac:dyDescent="0.25">
      <c r="A48" s="45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11" t="str">
        <f>IF(COUNTBLANK(B48:W48)&gt;0,"NA",'batch classification'!J54)</f>
        <v>NA</v>
      </c>
    </row>
    <row r="49" spans="1:24" x14ac:dyDescent="0.25">
      <c r="A49" s="45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11" t="str">
        <f>IF(COUNTBLANK(B49:W49)&gt;0,"NA",'batch classification'!J55)</f>
        <v>NA</v>
      </c>
    </row>
    <row r="50" spans="1:24" x14ac:dyDescent="0.25">
      <c r="A50" s="45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11" t="str">
        <f>IF(COUNTBLANK(B50:W50)&gt;0,"NA",'batch classification'!J56)</f>
        <v>NA</v>
      </c>
    </row>
    <row r="51" spans="1:24" x14ac:dyDescent="0.25">
      <c r="A51" s="45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11" t="str">
        <f>IF(COUNTBLANK(B51:W51)&gt;0,"NA",'batch classification'!J57)</f>
        <v>NA</v>
      </c>
    </row>
    <row r="52" spans="1:24" x14ac:dyDescent="0.25">
      <c r="A52" s="45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11" t="str">
        <f>IF(COUNTBLANK(B52:W52)&gt;0,"NA",'batch classification'!J58)</f>
        <v>NA</v>
      </c>
    </row>
    <row r="53" spans="1:24" x14ac:dyDescent="0.25">
      <c r="A53" s="45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11" t="str">
        <f>IF(COUNTBLANK(B53:W53)&gt;0,"NA",'batch classification'!J59)</f>
        <v>NA</v>
      </c>
    </row>
    <row r="54" spans="1:24" x14ac:dyDescent="0.25">
      <c r="A54" s="45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11" t="str">
        <f>IF(COUNTBLANK(B54:W54)&gt;0,"NA",'batch classification'!J60)</f>
        <v>NA</v>
      </c>
    </row>
    <row r="55" spans="1:24" x14ac:dyDescent="0.25">
      <c r="A55" s="45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11" t="str">
        <f>IF(COUNTBLANK(B55:W55)&gt;0,"NA",'batch classification'!J61)</f>
        <v>NA</v>
      </c>
    </row>
    <row r="56" spans="1:24" x14ac:dyDescent="0.25">
      <c r="A56" s="45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11" t="str">
        <f>IF(COUNTBLANK(B56:W56)&gt;0,"NA",'batch classification'!J62)</f>
        <v>NA</v>
      </c>
    </row>
    <row r="57" spans="1:24" x14ac:dyDescent="0.25">
      <c r="A57" s="45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11" t="str">
        <f>IF(COUNTBLANK(B57:W57)&gt;0,"NA",'batch classification'!J63)</f>
        <v>NA</v>
      </c>
    </row>
    <row r="58" spans="1:24" x14ac:dyDescent="0.25">
      <c r="A58" s="45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11" t="str">
        <f>IF(COUNTBLANK(B58:W58)&gt;0,"NA",'batch classification'!J64)</f>
        <v>NA</v>
      </c>
    </row>
    <row r="59" spans="1:24" x14ac:dyDescent="0.25">
      <c r="A59" s="45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11" t="str">
        <f>IF(COUNTBLANK(B59:W59)&gt;0,"NA",'batch classification'!J65)</f>
        <v>NA</v>
      </c>
    </row>
    <row r="60" spans="1:24" x14ac:dyDescent="0.25">
      <c r="A60" s="45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11" t="str">
        <f>IF(COUNTBLANK(B60:W60)&gt;0,"NA",'batch classification'!J66)</f>
        <v>NA</v>
      </c>
    </row>
    <row r="61" spans="1:24" x14ac:dyDescent="0.25">
      <c r="A61" s="45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11" t="str">
        <f>IF(COUNTBLANK(B61:W61)&gt;0,"NA",'batch classification'!J67)</f>
        <v>NA</v>
      </c>
    </row>
    <row r="62" spans="1:24" x14ac:dyDescent="0.25">
      <c r="A62" s="45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11" t="str">
        <f>IF(COUNTBLANK(B62:W62)&gt;0,"NA",'batch classification'!J68)</f>
        <v>NA</v>
      </c>
    </row>
    <row r="63" spans="1:24" x14ac:dyDescent="0.25">
      <c r="A63" s="45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11" t="str">
        <f>IF(COUNTBLANK(B63:W63)&gt;0,"NA",'batch classification'!J69)</f>
        <v>NA</v>
      </c>
    </row>
    <row r="64" spans="1:24" x14ac:dyDescent="0.25">
      <c r="A64" s="45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11" t="str">
        <f>IF(COUNTBLANK(B64:W64)&gt;0,"NA",'batch classification'!J70)</f>
        <v>NA</v>
      </c>
    </row>
    <row r="65" spans="1:24" x14ac:dyDescent="0.25">
      <c r="A65" s="45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11" t="str">
        <f>IF(COUNTBLANK(B65:W65)&gt;0,"NA",'batch classification'!J71)</f>
        <v>NA</v>
      </c>
    </row>
    <row r="66" spans="1:24" x14ac:dyDescent="0.25">
      <c r="A66" s="45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11" t="str">
        <f>IF(COUNTBLANK(B66:W66)&gt;0,"NA",'batch classification'!J72)</f>
        <v>NA</v>
      </c>
    </row>
    <row r="67" spans="1:24" x14ac:dyDescent="0.25">
      <c r="A67" s="45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11" t="str">
        <f>IF(COUNTBLANK(B67:W67)&gt;0,"NA",'batch classification'!J73)</f>
        <v>NA</v>
      </c>
    </row>
    <row r="68" spans="1:24" x14ac:dyDescent="0.25">
      <c r="A68" s="45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11" t="str">
        <f>IF(COUNTBLANK(B68:W68)&gt;0,"NA",'batch classification'!J74)</f>
        <v>NA</v>
      </c>
    </row>
    <row r="69" spans="1:24" x14ac:dyDescent="0.25">
      <c r="A69" s="45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11" t="str">
        <f>IF(COUNTBLANK(B69:W69)&gt;0,"NA",'batch classification'!J75)</f>
        <v>NA</v>
      </c>
    </row>
    <row r="70" spans="1:24" x14ac:dyDescent="0.25">
      <c r="A70" s="45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11" t="str">
        <f>IF(COUNTBLANK(B70:W70)&gt;0,"NA",'batch classification'!J76)</f>
        <v>NA</v>
      </c>
    </row>
    <row r="71" spans="1:24" x14ac:dyDescent="0.25">
      <c r="A71" s="45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11" t="str">
        <f>IF(COUNTBLANK(B71:W71)&gt;0,"NA",'batch classification'!J77)</f>
        <v>NA</v>
      </c>
    </row>
    <row r="72" spans="1:24" x14ac:dyDescent="0.25">
      <c r="A72" s="45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11" t="str">
        <f>IF(COUNTBLANK(B72:W72)&gt;0,"NA",'batch classification'!J78)</f>
        <v>NA</v>
      </c>
    </row>
    <row r="73" spans="1:24" x14ac:dyDescent="0.25">
      <c r="A73" s="45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11" t="str">
        <f>IF(COUNTBLANK(B73:W73)&gt;0,"NA",'batch classification'!J79)</f>
        <v>NA</v>
      </c>
    </row>
    <row r="74" spans="1:24" x14ac:dyDescent="0.25">
      <c r="A74" s="45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11" t="str">
        <f>IF(COUNTBLANK(B74:W74)&gt;0,"NA",'batch classification'!J80)</f>
        <v>NA</v>
      </c>
    </row>
    <row r="75" spans="1:24" x14ac:dyDescent="0.25">
      <c r="A75" s="45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11" t="str">
        <f>IF(COUNTBLANK(B75:W75)&gt;0,"NA",'batch classification'!J81)</f>
        <v>NA</v>
      </c>
    </row>
    <row r="76" spans="1:24" x14ac:dyDescent="0.25">
      <c r="A76" s="45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11" t="str">
        <f>IF(COUNTBLANK(B76:W76)&gt;0,"NA",'batch classification'!J82)</f>
        <v>NA</v>
      </c>
    </row>
    <row r="77" spans="1:24" x14ac:dyDescent="0.25">
      <c r="A77" s="45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11" t="str">
        <f>IF(COUNTBLANK(B77:W77)&gt;0,"NA",'batch classification'!J83)</f>
        <v>NA</v>
      </c>
    </row>
    <row r="78" spans="1:24" x14ac:dyDescent="0.25">
      <c r="A78" s="45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11" t="str">
        <f>IF(COUNTBLANK(B78:W78)&gt;0,"NA",'batch classification'!J84)</f>
        <v>NA</v>
      </c>
    </row>
    <row r="79" spans="1:24" x14ac:dyDescent="0.25">
      <c r="A79" s="45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11" t="str">
        <f>IF(COUNTBLANK(B79:W79)&gt;0,"NA",'batch classification'!J85)</f>
        <v>NA</v>
      </c>
    </row>
    <row r="80" spans="1:24" x14ac:dyDescent="0.25">
      <c r="A80" s="45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11" t="str">
        <f>IF(COUNTBLANK(B80:W80)&gt;0,"NA",'batch classification'!J86)</f>
        <v>NA</v>
      </c>
    </row>
    <row r="81" spans="1:24" x14ac:dyDescent="0.25">
      <c r="A81" s="45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11" t="str">
        <f>IF(COUNTBLANK(B81:W81)&gt;0,"NA",'batch classification'!J87)</f>
        <v>NA</v>
      </c>
    </row>
    <row r="82" spans="1:24" x14ac:dyDescent="0.25">
      <c r="A82" s="45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11" t="str">
        <f>IF(COUNTBLANK(B82:W82)&gt;0,"NA",'batch classification'!J88)</f>
        <v>NA</v>
      </c>
    </row>
    <row r="83" spans="1:24" x14ac:dyDescent="0.25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11" t="str">
        <f>IF(COUNTBLANK(B83:W83)&gt;0,"NA",'batch classification'!J89)</f>
        <v>NA</v>
      </c>
    </row>
    <row r="84" spans="1:24" x14ac:dyDescent="0.25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11" t="str">
        <f>IF(COUNTBLANK(B84:W84)&gt;0,"NA",'batch classification'!J90)</f>
        <v>NA</v>
      </c>
    </row>
    <row r="85" spans="1:24" x14ac:dyDescent="0.25">
      <c r="A85" s="45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11" t="str">
        <f>IF(COUNTBLANK(B85:W85)&gt;0,"NA",'batch classification'!J91)</f>
        <v>NA</v>
      </c>
    </row>
    <row r="86" spans="1:24" x14ac:dyDescent="0.25">
      <c r="A86" s="45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11" t="str">
        <f>IF(COUNTBLANK(B86:W86)&gt;0,"NA",'batch classification'!J92)</f>
        <v>NA</v>
      </c>
    </row>
    <row r="87" spans="1:24" x14ac:dyDescent="0.25">
      <c r="A87" s="45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11" t="str">
        <f>IF(COUNTBLANK(B87:W87)&gt;0,"NA",'batch classification'!J93)</f>
        <v>NA</v>
      </c>
    </row>
    <row r="88" spans="1:24" x14ac:dyDescent="0.25">
      <c r="A88" s="45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11" t="str">
        <f>IF(COUNTBLANK(B88:W88)&gt;0,"NA",'batch classification'!J94)</f>
        <v>NA</v>
      </c>
    </row>
    <row r="89" spans="1:24" x14ac:dyDescent="0.25">
      <c r="A89" s="45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11" t="str">
        <f>IF(COUNTBLANK(B89:W89)&gt;0,"NA",'batch classification'!J95)</f>
        <v>NA</v>
      </c>
    </row>
    <row r="90" spans="1:24" x14ac:dyDescent="0.25">
      <c r="A90" s="45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11" t="str">
        <f>IF(COUNTBLANK(B90:W90)&gt;0,"NA",'batch classification'!J96)</f>
        <v>NA</v>
      </c>
    </row>
    <row r="91" spans="1:24" x14ac:dyDescent="0.25">
      <c r="A91" s="45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11" t="str">
        <f>IF(COUNTBLANK(B91:W91)&gt;0,"NA",'batch classification'!J97)</f>
        <v>NA</v>
      </c>
    </row>
    <row r="92" spans="1:24" x14ac:dyDescent="0.25">
      <c r="A92" s="45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11" t="str">
        <f>IF(COUNTBLANK(B92:W92)&gt;0,"NA",'batch classification'!J98)</f>
        <v>NA</v>
      </c>
    </row>
    <row r="93" spans="1:24" x14ac:dyDescent="0.25">
      <c r="A93" s="45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11" t="str">
        <f>IF(COUNTBLANK(B93:W93)&gt;0,"NA",'batch classification'!J99)</f>
        <v>NA</v>
      </c>
    </row>
    <row r="94" spans="1:24" x14ac:dyDescent="0.25">
      <c r="A94" s="45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11" t="str">
        <f>IF(COUNTBLANK(B94:W94)&gt;0,"NA",'batch classification'!J100)</f>
        <v>NA</v>
      </c>
    </row>
    <row r="95" spans="1:24" x14ac:dyDescent="0.25">
      <c r="A95" s="45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11" t="str">
        <f>IF(COUNTBLANK(B95:W95)&gt;0,"NA",'batch classification'!J101)</f>
        <v>NA</v>
      </c>
    </row>
    <row r="96" spans="1:24" x14ac:dyDescent="0.25">
      <c r="A96" s="45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11" t="str">
        <f>IF(COUNTBLANK(B96:W96)&gt;0,"NA",'batch classification'!J102)</f>
        <v>NA</v>
      </c>
    </row>
    <row r="97" spans="1:24" x14ac:dyDescent="0.25">
      <c r="A97" s="45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11" t="str">
        <f>IF(COUNTBLANK(B97:W97)&gt;0,"NA",'batch classification'!J103)</f>
        <v>NA</v>
      </c>
    </row>
    <row r="98" spans="1:24" x14ac:dyDescent="0.25">
      <c r="A98" s="45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11" t="str">
        <f>IF(COUNTBLANK(B98:W98)&gt;0,"NA",'batch classification'!J104)</f>
        <v>NA</v>
      </c>
    </row>
    <row r="99" spans="1:24" x14ac:dyDescent="0.25">
      <c r="A99" s="45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11" t="str">
        <f>IF(COUNTBLANK(B99:W99)&gt;0,"NA",'batch classification'!J105)</f>
        <v>NA</v>
      </c>
    </row>
    <row r="100" spans="1:24" x14ac:dyDescent="0.25">
      <c r="A100" s="45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11" t="str">
        <f>IF(COUNTBLANK(B100:W100)&gt;0,"NA",'batch classification'!J106)</f>
        <v>NA</v>
      </c>
    </row>
    <row r="101" spans="1:24" x14ac:dyDescent="0.25">
      <c r="A101" s="45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11" t="str">
        <f>IF(COUNTBLANK(B101:W101)&gt;0,"NA",'batch classification'!J107)</f>
        <v>NA</v>
      </c>
    </row>
    <row r="102" spans="1:24" x14ac:dyDescent="0.25">
      <c r="A102" s="45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11" t="str">
        <f>IF(COUNTBLANK(B102:W102)&gt;0,"NA",'batch classification'!J108)</f>
        <v>NA</v>
      </c>
    </row>
    <row r="103" spans="1:24" x14ac:dyDescent="0.25">
      <c r="A103" s="45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11" t="str">
        <f>IF(COUNTBLANK(B103:W103)&gt;0,"NA",'batch classification'!J109)</f>
        <v>NA</v>
      </c>
    </row>
    <row r="104" spans="1:24" x14ac:dyDescent="0.25">
      <c r="A104" s="45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11" t="str">
        <f>IF(COUNTBLANK(B104:W104)&gt;0,"NA",'batch classification'!J110)</f>
        <v>NA</v>
      </c>
    </row>
    <row r="105" spans="1:24" x14ac:dyDescent="0.25">
      <c r="A105" s="45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11" t="str">
        <f>IF(COUNTBLANK(B105:W105)&gt;0,"NA",'batch classification'!J111)</f>
        <v>NA</v>
      </c>
    </row>
    <row r="106" spans="1:24" x14ac:dyDescent="0.25">
      <c r="A106" s="45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11" t="str">
        <f>IF(COUNTBLANK(B106:W106)&gt;0,"NA",'batch classification'!J112)</f>
        <v>NA</v>
      </c>
    </row>
    <row r="107" spans="1:24" x14ac:dyDescent="0.25">
      <c r="A107" s="45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11" t="str">
        <f>IF(COUNTBLANK(B107:W107)&gt;0,"NA",'batch classification'!J113)</f>
        <v>NA</v>
      </c>
    </row>
    <row r="108" spans="1:24" x14ac:dyDescent="0.25">
      <c r="A108" s="45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11" t="str">
        <f>IF(COUNTBLANK(B108:W108)&gt;0,"NA",'batch classification'!J114)</f>
        <v>NA</v>
      </c>
    </row>
    <row r="109" spans="1:24" x14ac:dyDescent="0.25">
      <c r="A109" s="45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11" t="str">
        <f>IF(COUNTBLANK(B109:W109)&gt;0,"NA",'batch classification'!J115)</f>
        <v>NA</v>
      </c>
    </row>
    <row r="110" spans="1:24" x14ac:dyDescent="0.25">
      <c r="A110" s="45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11" t="str">
        <f>IF(COUNTBLANK(B110:W110)&gt;0,"NA",'batch classification'!J116)</f>
        <v>NA</v>
      </c>
    </row>
    <row r="111" spans="1:24" x14ac:dyDescent="0.25">
      <c r="A111" s="45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11" t="str">
        <f>IF(COUNTBLANK(B111:W111)&gt;0,"NA",'batch classification'!J117)</f>
        <v>NA</v>
      </c>
    </row>
    <row r="112" spans="1:24" x14ac:dyDescent="0.25">
      <c r="A112" s="45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11" t="str">
        <f>IF(COUNTBLANK(B112:W112)&gt;0,"NA",'batch classification'!J118)</f>
        <v>NA</v>
      </c>
    </row>
    <row r="113" spans="1:24" x14ac:dyDescent="0.25">
      <c r="A113" s="45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11" t="str">
        <f>IF(COUNTBLANK(B113:W113)&gt;0,"NA",'batch classification'!J119)</f>
        <v>NA</v>
      </c>
    </row>
    <row r="114" spans="1:24" x14ac:dyDescent="0.25">
      <c r="A114" s="45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11" t="str">
        <f>IF(COUNTBLANK(B114:W114)&gt;0,"NA",'batch classification'!J120)</f>
        <v>NA</v>
      </c>
    </row>
    <row r="115" spans="1:24" x14ac:dyDescent="0.25">
      <c r="A115" s="45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11" t="str">
        <f>IF(COUNTBLANK(B115:W115)&gt;0,"NA",'batch classification'!J121)</f>
        <v>NA</v>
      </c>
    </row>
    <row r="116" spans="1:24" x14ac:dyDescent="0.25">
      <c r="A116" s="45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11" t="str">
        <f>IF(COUNTBLANK(B116:W116)&gt;0,"NA",'batch classification'!J122)</f>
        <v>NA</v>
      </c>
    </row>
    <row r="117" spans="1:24" x14ac:dyDescent="0.25">
      <c r="A117" s="45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11" t="str">
        <f>IF(COUNTBLANK(B117:W117)&gt;0,"NA",'batch classification'!J123)</f>
        <v>NA</v>
      </c>
    </row>
    <row r="118" spans="1:24" x14ac:dyDescent="0.25">
      <c r="A118" s="45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11" t="str">
        <f>IF(COUNTBLANK(B118:W118)&gt;0,"NA",'batch classification'!J124)</f>
        <v>NA</v>
      </c>
    </row>
    <row r="119" spans="1:24" x14ac:dyDescent="0.25">
      <c r="A119" s="45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11" t="str">
        <f>IF(COUNTBLANK(B119:W119)&gt;0,"NA",'batch classification'!J125)</f>
        <v>NA</v>
      </c>
    </row>
    <row r="120" spans="1:24" x14ac:dyDescent="0.25">
      <c r="A120" s="45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11" t="str">
        <f>IF(COUNTBLANK(B120:W120)&gt;0,"NA",'batch classification'!J126)</f>
        <v>NA</v>
      </c>
    </row>
    <row r="121" spans="1:24" x14ac:dyDescent="0.25">
      <c r="A121" s="45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11" t="str">
        <f>IF(COUNTBLANK(B121:W121)&gt;0,"NA",'batch classification'!J127)</f>
        <v>NA</v>
      </c>
    </row>
    <row r="122" spans="1:24" x14ac:dyDescent="0.25">
      <c r="A122" s="45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11" t="str">
        <f>IF(COUNTBLANK(B122:W122)&gt;0,"NA",'batch classification'!J128)</f>
        <v>NA</v>
      </c>
    </row>
    <row r="123" spans="1:24" x14ac:dyDescent="0.25">
      <c r="A123" s="45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11" t="str">
        <f>IF(COUNTBLANK(B123:W123)&gt;0,"NA",'batch classification'!J129)</f>
        <v>NA</v>
      </c>
    </row>
    <row r="124" spans="1:24" x14ac:dyDescent="0.25">
      <c r="A124" s="45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11" t="str">
        <f>IF(COUNTBLANK(B124:W124)&gt;0,"NA",'batch classification'!J130)</f>
        <v>NA</v>
      </c>
    </row>
    <row r="125" spans="1:24" x14ac:dyDescent="0.25">
      <c r="A125" s="45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11" t="str">
        <f>IF(COUNTBLANK(B125:W125)&gt;0,"NA",'batch classification'!J131)</f>
        <v>NA</v>
      </c>
    </row>
    <row r="126" spans="1:24" x14ac:dyDescent="0.25">
      <c r="A126" s="45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11" t="str">
        <f>IF(COUNTBLANK(B126:W126)&gt;0,"NA",'batch classification'!J132)</f>
        <v>NA</v>
      </c>
    </row>
    <row r="127" spans="1:24" x14ac:dyDescent="0.25">
      <c r="A127" s="45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11" t="str">
        <f>IF(COUNTBLANK(B127:W127)&gt;0,"NA",'batch classification'!J133)</f>
        <v>NA</v>
      </c>
    </row>
    <row r="128" spans="1:24" x14ac:dyDescent="0.25">
      <c r="A128" s="45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11" t="str">
        <f>IF(COUNTBLANK(B128:W128)&gt;0,"NA",'batch classification'!J134)</f>
        <v>NA</v>
      </c>
    </row>
    <row r="129" spans="1:24" x14ac:dyDescent="0.25">
      <c r="A129" s="45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11" t="str">
        <f>IF(COUNTBLANK(B129:W129)&gt;0,"NA",'batch classification'!J135)</f>
        <v>NA</v>
      </c>
    </row>
    <row r="130" spans="1:24" x14ac:dyDescent="0.25">
      <c r="A130" s="45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11" t="str">
        <f>IF(COUNTBLANK(B130:W130)&gt;0,"NA",'batch classification'!J136)</f>
        <v>NA</v>
      </c>
    </row>
    <row r="131" spans="1:24" x14ac:dyDescent="0.25">
      <c r="A131" s="45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11" t="str">
        <f>IF(COUNTBLANK(B131:W131)&gt;0,"NA",'batch classification'!J137)</f>
        <v>NA</v>
      </c>
    </row>
    <row r="132" spans="1:24" x14ac:dyDescent="0.25">
      <c r="A132" s="45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11" t="str">
        <f>IF(COUNTBLANK(B132:W132)&gt;0,"NA",'batch classification'!J138)</f>
        <v>NA</v>
      </c>
    </row>
    <row r="133" spans="1:24" x14ac:dyDescent="0.25">
      <c r="A133" s="45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11" t="str">
        <f>IF(COUNTBLANK(B133:W133)&gt;0,"NA",'batch classification'!J139)</f>
        <v>NA</v>
      </c>
    </row>
    <row r="134" spans="1:24" x14ac:dyDescent="0.25">
      <c r="A134" s="45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11" t="str">
        <f>IF(COUNTBLANK(B134:W134)&gt;0,"NA",'batch classification'!J140)</f>
        <v>NA</v>
      </c>
    </row>
    <row r="135" spans="1:24" x14ac:dyDescent="0.25">
      <c r="A135" s="45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11" t="str">
        <f>IF(COUNTBLANK(B135:W135)&gt;0,"NA",'batch classification'!J141)</f>
        <v>NA</v>
      </c>
    </row>
    <row r="136" spans="1:24" x14ac:dyDescent="0.25">
      <c r="A136" s="45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11" t="str">
        <f>IF(COUNTBLANK(B136:W136)&gt;0,"NA",'batch classification'!J142)</f>
        <v>NA</v>
      </c>
    </row>
    <row r="137" spans="1:24" x14ac:dyDescent="0.25">
      <c r="A137" s="45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11" t="str">
        <f>IF(COUNTBLANK(B137:W137)&gt;0,"NA",'batch classification'!J143)</f>
        <v>NA</v>
      </c>
    </row>
    <row r="138" spans="1:24" x14ac:dyDescent="0.25">
      <c r="A138" s="45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11" t="str">
        <f>IF(COUNTBLANK(B138:W138)&gt;0,"NA",'batch classification'!J144)</f>
        <v>NA</v>
      </c>
    </row>
    <row r="139" spans="1:24" x14ac:dyDescent="0.25">
      <c r="A139" s="45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11" t="str">
        <f>IF(COUNTBLANK(B139:W139)&gt;0,"NA",'batch classification'!J145)</f>
        <v>NA</v>
      </c>
    </row>
    <row r="140" spans="1:24" x14ac:dyDescent="0.25">
      <c r="A140" s="45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11" t="str">
        <f>IF(COUNTBLANK(B140:W140)&gt;0,"NA",'batch classification'!J146)</f>
        <v>NA</v>
      </c>
    </row>
    <row r="141" spans="1:24" x14ac:dyDescent="0.25">
      <c r="A141" s="45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11" t="str">
        <f>IF(COUNTBLANK(B141:W141)&gt;0,"NA",'batch classification'!J147)</f>
        <v>NA</v>
      </c>
    </row>
    <row r="142" spans="1:24" x14ac:dyDescent="0.25">
      <c r="A142" s="45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11" t="str">
        <f>IF(COUNTBLANK(B142:W142)&gt;0,"NA",'batch classification'!J148)</f>
        <v>NA</v>
      </c>
    </row>
    <row r="143" spans="1:24" x14ac:dyDescent="0.25">
      <c r="A143" s="45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11" t="str">
        <f>IF(COUNTBLANK(B143:W143)&gt;0,"NA",'batch classification'!J149)</f>
        <v>NA</v>
      </c>
    </row>
    <row r="144" spans="1:24" x14ac:dyDescent="0.25">
      <c r="A144" s="45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11" t="str">
        <f>IF(COUNTBLANK(B144:W144)&gt;0,"NA",'batch classification'!J150)</f>
        <v>NA</v>
      </c>
    </row>
    <row r="145" spans="1:24" x14ac:dyDescent="0.25">
      <c r="A145" s="45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11" t="str">
        <f>IF(COUNTBLANK(B145:W145)&gt;0,"NA",'batch classification'!J151)</f>
        <v>NA</v>
      </c>
    </row>
    <row r="146" spans="1:24" x14ac:dyDescent="0.25">
      <c r="A146" s="45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11" t="str">
        <f>IF(COUNTBLANK(B146:W146)&gt;0,"NA",'batch classification'!J152)</f>
        <v>NA</v>
      </c>
    </row>
    <row r="147" spans="1:24" x14ac:dyDescent="0.25">
      <c r="A147" s="45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11" t="str">
        <f>IF(COUNTBLANK(B147:W147)&gt;0,"NA",'batch classification'!J153)</f>
        <v>NA</v>
      </c>
    </row>
    <row r="148" spans="1:24" x14ac:dyDescent="0.25">
      <c r="A148" s="45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11" t="str">
        <f>IF(COUNTBLANK(B148:W148)&gt;0,"NA",'batch classification'!J154)</f>
        <v>NA</v>
      </c>
    </row>
    <row r="149" spans="1:24" x14ac:dyDescent="0.25">
      <c r="A149" s="45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11" t="str">
        <f>IF(COUNTBLANK(B149:W149)&gt;0,"NA",'batch classification'!J155)</f>
        <v>NA</v>
      </c>
    </row>
    <row r="150" spans="1:24" x14ac:dyDescent="0.25">
      <c r="A150" s="45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11" t="str">
        <f>IF(COUNTBLANK(B150:W150)&gt;0,"NA",'batch classification'!J156)</f>
        <v>NA</v>
      </c>
    </row>
    <row r="151" spans="1:24" x14ac:dyDescent="0.25">
      <c r="A151" s="45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11" t="str">
        <f>IF(COUNTBLANK(B151:W151)&gt;0,"NA",'batch classification'!J157)</f>
        <v>NA</v>
      </c>
    </row>
    <row r="152" spans="1:24" x14ac:dyDescent="0.25">
      <c r="A152" s="45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11" t="str">
        <f>IF(COUNTBLANK(B152:W152)&gt;0,"NA",'batch classification'!J158)</f>
        <v>NA</v>
      </c>
    </row>
    <row r="153" spans="1:24" x14ac:dyDescent="0.25">
      <c r="A153" s="45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11" t="str">
        <f>IF(COUNTBLANK(B153:W153)&gt;0,"NA",'batch classification'!J159)</f>
        <v>NA</v>
      </c>
    </row>
    <row r="154" spans="1:24" x14ac:dyDescent="0.25">
      <c r="A154" s="45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11" t="str">
        <f>IF(COUNTBLANK(B154:W154)&gt;0,"NA",'batch classification'!J160)</f>
        <v>NA</v>
      </c>
    </row>
    <row r="155" spans="1:24" x14ac:dyDescent="0.25">
      <c r="A155" s="45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11" t="str">
        <f>IF(COUNTBLANK(B155:W155)&gt;0,"NA",'batch classification'!J161)</f>
        <v>NA</v>
      </c>
    </row>
    <row r="156" spans="1:24" x14ac:dyDescent="0.25">
      <c r="A156" s="45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11" t="str">
        <f>IF(COUNTBLANK(B156:W156)&gt;0,"NA",'batch classification'!J162)</f>
        <v>NA</v>
      </c>
    </row>
    <row r="157" spans="1:24" x14ac:dyDescent="0.25">
      <c r="A157" s="45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11" t="str">
        <f>IF(COUNTBLANK(B157:W157)&gt;0,"NA",'batch classification'!J163)</f>
        <v>NA</v>
      </c>
    </row>
    <row r="158" spans="1:24" x14ac:dyDescent="0.25">
      <c r="A158" s="45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11" t="str">
        <f>IF(COUNTBLANK(B158:W158)&gt;0,"NA",'batch classification'!J164)</f>
        <v>NA</v>
      </c>
    </row>
    <row r="159" spans="1:24" x14ac:dyDescent="0.25">
      <c r="A159" s="45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11" t="str">
        <f>IF(COUNTBLANK(B159:W159)&gt;0,"NA",'batch classification'!J165)</f>
        <v>NA</v>
      </c>
    </row>
    <row r="160" spans="1:24" x14ac:dyDescent="0.25">
      <c r="A160" s="45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11" t="str">
        <f>IF(COUNTBLANK(B160:W160)&gt;0,"NA",'batch classification'!J166)</f>
        <v>NA</v>
      </c>
    </row>
    <row r="161" spans="1:24" x14ac:dyDescent="0.25">
      <c r="A161" s="45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11" t="str">
        <f>IF(COUNTBLANK(B161:W161)&gt;0,"NA",'batch classification'!J167)</f>
        <v>NA</v>
      </c>
    </row>
    <row r="162" spans="1:24" x14ac:dyDescent="0.25">
      <c r="A162" s="45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11" t="str">
        <f>IF(COUNTBLANK(B162:W162)&gt;0,"NA",'batch classification'!J168)</f>
        <v>NA</v>
      </c>
    </row>
    <row r="163" spans="1:24" x14ac:dyDescent="0.25">
      <c r="A163" s="45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11" t="str">
        <f>IF(COUNTBLANK(B163:W163)&gt;0,"NA",'batch classification'!J169)</f>
        <v>NA</v>
      </c>
    </row>
    <row r="164" spans="1:24" x14ac:dyDescent="0.25">
      <c r="A164" s="45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11" t="str">
        <f>IF(COUNTBLANK(B164:W164)&gt;0,"NA",'batch classification'!J170)</f>
        <v>NA</v>
      </c>
    </row>
    <row r="165" spans="1:24" x14ac:dyDescent="0.25">
      <c r="A165" s="45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11" t="str">
        <f>IF(COUNTBLANK(B165:W165)&gt;0,"NA",'batch classification'!J171)</f>
        <v>NA</v>
      </c>
    </row>
    <row r="166" spans="1:24" x14ac:dyDescent="0.25">
      <c r="A166" s="45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11" t="str">
        <f>IF(COUNTBLANK(B166:W166)&gt;0,"NA",'batch classification'!J172)</f>
        <v>NA</v>
      </c>
    </row>
    <row r="167" spans="1:24" x14ac:dyDescent="0.25">
      <c r="A167" s="45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11" t="str">
        <f>IF(COUNTBLANK(B167:W167)&gt;0,"NA",'batch classification'!J173)</f>
        <v>NA</v>
      </c>
    </row>
    <row r="168" spans="1:24" x14ac:dyDescent="0.25">
      <c r="A168" s="45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11" t="str">
        <f>IF(COUNTBLANK(B168:W168)&gt;0,"NA",'batch classification'!J174)</f>
        <v>NA</v>
      </c>
    </row>
    <row r="169" spans="1:24" x14ac:dyDescent="0.25">
      <c r="A169" s="45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11" t="str">
        <f>IF(COUNTBLANK(B169:W169)&gt;0,"NA",'batch classification'!J175)</f>
        <v>NA</v>
      </c>
    </row>
    <row r="170" spans="1:24" x14ac:dyDescent="0.25">
      <c r="A170" s="45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11" t="str">
        <f>IF(COUNTBLANK(B170:W170)&gt;0,"NA",'batch classification'!J176)</f>
        <v>NA</v>
      </c>
    </row>
    <row r="171" spans="1:24" x14ac:dyDescent="0.25">
      <c r="A171" s="45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11" t="str">
        <f>IF(COUNTBLANK(B171:W171)&gt;0,"NA",'batch classification'!J177)</f>
        <v>NA</v>
      </c>
    </row>
    <row r="172" spans="1:24" x14ac:dyDescent="0.25">
      <c r="A172" s="45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11" t="str">
        <f>IF(COUNTBLANK(B172:W172)&gt;0,"NA",'batch classification'!J178)</f>
        <v>NA</v>
      </c>
    </row>
    <row r="173" spans="1:24" x14ac:dyDescent="0.25">
      <c r="A173" s="45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11" t="str">
        <f>IF(COUNTBLANK(B173:W173)&gt;0,"NA",'batch classification'!J179)</f>
        <v>NA</v>
      </c>
    </row>
    <row r="174" spans="1:24" x14ac:dyDescent="0.25">
      <c r="A174" s="45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11" t="str">
        <f>IF(COUNTBLANK(B174:W174)&gt;0,"NA",'batch classification'!J180)</f>
        <v>NA</v>
      </c>
    </row>
    <row r="175" spans="1:24" x14ac:dyDescent="0.25">
      <c r="A175" s="45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11" t="str">
        <f>IF(COUNTBLANK(B175:W175)&gt;0,"NA",'batch classification'!J181)</f>
        <v>NA</v>
      </c>
    </row>
    <row r="176" spans="1:24" x14ac:dyDescent="0.25">
      <c r="A176" s="45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11" t="str">
        <f>IF(COUNTBLANK(B176:W176)&gt;0,"NA",'batch classification'!J182)</f>
        <v>NA</v>
      </c>
    </row>
    <row r="177" spans="1:24" x14ac:dyDescent="0.25">
      <c r="A177" s="45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11" t="str">
        <f>IF(COUNTBLANK(B177:W177)&gt;0,"NA",'batch classification'!J183)</f>
        <v>NA</v>
      </c>
    </row>
    <row r="178" spans="1:24" x14ac:dyDescent="0.25">
      <c r="A178" s="45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11" t="str">
        <f>IF(COUNTBLANK(B178:W178)&gt;0,"NA",'batch classification'!J184)</f>
        <v>NA</v>
      </c>
    </row>
    <row r="179" spans="1:24" x14ac:dyDescent="0.25">
      <c r="A179" s="45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11" t="str">
        <f>IF(COUNTBLANK(B179:W179)&gt;0,"NA",'batch classification'!J185)</f>
        <v>NA</v>
      </c>
    </row>
    <row r="180" spans="1:24" x14ac:dyDescent="0.25">
      <c r="A180" s="45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11" t="str">
        <f>IF(COUNTBLANK(B180:W180)&gt;0,"NA",'batch classification'!J186)</f>
        <v>NA</v>
      </c>
    </row>
    <row r="181" spans="1:24" x14ac:dyDescent="0.25">
      <c r="A181" s="45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11" t="str">
        <f>IF(COUNTBLANK(B181:W181)&gt;0,"NA",'batch classification'!J187)</f>
        <v>NA</v>
      </c>
    </row>
    <row r="182" spans="1:24" x14ac:dyDescent="0.25">
      <c r="A182" s="45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11" t="str">
        <f>IF(COUNTBLANK(B182:W182)&gt;0,"NA",'batch classification'!J188)</f>
        <v>NA</v>
      </c>
    </row>
    <row r="183" spans="1:24" x14ac:dyDescent="0.25">
      <c r="A183" s="45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11" t="str">
        <f>IF(COUNTBLANK(B183:W183)&gt;0,"NA",'batch classification'!J189)</f>
        <v>NA</v>
      </c>
    </row>
    <row r="184" spans="1:24" x14ac:dyDescent="0.25">
      <c r="A184" s="45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11" t="str">
        <f>IF(COUNTBLANK(B184:W184)&gt;0,"NA",'batch classification'!J190)</f>
        <v>NA</v>
      </c>
    </row>
    <row r="185" spans="1:24" x14ac:dyDescent="0.25">
      <c r="A185" s="45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11" t="str">
        <f>IF(COUNTBLANK(B185:W185)&gt;0,"NA",'batch classification'!J191)</f>
        <v>NA</v>
      </c>
    </row>
    <row r="186" spans="1:24" x14ac:dyDescent="0.25">
      <c r="A186" s="45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11" t="str">
        <f>IF(COUNTBLANK(B186:W186)&gt;0,"NA",'batch classification'!J192)</f>
        <v>NA</v>
      </c>
    </row>
    <row r="187" spans="1:24" x14ac:dyDescent="0.25">
      <c r="A187" s="45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11" t="str">
        <f>IF(COUNTBLANK(B187:W187)&gt;0,"NA",'batch classification'!J193)</f>
        <v>NA</v>
      </c>
    </row>
    <row r="188" spans="1:24" x14ac:dyDescent="0.25">
      <c r="A188" s="45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11" t="str">
        <f>IF(COUNTBLANK(B188:W188)&gt;0,"NA",'batch classification'!J194)</f>
        <v>NA</v>
      </c>
    </row>
    <row r="189" spans="1:24" x14ac:dyDescent="0.25">
      <c r="A189" s="45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11" t="str">
        <f>IF(COUNTBLANK(B189:W189)&gt;0,"NA",'batch classification'!J195)</f>
        <v>NA</v>
      </c>
    </row>
    <row r="190" spans="1:24" x14ac:dyDescent="0.25">
      <c r="A190" s="45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11" t="str">
        <f>IF(COUNTBLANK(B190:W190)&gt;0,"NA",'batch classification'!J196)</f>
        <v>NA</v>
      </c>
    </row>
    <row r="191" spans="1:24" x14ac:dyDescent="0.25">
      <c r="A191" s="45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11" t="str">
        <f>IF(COUNTBLANK(B191:W191)&gt;0,"NA",'batch classification'!J197)</f>
        <v>NA</v>
      </c>
    </row>
    <row r="192" spans="1:24" x14ac:dyDescent="0.25">
      <c r="A192" s="45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11" t="str">
        <f>IF(COUNTBLANK(B192:W192)&gt;0,"NA",'batch classification'!J198)</f>
        <v>NA</v>
      </c>
    </row>
    <row r="193" spans="1:24" x14ac:dyDescent="0.25">
      <c r="A193" s="45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11" t="str">
        <f>IF(COUNTBLANK(B193:W193)&gt;0,"NA",'batch classification'!J199)</f>
        <v>NA</v>
      </c>
    </row>
    <row r="194" spans="1:24" x14ac:dyDescent="0.25">
      <c r="A194" s="45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11" t="str">
        <f>IF(COUNTBLANK(B194:W194)&gt;0,"NA",'batch classification'!J200)</f>
        <v>NA</v>
      </c>
    </row>
    <row r="195" spans="1:24" x14ac:dyDescent="0.25">
      <c r="A195" s="45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11" t="str">
        <f>IF(COUNTBLANK(B195:W195)&gt;0,"NA",'batch classification'!J201)</f>
        <v>NA</v>
      </c>
    </row>
    <row r="196" spans="1:24" x14ac:dyDescent="0.25">
      <c r="A196" s="45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11" t="str">
        <f>IF(COUNTBLANK(B196:W196)&gt;0,"NA",'batch classification'!J202)</f>
        <v>NA</v>
      </c>
    </row>
    <row r="197" spans="1:24" x14ac:dyDescent="0.25">
      <c r="A197" s="45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11" t="str">
        <f>IF(COUNTBLANK(B197:W197)&gt;0,"NA",'batch classification'!J203)</f>
        <v>NA</v>
      </c>
    </row>
    <row r="198" spans="1:24" x14ac:dyDescent="0.25">
      <c r="A198" s="45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11" t="str">
        <f>IF(COUNTBLANK(B198:W198)&gt;0,"NA",'batch classification'!J204)</f>
        <v>NA</v>
      </c>
    </row>
    <row r="199" spans="1:24" x14ac:dyDescent="0.25">
      <c r="A199" s="45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11" t="str">
        <f>IF(COUNTBLANK(B199:W199)&gt;0,"NA",'batch classification'!J205)</f>
        <v>NA</v>
      </c>
    </row>
    <row r="200" spans="1:24" x14ac:dyDescent="0.25">
      <c r="A200" s="45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11" t="str">
        <f>IF(COUNTBLANK(B200:W200)&gt;0,"NA",'batch classification'!J206)</f>
        <v>NA</v>
      </c>
    </row>
    <row r="201" spans="1:24" x14ac:dyDescent="0.25">
      <c r="A201" s="45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11" t="str">
        <f>IF(COUNTBLANK(B201:W201)&gt;0,"NA",'batch classification'!J207)</f>
        <v>NA</v>
      </c>
    </row>
    <row r="202" spans="1:24" x14ac:dyDescent="0.25">
      <c r="A202" s="45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11" t="str">
        <f>IF(COUNTBLANK(B202:W202)&gt;0,"NA",'batch classification'!J208)</f>
        <v>NA</v>
      </c>
    </row>
    <row r="203" spans="1:24" x14ac:dyDescent="0.25">
      <c r="A203" s="45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11" t="str">
        <f>IF(COUNTBLANK(B203:W203)&gt;0,"NA",'batch classification'!J209)</f>
        <v>NA</v>
      </c>
    </row>
    <row r="204" spans="1:24" x14ac:dyDescent="0.25">
      <c r="A204" s="45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11" t="str">
        <f>IF(COUNTBLANK(B204:W204)&gt;0,"NA",'batch classification'!J210)</f>
        <v>NA</v>
      </c>
    </row>
    <row r="205" spans="1:24" x14ac:dyDescent="0.25">
      <c r="A205" s="45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11" t="str">
        <f>IF(COUNTBLANK(B205:W205)&gt;0,"NA",'batch classification'!J211)</f>
        <v>NA</v>
      </c>
    </row>
    <row r="206" spans="1:24" x14ac:dyDescent="0.25">
      <c r="A206" s="45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11" t="str">
        <f>IF(COUNTBLANK(B206:W206)&gt;0,"NA",'batch classification'!J212)</f>
        <v>NA</v>
      </c>
    </row>
    <row r="207" spans="1:24" x14ac:dyDescent="0.25">
      <c r="A207" s="45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11" t="str">
        <f>IF(COUNTBLANK(B207:W207)&gt;0,"NA",'batch classification'!J213)</f>
        <v>NA</v>
      </c>
    </row>
    <row r="208" spans="1:24" x14ac:dyDescent="0.25">
      <c r="A208" s="45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11" t="str">
        <f>IF(COUNTBLANK(B208:W208)&gt;0,"NA",'batch classification'!J214)</f>
        <v>NA</v>
      </c>
    </row>
    <row r="209" spans="1:24" x14ac:dyDescent="0.25">
      <c r="A209" s="45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11" t="str">
        <f>IF(COUNTBLANK(B209:W209)&gt;0,"NA",'batch classification'!J215)</f>
        <v>NA</v>
      </c>
    </row>
    <row r="210" spans="1:24" x14ac:dyDescent="0.25">
      <c r="A210" s="45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11" t="str">
        <f>IF(COUNTBLANK(B210:W210)&gt;0,"NA",'batch classification'!J216)</f>
        <v>NA</v>
      </c>
    </row>
    <row r="211" spans="1:24" x14ac:dyDescent="0.25">
      <c r="A211" s="45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11" t="str">
        <f>IF(COUNTBLANK(B211:W211)&gt;0,"NA",'batch classification'!J217)</f>
        <v>NA</v>
      </c>
    </row>
    <row r="212" spans="1:24" x14ac:dyDescent="0.25">
      <c r="A212" s="45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11" t="str">
        <f>IF(COUNTBLANK(B212:W212)&gt;0,"NA",'batch classification'!J218)</f>
        <v>NA</v>
      </c>
    </row>
    <row r="213" spans="1:24" x14ac:dyDescent="0.25">
      <c r="A213" s="45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11" t="str">
        <f>IF(COUNTBLANK(B213:W213)&gt;0,"NA",'batch classification'!J219)</f>
        <v>NA</v>
      </c>
    </row>
    <row r="214" spans="1:24" x14ac:dyDescent="0.25">
      <c r="A214" s="45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11" t="str">
        <f>IF(COUNTBLANK(B214:W214)&gt;0,"NA",'batch classification'!J220)</f>
        <v>NA</v>
      </c>
    </row>
    <row r="215" spans="1:24" x14ac:dyDescent="0.25">
      <c r="A215" s="45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11" t="str">
        <f>IF(COUNTBLANK(B215:W215)&gt;0,"NA",'batch classification'!J221)</f>
        <v>NA</v>
      </c>
    </row>
    <row r="216" spans="1:24" x14ac:dyDescent="0.25">
      <c r="A216" s="45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11" t="str">
        <f>IF(COUNTBLANK(B216:W216)&gt;0,"NA",'batch classification'!J222)</f>
        <v>NA</v>
      </c>
    </row>
    <row r="217" spans="1:24" x14ac:dyDescent="0.25">
      <c r="A217" s="45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11" t="str">
        <f>IF(COUNTBLANK(B217:W217)&gt;0,"NA",'batch classification'!J223)</f>
        <v>NA</v>
      </c>
    </row>
    <row r="218" spans="1:24" x14ac:dyDescent="0.25">
      <c r="A218" s="45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11" t="str">
        <f>IF(COUNTBLANK(B218:W218)&gt;0,"NA",'batch classification'!J224)</f>
        <v>NA</v>
      </c>
    </row>
    <row r="219" spans="1:24" x14ac:dyDescent="0.25">
      <c r="A219" s="45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11" t="str">
        <f>IF(COUNTBLANK(B219:W219)&gt;0,"NA",'batch classification'!J225)</f>
        <v>NA</v>
      </c>
    </row>
    <row r="220" spans="1:24" x14ac:dyDescent="0.25">
      <c r="A220" s="45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11" t="str">
        <f>IF(COUNTBLANK(B220:W220)&gt;0,"NA",'batch classification'!J226)</f>
        <v>NA</v>
      </c>
    </row>
    <row r="221" spans="1:24" x14ac:dyDescent="0.25">
      <c r="A221" s="45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11" t="str">
        <f>IF(COUNTBLANK(B221:W221)&gt;0,"NA",'batch classification'!J227)</f>
        <v>NA</v>
      </c>
    </row>
    <row r="222" spans="1:24" x14ac:dyDescent="0.25">
      <c r="A222" s="45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11" t="str">
        <f>IF(COUNTBLANK(B222:W222)&gt;0,"NA",'batch classification'!J228)</f>
        <v>NA</v>
      </c>
    </row>
    <row r="223" spans="1:24" x14ac:dyDescent="0.25">
      <c r="A223" s="45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11" t="str">
        <f>IF(COUNTBLANK(B223:W223)&gt;0,"NA",'batch classification'!J229)</f>
        <v>NA</v>
      </c>
    </row>
    <row r="224" spans="1:24" x14ac:dyDescent="0.25">
      <c r="A224" s="45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11" t="str">
        <f>IF(COUNTBLANK(B224:W224)&gt;0,"NA",'batch classification'!J230)</f>
        <v>NA</v>
      </c>
    </row>
    <row r="225" spans="1:24" x14ac:dyDescent="0.25">
      <c r="A225" s="45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11" t="str">
        <f>IF(COUNTBLANK(B225:W225)&gt;0,"NA",'batch classification'!J231)</f>
        <v>NA</v>
      </c>
    </row>
    <row r="226" spans="1:24" x14ac:dyDescent="0.25">
      <c r="A226" s="45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11" t="str">
        <f>IF(COUNTBLANK(B226:W226)&gt;0,"NA",'batch classification'!J232)</f>
        <v>NA</v>
      </c>
    </row>
    <row r="227" spans="1:24" x14ac:dyDescent="0.25">
      <c r="A227" s="45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11" t="str">
        <f>IF(COUNTBLANK(B227:W227)&gt;0,"NA",'batch classification'!J233)</f>
        <v>NA</v>
      </c>
    </row>
    <row r="228" spans="1:24" x14ac:dyDescent="0.25">
      <c r="A228" s="45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11" t="str">
        <f>IF(COUNTBLANK(B228:W228)&gt;0,"NA",'batch classification'!J234)</f>
        <v>NA</v>
      </c>
    </row>
    <row r="229" spans="1:24" x14ac:dyDescent="0.25">
      <c r="A229" s="45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11" t="str">
        <f>IF(COUNTBLANK(B229:W229)&gt;0,"NA",'batch classification'!J235)</f>
        <v>NA</v>
      </c>
    </row>
    <row r="230" spans="1:24" x14ac:dyDescent="0.25">
      <c r="A230" s="45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11" t="str">
        <f>IF(COUNTBLANK(B230:W230)&gt;0,"NA",'batch classification'!J236)</f>
        <v>NA</v>
      </c>
    </row>
    <row r="231" spans="1:24" x14ac:dyDescent="0.25">
      <c r="A231" s="45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11" t="str">
        <f>IF(COUNTBLANK(B231:W231)&gt;0,"NA",'batch classification'!J237)</f>
        <v>NA</v>
      </c>
    </row>
    <row r="232" spans="1:24" x14ac:dyDescent="0.25">
      <c r="A232" s="45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11" t="str">
        <f>IF(COUNTBLANK(B232:W232)&gt;0,"NA",'batch classification'!J238)</f>
        <v>NA</v>
      </c>
    </row>
    <row r="233" spans="1:24" x14ac:dyDescent="0.25">
      <c r="A233" s="45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11" t="str">
        <f>IF(COUNTBLANK(B233:W233)&gt;0,"NA",'batch classification'!J239)</f>
        <v>NA</v>
      </c>
    </row>
    <row r="234" spans="1:24" x14ac:dyDescent="0.25">
      <c r="A234" s="45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11" t="str">
        <f>IF(COUNTBLANK(B234:W234)&gt;0,"NA",'batch classification'!J240)</f>
        <v>NA</v>
      </c>
    </row>
    <row r="235" spans="1:24" x14ac:dyDescent="0.25">
      <c r="A235" s="45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11" t="str">
        <f>IF(COUNTBLANK(B235:W235)&gt;0,"NA",'batch classification'!J241)</f>
        <v>NA</v>
      </c>
    </row>
    <row r="236" spans="1:24" x14ac:dyDescent="0.25">
      <c r="A236" s="45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11" t="str">
        <f>IF(COUNTBLANK(B236:W236)&gt;0,"NA",'batch classification'!J242)</f>
        <v>NA</v>
      </c>
    </row>
    <row r="237" spans="1:24" x14ac:dyDescent="0.25">
      <c r="A237" s="45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11" t="str">
        <f>IF(COUNTBLANK(B237:W237)&gt;0,"NA",'batch classification'!J243)</f>
        <v>NA</v>
      </c>
    </row>
    <row r="238" spans="1:24" x14ac:dyDescent="0.25">
      <c r="A238" s="45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11" t="str">
        <f>IF(COUNTBLANK(B238:W238)&gt;0,"NA",'batch classification'!J244)</f>
        <v>NA</v>
      </c>
    </row>
    <row r="239" spans="1:24" x14ac:dyDescent="0.25">
      <c r="A239" s="45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11" t="str">
        <f>IF(COUNTBLANK(B239:W239)&gt;0,"NA",'batch classification'!J245)</f>
        <v>NA</v>
      </c>
    </row>
    <row r="240" spans="1:24" x14ac:dyDescent="0.25">
      <c r="A240" s="45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11" t="str">
        <f>IF(COUNTBLANK(B240:W240)&gt;0,"NA",'batch classification'!J246)</f>
        <v>NA</v>
      </c>
    </row>
    <row r="241" spans="1:24" x14ac:dyDescent="0.25">
      <c r="A241" s="45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11" t="str">
        <f>IF(COUNTBLANK(B241:W241)&gt;0,"NA",'batch classification'!J247)</f>
        <v>NA</v>
      </c>
    </row>
    <row r="242" spans="1:24" x14ac:dyDescent="0.25">
      <c r="A242" s="45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11" t="str">
        <f>IF(COUNTBLANK(B242:W242)&gt;0,"NA",'batch classification'!J248)</f>
        <v>NA</v>
      </c>
    </row>
    <row r="243" spans="1:24" x14ac:dyDescent="0.25">
      <c r="A243" s="45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11" t="str">
        <f>IF(COUNTBLANK(B243:W243)&gt;0,"NA",'batch classification'!J249)</f>
        <v>NA</v>
      </c>
    </row>
    <row r="244" spans="1:24" x14ac:dyDescent="0.25">
      <c r="A244" s="45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11" t="str">
        <f>IF(COUNTBLANK(B244:W244)&gt;0,"NA",'batch classification'!J250)</f>
        <v>NA</v>
      </c>
    </row>
    <row r="245" spans="1:24" x14ac:dyDescent="0.25">
      <c r="A245" s="45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11" t="str">
        <f>IF(COUNTBLANK(B245:W245)&gt;0,"NA",'batch classification'!J251)</f>
        <v>NA</v>
      </c>
    </row>
    <row r="246" spans="1:24" x14ac:dyDescent="0.25">
      <c r="A246" s="45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11" t="str">
        <f>IF(COUNTBLANK(B246:W246)&gt;0,"NA",'batch classification'!J252)</f>
        <v>NA</v>
      </c>
    </row>
    <row r="247" spans="1:24" x14ac:dyDescent="0.25">
      <c r="A247" s="45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11" t="str">
        <f>IF(COUNTBLANK(B247:W247)&gt;0,"NA",'batch classification'!J253)</f>
        <v>NA</v>
      </c>
    </row>
    <row r="248" spans="1:24" x14ac:dyDescent="0.25">
      <c r="A248" s="45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11" t="str">
        <f>IF(COUNTBLANK(B248:W248)&gt;0,"NA",'batch classification'!J254)</f>
        <v>NA</v>
      </c>
    </row>
    <row r="249" spans="1:24" x14ac:dyDescent="0.25">
      <c r="A249" s="45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11" t="str">
        <f>IF(COUNTBLANK(B249:W249)&gt;0,"NA",'batch classification'!J255)</f>
        <v>NA</v>
      </c>
    </row>
    <row r="250" spans="1:24" x14ac:dyDescent="0.25">
      <c r="A250" s="45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11" t="str">
        <f>IF(COUNTBLANK(B250:W250)&gt;0,"NA",'batch classification'!J256)</f>
        <v>NA</v>
      </c>
    </row>
    <row r="251" spans="1:24" x14ac:dyDescent="0.25">
      <c r="A251" s="45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11" t="str">
        <f>IF(COUNTBLANK(B251:W251)&gt;0,"NA",'batch classification'!J257)</f>
        <v>NA</v>
      </c>
    </row>
    <row r="252" spans="1:24" x14ac:dyDescent="0.25">
      <c r="A252" s="45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11" t="str">
        <f>IF(COUNTBLANK(B252:W252)&gt;0,"NA",'batch classification'!J258)</f>
        <v>NA</v>
      </c>
    </row>
    <row r="253" spans="1:24" x14ac:dyDescent="0.25">
      <c r="A253" s="45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11" t="str">
        <f>IF(COUNTBLANK(B253:W253)&gt;0,"NA",'batch classification'!J259)</f>
        <v>NA</v>
      </c>
    </row>
    <row r="254" spans="1:24" x14ac:dyDescent="0.25">
      <c r="A254" s="45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11" t="str">
        <f>IF(COUNTBLANK(B254:W254)&gt;0,"NA",'batch classification'!J260)</f>
        <v>NA</v>
      </c>
    </row>
    <row r="255" spans="1:24" x14ac:dyDescent="0.25">
      <c r="A255" s="45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11" t="str">
        <f>IF(COUNTBLANK(B255:W255)&gt;0,"NA",'batch classification'!J261)</f>
        <v>NA</v>
      </c>
    </row>
    <row r="256" spans="1:24" x14ac:dyDescent="0.25">
      <c r="A256" s="45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11" t="str">
        <f>IF(COUNTBLANK(B256:W256)&gt;0,"NA",'batch classification'!J262)</f>
        <v>NA</v>
      </c>
    </row>
    <row r="257" spans="1:24" x14ac:dyDescent="0.25">
      <c r="A257" s="45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11" t="str">
        <f>IF(COUNTBLANK(B257:W257)&gt;0,"NA",'batch classification'!J263)</f>
        <v>NA</v>
      </c>
    </row>
    <row r="258" spans="1:24" x14ac:dyDescent="0.25">
      <c r="A258" s="45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11" t="str">
        <f>IF(COUNTBLANK(B258:W258)&gt;0,"NA",'batch classification'!J264)</f>
        <v>NA</v>
      </c>
    </row>
    <row r="259" spans="1:24" x14ac:dyDescent="0.25">
      <c r="A259" s="45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11" t="str">
        <f>IF(COUNTBLANK(B259:W259)&gt;0,"NA",'batch classification'!J265)</f>
        <v>NA</v>
      </c>
    </row>
    <row r="260" spans="1:24" x14ac:dyDescent="0.25">
      <c r="A260" s="45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11" t="str">
        <f>IF(COUNTBLANK(B260:W260)&gt;0,"NA",'batch classification'!J266)</f>
        <v>NA</v>
      </c>
    </row>
    <row r="261" spans="1:24" x14ac:dyDescent="0.25">
      <c r="A261" s="45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11" t="str">
        <f>IF(COUNTBLANK(B261:W261)&gt;0,"NA",'batch classification'!J267)</f>
        <v>NA</v>
      </c>
    </row>
    <row r="262" spans="1:24" x14ac:dyDescent="0.25">
      <c r="A262" s="45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11" t="str">
        <f>IF(COUNTBLANK(B262:W262)&gt;0,"NA",'batch classification'!J268)</f>
        <v>NA</v>
      </c>
    </row>
    <row r="263" spans="1:24" x14ac:dyDescent="0.25">
      <c r="A263" s="45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11" t="str">
        <f>IF(COUNTBLANK(B263:W263)&gt;0,"NA",'batch classification'!J269)</f>
        <v>NA</v>
      </c>
    </row>
    <row r="264" spans="1:24" x14ac:dyDescent="0.25">
      <c r="A264" s="45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11" t="str">
        <f>IF(COUNTBLANK(B264:W264)&gt;0,"NA",'batch classification'!J270)</f>
        <v>NA</v>
      </c>
    </row>
    <row r="265" spans="1:24" x14ac:dyDescent="0.25">
      <c r="A265" s="45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11" t="str">
        <f>IF(COUNTBLANK(B265:W265)&gt;0,"NA",'batch classification'!J271)</f>
        <v>NA</v>
      </c>
    </row>
    <row r="266" spans="1:24" x14ac:dyDescent="0.25">
      <c r="A266" s="45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11" t="str">
        <f>IF(COUNTBLANK(B266:W266)&gt;0,"NA",'batch classification'!J272)</f>
        <v>NA</v>
      </c>
    </row>
    <row r="267" spans="1:24" x14ac:dyDescent="0.25">
      <c r="A267" s="45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11" t="str">
        <f>IF(COUNTBLANK(B267:W267)&gt;0,"NA",'batch classification'!J273)</f>
        <v>NA</v>
      </c>
    </row>
    <row r="268" spans="1:24" x14ac:dyDescent="0.25">
      <c r="A268" s="45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11" t="str">
        <f>IF(COUNTBLANK(B268:W268)&gt;0,"NA",'batch classification'!J274)</f>
        <v>NA</v>
      </c>
    </row>
    <row r="269" spans="1:24" x14ac:dyDescent="0.25">
      <c r="A269" s="45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11" t="str">
        <f>IF(COUNTBLANK(B269:W269)&gt;0,"NA",'batch classification'!J275)</f>
        <v>NA</v>
      </c>
    </row>
    <row r="270" spans="1:24" x14ac:dyDescent="0.25">
      <c r="A270" s="45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11" t="str">
        <f>IF(COUNTBLANK(B270:W270)&gt;0,"NA",'batch classification'!J276)</f>
        <v>NA</v>
      </c>
    </row>
    <row r="271" spans="1:24" x14ac:dyDescent="0.25">
      <c r="A271" s="45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11" t="str">
        <f>IF(COUNTBLANK(B271:W271)&gt;0,"NA",'batch classification'!J277)</f>
        <v>NA</v>
      </c>
    </row>
    <row r="272" spans="1:24" x14ac:dyDescent="0.25">
      <c r="A272" s="45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11" t="str">
        <f>IF(COUNTBLANK(B272:W272)&gt;0,"NA",'batch classification'!J278)</f>
        <v>NA</v>
      </c>
    </row>
    <row r="273" spans="1:24" x14ac:dyDescent="0.25">
      <c r="A273" s="45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11" t="str">
        <f>IF(COUNTBLANK(B273:W273)&gt;0,"NA",'batch classification'!J279)</f>
        <v>NA</v>
      </c>
    </row>
    <row r="274" spans="1:24" x14ac:dyDescent="0.25">
      <c r="A274" s="45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11" t="str">
        <f>IF(COUNTBLANK(B274:W274)&gt;0,"NA",'batch classification'!J280)</f>
        <v>NA</v>
      </c>
    </row>
    <row r="275" spans="1:24" x14ac:dyDescent="0.25">
      <c r="A275" s="45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11" t="str">
        <f>IF(COUNTBLANK(B275:W275)&gt;0,"NA",'batch classification'!J281)</f>
        <v>NA</v>
      </c>
    </row>
    <row r="276" spans="1:24" x14ac:dyDescent="0.25">
      <c r="A276" s="45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11" t="str">
        <f>IF(COUNTBLANK(B276:W276)&gt;0,"NA",'batch classification'!J282)</f>
        <v>NA</v>
      </c>
    </row>
    <row r="277" spans="1:24" x14ac:dyDescent="0.25">
      <c r="A277" s="45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11" t="str">
        <f>IF(COUNTBLANK(B277:W277)&gt;0,"NA",'batch classification'!J283)</f>
        <v>NA</v>
      </c>
    </row>
    <row r="278" spans="1:24" x14ac:dyDescent="0.25">
      <c r="A278" s="45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11" t="str">
        <f>IF(COUNTBLANK(B278:W278)&gt;0,"NA",'batch classification'!J284)</f>
        <v>NA</v>
      </c>
    </row>
    <row r="279" spans="1:24" x14ac:dyDescent="0.25">
      <c r="A279" s="45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11" t="str">
        <f>IF(COUNTBLANK(B279:W279)&gt;0,"NA",'batch classification'!J285)</f>
        <v>NA</v>
      </c>
    </row>
    <row r="280" spans="1:24" x14ac:dyDescent="0.25">
      <c r="A280" s="45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11" t="str">
        <f>IF(COUNTBLANK(B280:W280)&gt;0,"NA",'batch classification'!J286)</f>
        <v>NA</v>
      </c>
    </row>
    <row r="281" spans="1:24" x14ac:dyDescent="0.25">
      <c r="A281" s="45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11" t="str">
        <f>IF(COUNTBLANK(B281:W281)&gt;0,"NA",'batch classification'!J287)</f>
        <v>NA</v>
      </c>
    </row>
    <row r="282" spans="1:24" x14ac:dyDescent="0.25">
      <c r="A282" s="45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11" t="str">
        <f>IF(COUNTBLANK(B282:W282)&gt;0,"NA",'batch classification'!J288)</f>
        <v>NA</v>
      </c>
    </row>
    <row r="283" spans="1:24" x14ac:dyDescent="0.25">
      <c r="A283" s="45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11" t="str">
        <f>IF(COUNTBLANK(B283:W283)&gt;0,"NA",'batch classification'!J289)</f>
        <v>NA</v>
      </c>
    </row>
    <row r="284" spans="1:24" x14ac:dyDescent="0.25">
      <c r="A284" s="45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11" t="str">
        <f>IF(COUNTBLANK(B284:W284)&gt;0,"NA",'batch classification'!J290)</f>
        <v>NA</v>
      </c>
    </row>
    <row r="285" spans="1:24" x14ac:dyDescent="0.25">
      <c r="A285" s="45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11" t="str">
        <f>IF(COUNTBLANK(B285:W285)&gt;0,"NA",'batch classification'!J291)</f>
        <v>NA</v>
      </c>
    </row>
    <row r="286" spans="1:24" x14ac:dyDescent="0.25">
      <c r="A286" s="45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11" t="str">
        <f>IF(COUNTBLANK(B286:W286)&gt;0,"NA",'batch classification'!J292)</f>
        <v>NA</v>
      </c>
    </row>
    <row r="287" spans="1:24" x14ac:dyDescent="0.25">
      <c r="A287" s="45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11" t="str">
        <f>IF(COUNTBLANK(B287:W287)&gt;0,"NA",'batch classification'!J293)</f>
        <v>NA</v>
      </c>
    </row>
    <row r="288" spans="1:24" x14ac:dyDescent="0.25">
      <c r="A288" s="45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11" t="str">
        <f>IF(COUNTBLANK(B288:W288)&gt;0,"NA",'batch classification'!J294)</f>
        <v>NA</v>
      </c>
    </row>
    <row r="289" spans="1:24" x14ac:dyDescent="0.25">
      <c r="A289" s="45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11" t="str">
        <f>IF(COUNTBLANK(B289:W289)&gt;0,"NA",'batch classification'!J295)</f>
        <v>NA</v>
      </c>
    </row>
    <row r="290" spans="1:24" x14ac:dyDescent="0.25">
      <c r="A290" s="45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11" t="str">
        <f>IF(COUNTBLANK(B290:W290)&gt;0,"NA",'batch classification'!J296)</f>
        <v>NA</v>
      </c>
    </row>
    <row r="291" spans="1:24" x14ac:dyDescent="0.25">
      <c r="A291" s="45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11" t="str">
        <f>IF(COUNTBLANK(B291:W291)&gt;0,"NA",'batch classification'!J297)</f>
        <v>NA</v>
      </c>
    </row>
    <row r="292" spans="1:24" x14ac:dyDescent="0.25">
      <c r="A292" s="45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11" t="str">
        <f>IF(COUNTBLANK(B292:W292)&gt;0,"NA",'batch classification'!J298)</f>
        <v>NA</v>
      </c>
    </row>
    <row r="293" spans="1:24" x14ac:dyDescent="0.25">
      <c r="A293" s="45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11" t="str">
        <f>IF(COUNTBLANK(B293:W293)&gt;0,"NA",'batch classification'!J299)</f>
        <v>NA</v>
      </c>
    </row>
    <row r="294" spans="1:24" x14ac:dyDescent="0.25">
      <c r="A294" s="45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11" t="str">
        <f>IF(COUNTBLANK(B294:W294)&gt;0,"NA",'batch classification'!J300)</f>
        <v>NA</v>
      </c>
    </row>
    <row r="295" spans="1:24" x14ac:dyDescent="0.25">
      <c r="A295" s="45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11" t="str">
        <f>IF(COUNTBLANK(B295:W295)&gt;0,"NA",'batch classification'!J301)</f>
        <v>NA</v>
      </c>
    </row>
    <row r="296" spans="1:24" x14ac:dyDescent="0.25">
      <c r="A296" s="45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11" t="str">
        <f>IF(COUNTBLANK(B296:W296)&gt;0,"NA",'batch classification'!J302)</f>
        <v>NA</v>
      </c>
    </row>
    <row r="297" spans="1:24" x14ac:dyDescent="0.25">
      <c r="A297" s="45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11" t="str">
        <f>IF(COUNTBLANK(B297:W297)&gt;0,"NA",'batch classification'!J303)</f>
        <v>NA</v>
      </c>
    </row>
    <row r="298" spans="1:24" x14ac:dyDescent="0.25">
      <c r="A298" s="45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11" t="str">
        <f>IF(COUNTBLANK(B298:W298)&gt;0,"NA",'batch classification'!J304)</f>
        <v>NA</v>
      </c>
    </row>
    <row r="299" spans="1:24" x14ac:dyDescent="0.25">
      <c r="A299" s="45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11" t="str">
        <f>IF(COUNTBLANK(B299:W299)&gt;0,"NA",'batch classification'!J305)</f>
        <v>NA</v>
      </c>
    </row>
    <row r="300" spans="1:24" x14ac:dyDescent="0.25">
      <c r="A300" s="45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11" t="str">
        <f>IF(COUNTBLANK(B300:W300)&gt;0,"NA",'batch classification'!J306)</f>
        <v>NA</v>
      </c>
    </row>
    <row r="301" spans="1:24" x14ac:dyDescent="0.25">
      <c r="A301" s="45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11" t="str">
        <f>IF(COUNTBLANK(B301:W301)&gt;0,"NA",'batch classification'!J307)</f>
        <v>NA</v>
      </c>
    </row>
    <row r="302" spans="1:24" x14ac:dyDescent="0.25">
      <c r="A302" s="45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11" t="str">
        <f>IF(COUNTBLANK(B302:W302)&gt;0,"NA",'batch classification'!J308)</f>
        <v>NA</v>
      </c>
    </row>
    <row r="303" spans="1:24" x14ac:dyDescent="0.25">
      <c r="A303" s="45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11" t="str">
        <f>IF(COUNTBLANK(B303:W303)&gt;0,"NA",'batch classification'!J309)</f>
        <v>NA</v>
      </c>
    </row>
    <row r="304" spans="1:24" x14ac:dyDescent="0.25">
      <c r="A304" s="45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11" t="str">
        <f>IF(COUNTBLANK(B304:W304)&gt;0,"NA",'batch classification'!J310)</f>
        <v>NA</v>
      </c>
    </row>
    <row r="305" spans="1:24" x14ac:dyDescent="0.25">
      <c r="A305" s="45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11" t="str">
        <f>IF(COUNTBLANK(B305:W305)&gt;0,"NA",'batch classification'!J311)</f>
        <v>NA</v>
      </c>
    </row>
    <row r="306" spans="1:24" x14ac:dyDescent="0.25">
      <c r="A306" s="45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11" t="str">
        <f>IF(COUNTBLANK(B306:W306)&gt;0,"NA",'batch classification'!J312)</f>
        <v>NA</v>
      </c>
    </row>
    <row r="307" spans="1:24" x14ac:dyDescent="0.25">
      <c r="A307" s="45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11" t="str">
        <f>IF(COUNTBLANK(B307:W307)&gt;0,"NA",'batch classification'!J313)</f>
        <v>NA</v>
      </c>
    </row>
    <row r="308" spans="1:24" x14ac:dyDescent="0.25">
      <c r="A308" s="45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11" t="str">
        <f>IF(COUNTBLANK(B308:W308)&gt;0,"NA",'batch classification'!J314)</f>
        <v>NA</v>
      </c>
    </row>
    <row r="309" spans="1:24" x14ac:dyDescent="0.25">
      <c r="A309" s="45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11" t="str">
        <f>IF(COUNTBLANK(B309:W309)&gt;0,"NA",'batch classification'!J315)</f>
        <v>NA</v>
      </c>
    </row>
    <row r="310" spans="1:24" x14ac:dyDescent="0.25">
      <c r="A310" s="45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11" t="str">
        <f>IF(COUNTBLANK(B310:W310)&gt;0,"NA",'batch classification'!J316)</f>
        <v>NA</v>
      </c>
    </row>
    <row r="311" spans="1:24" x14ac:dyDescent="0.25">
      <c r="A311" s="45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11" t="str">
        <f>IF(COUNTBLANK(B311:W311)&gt;0,"NA",'batch classification'!J317)</f>
        <v>NA</v>
      </c>
    </row>
    <row r="312" spans="1:24" x14ac:dyDescent="0.25">
      <c r="A312" s="45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11" t="str">
        <f>IF(COUNTBLANK(B312:W312)&gt;0,"NA",'batch classification'!J318)</f>
        <v>NA</v>
      </c>
    </row>
    <row r="313" spans="1:24" x14ac:dyDescent="0.25">
      <c r="A313" s="45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11" t="str">
        <f>IF(COUNTBLANK(B313:W313)&gt;0,"NA",'batch classification'!J319)</f>
        <v>NA</v>
      </c>
    </row>
    <row r="314" spans="1:24" x14ac:dyDescent="0.25">
      <c r="A314" s="45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11" t="str">
        <f>IF(COUNTBLANK(B314:W314)&gt;0,"NA",'batch classification'!J320)</f>
        <v>NA</v>
      </c>
    </row>
    <row r="315" spans="1:24" x14ac:dyDescent="0.25">
      <c r="A315" s="45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11" t="str">
        <f>IF(COUNTBLANK(B315:W315)&gt;0,"NA",'batch classification'!J321)</f>
        <v>NA</v>
      </c>
    </row>
    <row r="316" spans="1:24" x14ac:dyDescent="0.25">
      <c r="A316" s="45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11" t="str">
        <f>IF(COUNTBLANK(B316:W316)&gt;0,"NA",'batch classification'!J322)</f>
        <v>NA</v>
      </c>
    </row>
    <row r="317" spans="1:24" x14ac:dyDescent="0.25">
      <c r="A317" s="45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11" t="str">
        <f>IF(COUNTBLANK(B317:W317)&gt;0,"NA",'batch classification'!J323)</f>
        <v>NA</v>
      </c>
    </row>
    <row r="318" spans="1:24" x14ac:dyDescent="0.25">
      <c r="A318" s="45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11" t="str">
        <f>IF(COUNTBLANK(B318:W318)&gt;0,"NA",'batch classification'!J324)</f>
        <v>NA</v>
      </c>
    </row>
    <row r="319" spans="1:24" x14ac:dyDescent="0.25">
      <c r="A319" s="45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11" t="str">
        <f>IF(COUNTBLANK(B319:W319)&gt;0,"NA",'batch classification'!J325)</f>
        <v>NA</v>
      </c>
    </row>
    <row r="320" spans="1:24" x14ac:dyDescent="0.25">
      <c r="A320" s="45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11" t="str">
        <f>IF(COUNTBLANK(B320:W320)&gt;0,"NA",'batch classification'!J326)</f>
        <v>NA</v>
      </c>
    </row>
    <row r="321" spans="1:24" x14ac:dyDescent="0.25">
      <c r="A321" s="45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11" t="str">
        <f>IF(COUNTBLANK(B321:W321)&gt;0,"NA",'batch classification'!J327)</f>
        <v>NA</v>
      </c>
    </row>
    <row r="322" spans="1:24" x14ac:dyDescent="0.25">
      <c r="A322" s="45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11" t="str">
        <f>IF(COUNTBLANK(B322:W322)&gt;0,"NA",'batch classification'!J328)</f>
        <v>NA</v>
      </c>
    </row>
    <row r="323" spans="1:24" x14ac:dyDescent="0.25">
      <c r="A323" s="45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11" t="str">
        <f>IF(COUNTBLANK(B323:W323)&gt;0,"NA",'batch classification'!J329)</f>
        <v>NA</v>
      </c>
    </row>
    <row r="324" spans="1:24" x14ac:dyDescent="0.25">
      <c r="A324" s="45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11" t="str">
        <f>IF(COUNTBLANK(B324:W324)&gt;0,"NA",'batch classification'!J330)</f>
        <v>NA</v>
      </c>
    </row>
    <row r="325" spans="1:24" x14ac:dyDescent="0.25">
      <c r="A325" s="45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11" t="str">
        <f>IF(COUNTBLANK(B325:W325)&gt;0,"NA",'batch classification'!J331)</f>
        <v>NA</v>
      </c>
    </row>
    <row r="326" spans="1:24" x14ac:dyDescent="0.25">
      <c r="A326" s="45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11" t="str">
        <f>IF(COUNTBLANK(B326:W326)&gt;0,"NA",'batch classification'!J332)</f>
        <v>NA</v>
      </c>
    </row>
    <row r="327" spans="1:24" x14ac:dyDescent="0.25">
      <c r="A327" s="45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11" t="str">
        <f>IF(COUNTBLANK(B327:W327)&gt;0,"NA",'batch classification'!J333)</f>
        <v>NA</v>
      </c>
    </row>
    <row r="328" spans="1:24" x14ac:dyDescent="0.25">
      <c r="A328" s="45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11" t="str">
        <f>IF(COUNTBLANK(B328:W328)&gt;0,"NA",'batch classification'!J334)</f>
        <v>NA</v>
      </c>
    </row>
    <row r="329" spans="1:24" x14ac:dyDescent="0.25">
      <c r="A329" s="45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11" t="str">
        <f>IF(COUNTBLANK(B329:W329)&gt;0,"NA",'batch classification'!J335)</f>
        <v>NA</v>
      </c>
    </row>
    <row r="330" spans="1:24" x14ac:dyDescent="0.25">
      <c r="A330" s="45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11" t="str">
        <f>IF(COUNTBLANK(B330:W330)&gt;0,"NA",'batch classification'!J336)</f>
        <v>NA</v>
      </c>
    </row>
    <row r="331" spans="1:24" x14ac:dyDescent="0.25">
      <c r="A331" s="45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11" t="str">
        <f>IF(COUNTBLANK(B331:W331)&gt;0,"NA",'batch classification'!J337)</f>
        <v>NA</v>
      </c>
    </row>
    <row r="332" spans="1:24" x14ac:dyDescent="0.25">
      <c r="A332" s="45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11" t="str">
        <f>IF(COUNTBLANK(B332:W332)&gt;0,"NA",'batch classification'!J338)</f>
        <v>NA</v>
      </c>
    </row>
    <row r="333" spans="1:24" x14ac:dyDescent="0.25">
      <c r="A333" s="45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11" t="str">
        <f>IF(COUNTBLANK(B333:W333)&gt;0,"NA",'batch classification'!J339)</f>
        <v>NA</v>
      </c>
    </row>
    <row r="334" spans="1:24" x14ac:dyDescent="0.25">
      <c r="A334" s="45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11" t="str">
        <f>IF(COUNTBLANK(B334:W334)&gt;0,"NA",'batch classification'!J340)</f>
        <v>NA</v>
      </c>
    </row>
    <row r="335" spans="1:24" x14ac:dyDescent="0.25">
      <c r="A335" s="45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11" t="str">
        <f>IF(COUNTBLANK(B335:W335)&gt;0,"NA",'batch classification'!J341)</f>
        <v>NA</v>
      </c>
    </row>
    <row r="336" spans="1:24" x14ac:dyDescent="0.25">
      <c r="A336" s="45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11" t="str">
        <f>IF(COUNTBLANK(B336:W336)&gt;0,"NA",'batch classification'!J342)</f>
        <v>NA</v>
      </c>
    </row>
    <row r="337" spans="1:24" x14ac:dyDescent="0.25">
      <c r="A337" s="45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11" t="str">
        <f>IF(COUNTBLANK(B337:W337)&gt;0,"NA",'batch classification'!J343)</f>
        <v>NA</v>
      </c>
    </row>
    <row r="338" spans="1:24" x14ac:dyDescent="0.25">
      <c r="A338" s="45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11" t="str">
        <f>IF(COUNTBLANK(B338:W338)&gt;0,"NA",'batch classification'!J344)</f>
        <v>NA</v>
      </c>
    </row>
    <row r="339" spans="1:24" x14ac:dyDescent="0.25">
      <c r="A339" s="45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11" t="str">
        <f>IF(COUNTBLANK(B339:W339)&gt;0,"NA",'batch classification'!J345)</f>
        <v>NA</v>
      </c>
    </row>
    <row r="340" spans="1:24" x14ac:dyDescent="0.25">
      <c r="A340" s="45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11" t="str">
        <f>IF(COUNTBLANK(B340:W340)&gt;0,"NA",'batch classification'!J346)</f>
        <v>NA</v>
      </c>
    </row>
    <row r="341" spans="1:24" x14ac:dyDescent="0.25">
      <c r="A341" s="45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11" t="str">
        <f>IF(COUNTBLANK(B341:W341)&gt;0,"NA",'batch classification'!J347)</f>
        <v>NA</v>
      </c>
    </row>
    <row r="342" spans="1:24" x14ac:dyDescent="0.25">
      <c r="A342" s="45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11" t="str">
        <f>IF(COUNTBLANK(B342:W342)&gt;0,"NA",'batch classification'!J348)</f>
        <v>NA</v>
      </c>
    </row>
    <row r="343" spans="1:24" x14ac:dyDescent="0.25">
      <c r="A343" s="45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11" t="str">
        <f>IF(COUNTBLANK(B343:W343)&gt;0,"NA",'batch classification'!J349)</f>
        <v>NA</v>
      </c>
    </row>
    <row r="344" spans="1:24" x14ac:dyDescent="0.25">
      <c r="A344" s="45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11" t="str">
        <f>IF(COUNTBLANK(B344:W344)&gt;0,"NA",'batch classification'!J350)</f>
        <v>NA</v>
      </c>
    </row>
    <row r="345" spans="1:24" x14ac:dyDescent="0.25">
      <c r="A345" s="45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11" t="str">
        <f>IF(COUNTBLANK(B345:W345)&gt;0,"NA",'batch classification'!J351)</f>
        <v>NA</v>
      </c>
    </row>
    <row r="346" spans="1:24" x14ac:dyDescent="0.25">
      <c r="A346" s="45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11" t="str">
        <f>IF(COUNTBLANK(B346:W346)&gt;0,"NA",'batch classification'!J352)</f>
        <v>NA</v>
      </c>
    </row>
    <row r="347" spans="1:24" x14ac:dyDescent="0.25">
      <c r="A347" s="45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11" t="str">
        <f>IF(COUNTBLANK(B347:W347)&gt;0,"NA",'batch classification'!J353)</f>
        <v>NA</v>
      </c>
    </row>
    <row r="348" spans="1:24" x14ac:dyDescent="0.25">
      <c r="A348" s="45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11" t="str">
        <f>IF(COUNTBLANK(B348:W348)&gt;0,"NA",'batch classification'!J354)</f>
        <v>NA</v>
      </c>
    </row>
    <row r="349" spans="1:24" x14ac:dyDescent="0.25">
      <c r="A349" s="45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11" t="str">
        <f>IF(COUNTBLANK(B349:W349)&gt;0,"NA",'batch classification'!J355)</f>
        <v>NA</v>
      </c>
    </row>
    <row r="350" spans="1:24" x14ac:dyDescent="0.25">
      <c r="A350" s="45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11" t="str">
        <f>IF(COUNTBLANK(B350:W350)&gt;0,"NA",'batch classification'!J356)</f>
        <v>NA</v>
      </c>
    </row>
    <row r="351" spans="1:24" x14ac:dyDescent="0.25">
      <c r="A351" s="45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11" t="str">
        <f>IF(COUNTBLANK(B351:W351)&gt;0,"NA",'batch classification'!J357)</f>
        <v>NA</v>
      </c>
    </row>
    <row r="352" spans="1:24" x14ac:dyDescent="0.25">
      <c r="A352" s="45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11" t="str">
        <f>IF(COUNTBLANK(B352:W352)&gt;0,"NA",'batch classification'!J358)</f>
        <v>NA</v>
      </c>
    </row>
    <row r="353" spans="1:24" x14ac:dyDescent="0.25">
      <c r="A353" s="45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11" t="str">
        <f>IF(COUNTBLANK(B353:W353)&gt;0,"NA",'batch classification'!J359)</f>
        <v>NA</v>
      </c>
    </row>
    <row r="354" spans="1:24" x14ac:dyDescent="0.25">
      <c r="A354" s="45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11" t="str">
        <f>IF(COUNTBLANK(B354:W354)&gt;0,"NA",'batch classification'!J360)</f>
        <v>NA</v>
      </c>
    </row>
    <row r="355" spans="1:24" x14ac:dyDescent="0.25">
      <c r="A355" s="45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11" t="str">
        <f>IF(COUNTBLANK(B355:W355)&gt;0,"NA",'batch classification'!J361)</f>
        <v>NA</v>
      </c>
    </row>
    <row r="356" spans="1:24" x14ac:dyDescent="0.25">
      <c r="A356" s="45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11" t="str">
        <f>IF(COUNTBLANK(B356:W356)&gt;0,"NA",'batch classification'!J362)</f>
        <v>NA</v>
      </c>
    </row>
    <row r="357" spans="1:24" x14ac:dyDescent="0.25">
      <c r="A357" s="45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11" t="str">
        <f>IF(COUNTBLANK(B357:W357)&gt;0,"NA",'batch classification'!J363)</f>
        <v>NA</v>
      </c>
    </row>
    <row r="358" spans="1:24" x14ac:dyDescent="0.25">
      <c r="A358" s="45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11" t="str">
        <f>IF(COUNTBLANK(B358:W358)&gt;0,"NA",'batch classification'!J364)</f>
        <v>NA</v>
      </c>
    </row>
    <row r="359" spans="1:24" x14ac:dyDescent="0.25">
      <c r="A359" s="45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11" t="str">
        <f>IF(COUNTBLANK(B359:W359)&gt;0,"NA",'batch classification'!J365)</f>
        <v>NA</v>
      </c>
    </row>
    <row r="360" spans="1:24" x14ac:dyDescent="0.25">
      <c r="A360" s="45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11" t="str">
        <f>IF(COUNTBLANK(B360:W360)&gt;0,"NA",'batch classification'!J366)</f>
        <v>NA</v>
      </c>
    </row>
    <row r="361" spans="1:24" x14ac:dyDescent="0.25">
      <c r="A361" s="45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11" t="str">
        <f>IF(COUNTBLANK(B361:W361)&gt;0,"NA",'batch classification'!J367)</f>
        <v>NA</v>
      </c>
    </row>
    <row r="362" spans="1:24" x14ac:dyDescent="0.25">
      <c r="A362" s="45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11" t="str">
        <f>IF(COUNTBLANK(B362:W362)&gt;0,"NA",'batch classification'!J368)</f>
        <v>NA</v>
      </c>
    </row>
    <row r="363" spans="1:24" x14ac:dyDescent="0.25">
      <c r="A363" s="45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11" t="str">
        <f>IF(COUNTBLANK(B363:W363)&gt;0,"NA",'batch classification'!J369)</f>
        <v>NA</v>
      </c>
    </row>
    <row r="364" spans="1:24" x14ac:dyDescent="0.25">
      <c r="A364" s="45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11" t="str">
        <f>IF(COUNTBLANK(B364:W364)&gt;0,"NA",'batch classification'!J370)</f>
        <v>NA</v>
      </c>
    </row>
    <row r="365" spans="1:24" x14ac:dyDescent="0.25">
      <c r="A365" s="45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11" t="str">
        <f>IF(COUNTBLANK(B365:W365)&gt;0,"NA",'batch classification'!J371)</f>
        <v>NA</v>
      </c>
    </row>
    <row r="366" spans="1:24" x14ac:dyDescent="0.25">
      <c r="A366" s="45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11" t="str">
        <f>IF(COUNTBLANK(B366:W366)&gt;0,"NA",'batch classification'!J372)</f>
        <v>NA</v>
      </c>
    </row>
    <row r="367" spans="1:24" x14ac:dyDescent="0.25">
      <c r="A367" s="45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11" t="str">
        <f>IF(COUNTBLANK(B367:W367)&gt;0,"NA",'batch classification'!J373)</f>
        <v>NA</v>
      </c>
    </row>
    <row r="368" spans="1:24" x14ac:dyDescent="0.25">
      <c r="A368" s="45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11" t="str">
        <f>IF(COUNTBLANK(B368:W368)&gt;0,"NA",'batch classification'!J374)</f>
        <v>NA</v>
      </c>
    </row>
    <row r="369" spans="1:24" x14ac:dyDescent="0.25">
      <c r="A369" s="45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11" t="str">
        <f>IF(COUNTBLANK(B369:W369)&gt;0,"NA",'batch classification'!J375)</f>
        <v>NA</v>
      </c>
    </row>
    <row r="370" spans="1:24" x14ac:dyDescent="0.25">
      <c r="A370" s="45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11" t="str">
        <f>IF(COUNTBLANK(B370:W370)&gt;0,"NA",'batch classification'!J376)</f>
        <v>NA</v>
      </c>
    </row>
    <row r="371" spans="1:24" x14ac:dyDescent="0.25">
      <c r="A371" s="45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11" t="str">
        <f>IF(COUNTBLANK(B371:W371)&gt;0,"NA",'batch classification'!J377)</f>
        <v>NA</v>
      </c>
    </row>
    <row r="372" spans="1:24" x14ac:dyDescent="0.25">
      <c r="A372" s="45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11" t="str">
        <f>IF(COUNTBLANK(B372:W372)&gt;0,"NA",'batch classification'!J378)</f>
        <v>NA</v>
      </c>
    </row>
    <row r="373" spans="1:24" x14ac:dyDescent="0.25">
      <c r="A373" s="45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11" t="str">
        <f>IF(COUNTBLANK(B373:W373)&gt;0,"NA",'batch classification'!J379)</f>
        <v>NA</v>
      </c>
    </row>
    <row r="374" spans="1:24" x14ac:dyDescent="0.25">
      <c r="A374" s="45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11" t="str">
        <f>IF(COUNTBLANK(B374:W374)&gt;0,"NA",'batch classification'!J380)</f>
        <v>NA</v>
      </c>
    </row>
    <row r="375" spans="1:24" x14ac:dyDescent="0.25">
      <c r="A375" s="45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11" t="str">
        <f>IF(COUNTBLANK(B375:W375)&gt;0,"NA",'batch classification'!J381)</f>
        <v>NA</v>
      </c>
    </row>
    <row r="376" spans="1:24" x14ac:dyDescent="0.25">
      <c r="A376" s="45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11" t="str">
        <f>IF(COUNTBLANK(B376:W376)&gt;0,"NA",'batch classification'!J382)</f>
        <v>NA</v>
      </c>
    </row>
    <row r="377" spans="1:24" x14ac:dyDescent="0.25">
      <c r="A377" s="45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11" t="str">
        <f>IF(COUNTBLANK(B377:W377)&gt;0,"NA",'batch classification'!J383)</f>
        <v>NA</v>
      </c>
    </row>
    <row r="378" spans="1:24" x14ac:dyDescent="0.25">
      <c r="A378" s="45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11" t="str">
        <f>IF(COUNTBLANK(B378:W378)&gt;0,"NA",'batch classification'!J384)</f>
        <v>NA</v>
      </c>
    </row>
    <row r="379" spans="1:24" x14ac:dyDescent="0.25">
      <c r="A379" s="45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11" t="str">
        <f>IF(COUNTBLANK(B379:W379)&gt;0,"NA",'batch classification'!J385)</f>
        <v>NA</v>
      </c>
    </row>
    <row r="380" spans="1:24" x14ac:dyDescent="0.25">
      <c r="A380" s="45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11" t="str">
        <f>IF(COUNTBLANK(B380:W380)&gt;0,"NA",'batch classification'!J386)</f>
        <v>NA</v>
      </c>
    </row>
    <row r="381" spans="1:24" x14ac:dyDescent="0.25">
      <c r="A381" s="45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11" t="str">
        <f>IF(COUNTBLANK(B381:W381)&gt;0,"NA",'batch classification'!J387)</f>
        <v>NA</v>
      </c>
    </row>
    <row r="382" spans="1:24" x14ac:dyDescent="0.25">
      <c r="A382" s="45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11" t="str">
        <f>IF(COUNTBLANK(B382:W382)&gt;0,"NA",'batch classification'!J388)</f>
        <v>NA</v>
      </c>
    </row>
    <row r="383" spans="1:24" x14ac:dyDescent="0.25">
      <c r="A383" s="45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11" t="str">
        <f>IF(COUNTBLANK(B383:W383)&gt;0,"NA",'batch classification'!J389)</f>
        <v>NA</v>
      </c>
    </row>
    <row r="384" spans="1:24" x14ac:dyDescent="0.25">
      <c r="A384" s="45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11" t="str">
        <f>IF(COUNTBLANK(B384:W384)&gt;0,"NA",'batch classification'!J390)</f>
        <v>NA</v>
      </c>
    </row>
    <row r="385" spans="1:24" x14ac:dyDescent="0.25">
      <c r="A385" s="45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11" t="str">
        <f>IF(COUNTBLANK(B385:W385)&gt;0,"NA",'batch classification'!J391)</f>
        <v>NA</v>
      </c>
    </row>
    <row r="386" spans="1:24" x14ac:dyDescent="0.25">
      <c r="A386" s="45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11" t="str">
        <f>IF(COUNTBLANK(B386:W386)&gt;0,"NA",'batch classification'!J392)</f>
        <v>NA</v>
      </c>
    </row>
    <row r="387" spans="1:24" x14ac:dyDescent="0.25">
      <c r="A387" s="45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11" t="str">
        <f>IF(COUNTBLANK(B387:W387)&gt;0,"NA",'batch classification'!J393)</f>
        <v>NA</v>
      </c>
    </row>
    <row r="388" spans="1:24" x14ac:dyDescent="0.25">
      <c r="A388" s="45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11" t="str">
        <f>IF(COUNTBLANK(B388:W388)&gt;0,"NA",'batch classification'!J394)</f>
        <v>NA</v>
      </c>
    </row>
    <row r="389" spans="1:24" x14ac:dyDescent="0.25">
      <c r="A389" s="45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11" t="str">
        <f>IF(COUNTBLANK(B389:W389)&gt;0,"NA",'batch classification'!J395)</f>
        <v>NA</v>
      </c>
    </row>
    <row r="390" spans="1:24" x14ac:dyDescent="0.25">
      <c r="A390" s="45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11" t="str">
        <f>IF(COUNTBLANK(B390:W390)&gt;0,"NA",'batch classification'!J396)</f>
        <v>NA</v>
      </c>
    </row>
    <row r="391" spans="1:24" x14ac:dyDescent="0.25">
      <c r="A391" s="45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11" t="str">
        <f>IF(COUNTBLANK(B391:W391)&gt;0,"NA",'batch classification'!J397)</f>
        <v>NA</v>
      </c>
    </row>
    <row r="392" spans="1:24" x14ac:dyDescent="0.25">
      <c r="A392" s="45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11" t="str">
        <f>IF(COUNTBLANK(B392:W392)&gt;0,"NA",'batch classification'!J398)</f>
        <v>NA</v>
      </c>
    </row>
    <row r="393" spans="1:24" x14ac:dyDescent="0.25">
      <c r="A393" s="45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11" t="str">
        <f>IF(COUNTBLANK(B393:W393)&gt;0,"NA",'batch classification'!J399)</f>
        <v>NA</v>
      </c>
    </row>
    <row r="394" spans="1:24" x14ac:dyDescent="0.25">
      <c r="A394" s="45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11" t="str">
        <f>IF(COUNTBLANK(B394:W394)&gt;0,"NA",'batch classification'!J400)</f>
        <v>NA</v>
      </c>
    </row>
    <row r="395" spans="1:24" x14ac:dyDescent="0.25">
      <c r="A395" s="45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11" t="str">
        <f>IF(COUNTBLANK(B395:W395)&gt;0,"NA",'batch classification'!J401)</f>
        <v>NA</v>
      </c>
    </row>
    <row r="396" spans="1:24" x14ac:dyDescent="0.25">
      <c r="A396" s="45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11" t="str">
        <f>IF(COUNTBLANK(B396:W396)&gt;0,"NA",'batch classification'!J402)</f>
        <v>NA</v>
      </c>
    </row>
    <row r="397" spans="1:24" x14ac:dyDescent="0.25">
      <c r="A397" s="45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11" t="str">
        <f>IF(COUNTBLANK(B397:W397)&gt;0,"NA",'batch classification'!J403)</f>
        <v>NA</v>
      </c>
    </row>
    <row r="398" spans="1:24" x14ac:dyDescent="0.25">
      <c r="A398" s="45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11" t="str">
        <f>IF(COUNTBLANK(B398:W398)&gt;0,"NA",'batch classification'!J404)</f>
        <v>NA</v>
      </c>
    </row>
    <row r="399" spans="1:24" x14ac:dyDescent="0.25">
      <c r="A399" s="45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11" t="str">
        <f>IF(COUNTBLANK(B399:W399)&gt;0,"NA",'batch classification'!J405)</f>
        <v>NA</v>
      </c>
    </row>
    <row r="400" spans="1:24" x14ac:dyDescent="0.25">
      <c r="A400" s="45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11" t="str">
        <f>IF(COUNTBLANK(B400:W400)&gt;0,"NA",'batch classification'!J406)</f>
        <v>NA</v>
      </c>
    </row>
    <row r="401" spans="1:24" x14ac:dyDescent="0.25">
      <c r="A401" s="45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11" t="str">
        <f>IF(COUNTBLANK(B401:W401)&gt;0,"NA",'batch classification'!J407)</f>
        <v>NA</v>
      </c>
    </row>
    <row r="402" spans="1:24" x14ac:dyDescent="0.25">
      <c r="A402" s="45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11" t="str">
        <f>IF(COUNTBLANK(B402:W402)&gt;0,"NA",'batch classification'!J408)</f>
        <v>NA</v>
      </c>
    </row>
    <row r="403" spans="1:24" x14ac:dyDescent="0.25">
      <c r="A403" s="45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11" t="str">
        <f>IF(COUNTBLANK(B403:W403)&gt;0,"NA",'batch classification'!J409)</f>
        <v>NA</v>
      </c>
    </row>
    <row r="404" spans="1:24" x14ac:dyDescent="0.25">
      <c r="A404" s="45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11" t="str">
        <f>IF(COUNTBLANK(B404:W404)&gt;0,"NA",'batch classification'!J410)</f>
        <v>NA</v>
      </c>
    </row>
    <row r="405" spans="1:24" x14ac:dyDescent="0.25">
      <c r="A405" s="45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11" t="str">
        <f>IF(COUNTBLANK(B405:W405)&gt;0,"NA",'batch classification'!J411)</f>
        <v>NA</v>
      </c>
    </row>
    <row r="406" spans="1:24" x14ac:dyDescent="0.25">
      <c r="A406" s="45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11" t="str">
        <f>IF(COUNTBLANK(B406:W406)&gt;0,"NA",'batch classification'!J412)</f>
        <v>NA</v>
      </c>
    </row>
    <row r="407" spans="1:24" x14ac:dyDescent="0.25">
      <c r="A407" s="45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11" t="str">
        <f>IF(COUNTBLANK(B407:W407)&gt;0,"NA",'batch classification'!J413)</f>
        <v>NA</v>
      </c>
    </row>
    <row r="408" spans="1:24" x14ac:dyDescent="0.25">
      <c r="A408" s="45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11" t="str">
        <f>IF(COUNTBLANK(B408:W408)&gt;0,"NA",'batch classification'!J414)</f>
        <v>NA</v>
      </c>
    </row>
    <row r="409" spans="1:24" x14ac:dyDescent="0.25">
      <c r="A409" s="45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11" t="str">
        <f>IF(COUNTBLANK(B409:W409)&gt;0,"NA",'batch classification'!J415)</f>
        <v>NA</v>
      </c>
    </row>
    <row r="410" spans="1:24" x14ac:dyDescent="0.25">
      <c r="A410" s="45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11" t="str">
        <f>IF(COUNTBLANK(B410:W410)&gt;0,"NA",'batch classification'!J416)</f>
        <v>NA</v>
      </c>
    </row>
    <row r="411" spans="1:24" x14ac:dyDescent="0.25">
      <c r="A411" s="45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11" t="str">
        <f>IF(COUNTBLANK(B411:W411)&gt;0,"NA",'batch classification'!J417)</f>
        <v>NA</v>
      </c>
    </row>
    <row r="412" spans="1:24" x14ac:dyDescent="0.25">
      <c r="A412" s="45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11" t="str">
        <f>IF(COUNTBLANK(B412:W412)&gt;0,"NA",'batch classification'!J418)</f>
        <v>NA</v>
      </c>
    </row>
    <row r="413" spans="1:24" x14ac:dyDescent="0.25">
      <c r="A413" s="45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11" t="str">
        <f>IF(COUNTBLANK(B413:W413)&gt;0,"NA",'batch classification'!J419)</f>
        <v>NA</v>
      </c>
    </row>
    <row r="414" spans="1:24" x14ac:dyDescent="0.25">
      <c r="A414" s="45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11" t="str">
        <f>IF(COUNTBLANK(B414:W414)&gt;0,"NA",'batch classification'!J420)</f>
        <v>NA</v>
      </c>
    </row>
    <row r="415" spans="1:24" x14ac:dyDescent="0.25">
      <c r="A415" s="45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11" t="str">
        <f>IF(COUNTBLANK(B415:W415)&gt;0,"NA",'batch classification'!J421)</f>
        <v>NA</v>
      </c>
    </row>
    <row r="416" spans="1:24" x14ac:dyDescent="0.25">
      <c r="A416" s="45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11" t="str">
        <f>IF(COUNTBLANK(B416:W416)&gt;0,"NA",'batch classification'!J422)</f>
        <v>NA</v>
      </c>
    </row>
    <row r="417" spans="1:24" x14ac:dyDescent="0.25">
      <c r="A417" s="45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11" t="str">
        <f>IF(COUNTBLANK(B417:W417)&gt;0,"NA",'batch classification'!J423)</f>
        <v>NA</v>
      </c>
    </row>
    <row r="418" spans="1:24" x14ac:dyDescent="0.25">
      <c r="A418" s="45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11" t="str">
        <f>IF(COUNTBLANK(B418:W418)&gt;0,"NA",'batch classification'!J424)</f>
        <v>NA</v>
      </c>
    </row>
    <row r="419" spans="1:24" x14ac:dyDescent="0.25">
      <c r="A419" s="45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11" t="str">
        <f>IF(COUNTBLANK(B419:W419)&gt;0,"NA",'batch classification'!J425)</f>
        <v>NA</v>
      </c>
    </row>
    <row r="420" spans="1:24" x14ac:dyDescent="0.25">
      <c r="A420" s="45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11" t="str">
        <f>IF(COUNTBLANK(B420:W420)&gt;0,"NA",'batch classification'!J426)</f>
        <v>NA</v>
      </c>
    </row>
    <row r="421" spans="1:24" x14ac:dyDescent="0.25">
      <c r="A421" s="45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11" t="str">
        <f>IF(COUNTBLANK(B421:W421)&gt;0,"NA",'batch classification'!J427)</f>
        <v>NA</v>
      </c>
    </row>
    <row r="422" spans="1:24" x14ac:dyDescent="0.25">
      <c r="A422" s="45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11" t="str">
        <f>IF(COUNTBLANK(B422:W422)&gt;0,"NA",'batch classification'!J428)</f>
        <v>NA</v>
      </c>
    </row>
    <row r="423" spans="1:24" x14ac:dyDescent="0.25">
      <c r="A423" s="45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11" t="str">
        <f>IF(COUNTBLANK(B423:W423)&gt;0,"NA",'batch classification'!J429)</f>
        <v>NA</v>
      </c>
    </row>
    <row r="424" spans="1:24" x14ac:dyDescent="0.25">
      <c r="A424" s="45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11" t="str">
        <f>IF(COUNTBLANK(B424:W424)&gt;0,"NA",'batch classification'!J430)</f>
        <v>NA</v>
      </c>
    </row>
    <row r="425" spans="1:24" x14ac:dyDescent="0.25">
      <c r="A425" s="45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11" t="str">
        <f>IF(COUNTBLANK(B425:W425)&gt;0,"NA",'batch classification'!J431)</f>
        <v>NA</v>
      </c>
    </row>
    <row r="426" spans="1:24" x14ac:dyDescent="0.25">
      <c r="A426" s="45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11" t="str">
        <f>IF(COUNTBLANK(B426:W426)&gt;0,"NA",'batch classification'!J432)</f>
        <v>NA</v>
      </c>
    </row>
    <row r="427" spans="1:24" x14ac:dyDescent="0.25">
      <c r="A427" s="45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11" t="str">
        <f>IF(COUNTBLANK(B427:W427)&gt;0,"NA",'batch classification'!J433)</f>
        <v>NA</v>
      </c>
    </row>
    <row r="428" spans="1:24" x14ac:dyDescent="0.25">
      <c r="A428" s="45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11" t="str">
        <f>IF(COUNTBLANK(B428:W428)&gt;0,"NA",'batch classification'!J434)</f>
        <v>NA</v>
      </c>
    </row>
    <row r="429" spans="1:24" x14ac:dyDescent="0.25">
      <c r="A429" s="45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11" t="str">
        <f>IF(COUNTBLANK(B429:W429)&gt;0,"NA",'batch classification'!J435)</f>
        <v>NA</v>
      </c>
    </row>
    <row r="430" spans="1:24" x14ac:dyDescent="0.25">
      <c r="A430" s="45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11" t="str">
        <f>IF(COUNTBLANK(B430:W430)&gt;0,"NA",'batch classification'!J436)</f>
        <v>NA</v>
      </c>
    </row>
    <row r="431" spans="1:24" x14ac:dyDescent="0.25">
      <c r="A431" s="45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11" t="str">
        <f>IF(COUNTBLANK(B431:W431)&gt;0,"NA",'batch classification'!J437)</f>
        <v>NA</v>
      </c>
    </row>
    <row r="432" spans="1:24" x14ac:dyDescent="0.25">
      <c r="A432" s="45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11" t="str">
        <f>IF(COUNTBLANK(B432:W432)&gt;0,"NA",'batch classification'!J438)</f>
        <v>NA</v>
      </c>
    </row>
    <row r="433" spans="1:24" x14ac:dyDescent="0.25">
      <c r="A433" s="45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11" t="str">
        <f>IF(COUNTBLANK(B433:W433)&gt;0,"NA",'batch classification'!J439)</f>
        <v>NA</v>
      </c>
    </row>
    <row r="434" spans="1:24" x14ac:dyDescent="0.25">
      <c r="A434" s="45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11" t="str">
        <f>IF(COUNTBLANK(B434:W434)&gt;0,"NA",'batch classification'!J440)</f>
        <v>NA</v>
      </c>
    </row>
    <row r="435" spans="1:24" x14ac:dyDescent="0.25">
      <c r="A435" s="45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11" t="str">
        <f>IF(COUNTBLANK(B435:W435)&gt;0,"NA",'batch classification'!J441)</f>
        <v>NA</v>
      </c>
    </row>
    <row r="436" spans="1:24" x14ac:dyDescent="0.25">
      <c r="A436" s="45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11" t="str">
        <f>IF(COUNTBLANK(B436:W436)&gt;0,"NA",'batch classification'!J442)</f>
        <v>NA</v>
      </c>
    </row>
    <row r="437" spans="1:24" x14ac:dyDescent="0.25">
      <c r="A437" s="45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11" t="str">
        <f>IF(COUNTBLANK(B437:W437)&gt;0,"NA",'batch classification'!J443)</f>
        <v>NA</v>
      </c>
    </row>
    <row r="438" spans="1:24" x14ac:dyDescent="0.25">
      <c r="A438" s="45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11" t="str">
        <f>IF(COUNTBLANK(B438:W438)&gt;0,"NA",'batch classification'!J444)</f>
        <v>NA</v>
      </c>
    </row>
    <row r="439" spans="1:24" x14ac:dyDescent="0.25">
      <c r="A439" s="45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11" t="str">
        <f>IF(COUNTBLANK(B439:W439)&gt;0,"NA",'batch classification'!J445)</f>
        <v>NA</v>
      </c>
    </row>
    <row r="440" spans="1:24" x14ac:dyDescent="0.25">
      <c r="A440" s="45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11" t="str">
        <f>IF(COUNTBLANK(B440:W440)&gt;0,"NA",'batch classification'!J446)</f>
        <v>NA</v>
      </c>
    </row>
    <row r="441" spans="1:24" x14ac:dyDescent="0.25">
      <c r="A441" s="45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11" t="str">
        <f>IF(COUNTBLANK(B441:W441)&gt;0,"NA",'batch classification'!J447)</f>
        <v>NA</v>
      </c>
    </row>
    <row r="442" spans="1:24" x14ac:dyDescent="0.25">
      <c r="A442" s="45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11" t="str">
        <f>IF(COUNTBLANK(B442:W442)&gt;0,"NA",'batch classification'!J448)</f>
        <v>NA</v>
      </c>
    </row>
    <row r="443" spans="1:24" x14ac:dyDescent="0.25">
      <c r="A443" s="45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11" t="str">
        <f>IF(COUNTBLANK(B443:W443)&gt;0,"NA",'batch classification'!J449)</f>
        <v>NA</v>
      </c>
    </row>
    <row r="444" spans="1:24" x14ac:dyDescent="0.25">
      <c r="A444" s="45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11" t="str">
        <f>IF(COUNTBLANK(B444:W444)&gt;0,"NA",'batch classification'!J450)</f>
        <v>NA</v>
      </c>
    </row>
    <row r="445" spans="1:24" x14ac:dyDescent="0.25">
      <c r="A445" s="45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11" t="str">
        <f>IF(COUNTBLANK(B445:W445)&gt;0,"NA",'batch classification'!J451)</f>
        <v>NA</v>
      </c>
    </row>
    <row r="446" spans="1:24" x14ac:dyDescent="0.25">
      <c r="A446" s="45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11" t="str">
        <f>IF(COUNTBLANK(B446:W446)&gt;0,"NA",'batch classification'!J452)</f>
        <v>NA</v>
      </c>
    </row>
    <row r="447" spans="1:24" x14ac:dyDescent="0.25">
      <c r="A447" s="45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11" t="str">
        <f>IF(COUNTBLANK(B447:W447)&gt;0,"NA",'batch classification'!J453)</f>
        <v>NA</v>
      </c>
    </row>
    <row r="448" spans="1:24" x14ac:dyDescent="0.25">
      <c r="A448" s="45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11" t="str">
        <f>IF(COUNTBLANK(B448:W448)&gt;0,"NA",'batch classification'!J454)</f>
        <v>NA</v>
      </c>
    </row>
    <row r="449" spans="1:24" x14ac:dyDescent="0.25">
      <c r="A449" s="45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11" t="str">
        <f>IF(COUNTBLANK(B449:W449)&gt;0,"NA",'batch classification'!J455)</f>
        <v>NA</v>
      </c>
    </row>
    <row r="450" spans="1:24" x14ac:dyDescent="0.25">
      <c r="A450" s="45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11" t="str">
        <f>IF(COUNTBLANK(B450:W450)&gt;0,"NA",'batch classification'!J456)</f>
        <v>NA</v>
      </c>
    </row>
    <row r="451" spans="1:24" x14ac:dyDescent="0.25">
      <c r="A451" s="45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11" t="str">
        <f>IF(COUNTBLANK(B451:W451)&gt;0,"NA",'batch classification'!J457)</f>
        <v>NA</v>
      </c>
    </row>
    <row r="452" spans="1:24" x14ac:dyDescent="0.25">
      <c r="A452" s="45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11" t="str">
        <f>IF(COUNTBLANK(B452:W452)&gt;0,"NA",'batch classification'!J458)</f>
        <v>NA</v>
      </c>
    </row>
    <row r="453" spans="1:24" x14ac:dyDescent="0.25">
      <c r="A453" s="45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11" t="str">
        <f>IF(COUNTBLANK(B453:W453)&gt;0,"NA",'batch classification'!J459)</f>
        <v>NA</v>
      </c>
    </row>
    <row r="454" spans="1:24" x14ac:dyDescent="0.25">
      <c r="A454" s="45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11" t="str">
        <f>IF(COUNTBLANK(B454:W454)&gt;0,"NA",'batch classification'!J460)</f>
        <v>NA</v>
      </c>
    </row>
    <row r="455" spans="1:24" x14ac:dyDescent="0.25">
      <c r="A455" s="45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11" t="str">
        <f>IF(COUNTBLANK(B455:W455)&gt;0,"NA",'batch classification'!J461)</f>
        <v>NA</v>
      </c>
    </row>
    <row r="456" spans="1:24" x14ac:dyDescent="0.25">
      <c r="A456" s="45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11" t="str">
        <f>IF(COUNTBLANK(B456:W456)&gt;0,"NA",'batch classification'!J462)</f>
        <v>NA</v>
      </c>
    </row>
    <row r="457" spans="1:24" x14ac:dyDescent="0.25">
      <c r="A457" s="45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11" t="str">
        <f>IF(COUNTBLANK(B457:W457)&gt;0,"NA",'batch classification'!J463)</f>
        <v>NA</v>
      </c>
    </row>
    <row r="458" spans="1:24" x14ac:dyDescent="0.25">
      <c r="A458" s="45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11" t="str">
        <f>IF(COUNTBLANK(B458:W458)&gt;0,"NA",'batch classification'!J464)</f>
        <v>NA</v>
      </c>
    </row>
    <row r="459" spans="1:24" x14ac:dyDescent="0.25">
      <c r="A459" s="45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11" t="str">
        <f>IF(COUNTBLANK(B459:W459)&gt;0,"NA",'batch classification'!J465)</f>
        <v>NA</v>
      </c>
    </row>
    <row r="460" spans="1:24" x14ac:dyDescent="0.25">
      <c r="A460" s="45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11" t="str">
        <f>IF(COUNTBLANK(B460:W460)&gt;0,"NA",'batch classification'!J466)</f>
        <v>NA</v>
      </c>
    </row>
    <row r="461" spans="1:24" x14ac:dyDescent="0.25">
      <c r="A461" s="45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11" t="str">
        <f>IF(COUNTBLANK(B461:W461)&gt;0,"NA",'batch classification'!J467)</f>
        <v>NA</v>
      </c>
    </row>
    <row r="462" spans="1:24" x14ac:dyDescent="0.25">
      <c r="A462" s="45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11" t="str">
        <f>IF(COUNTBLANK(B462:W462)&gt;0,"NA",'batch classification'!J468)</f>
        <v>NA</v>
      </c>
    </row>
    <row r="463" spans="1:24" x14ac:dyDescent="0.25">
      <c r="A463" s="45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11" t="str">
        <f>IF(COUNTBLANK(B463:W463)&gt;0,"NA",'batch classification'!J469)</f>
        <v>NA</v>
      </c>
    </row>
    <row r="464" spans="1:24" x14ac:dyDescent="0.25">
      <c r="A464" s="45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11" t="str">
        <f>IF(COUNTBLANK(B464:W464)&gt;0,"NA",'batch classification'!J470)</f>
        <v>NA</v>
      </c>
    </row>
    <row r="465" spans="1:24" x14ac:dyDescent="0.25">
      <c r="A465" s="45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11" t="str">
        <f>IF(COUNTBLANK(B465:W465)&gt;0,"NA",'batch classification'!J471)</f>
        <v>NA</v>
      </c>
    </row>
    <row r="466" spans="1:24" x14ac:dyDescent="0.25">
      <c r="A466" s="45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11" t="str">
        <f>IF(COUNTBLANK(B466:W466)&gt;0,"NA",'batch classification'!J472)</f>
        <v>NA</v>
      </c>
    </row>
    <row r="467" spans="1:24" x14ac:dyDescent="0.25">
      <c r="A467" s="45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11" t="str">
        <f>IF(COUNTBLANK(B467:W467)&gt;0,"NA",'batch classification'!J473)</f>
        <v>NA</v>
      </c>
    </row>
    <row r="468" spans="1:24" x14ac:dyDescent="0.25">
      <c r="A468" s="45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11" t="str">
        <f>IF(COUNTBLANK(B468:W468)&gt;0,"NA",'batch classification'!J474)</f>
        <v>NA</v>
      </c>
    </row>
    <row r="469" spans="1:24" x14ac:dyDescent="0.25">
      <c r="A469" s="45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11" t="str">
        <f>IF(COUNTBLANK(B469:W469)&gt;0,"NA",'batch classification'!J475)</f>
        <v>NA</v>
      </c>
    </row>
    <row r="470" spans="1:24" x14ac:dyDescent="0.25">
      <c r="A470" s="45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11" t="str">
        <f>IF(COUNTBLANK(B470:W470)&gt;0,"NA",'batch classification'!J476)</f>
        <v>NA</v>
      </c>
    </row>
    <row r="471" spans="1:24" x14ac:dyDescent="0.25">
      <c r="A471" s="45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11" t="str">
        <f>IF(COUNTBLANK(B471:W471)&gt;0,"NA",'batch classification'!J477)</f>
        <v>NA</v>
      </c>
    </row>
    <row r="472" spans="1:24" x14ac:dyDescent="0.25">
      <c r="A472" s="45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11" t="str">
        <f>IF(COUNTBLANK(B472:W472)&gt;0,"NA",'batch classification'!J478)</f>
        <v>NA</v>
      </c>
    </row>
    <row r="473" spans="1:24" x14ac:dyDescent="0.25">
      <c r="A473" s="45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11" t="str">
        <f>IF(COUNTBLANK(B473:W473)&gt;0,"NA",'batch classification'!J479)</f>
        <v>NA</v>
      </c>
    </row>
    <row r="474" spans="1:24" x14ac:dyDescent="0.25">
      <c r="A474" s="45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11" t="str">
        <f>IF(COUNTBLANK(B474:W474)&gt;0,"NA",'batch classification'!J480)</f>
        <v>NA</v>
      </c>
    </row>
    <row r="475" spans="1:24" x14ac:dyDescent="0.25">
      <c r="A475" s="45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11" t="str">
        <f>IF(COUNTBLANK(B475:W475)&gt;0,"NA",'batch classification'!J481)</f>
        <v>NA</v>
      </c>
    </row>
    <row r="476" spans="1:24" x14ac:dyDescent="0.25">
      <c r="A476" s="45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11" t="str">
        <f>IF(COUNTBLANK(B476:W476)&gt;0,"NA",'batch classification'!J482)</f>
        <v>NA</v>
      </c>
    </row>
    <row r="477" spans="1:24" x14ac:dyDescent="0.25">
      <c r="A477" s="45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11" t="str">
        <f>IF(COUNTBLANK(B477:W477)&gt;0,"NA",'batch classification'!J483)</f>
        <v>NA</v>
      </c>
    </row>
    <row r="478" spans="1:24" x14ac:dyDescent="0.25">
      <c r="A478" s="45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11" t="str">
        <f>IF(COUNTBLANK(B478:W478)&gt;0,"NA",'batch classification'!J484)</f>
        <v>NA</v>
      </c>
    </row>
    <row r="479" spans="1:24" x14ac:dyDescent="0.25">
      <c r="A479" s="45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11" t="str">
        <f>IF(COUNTBLANK(B479:W479)&gt;0,"NA",'batch classification'!J485)</f>
        <v>NA</v>
      </c>
    </row>
    <row r="480" spans="1:24" x14ac:dyDescent="0.25">
      <c r="A480" s="45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11" t="str">
        <f>IF(COUNTBLANK(B480:W480)&gt;0,"NA",'batch classification'!J486)</f>
        <v>NA</v>
      </c>
    </row>
    <row r="481" spans="1:24" x14ac:dyDescent="0.25">
      <c r="A481" s="45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11" t="str">
        <f>IF(COUNTBLANK(B481:W481)&gt;0,"NA",'batch classification'!J487)</f>
        <v>NA</v>
      </c>
    </row>
    <row r="482" spans="1:24" x14ac:dyDescent="0.25">
      <c r="A482" s="45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11" t="str">
        <f>IF(COUNTBLANK(B482:W482)&gt;0,"NA",'batch classification'!J488)</f>
        <v>NA</v>
      </c>
    </row>
    <row r="483" spans="1:24" x14ac:dyDescent="0.25">
      <c r="A483" s="45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11" t="str">
        <f>IF(COUNTBLANK(B483:W483)&gt;0,"NA",'batch classification'!J489)</f>
        <v>NA</v>
      </c>
    </row>
    <row r="484" spans="1:24" x14ac:dyDescent="0.25">
      <c r="A484" s="45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11" t="str">
        <f>IF(COUNTBLANK(B484:W484)&gt;0,"NA",'batch classification'!J490)</f>
        <v>NA</v>
      </c>
    </row>
    <row r="485" spans="1:24" x14ac:dyDescent="0.25">
      <c r="A485" s="45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11" t="str">
        <f>IF(COUNTBLANK(B485:W485)&gt;0,"NA",'batch classification'!J491)</f>
        <v>NA</v>
      </c>
    </row>
    <row r="486" spans="1:24" x14ac:dyDescent="0.25">
      <c r="A486" s="45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11" t="str">
        <f>IF(COUNTBLANK(B486:W486)&gt;0,"NA",'batch classification'!J492)</f>
        <v>NA</v>
      </c>
    </row>
    <row r="487" spans="1:24" x14ac:dyDescent="0.25">
      <c r="A487" s="45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11" t="str">
        <f>IF(COUNTBLANK(B487:W487)&gt;0,"NA",'batch classification'!J493)</f>
        <v>NA</v>
      </c>
    </row>
    <row r="488" spans="1:24" x14ac:dyDescent="0.25">
      <c r="A488" s="45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11" t="str">
        <f>IF(COUNTBLANK(B488:W488)&gt;0,"NA",'batch classification'!J494)</f>
        <v>NA</v>
      </c>
    </row>
    <row r="489" spans="1:24" x14ac:dyDescent="0.25">
      <c r="A489" s="45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11" t="str">
        <f>IF(COUNTBLANK(B489:W489)&gt;0,"NA",'batch classification'!J495)</f>
        <v>NA</v>
      </c>
    </row>
    <row r="490" spans="1:24" x14ac:dyDescent="0.25">
      <c r="A490" s="45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11" t="str">
        <f>IF(COUNTBLANK(B490:W490)&gt;0,"NA",'batch classification'!J496)</f>
        <v>NA</v>
      </c>
    </row>
    <row r="491" spans="1:24" x14ac:dyDescent="0.25">
      <c r="A491" s="45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11" t="str">
        <f>IF(COUNTBLANK(B491:W491)&gt;0,"NA",'batch classification'!J497)</f>
        <v>NA</v>
      </c>
    </row>
    <row r="492" spans="1:24" x14ac:dyDescent="0.25">
      <c r="A492" s="45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11" t="str">
        <f>IF(COUNTBLANK(B492:W492)&gt;0,"NA",'batch classification'!J498)</f>
        <v>NA</v>
      </c>
    </row>
    <row r="493" spans="1:24" x14ac:dyDescent="0.25">
      <c r="A493" s="45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11" t="str">
        <f>IF(COUNTBLANK(B493:W493)&gt;0,"NA",'batch classification'!J499)</f>
        <v>NA</v>
      </c>
    </row>
    <row r="494" spans="1:24" x14ac:dyDescent="0.25">
      <c r="A494" s="45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11" t="str">
        <f>IF(COUNTBLANK(B494:W494)&gt;0,"NA",'batch classification'!J500)</f>
        <v>NA</v>
      </c>
    </row>
    <row r="495" spans="1:24" x14ac:dyDescent="0.25">
      <c r="A495" s="45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11" t="str">
        <f>IF(COUNTBLANK(B495:W495)&gt;0,"NA",'batch classification'!J501)</f>
        <v>NA</v>
      </c>
    </row>
    <row r="496" spans="1:24" x14ac:dyDescent="0.25">
      <c r="A496" s="45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11" t="str">
        <f>IF(COUNTBLANK(B496:W496)&gt;0,"NA",'batch classification'!J502)</f>
        <v>NA</v>
      </c>
    </row>
    <row r="497" spans="1:24" x14ac:dyDescent="0.25">
      <c r="A497" s="45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11" t="str">
        <f>IF(COUNTBLANK(B497:W497)&gt;0,"NA",'batch classification'!J503)</f>
        <v>NA</v>
      </c>
    </row>
    <row r="498" spans="1:24" x14ac:dyDescent="0.25">
      <c r="A498" s="45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11" t="str">
        <f>IF(COUNTBLANK(B498:W498)&gt;0,"NA",'batch classification'!J504)</f>
        <v>NA</v>
      </c>
    </row>
    <row r="499" spans="1:24" x14ac:dyDescent="0.25">
      <c r="A499" s="45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11" t="str">
        <f>IF(COUNTBLANK(B499:W499)&gt;0,"NA",'batch classification'!J505)</f>
        <v>NA</v>
      </c>
    </row>
    <row r="500" spans="1:24" x14ac:dyDescent="0.25">
      <c r="A500" s="45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11" t="str">
        <f>IF(COUNTBLANK(B500:W500)&gt;0,"NA",'batch classification'!J506)</f>
        <v>NA</v>
      </c>
    </row>
    <row r="501" spans="1:24" x14ac:dyDescent="0.25">
      <c r="A501" s="45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11" t="str">
        <f>IF(COUNTBLANK(B501:W501)&gt;0,"NA",'batch classification'!J507)</f>
        <v>NA</v>
      </c>
    </row>
    <row r="502" spans="1:24" x14ac:dyDescent="0.25">
      <c r="A502" s="45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11" t="str">
        <f>IF(COUNTBLANK(B502:W502)&gt;0,"NA",'batch classification'!J508)</f>
        <v>NA</v>
      </c>
    </row>
    <row r="503" spans="1:24" x14ac:dyDescent="0.25">
      <c r="A503" s="45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11" t="str">
        <f>IF(COUNTBLANK(B503:W503)&gt;0,"NA",'batch classification'!J509)</f>
        <v>NA</v>
      </c>
    </row>
    <row r="504" spans="1:24" x14ac:dyDescent="0.25">
      <c r="A504" s="45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11" t="str">
        <f>IF(COUNTBLANK(B504:W504)&gt;0,"NA",'batch classification'!J510)</f>
        <v>NA</v>
      </c>
    </row>
    <row r="505" spans="1:24" x14ac:dyDescent="0.25">
      <c r="A505" s="45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11" t="str">
        <f>IF(COUNTBLANK(B505:W505)&gt;0,"NA",'batch classification'!J511)</f>
        <v>NA</v>
      </c>
    </row>
    <row r="506" spans="1:24" x14ac:dyDescent="0.25">
      <c r="A506" s="45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11" t="str">
        <f>IF(COUNTBLANK(B506:W506)&gt;0,"NA",'batch classification'!J512)</f>
        <v>NA</v>
      </c>
    </row>
    <row r="507" spans="1:24" x14ac:dyDescent="0.25">
      <c r="A507" s="45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11" t="str">
        <f>IF(COUNTBLANK(B507:W507)&gt;0,"NA",'batch classification'!J513)</f>
        <v>NA</v>
      </c>
    </row>
    <row r="508" spans="1:24" x14ac:dyDescent="0.25">
      <c r="A508" s="45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11" t="str">
        <f>IF(COUNTBLANK(B508:W508)&gt;0,"NA",'batch classification'!J514)</f>
        <v>NA</v>
      </c>
    </row>
    <row r="509" spans="1:24" x14ac:dyDescent="0.25">
      <c r="A509" s="45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11" t="str">
        <f>IF(COUNTBLANK(B509:W509)&gt;0,"NA",'batch classification'!J515)</f>
        <v>NA</v>
      </c>
    </row>
    <row r="510" spans="1:24" x14ac:dyDescent="0.25">
      <c r="A510" s="45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11" t="str">
        <f>IF(COUNTBLANK(B510:W510)&gt;0,"NA",'batch classification'!J516)</f>
        <v>NA</v>
      </c>
    </row>
    <row r="511" spans="1:24" x14ac:dyDescent="0.25">
      <c r="A511" s="45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11" t="str">
        <f>IF(COUNTBLANK(B511:W511)&gt;0,"NA",'batch classification'!J517)</f>
        <v>NA</v>
      </c>
    </row>
    <row r="512" spans="1:24" x14ac:dyDescent="0.25">
      <c r="A512" s="45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11" t="str">
        <f>IF(COUNTBLANK(B512:W512)&gt;0,"NA",'batch classification'!J518)</f>
        <v>NA</v>
      </c>
    </row>
    <row r="513" spans="1:24" x14ac:dyDescent="0.25">
      <c r="A513" s="45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11" t="str">
        <f>IF(COUNTBLANK(B513:W513)&gt;0,"NA",'batch classification'!J519)</f>
        <v>NA</v>
      </c>
    </row>
    <row r="514" spans="1:24" x14ac:dyDescent="0.25">
      <c r="A514" s="45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11" t="str">
        <f>IF(COUNTBLANK(B514:W514)&gt;0,"NA",'batch classification'!J520)</f>
        <v>NA</v>
      </c>
    </row>
    <row r="515" spans="1:24" x14ac:dyDescent="0.25">
      <c r="A515" s="45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11" t="str">
        <f>IF(COUNTBLANK(B515:W515)&gt;0,"NA",'batch classification'!J521)</f>
        <v>NA</v>
      </c>
    </row>
    <row r="516" spans="1:24" x14ac:dyDescent="0.25">
      <c r="A516" s="45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11" t="str">
        <f>IF(COUNTBLANK(B516:W516)&gt;0,"NA",'batch classification'!J522)</f>
        <v>NA</v>
      </c>
    </row>
    <row r="517" spans="1:24" x14ac:dyDescent="0.25">
      <c r="A517" s="45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11" t="str">
        <f>IF(COUNTBLANK(B517:W517)&gt;0,"NA",'batch classification'!J523)</f>
        <v>NA</v>
      </c>
    </row>
    <row r="518" spans="1:24" x14ac:dyDescent="0.25">
      <c r="A518" s="45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11" t="str">
        <f>IF(COUNTBLANK(B518:W518)&gt;0,"NA",'batch classification'!J524)</f>
        <v>NA</v>
      </c>
    </row>
    <row r="519" spans="1:24" x14ac:dyDescent="0.25">
      <c r="A519" s="45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11" t="str">
        <f>IF(COUNTBLANK(B519:W519)&gt;0,"NA",'batch classification'!J525)</f>
        <v>NA</v>
      </c>
    </row>
    <row r="520" spans="1:24" x14ac:dyDescent="0.25">
      <c r="A520" s="45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11" t="str">
        <f>IF(COUNTBLANK(B520:W520)&gt;0,"NA",'batch classification'!J526)</f>
        <v>NA</v>
      </c>
    </row>
    <row r="521" spans="1:24" x14ac:dyDescent="0.25">
      <c r="A521" s="45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11" t="str">
        <f>IF(COUNTBLANK(B521:W521)&gt;0,"NA",'batch classification'!J527)</f>
        <v>NA</v>
      </c>
    </row>
    <row r="522" spans="1:24" x14ac:dyDescent="0.25">
      <c r="A522" s="45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11" t="str">
        <f>IF(COUNTBLANK(B522:W522)&gt;0,"NA",'batch classification'!J528)</f>
        <v>NA</v>
      </c>
    </row>
    <row r="523" spans="1:24" x14ac:dyDescent="0.25">
      <c r="A523" s="45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11" t="str">
        <f>IF(COUNTBLANK(B523:W523)&gt;0,"NA",'batch classification'!J529)</f>
        <v>NA</v>
      </c>
    </row>
    <row r="524" spans="1:24" x14ac:dyDescent="0.25">
      <c r="A524" s="45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11" t="str">
        <f>IF(COUNTBLANK(B524:W524)&gt;0,"NA",'batch classification'!J530)</f>
        <v>NA</v>
      </c>
    </row>
    <row r="525" spans="1:24" x14ac:dyDescent="0.25">
      <c r="A525" s="45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11" t="str">
        <f>IF(COUNTBLANK(B525:W525)&gt;0,"NA",'batch classification'!J531)</f>
        <v>NA</v>
      </c>
    </row>
    <row r="526" spans="1:24" x14ac:dyDescent="0.25">
      <c r="A526" s="45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11" t="str">
        <f>IF(COUNTBLANK(B526:W526)&gt;0,"NA",'batch classification'!J532)</f>
        <v>NA</v>
      </c>
    </row>
    <row r="527" spans="1:24" x14ac:dyDescent="0.25">
      <c r="A527" s="45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11" t="str">
        <f>IF(COUNTBLANK(B527:W527)&gt;0,"NA",'batch classification'!J533)</f>
        <v>NA</v>
      </c>
    </row>
    <row r="528" spans="1:24" x14ac:dyDescent="0.25">
      <c r="A528" s="45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11" t="str">
        <f>IF(COUNTBLANK(B528:W528)&gt;0,"NA",'batch classification'!J534)</f>
        <v>NA</v>
      </c>
    </row>
    <row r="529" spans="1:24" x14ac:dyDescent="0.25">
      <c r="A529" s="45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11" t="str">
        <f>IF(COUNTBLANK(B529:W529)&gt;0,"NA",'batch classification'!J535)</f>
        <v>NA</v>
      </c>
    </row>
    <row r="530" spans="1:24" x14ac:dyDescent="0.25">
      <c r="A530" s="45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11" t="str">
        <f>IF(COUNTBLANK(B530:W530)&gt;0,"NA",'batch classification'!J536)</f>
        <v>NA</v>
      </c>
    </row>
    <row r="531" spans="1:24" x14ac:dyDescent="0.25">
      <c r="A531" s="45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11" t="str">
        <f>IF(COUNTBLANK(B531:W531)&gt;0,"NA",'batch classification'!J537)</f>
        <v>NA</v>
      </c>
    </row>
    <row r="532" spans="1:24" x14ac:dyDescent="0.25">
      <c r="A532" s="45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11" t="str">
        <f>IF(COUNTBLANK(B532:W532)&gt;0,"NA",'batch classification'!J538)</f>
        <v>NA</v>
      </c>
    </row>
    <row r="533" spans="1:24" x14ac:dyDescent="0.25">
      <c r="A533" s="45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11" t="str">
        <f>IF(COUNTBLANK(B533:W533)&gt;0,"NA",'batch classification'!J539)</f>
        <v>NA</v>
      </c>
    </row>
    <row r="534" spans="1:24" x14ac:dyDescent="0.25">
      <c r="A534" s="45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11" t="str">
        <f>IF(COUNTBLANK(B534:W534)&gt;0,"NA",'batch classification'!J540)</f>
        <v>NA</v>
      </c>
    </row>
    <row r="535" spans="1:24" x14ac:dyDescent="0.25">
      <c r="A535" s="45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11" t="str">
        <f>IF(COUNTBLANK(B535:W535)&gt;0,"NA",'batch classification'!J541)</f>
        <v>NA</v>
      </c>
    </row>
    <row r="536" spans="1:24" x14ac:dyDescent="0.25">
      <c r="A536" s="45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11" t="str">
        <f>IF(COUNTBLANK(B536:W536)&gt;0,"NA",'batch classification'!J542)</f>
        <v>NA</v>
      </c>
    </row>
    <row r="537" spans="1:24" x14ac:dyDescent="0.25">
      <c r="A537" s="45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11" t="str">
        <f>IF(COUNTBLANK(B537:W537)&gt;0,"NA",'batch classification'!J543)</f>
        <v>NA</v>
      </c>
    </row>
    <row r="538" spans="1:24" x14ac:dyDescent="0.25">
      <c r="A538" s="45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11" t="str">
        <f>IF(COUNTBLANK(B538:W538)&gt;0,"NA",'batch classification'!J544)</f>
        <v>NA</v>
      </c>
    </row>
    <row r="539" spans="1:24" x14ac:dyDescent="0.25">
      <c r="A539" s="45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11" t="str">
        <f>IF(COUNTBLANK(B539:W539)&gt;0,"NA",'batch classification'!J545)</f>
        <v>NA</v>
      </c>
    </row>
    <row r="540" spans="1:24" x14ac:dyDescent="0.25">
      <c r="A540" s="45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11" t="str">
        <f>IF(COUNTBLANK(B540:W540)&gt;0,"NA",'batch classification'!J546)</f>
        <v>NA</v>
      </c>
    </row>
    <row r="541" spans="1:24" x14ac:dyDescent="0.25">
      <c r="A541" s="45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11" t="str">
        <f>IF(COUNTBLANK(B541:W541)&gt;0,"NA",'batch classification'!J547)</f>
        <v>NA</v>
      </c>
    </row>
    <row r="542" spans="1:24" x14ac:dyDescent="0.25">
      <c r="A542" s="45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11" t="str">
        <f>IF(COUNTBLANK(B542:W542)&gt;0,"NA",'batch classification'!J548)</f>
        <v>NA</v>
      </c>
    </row>
    <row r="543" spans="1:24" x14ac:dyDescent="0.25">
      <c r="A543" s="45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11" t="str">
        <f>IF(COUNTBLANK(B543:W543)&gt;0,"NA",'batch classification'!J549)</f>
        <v>NA</v>
      </c>
    </row>
    <row r="544" spans="1:24" x14ac:dyDescent="0.25">
      <c r="A544" s="45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11" t="str">
        <f>IF(COUNTBLANK(B544:W544)&gt;0,"NA",'batch classification'!J550)</f>
        <v>NA</v>
      </c>
    </row>
    <row r="545" spans="1:24" x14ac:dyDescent="0.25">
      <c r="A545" s="45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11" t="str">
        <f>IF(COUNTBLANK(B545:W545)&gt;0,"NA",'batch classification'!J551)</f>
        <v>NA</v>
      </c>
    </row>
    <row r="546" spans="1:24" x14ac:dyDescent="0.25">
      <c r="A546" s="45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11" t="str">
        <f>IF(COUNTBLANK(B546:W546)&gt;0,"NA",'batch classification'!J552)</f>
        <v>NA</v>
      </c>
    </row>
    <row r="547" spans="1:24" x14ac:dyDescent="0.25">
      <c r="A547" s="45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11" t="str">
        <f>IF(COUNTBLANK(B547:W547)&gt;0,"NA",'batch classification'!J553)</f>
        <v>NA</v>
      </c>
    </row>
    <row r="548" spans="1:24" x14ac:dyDescent="0.25">
      <c r="A548" s="45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11" t="str">
        <f>IF(COUNTBLANK(B548:W548)&gt;0,"NA",'batch classification'!J554)</f>
        <v>NA</v>
      </c>
    </row>
    <row r="549" spans="1:24" x14ac:dyDescent="0.25">
      <c r="A549" s="45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11" t="str">
        <f>IF(COUNTBLANK(B549:W549)&gt;0,"NA",'batch classification'!J555)</f>
        <v>NA</v>
      </c>
    </row>
    <row r="550" spans="1:24" x14ac:dyDescent="0.25">
      <c r="A550" s="45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11" t="str">
        <f>IF(COUNTBLANK(B550:W550)&gt;0,"NA",'batch classification'!J556)</f>
        <v>NA</v>
      </c>
    </row>
    <row r="551" spans="1:24" x14ac:dyDescent="0.25">
      <c r="A551" s="45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11" t="str">
        <f>IF(COUNTBLANK(B551:W551)&gt;0,"NA",'batch classification'!J557)</f>
        <v>NA</v>
      </c>
    </row>
    <row r="552" spans="1:24" x14ac:dyDescent="0.25">
      <c r="A552" s="45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11" t="str">
        <f>IF(COUNTBLANK(B552:W552)&gt;0,"NA",'batch classification'!J558)</f>
        <v>NA</v>
      </c>
    </row>
    <row r="553" spans="1:24" x14ac:dyDescent="0.25">
      <c r="A553" s="45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11" t="str">
        <f>IF(COUNTBLANK(B553:W553)&gt;0,"NA",'batch classification'!J559)</f>
        <v>NA</v>
      </c>
    </row>
    <row r="554" spans="1:24" x14ac:dyDescent="0.25">
      <c r="A554" s="45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11" t="str">
        <f>IF(COUNTBLANK(B554:W554)&gt;0,"NA",'batch classification'!J560)</f>
        <v>NA</v>
      </c>
    </row>
    <row r="555" spans="1:24" x14ac:dyDescent="0.25">
      <c r="A555" s="45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11" t="str">
        <f>IF(COUNTBLANK(B555:W555)&gt;0,"NA",'batch classification'!J561)</f>
        <v>NA</v>
      </c>
    </row>
    <row r="556" spans="1:24" x14ac:dyDescent="0.25">
      <c r="A556" s="45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11" t="str">
        <f>IF(COUNTBLANK(B556:W556)&gt;0,"NA",'batch classification'!J562)</f>
        <v>NA</v>
      </c>
    </row>
    <row r="557" spans="1:24" x14ac:dyDescent="0.25">
      <c r="A557" s="45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11" t="str">
        <f>IF(COUNTBLANK(B557:W557)&gt;0,"NA",'batch classification'!J563)</f>
        <v>NA</v>
      </c>
    </row>
    <row r="558" spans="1:24" x14ac:dyDescent="0.25">
      <c r="A558" s="45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11" t="str">
        <f>IF(COUNTBLANK(B558:W558)&gt;0,"NA",'batch classification'!J564)</f>
        <v>NA</v>
      </c>
    </row>
    <row r="559" spans="1:24" x14ac:dyDescent="0.25">
      <c r="A559" s="45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11" t="str">
        <f>IF(COUNTBLANK(B559:W559)&gt;0,"NA",'batch classification'!J565)</f>
        <v>NA</v>
      </c>
    </row>
    <row r="560" spans="1:24" x14ac:dyDescent="0.25">
      <c r="A560" s="45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11" t="str">
        <f>IF(COUNTBLANK(B560:W560)&gt;0,"NA",'batch classification'!J566)</f>
        <v>NA</v>
      </c>
    </row>
    <row r="561" spans="1:24" x14ac:dyDescent="0.25">
      <c r="A561" s="45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11" t="str">
        <f>IF(COUNTBLANK(B561:W561)&gt;0,"NA",'batch classification'!J567)</f>
        <v>NA</v>
      </c>
    </row>
    <row r="562" spans="1:24" x14ac:dyDescent="0.25">
      <c r="A562" s="45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11" t="str">
        <f>IF(COUNTBLANK(B562:W562)&gt;0,"NA",'batch classification'!J568)</f>
        <v>NA</v>
      </c>
    </row>
    <row r="563" spans="1:24" x14ac:dyDescent="0.25">
      <c r="A563" s="45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11" t="str">
        <f>IF(COUNTBLANK(B563:W563)&gt;0,"NA",'batch classification'!J569)</f>
        <v>NA</v>
      </c>
    </row>
    <row r="564" spans="1:24" x14ac:dyDescent="0.25">
      <c r="A564" s="45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11" t="str">
        <f>IF(COUNTBLANK(B564:W564)&gt;0,"NA",'batch classification'!J570)</f>
        <v>NA</v>
      </c>
    </row>
    <row r="565" spans="1:24" x14ac:dyDescent="0.25">
      <c r="A565" s="45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11" t="str">
        <f>IF(COUNTBLANK(B565:W565)&gt;0,"NA",'batch classification'!J571)</f>
        <v>NA</v>
      </c>
    </row>
    <row r="566" spans="1:24" x14ac:dyDescent="0.25">
      <c r="A566" s="45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11" t="str">
        <f>IF(COUNTBLANK(B566:W566)&gt;0,"NA",'batch classification'!J572)</f>
        <v>NA</v>
      </c>
    </row>
    <row r="567" spans="1:24" x14ac:dyDescent="0.25">
      <c r="A567" s="45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11" t="str">
        <f>IF(COUNTBLANK(B567:W567)&gt;0,"NA",'batch classification'!J573)</f>
        <v>NA</v>
      </c>
    </row>
    <row r="568" spans="1:24" x14ac:dyDescent="0.25">
      <c r="A568" s="45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11" t="str">
        <f>IF(COUNTBLANK(B568:W568)&gt;0,"NA",'batch classification'!J574)</f>
        <v>NA</v>
      </c>
    </row>
    <row r="569" spans="1:24" x14ac:dyDescent="0.25">
      <c r="A569" s="45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11" t="str">
        <f>IF(COUNTBLANK(B569:W569)&gt;0,"NA",'batch classification'!J575)</f>
        <v>NA</v>
      </c>
    </row>
    <row r="570" spans="1:24" x14ac:dyDescent="0.25">
      <c r="A570" s="45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11" t="str">
        <f>IF(COUNTBLANK(B570:W570)&gt;0,"NA",'batch classification'!J576)</f>
        <v>NA</v>
      </c>
    </row>
    <row r="571" spans="1:24" x14ac:dyDescent="0.25">
      <c r="A571" s="45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11" t="str">
        <f>IF(COUNTBLANK(B571:W571)&gt;0,"NA",'batch classification'!J577)</f>
        <v>NA</v>
      </c>
    </row>
    <row r="572" spans="1:24" x14ac:dyDescent="0.25">
      <c r="A572" s="45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11" t="str">
        <f>IF(COUNTBLANK(B572:W572)&gt;0,"NA",'batch classification'!J578)</f>
        <v>NA</v>
      </c>
    </row>
    <row r="573" spans="1:24" x14ac:dyDescent="0.25">
      <c r="A573" s="45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11" t="str">
        <f>IF(COUNTBLANK(B573:W573)&gt;0,"NA",'batch classification'!J579)</f>
        <v>NA</v>
      </c>
    </row>
    <row r="574" spans="1:24" x14ac:dyDescent="0.25">
      <c r="A574" s="45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11" t="str">
        <f>IF(COUNTBLANK(B574:W574)&gt;0,"NA",'batch classification'!J580)</f>
        <v>NA</v>
      </c>
    </row>
    <row r="575" spans="1:24" x14ac:dyDescent="0.25">
      <c r="A575" s="45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11" t="str">
        <f>IF(COUNTBLANK(B575:W575)&gt;0,"NA",'batch classification'!J581)</f>
        <v>NA</v>
      </c>
    </row>
    <row r="576" spans="1:24" x14ac:dyDescent="0.25">
      <c r="A576" s="45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11" t="str">
        <f>IF(COUNTBLANK(B576:W576)&gt;0,"NA",'batch classification'!J582)</f>
        <v>NA</v>
      </c>
    </row>
    <row r="577" spans="1:24" x14ac:dyDescent="0.25">
      <c r="A577" s="45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11" t="str">
        <f>IF(COUNTBLANK(B577:W577)&gt;0,"NA",'batch classification'!J583)</f>
        <v>NA</v>
      </c>
    </row>
    <row r="578" spans="1:24" x14ac:dyDescent="0.25">
      <c r="A578" s="45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11" t="str">
        <f>IF(COUNTBLANK(B578:W578)&gt;0,"NA",'batch classification'!J584)</f>
        <v>NA</v>
      </c>
    </row>
    <row r="579" spans="1:24" x14ac:dyDescent="0.25">
      <c r="A579" s="45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11" t="str">
        <f>IF(COUNTBLANK(B579:W579)&gt;0,"NA",'batch classification'!J585)</f>
        <v>NA</v>
      </c>
    </row>
    <row r="580" spans="1:24" x14ac:dyDescent="0.25">
      <c r="A580" s="45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11" t="str">
        <f>IF(COUNTBLANK(B580:W580)&gt;0,"NA",'batch classification'!J586)</f>
        <v>NA</v>
      </c>
    </row>
    <row r="581" spans="1:24" x14ac:dyDescent="0.25">
      <c r="A581" s="45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11" t="str">
        <f>IF(COUNTBLANK(B581:W581)&gt;0,"NA",'batch classification'!J587)</f>
        <v>NA</v>
      </c>
    </row>
    <row r="582" spans="1:24" x14ac:dyDescent="0.25">
      <c r="A582" s="45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11" t="str">
        <f>IF(COUNTBLANK(B582:W582)&gt;0,"NA",'batch classification'!J588)</f>
        <v>NA</v>
      </c>
    </row>
    <row r="583" spans="1:24" x14ac:dyDescent="0.25">
      <c r="A583" s="45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11" t="str">
        <f>IF(COUNTBLANK(B583:W583)&gt;0,"NA",'batch classification'!J589)</f>
        <v>NA</v>
      </c>
    </row>
    <row r="584" spans="1:24" x14ac:dyDescent="0.25">
      <c r="A584" s="45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11" t="str">
        <f>IF(COUNTBLANK(B584:W584)&gt;0,"NA",'batch classification'!J590)</f>
        <v>NA</v>
      </c>
    </row>
    <row r="585" spans="1:24" x14ac:dyDescent="0.25">
      <c r="A585" s="45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11" t="str">
        <f>IF(COUNTBLANK(B585:W585)&gt;0,"NA",'batch classification'!J591)</f>
        <v>NA</v>
      </c>
    </row>
    <row r="586" spans="1:24" x14ac:dyDescent="0.25">
      <c r="A586" s="45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11" t="str">
        <f>IF(COUNTBLANK(B586:W586)&gt;0,"NA",'batch classification'!J592)</f>
        <v>NA</v>
      </c>
    </row>
    <row r="587" spans="1:24" x14ac:dyDescent="0.25">
      <c r="A587" s="45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11" t="str">
        <f>IF(COUNTBLANK(B587:W587)&gt;0,"NA",'batch classification'!J593)</f>
        <v>NA</v>
      </c>
    </row>
    <row r="588" spans="1:24" x14ac:dyDescent="0.25">
      <c r="A588" s="45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11" t="str">
        <f>IF(COUNTBLANK(B588:W588)&gt;0,"NA",'batch classification'!J594)</f>
        <v>NA</v>
      </c>
    </row>
    <row r="589" spans="1:24" x14ac:dyDescent="0.25">
      <c r="A589" s="45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11" t="str">
        <f>IF(COUNTBLANK(B589:W589)&gt;0,"NA",'batch classification'!J595)</f>
        <v>NA</v>
      </c>
    </row>
    <row r="590" spans="1:24" x14ac:dyDescent="0.25">
      <c r="A590" s="45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11" t="str">
        <f>IF(COUNTBLANK(B590:W590)&gt;0,"NA",'batch classification'!J596)</f>
        <v>NA</v>
      </c>
    </row>
    <row r="591" spans="1:24" x14ac:dyDescent="0.25">
      <c r="A591" s="45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11" t="str">
        <f>IF(COUNTBLANK(B591:W591)&gt;0,"NA",'batch classification'!J597)</f>
        <v>NA</v>
      </c>
    </row>
    <row r="592" spans="1:24" x14ac:dyDescent="0.25">
      <c r="A592" s="45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11" t="str">
        <f>IF(COUNTBLANK(B592:W592)&gt;0,"NA",'batch classification'!J598)</f>
        <v>NA</v>
      </c>
    </row>
    <row r="593" spans="1:24" x14ac:dyDescent="0.25">
      <c r="A593" s="45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11" t="str">
        <f>IF(COUNTBLANK(B593:W593)&gt;0,"NA",'batch classification'!J599)</f>
        <v>NA</v>
      </c>
    </row>
    <row r="594" spans="1:24" x14ac:dyDescent="0.25">
      <c r="A594" s="45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11" t="str">
        <f>IF(COUNTBLANK(B594:W594)&gt;0,"NA",'batch classification'!J600)</f>
        <v>NA</v>
      </c>
    </row>
    <row r="595" spans="1:24" x14ac:dyDescent="0.25">
      <c r="A595" s="45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11" t="str">
        <f>IF(COUNTBLANK(B595:W595)&gt;0,"NA",'batch classification'!J601)</f>
        <v>NA</v>
      </c>
    </row>
    <row r="596" spans="1:24" x14ac:dyDescent="0.25">
      <c r="A596" s="45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11" t="str">
        <f>IF(COUNTBLANK(B596:W596)&gt;0,"NA",'batch classification'!J602)</f>
        <v>NA</v>
      </c>
    </row>
    <row r="597" spans="1:24" x14ac:dyDescent="0.25">
      <c r="A597" s="45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11" t="str">
        <f>IF(COUNTBLANK(B597:W597)&gt;0,"NA",'batch classification'!J603)</f>
        <v>NA</v>
      </c>
    </row>
    <row r="598" spans="1:24" x14ac:dyDescent="0.25">
      <c r="A598" s="45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11" t="str">
        <f>IF(COUNTBLANK(B598:W598)&gt;0,"NA",'batch classification'!J604)</f>
        <v>NA</v>
      </c>
    </row>
    <row r="599" spans="1:24" x14ac:dyDescent="0.25">
      <c r="A599" s="45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11" t="str">
        <f>IF(COUNTBLANK(B599:W599)&gt;0,"NA",'batch classification'!J605)</f>
        <v>NA</v>
      </c>
    </row>
    <row r="600" spans="1:24" x14ac:dyDescent="0.25">
      <c r="A600" s="45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11" t="str">
        <f>IF(COUNTBLANK(B600:W600)&gt;0,"NA",'batch classification'!J606)</f>
        <v>NA</v>
      </c>
    </row>
    <row r="601" spans="1:24" x14ac:dyDescent="0.25">
      <c r="A601" s="45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11" t="str">
        <f>IF(COUNTBLANK(B601:W601)&gt;0,"NA",'batch classification'!J607)</f>
        <v>NA</v>
      </c>
    </row>
    <row r="602" spans="1:24" x14ac:dyDescent="0.25">
      <c r="A602" s="45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11" t="str">
        <f>IF(COUNTBLANK(B602:W602)&gt;0,"NA",'batch classification'!J608)</f>
        <v>NA</v>
      </c>
    </row>
    <row r="603" spans="1:24" x14ac:dyDescent="0.25">
      <c r="A603" s="45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11" t="str">
        <f>IF(COUNTBLANK(B603:W603)&gt;0,"NA",'batch classification'!J609)</f>
        <v>NA</v>
      </c>
    </row>
    <row r="604" spans="1:24" x14ac:dyDescent="0.25">
      <c r="A604" s="45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11" t="str">
        <f>IF(COUNTBLANK(B604:W604)&gt;0,"NA",'batch classification'!J610)</f>
        <v>NA</v>
      </c>
    </row>
    <row r="605" spans="1:24" x14ac:dyDescent="0.25">
      <c r="A605" s="45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11" t="str">
        <f>IF(COUNTBLANK(B605:W605)&gt;0,"NA",'batch classification'!J611)</f>
        <v>NA</v>
      </c>
    </row>
    <row r="606" spans="1:24" x14ac:dyDescent="0.25">
      <c r="A606" s="45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11" t="str">
        <f>IF(COUNTBLANK(B606:W606)&gt;0,"NA",'batch classification'!J612)</f>
        <v>NA</v>
      </c>
    </row>
    <row r="607" spans="1:24" x14ac:dyDescent="0.25">
      <c r="A607" s="45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11" t="str">
        <f>IF(COUNTBLANK(B607:W607)&gt;0,"NA",'batch classification'!J613)</f>
        <v>NA</v>
      </c>
    </row>
    <row r="608" spans="1:24" x14ac:dyDescent="0.25">
      <c r="A608" s="45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11" t="str">
        <f>IF(COUNTBLANK(B608:W608)&gt;0,"NA",'batch classification'!J614)</f>
        <v>NA</v>
      </c>
    </row>
    <row r="609" spans="1:24" x14ac:dyDescent="0.25">
      <c r="A609" s="45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11" t="str">
        <f>IF(COUNTBLANK(B609:W609)&gt;0,"NA",'batch classification'!J615)</f>
        <v>NA</v>
      </c>
    </row>
    <row r="610" spans="1:24" x14ac:dyDescent="0.25">
      <c r="A610" s="45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11" t="str">
        <f>IF(COUNTBLANK(B610:W610)&gt;0,"NA",'batch classification'!J616)</f>
        <v>NA</v>
      </c>
    </row>
    <row r="611" spans="1:24" x14ac:dyDescent="0.25">
      <c r="A611" s="45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11" t="str">
        <f>IF(COUNTBLANK(B611:W611)&gt;0,"NA",'batch classification'!J617)</f>
        <v>NA</v>
      </c>
    </row>
    <row r="612" spans="1:24" x14ac:dyDescent="0.25">
      <c r="A612" s="45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11" t="str">
        <f>IF(COUNTBLANK(B612:W612)&gt;0,"NA",'batch classification'!J618)</f>
        <v>NA</v>
      </c>
    </row>
    <row r="613" spans="1:24" x14ac:dyDescent="0.25">
      <c r="A613" s="45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11" t="str">
        <f>IF(COUNTBLANK(B613:W613)&gt;0,"NA",'batch classification'!J619)</f>
        <v>NA</v>
      </c>
    </row>
    <row r="614" spans="1:24" x14ac:dyDescent="0.25">
      <c r="A614" s="45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11" t="str">
        <f>IF(COUNTBLANK(B614:W614)&gt;0,"NA",'batch classification'!J620)</f>
        <v>NA</v>
      </c>
    </row>
    <row r="615" spans="1:24" x14ac:dyDescent="0.25">
      <c r="A615" s="45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11" t="str">
        <f>IF(COUNTBLANK(B615:W615)&gt;0,"NA",'batch classification'!J621)</f>
        <v>NA</v>
      </c>
    </row>
    <row r="616" spans="1:24" x14ac:dyDescent="0.25">
      <c r="A616" s="45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11" t="str">
        <f>IF(COUNTBLANK(B616:W616)&gt;0,"NA",'batch classification'!J622)</f>
        <v>NA</v>
      </c>
    </row>
    <row r="617" spans="1:24" x14ac:dyDescent="0.25">
      <c r="A617" s="45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11" t="str">
        <f>IF(COUNTBLANK(B617:W617)&gt;0,"NA",'batch classification'!J623)</f>
        <v>NA</v>
      </c>
    </row>
    <row r="618" spans="1:24" x14ac:dyDescent="0.25">
      <c r="A618" s="45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11" t="str">
        <f>IF(COUNTBLANK(B618:W618)&gt;0,"NA",'batch classification'!J624)</f>
        <v>NA</v>
      </c>
    </row>
    <row r="619" spans="1:24" x14ac:dyDescent="0.25">
      <c r="A619" s="45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11" t="str">
        <f>IF(COUNTBLANK(B619:W619)&gt;0,"NA",'batch classification'!J625)</f>
        <v>NA</v>
      </c>
    </row>
    <row r="620" spans="1:24" x14ac:dyDescent="0.25">
      <c r="A620" s="45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11" t="str">
        <f>IF(COUNTBLANK(B620:W620)&gt;0,"NA",'batch classification'!J626)</f>
        <v>NA</v>
      </c>
    </row>
    <row r="621" spans="1:24" x14ac:dyDescent="0.25">
      <c r="A621" s="45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11" t="str">
        <f>IF(COUNTBLANK(B621:W621)&gt;0,"NA",'batch classification'!J627)</f>
        <v>NA</v>
      </c>
    </row>
    <row r="622" spans="1:24" x14ac:dyDescent="0.25">
      <c r="A622" s="45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11" t="str">
        <f>IF(COUNTBLANK(B622:W622)&gt;0,"NA",'batch classification'!J628)</f>
        <v>NA</v>
      </c>
    </row>
    <row r="623" spans="1:24" x14ac:dyDescent="0.25">
      <c r="A623" s="45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11" t="str">
        <f>IF(COUNTBLANK(B623:W623)&gt;0,"NA",'batch classification'!J629)</f>
        <v>NA</v>
      </c>
    </row>
    <row r="624" spans="1:24" x14ac:dyDescent="0.25">
      <c r="A624" s="45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11" t="str">
        <f>IF(COUNTBLANK(B624:W624)&gt;0,"NA",'batch classification'!J630)</f>
        <v>NA</v>
      </c>
    </row>
    <row r="625" spans="1:24" x14ac:dyDescent="0.25">
      <c r="A625" s="45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11" t="str">
        <f>IF(COUNTBLANK(B625:W625)&gt;0,"NA",'batch classification'!J631)</f>
        <v>NA</v>
      </c>
    </row>
    <row r="626" spans="1:24" x14ac:dyDescent="0.25">
      <c r="A626" s="45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11" t="str">
        <f>IF(COUNTBLANK(B626:W626)&gt;0,"NA",'batch classification'!J632)</f>
        <v>NA</v>
      </c>
    </row>
    <row r="627" spans="1:24" x14ac:dyDescent="0.25">
      <c r="A627" s="45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11" t="str">
        <f>IF(COUNTBLANK(B627:W627)&gt;0,"NA",'batch classification'!J633)</f>
        <v>NA</v>
      </c>
    </row>
    <row r="628" spans="1:24" x14ac:dyDescent="0.25">
      <c r="A628" s="45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11" t="str">
        <f>IF(COUNTBLANK(B628:W628)&gt;0,"NA",'batch classification'!J634)</f>
        <v>NA</v>
      </c>
    </row>
    <row r="629" spans="1:24" x14ac:dyDescent="0.25">
      <c r="A629" s="45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11" t="str">
        <f>IF(COUNTBLANK(B629:W629)&gt;0,"NA",'batch classification'!J635)</f>
        <v>NA</v>
      </c>
    </row>
    <row r="630" spans="1:24" x14ac:dyDescent="0.25">
      <c r="A630" s="45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11" t="str">
        <f>IF(COUNTBLANK(B630:W630)&gt;0,"NA",'batch classification'!J636)</f>
        <v>NA</v>
      </c>
    </row>
    <row r="631" spans="1:24" x14ac:dyDescent="0.25">
      <c r="A631" s="45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11" t="str">
        <f>IF(COUNTBLANK(B631:W631)&gt;0,"NA",'batch classification'!J637)</f>
        <v>NA</v>
      </c>
    </row>
    <row r="632" spans="1:24" x14ac:dyDescent="0.25">
      <c r="A632" s="45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11" t="str">
        <f>IF(COUNTBLANK(B632:W632)&gt;0,"NA",'batch classification'!J638)</f>
        <v>NA</v>
      </c>
    </row>
    <row r="633" spans="1:24" x14ac:dyDescent="0.25">
      <c r="A633" s="45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11" t="str">
        <f>IF(COUNTBLANK(B633:W633)&gt;0,"NA",'batch classification'!J639)</f>
        <v>NA</v>
      </c>
    </row>
    <row r="634" spans="1:24" x14ac:dyDescent="0.25">
      <c r="A634" s="45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11" t="str">
        <f>IF(COUNTBLANK(B634:W634)&gt;0,"NA",'batch classification'!J640)</f>
        <v>NA</v>
      </c>
    </row>
    <row r="635" spans="1:24" x14ac:dyDescent="0.25">
      <c r="A635" s="45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11" t="str">
        <f>IF(COUNTBLANK(B635:W635)&gt;0,"NA",'batch classification'!J641)</f>
        <v>NA</v>
      </c>
    </row>
    <row r="636" spans="1:24" x14ac:dyDescent="0.25">
      <c r="A636" s="45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11" t="str">
        <f>IF(COUNTBLANK(B636:W636)&gt;0,"NA",'batch classification'!J642)</f>
        <v>NA</v>
      </c>
    </row>
    <row r="637" spans="1:24" x14ac:dyDescent="0.25">
      <c r="A637" s="45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11" t="str">
        <f>IF(COUNTBLANK(B637:W637)&gt;0,"NA",'batch classification'!J643)</f>
        <v>NA</v>
      </c>
    </row>
    <row r="638" spans="1:24" x14ac:dyDescent="0.25">
      <c r="A638" s="45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11" t="str">
        <f>IF(COUNTBLANK(B638:W638)&gt;0,"NA",'batch classification'!J644)</f>
        <v>NA</v>
      </c>
    </row>
    <row r="639" spans="1:24" x14ac:dyDescent="0.25">
      <c r="A639" s="45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11" t="str">
        <f>IF(COUNTBLANK(B639:W639)&gt;0,"NA",'batch classification'!J645)</f>
        <v>NA</v>
      </c>
    </row>
    <row r="640" spans="1:24" x14ac:dyDescent="0.25">
      <c r="A640" s="45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11" t="str">
        <f>IF(COUNTBLANK(B640:W640)&gt;0,"NA",'batch classification'!J646)</f>
        <v>NA</v>
      </c>
    </row>
    <row r="641" spans="1:24" x14ac:dyDescent="0.25">
      <c r="A641" s="45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11" t="str">
        <f>IF(COUNTBLANK(B641:W641)&gt;0,"NA",'batch classification'!J647)</f>
        <v>NA</v>
      </c>
    </row>
    <row r="642" spans="1:24" x14ac:dyDescent="0.25">
      <c r="A642" s="45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11" t="str">
        <f>IF(COUNTBLANK(B642:W642)&gt;0,"NA",'batch classification'!J648)</f>
        <v>NA</v>
      </c>
    </row>
    <row r="643" spans="1:24" x14ac:dyDescent="0.25">
      <c r="A643" s="45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11" t="str">
        <f>IF(COUNTBLANK(B643:W643)&gt;0,"NA",'batch classification'!J649)</f>
        <v>NA</v>
      </c>
    </row>
    <row r="644" spans="1:24" x14ac:dyDescent="0.25">
      <c r="A644" s="45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11" t="str">
        <f>IF(COUNTBLANK(B644:W644)&gt;0,"NA",'batch classification'!J650)</f>
        <v>NA</v>
      </c>
    </row>
    <row r="645" spans="1:24" x14ac:dyDescent="0.25">
      <c r="A645" s="45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11" t="str">
        <f>IF(COUNTBLANK(B645:W645)&gt;0,"NA",'batch classification'!J651)</f>
        <v>NA</v>
      </c>
    </row>
    <row r="646" spans="1:24" x14ac:dyDescent="0.25">
      <c r="A646" s="45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11" t="str">
        <f>IF(COUNTBLANK(B646:W646)&gt;0,"NA",'batch classification'!J652)</f>
        <v>NA</v>
      </c>
    </row>
    <row r="647" spans="1:24" x14ac:dyDescent="0.25">
      <c r="A647" s="45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11" t="str">
        <f>IF(COUNTBLANK(B647:W647)&gt;0,"NA",'batch classification'!J653)</f>
        <v>NA</v>
      </c>
    </row>
    <row r="648" spans="1:24" x14ac:dyDescent="0.25">
      <c r="A648" s="45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11" t="str">
        <f>IF(COUNTBLANK(B648:W648)&gt;0,"NA",'batch classification'!J654)</f>
        <v>NA</v>
      </c>
    </row>
    <row r="649" spans="1:24" x14ac:dyDescent="0.25">
      <c r="A649" s="45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11" t="str">
        <f>IF(COUNTBLANK(B649:W649)&gt;0,"NA",'batch classification'!J655)</f>
        <v>NA</v>
      </c>
    </row>
    <row r="650" spans="1:24" x14ac:dyDescent="0.25">
      <c r="A650" s="45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11" t="str">
        <f>IF(COUNTBLANK(B650:W650)&gt;0,"NA",'batch classification'!J656)</f>
        <v>NA</v>
      </c>
    </row>
    <row r="651" spans="1:24" x14ac:dyDescent="0.25">
      <c r="A651" s="45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11" t="str">
        <f>IF(COUNTBLANK(B651:W651)&gt;0,"NA",'batch classification'!J657)</f>
        <v>NA</v>
      </c>
    </row>
    <row r="652" spans="1:24" x14ac:dyDescent="0.25">
      <c r="A652" s="45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11" t="str">
        <f>IF(COUNTBLANK(B652:W652)&gt;0,"NA",'batch classification'!J658)</f>
        <v>NA</v>
      </c>
    </row>
    <row r="653" spans="1:24" x14ac:dyDescent="0.25">
      <c r="A653" s="45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11" t="str">
        <f>IF(COUNTBLANK(B653:W653)&gt;0,"NA",'batch classification'!J659)</f>
        <v>NA</v>
      </c>
    </row>
    <row r="654" spans="1:24" x14ac:dyDescent="0.25">
      <c r="A654" s="45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11" t="str">
        <f>IF(COUNTBLANK(B654:W654)&gt;0,"NA",'batch classification'!J660)</f>
        <v>NA</v>
      </c>
    </row>
    <row r="655" spans="1:24" x14ac:dyDescent="0.25">
      <c r="A655" s="45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11" t="str">
        <f>IF(COUNTBLANK(B655:W655)&gt;0,"NA",'batch classification'!J661)</f>
        <v>NA</v>
      </c>
    </row>
    <row r="656" spans="1:24" x14ac:dyDescent="0.25">
      <c r="A656" s="45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11" t="str">
        <f>IF(COUNTBLANK(B656:W656)&gt;0,"NA",'batch classification'!J662)</f>
        <v>NA</v>
      </c>
    </row>
    <row r="657" spans="1:24" x14ac:dyDescent="0.25">
      <c r="A657" s="45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11" t="str">
        <f>IF(COUNTBLANK(B657:W657)&gt;0,"NA",'batch classification'!J663)</f>
        <v>NA</v>
      </c>
    </row>
    <row r="658" spans="1:24" x14ac:dyDescent="0.25">
      <c r="A658" s="45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11" t="str">
        <f>IF(COUNTBLANK(B658:W658)&gt;0,"NA",'batch classification'!J664)</f>
        <v>NA</v>
      </c>
    </row>
    <row r="659" spans="1:24" x14ac:dyDescent="0.25">
      <c r="A659" s="45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11" t="str">
        <f>IF(COUNTBLANK(B659:W659)&gt;0,"NA",'batch classification'!J665)</f>
        <v>NA</v>
      </c>
    </row>
    <row r="660" spans="1:24" x14ac:dyDescent="0.25">
      <c r="A660" s="45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11" t="str">
        <f>IF(COUNTBLANK(B660:W660)&gt;0,"NA",'batch classification'!J666)</f>
        <v>NA</v>
      </c>
    </row>
    <row r="661" spans="1:24" x14ac:dyDescent="0.25">
      <c r="A661" s="45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11" t="str">
        <f>IF(COUNTBLANK(B661:W661)&gt;0,"NA",'batch classification'!J667)</f>
        <v>NA</v>
      </c>
    </row>
    <row r="662" spans="1:24" x14ac:dyDescent="0.25">
      <c r="A662" s="45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11" t="str">
        <f>IF(COUNTBLANK(B662:W662)&gt;0,"NA",'batch classification'!J668)</f>
        <v>NA</v>
      </c>
    </row>
    <row r="663" spans="1:24" x14ac:dyDescent="0.25">
      <c r="A663" s="45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11" t="str">
        <f>IF(COUNTBLANK(B663:W663)&gt;0,"NA",'batch classification'!J669)</f>
        <v>NA</v>
      </c>
    </row>
    <row r="664" spans="1:24" x14ac:dyDescent="0.25">
      <c r="A664" s="45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11" t="str">
        <f>IF(COUNTBLANK(B664:W664)&gt;0,"NA",'batch classification'!J670)</f>
        <v>NA</v>
      </c>
    </row>
    <row r="665" spans="1:24" x14ac:dyDescent="0.25">
      <c r="A665" s="45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11" t="str">
        <f>IF(COUNTBLANK(B665:W665)&gt;0,"NA",'batch classification'!J671)</f>
        <v>NA</v>
      </c>
    </row>
    <row r="666" spans="1:24" x14ac:dyDescent="0.25">
      <c r="A666" s="45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11" t="str">
        <f>IF(COUNTBLANK(B666:W666)&gt;0,"NA",'batch classification'!J672)</f>
        <v>NA</v>
      </c>
    </row>
    <row r="667" spans="1:24" x14ac:dyDescent="0.25">
      <c r="A667" s="45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11" t="str">
        <f>IF(COUNTBLANK(B667:W667)&gt;0,"NA",'batch classification'!J673)</f>
        <v>NA</v>
      </c>
    </row>
    <row r="668" spans="1:24" x14ac:dyDescent="0.25">
      <c r="A668" s="45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11" t="str">
        <f>IF(COUNTBLANK(B668:W668)&gt;0,"NA",'batch classification'!J674)</f>
        <v>NA</v>
      </c>
    </row>
    <row r="669" spans="1:24" x14ac:dyDescent="0.25">
      <c r="A669" s="45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11" t="str">
        <f>IF(COUNTBLANK(B669:W669)&gt;0,"NA",'batch classification'!J675)</f>
        <v>NA</v>
      </c>
    </row>
    <row r="670" spans="1:24" x14ac:dyDescent="0.25">
      <c r="A670" s="45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11" t="str">
        <f>IF(COUNTBLANK(B670:W670)&gt;0,"NA",'batch classification'!J676)</f>
        <v>NA</v>
      </c>
    </row>
    <row r="671" spans="1:24" x14ac:dyDescent="0.25">
      <c r="A671" s="45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11" t="str">
        <f>IF(COUNTBLANK(B671:W671)&gt;0,"NA",'batch classification'!J677)</f>
        <v>NA</v>
      </c>
    </row>
    <row r="672" spans="1:24" x14ac:dyDescent="0.25">
      <c r="A672" s="45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11" t="str">
        <f>IF(COUNTBLANK(B672:W672)&gt;0,"NA",'batch classification'!J678)</f>
        <v>NA</v>
      </c>
    </row>
    <row r="673" spans="1:24" x14ac:dyDescent="0.25">
      <c r="A673" s="45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11" t="str">
        <f>IF(COUNTBLANK(B673:W673)&gt;0,"NA",'batch classification'!J679)</f>
        <v>NA</v>
      </c>
    </row>
    <row r="674" spans="1:24" x14ac:dyDescent="0.25">
      <c r="A674" s="45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11" t="str">
        <f>IF(COUNTBLANK(B674:W674)&gt;0,"NA",'batch classification'!J680)</f>
        <v>NA</v>
      </c>
    </row>
    <row r="675" spans="1:24" x14ac:dyDescent="0.25">
      <c r="A675" s="45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11" t="str">
        <f>IF(COUNTBLANK(B675:W675)&gt;0,"NA",'batch classification'!J681)</f>
        <v>NA</v>
      </c>
    </row>
    <row r="676" spans="1:24" x14ac:dyDescent="0.25">
      <c r="A676" s="45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11" t="str">
        <f>IF(COUNTBLANK(B676:W676)&gt;0,"NA",'batch classification'!J682)</f>
        <v>NA</v>
      </c>
    </row>
    <row r="677" spans="1:24" x14ac:dyDescent="0.25">
      <c r="A677" s="45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11" t="str">
        <f>IF(COUNTBLANK(B677:W677)&gt;0,"NA",'batch classification'!J683)</f>
        <v>NA</v>
      </c>
    </row>
    <row r="678" spans="1:24" x14ac:dyDescent="0.25">
      <c r="A678" s="45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11" t="str">
        <f>IF(COUNTBLANK(B678:W678)&gt;0,"NA",'batch classification'!J684)</f>
        <v>NA</v>
      </c>
    </row>
    <row r="679" spans="1:24" x14ac:dyDescent="0.25">
      <c r="A679" s="45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11" t="str">
        <f>IF(COUNTBLANK(B679:W679)&gt;0,"NA",'batch classification'!J685)</f>
        <v>NA</v>
      </c>
    </row>
    <row r="680" spans="1:24" x14ac:dyDescent="0.25">
      <c r="A680" s="45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11" t="str">
        <f>IF(COUNTBLANK(B680:W680)&gt;0,"NA",'batch classification'!J686)</f>
        <v>NA</v>
      </c>
    </row>
    <row r="681" spans="1:24" x14ac:dyDescent="0.25">
      <c r="A681" s="45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11" t="str">
        <f>IF(COUNTBLANK(B681:W681)&gt;0,"NA",'batch classification'!J687)</f>
        <v>NA</v>
      </c>
    </row>
    <row r="682" spans="1:24" x14ac:dyDescent="0.25">
      <c r="A682" s="45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11" t="str">
        <f>IF(COUNTBLANK(B682:W682)&gt;0,"NA",'batch classification'!J688)</f>
        <v>NA</v>
      </c>
    </row>
    <row r="683" spans="1:24" x14ac:dyDescent="0.25">
      <c r="A683" s="45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11" t="str">
        <f>IF(COUNTBLANK(B683:W683)&gt;0,"NA",'batch classification'!J689)</f>
        <v>NA</v>
      </c>
    </row>
    <row r="684" spans="1:24" x14ac:dyDescent="0.25">
      <c r="A684" s="45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11" t="str">
        <f>IF(COUNTBLANK(B684:W684)&gt;0,"NA",'batch classification'!J690)</f>
        <v>NA</v>
      </c>
    </row>
    <row r="685" spans="1:24" x14ac:dyDescent="0.25">
      <c r="A685" s="45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11" t="str">
        <f>IF(COUNTBLANK(B685:W685)&gt;0,"NA",'batch classification'!J691)</f>
        <v>NA</v>
      </c>
    </row>
    <row r="686" spans="1:24" x14ac:dyDescent="0.25">
      <c r="A686" s="45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11" t="str">
        <f>IF(COUNTBLANK(B686:W686)&gt;0,"NA",'batch classification'!J692)</f>
        <v>NA</v>
      </c>
    </row>
    <row r="687" spans="1:24" x14ac:dyDescent="0.25">
      <c r="A687" s="45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11" t="str">
        <f>IF(COUNTBLANK(B687:W687)&gt;0,"NA",'batch classification'!J693)</f>
        <v>NA</v>
      </c>
    </row>
    <row r="688" spans="1:24" x14ac:dyDescent="0.25">
      <c r="A688" s="45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11" t="str">
        <f>IF(COUNTBLANK(B688:W688)&gt;0,"NA",'batch classification'!J694)</f>
        <v>NA</v>
      </c>
    </row>
    <row r="689" spans="1:24" x14ac:dyDescent="0.25">
      <c r="A689" s="45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11" t="str">
        <f>IF(COUNTBLANK(B689:W689)&gt;0,"NA",'batch classification'!J695)</f>
        <v>NA</v>
      </c>
    </row>
    <row r="690" spans="1:24" x14ac:dyDescent="0.25">
      <c r="A690" s="45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11" t="str">
        <f>IF(COUNTBLANK(B690:W690)&gt;0,"NA",'batch classification'!J696)</f>
        <v>NA</v>
      </c>
    </row>
    <row r="691" spans="1:24" x14ac:dyDescent="0.25">
      <c r="A691" s="45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11" t="str">
        <f>IF(COUNTBLANK(B691:W691)&gt;0,"NA",'batch classification'!J697)</f>
        <v>NA</v>
      </c>
    </row>
    <row r="692" spans="1:24" x14ac:dyDescent="0.25">
      <c r="A692" s="45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11" t="str">
        <f>IF(COUNTBLANK(B692:W692)&gt;0,"NA",'batch classification'!J698)</f>
        <v>NA</v>
      </c>
    </row>
    <row r="693" spans="1:24" x14ac:dyDescent="0.25">
      <c r="A693" s="45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11" t="str">
        <f>IF(COUNTBLANK(B693:W693)&gt;0,"NA",'batch classification'!J699)</f>
        <v>NA</v>
      </c>
    </row>
    <row r="694" spans="1:24" x14ac:dyDescent="0.25">
      <c r="A694" s="45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11" t="str">
        <f>IF(COUNTBLANK(B694:W694)&gt;0,"NA",'batch classification'!J700)</f>
        <v>NA</v>
      </c>
    </row>
    <row r="695" spans="1:24" x14ac:dyDescent="0.25">
      <c r="A695" s="45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11" t="str">
        <f>IF(COUNTBLANK(B695:W695)&gt;0,"NA",'batch classification'!J701)</f>
        <v>NA</v>
      </c>
    </row>
    <row r="696" spans="1:24" x14ac:dyDescent="0.25">
      <c r="A696" s="45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11" t="str">
        <f>IF(COUNTBLANK(B696:W696)&gt;0,"NA",'batch classification'!J702)</f>
        <v>NA</v>
      </c>
    </row>
    <row r="697" spans="1:24" x14ac:dyDescent="0.25">
      <c r="A697" s="45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11" t="str">
        <f>IF(COUNTBLANK(B697:W697)&gt;0,"NA",'batch classification'!J703)</f>
        <v>NA</v>
      </c>
    </row>
    <row r="698" spans="1:24" x14ac:dyDescent="0.25">
      <c r="A698" s="45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11" t="str">
        <f>IF(COUNTBLANK(B698:W698)&gt;0,"NA",'batch classification'!J704)</f>
        <v>NA</v>
      </c>
    </row>
    <row r="699" spans="1:24" x14ac:dyDescent="0.25">
      <c r="A699" s="45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11" t="str">
        <f>IF(COUNTBLANK(B699:W699)&gt;0,"NA",'batch classification'!J705)</f>
        <v>NA</v>
      </c>
    </row>
    <row r="700" spans="1:24" x14ac:dyDescent="0.25">
      <c r="A700" s="45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11" t="str">
        <f>IF(COUNTBLANK(B700:W700)&gt;0,"NA",'batch classification'!J706)</f>
        <v>NA</v>
      </c>
    </row>
    <row r="701" spans="1:24" x14ac:dyDescent="0.25">
      <c r="A701" s="45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11" t="str">
        <f>IF(COUNTBLANK(B701:W701)&gt;0,"NA",'batch classification'!J707)</f>
        <v>NA</v>
      </c>
    </row>
    <row r="702" spans="1:24" x14ac:dyDescent="0.25">
      <c r="A702" s="45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11" t="str">
        <f>IF(COUNTBLANK(B702:W702)&gt;0,"NA",'batch classification'!J708)</f>
        <v>NA</v>
      </c>
    </row>
    <row r="703" spans="1:24" x14ac:dyDescent="0.25">
      <c r="A703" s="45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11" t="str">
        <f>IF(COUNTBLANK(B703:W703)&gt;0,"NA",'batch classification'!J709)</f>
        <v>NA</v>
      </c>
    </row>
    <row r="704" spans="1:24" x14ac:dyDescent="0.25">
      <c r="A704" s="45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11" t="str">
        <f>IF(COUNTBLANK(B704:W704)&gt;0,"NA",'batch classification'!J710)</f>
        <v>NA</v>
      </c>
    </row>
    <row r="705" spans="1:24" x14ac:dyDescent="0.25">
      <c r="A705" s="45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11" t="str">
        <f>IF(COUNTBLANK(B705:W705)&gt;0,"NA",'batch classification'!J711)</f>
        <v>NA</v>
      </c>
    </row>
    <row r="706" spans="1:24" x14ac:dyDescent="0.25">
      <c r="A706" s="45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11" t="str">
        <f>IF(COUNTBLANK(B706:W706)&gt;0,"NA",'batch classification'!J712)</f>
        <v>NA</v>
      </c>
    </row>
    <row r="707" spans="1:24" x14ac:dyDescent="0.25">
      <c r="A707" s="45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11" t="str">
        <f>IF(COUNTBLANK(B707:W707)&gt;0,"NA",'batch classification'!J713)</f>
        <v>NA</v>
      </c>
    </row>
    <row r="708" spans="1:24" x14ac:dyDescent="0.25">
      <c r="A708" s="45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11" t="str">
        <f>IF(COUNTBLANK(B708:W708)&gt;0,"NA",'batch classification'!J714)</f>
        <v>NA</v>
      </c>
    </row>
    <row r="709" spans="1:24" x14ac:dyDescent="0.25">
      <c r="A709" s="45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11" t="str">
        <f>IF(COUNTBLANK(B709:W709)&gt;0,"NA",'batch classification'!J715)</f>
        <v>NA</v>
      </c>
    </row>
    <row r="710" spans="1:24" x14ac:dyDescent="0.25">
      <c r="A710" s="45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11" t="str">
        <f>IF(COUNTBLANK(B710:W710)&gt;0,"NA",'batch classification'!J716)</f>
        <v>NA</v>
      </c>
    </row>
    <row r="711" spans="1:24" x14ac:dyDescent="0.25">
      <c r="A711" s="45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11" t="str">
        <f>IF(COUNTBLANK(B711:W711)&gt;0,"NA",'batch classification'!J717)</f>
        <v>NA</v>
      </c>
    </row>
    <row r="712" spans="1:24" x14ac:dyDescent="0.25">
      <c r="A712" s="45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11" t="str">
        <f>IF(COUNTBLANK(B712:W712)&gt;0,"NA",'batch classification'!J718)</f>
        <v>NA</v>
      </c>
    </row>
    <row r="713" spans="1:24" x14ac:dyDescent="0.25">
      <c r="A713" s="45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11" t="str">
        <f>IF(COUNTBLANK(B713:W713)&gt;0,"NA",'batch classification'!J719)</f>
        <v>NA</v>
      </c>
    </row>
    <row r="714" spans="1:24" x14ac:dyDescent="0.25">
      <c r="A714" s="45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11" t="str">
        <f>IF(COUNTBLANK(B714:W714)&gt;0,"NA",'batch classification'!J720)</f>
        <v>NA</v>
      </c>
    </row>
    <row r="715" spans="1:24" x14ac:dyDescent="0.25">
      <c r="A715" s="45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11" t="str">
        <f>IF(COUNTBLANK(B715:W715)&gt;0,"NA",'batch classification'!J721)</f>
        <v>NA</v>
      </c>
    </row>
    <row r="716" spans="1:24" x14ac:dyDescent="0.25">
      <c r="A716" s="45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11" t="str">
        <f>IF(COUNTBLANK(B716:W716)&gt;0,"NA",'batch classification'!J722)</f>
        <v>NA</v>
      </c>
    </row>
    <row r="717" spans="1:24" x14ac:dyDescent="0.25">
      <c r="A717" s="45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11" t="str">
        <f>IF(COUNTBLANK(B717:W717)&gt;0,"NA",'batch classification'!J723)</f>
        <v>NA</v>
      </c>
    </row>
    <row r="718" spans="1:24" x14ac:dyDescent="0.25">
      <c r="A718" s="45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11" t="str">
        <f>IF(COUNTBLANK(B718:W718)&gt;0,"NA",'batch classification'!J724)</f>
        <v>NA</v>
      </c>
    </row>
    <row r="719" spans="1:24" x14ac:dyDescent="0.25">
      <c r="A719" s="45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11" t="str">
        <f>IF(COUNTBLANK(B719:W719)&gt;0,"NA",'batch classification'!J725)</f>
        <v>NA</v>
      </c>
    </row>
    <row r="720" spans="1:24" x14ac:dyDescent="0.25">
      <c r="A720" s="45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11" t="str">
        <f>IF(COUNTBLANK(B720:W720)&gt;0,"NA",'batch classification'!J726)</f>
        <v>NA</v>
      </c>
    </row>
    <row r="721" spans="1:24" x14ac:dyDescent="0.25">
      <c r="A721" s="45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11" t="str">
        <f>IF(COUNTBLANK(B721:W721)&gt;0,"NA",'batch classification'!J727)</f>
        <v>NA</v>
      </c>
    </row>
    <row r="722" spans="1:24" x14ac:dyDescent="0.25">
      <c r="A722" s="45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11" t="str">
        <f>IF(COUNTBLANK(B722:W722)&gt;0,"NA",'batch classification'!J728)</f>
        <v>NA</v>
      </c>
    </row>
    <row r="723" spans="1:24" x14ac:dyDescent="0.25">
      <c r="A723" s="45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11" t="str">
        <f>IF(COUNTBLANK(B723:W723)&gt;0,"NA",'batch classification'!J729)</f>
        <v>NA</v>
      </c>
    </row>
    <row r="724" spans="1:24" x14ac:dyDescent="0.25">
      <c r="A724" s="45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11" t="str">
        <f>IF(COUNTBLANK(B724:W724)&gt;0,"NA",'batch classification'!J730)</f>
        <v>NA</v>
      </c>
    </row>
    <row r="725" spans="1:24" x14ac:dyDescent="0.25">
      <c r="A725" s="45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11" t="str">
        <f>IF(COUNTBLANK(B725:W725)&gt;0,"NA",'batch classification'!J731)</f>
        <v>NA</v>
      </c>
    </row>
    <row r="726" spans="1:24" x14ac:dyDescent="0.25">
      <c r="A726" s="45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11" t="str">
        <f>IF(COUNTBLANK(B726:W726)&gt;0,"NA",'batch classification'!J732)</f>
        <v>NA</v>
      </c>
    </row>
    <row r="727" spans="1:24" x14ac:dyDescent="0.25">
      <c r="A727" s="45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11" t="str">
        <f>IF(COUNTBLANK(B727:W727)&gt;0,"NA",'batch classification'!J733)</f>
        <v>NA</v>
      </c>
    </row>
    <row r="728" spans="1:24" x14ac:dyDescent="0.25">
      <c r="A728" s="45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11" t="str">
        <f>IF(COUNTBLANK(B728:W728)&gt;0,"NA",'batch classification'!J734)</f>
        <v>NA</v>
      </c>
    </row>
    <row r="729" spans="1:24" x14ac:dyDescent="0.25">
      <c r="A729" s="45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11" t="str">
        <f>IF(COUNTBLANK(B729:W729)&gt;0,"NA",'batch classification'!J735)</f>
        <v>NA</v>
      </c>
    </row>
    <row r="730" spans="1:24" x14ac:dyDescent="0.25">
      <c r="A730" s="45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11" t="str">
        <f>IF(COUNTBLANK(B730:W730)&gt;0,"NA",'batch classification'!J736)</f>
        <v>NA</v>
      </c>
    </row>
    <row r="731" spans="1:24" x14ac:dyDescent="0.25">
      <c r="A731" s="45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11" t="str">
        <f>IF(COUNTBLANK(B731:W731)&gt;0,"NA",'batch classification'!J737)</f>
        <v>NA</v>
      </c>
    </row>
    <row r="732" spans="1:24" x14ac:dyDescent="0.25">
      <c r="A732" s="45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11" t="str">
        <f>IF(COUNTBLANK(B732:W732)&gt;0,"NA",'batch classification'!J738)</f>
        <v>NA</v>
      </c>
    </row>
    <row r="733" spans="1:24" x14ac:dyDescent="0.25">
      <c r="A733" s="45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11" t="str">
        <f>IF(COUNTBLANK(B733:W733)&gt;0,"NA",'batch classification'!J739)</f>
        <v>NA</v>
      </c>
    </row>
    <row r="734" spans="1:24" x14ac:dyDescent="0.25">
      <c r="A734" s="45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11" t="str">
        <f>IF(COUNTBLANK(B734:W734)&gt;0,"NA",'batch classification'!J740)</f>
        <v>NA</v>
      </c>
    </row>
    <row r="735" spans="1:24" x14ac:dyDescent="0.25">
      <c r="A735" s="45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11" t="str">
        <f>IF(COUNTBLANK(B735:W735)&gt;0,"NA",'batch classification'!J741)</f>
        <v>NA</v>
      </c>
    </row>
    <row r="736" spans="1:24" x14ac:dyDescent="0.25">
      <c r="A736" s="45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11" t="str">
        <f>IF(COUNTBLANK(B736:W736)&gt;0,"NA",'batch classification'!J742)</f>
        <v>NA</v>
      </c>
    </row>
    <row r="737" spans="1:24" x14ac:dyDescent="0.25">
      <c r="A737" s="45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11" t="str">
        <f>IF(COUNTBLANK(B737:W737)&gt;0,"NA",'batch classification'!J743)</f>
        <v>NA</v>
      </c>
    </row>
    <row r="738" spans="1:24" x14ac:dyDescent="0.25">
      <c r="A738" s="45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11" t="str">
        <f>IF(COUNTBLANK(B738:W738)&gt;0,"NA",'batch classification'!J744)</f>
        <v>NA</v>
      </c>
    </row>
    <row r="739" spans="1:24" x14ac:dyDescent="0.25">
      <c r="A739" s="45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11" t="str">
        <f>IF(COUNTBLANK(B739:W739)&gt;0,"NA",'batch classification'!J745)</f>
        <v>NA</v>
      </c>
    </row>
    <row r="740" spans="1:24" x14ac:dyDescent="0.25">
      <c r="A740" s="45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11" t="str">
        <f>IF(COUNTBLANK(B740:W740)&gt;0,"NA",'batch classification'!J746)</f>
        <v>NA</v>
      </c>
    </row>
    <row r="741" spans="1:24" x14ac:dyDescent="0.25">
      <c r="A741" s="45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11" t="str">
        <f>IF(COUNTBLANK(B741:W741)&gt;0,"NA",'batch classification'!J747)</f>
        <v>NA</v>
      </c>
    </row>
    <row r="742" spans="1:24" x14ac:dyDescent="0.25">
      <c r="A742" s="45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11" t="str">
        <f>IF(COUNTBLANK(B742:W742)&gt;0,"NA",'batch classification'!J748)</f>
        <v>NA</v>
      </c>
    </row>
    <row r="743" spans="1:24" x14ac:dyDescent="0.25">
      <c r="A743" s="45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11" t="str">
        <f>IF(COUNTBLANK(B743:W743)&gt;0,"NA",'batch classification'!J749)</f>
        <v>NA</v>
      </c>
    </row>
    <row r="744" spans="1:24" x14ac:dyDescent="0.25">
      <c r="A744" s="45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11" t="str">
        <f>IF(COUNTBLANK(B744:W744)&gt;0,"NA",'batch classification'!J750)</f>
        <v>NA</v>
      </c>
    </row>
    <row r="745" spans="1:24" x14ac:dyDescent="0.25">
      <c r="A745" s="45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11" t="str">
        <f>IF(COUNTBLANK(B745:W745)&gt;0,"NA",'batch classification'!J751)</f>
        <v>NA</v>
      </c>
    </row>
    <row r="746" spans="1:24" x14ac:dyDescent="0.25">
      <c r="A746" s="45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11" t="str">
        <f>IF(COUNTBLANK(B746:W746)&gt;0,"NA",'batch classification'!J752)</f>
        <v>NA</v>
      </c>
    </row>
    <row r="747" spans="1:24" x14ac:dyDescent="0.25">
      <c r="A747" s="45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11" t="str">
        <f>IF(COUNTBLANK(B747:W747)&gt;0,"NA",'batch classification'!J753)</f>
        <v>NA</v>
      </c>
    </row>
    <row r="748" spans="1:24" x14ac:dyDescent="0.25">
      <c r="A748" s="45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11" t="str">
        <f>IF(COUNTBLANK(B748:W748)&gt;0,"NA",'batch classification'!J754)</f>
        <v>NA</v>
      </c>
    </row>
    <row r="749" spans="1:24" x14ac:dyDescent="0.25">
      <c r="A749" s="45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11" t="str">
        <f>IF(COUNTBLANK(B749:W749)&gt;0,"NA",'batch classification'!J755)</f>
        <v>NA</v>
      </c>
    </row>
    <row r="750" spans="1:24" x14ac:dyDescent="0.25">
      <c r="A750" s="45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11" t="str">
        <f>IF(COUNTBLANK(B750:W750)&gt;0,"NA",'batch classification'!J756)</f>
        <v>NA</v>
      </c>
    </row>
    <row r="751" spans="1:24" x14ac:dyDescent="0.25">
      <c r="A751" s="45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11" t="str">
        <f>IF(COUNTBLANK(B751:W751)&gt;0,"NA",'batch classification'!J757)</f>
        <v>NA</v>
      </c>
    </row>
    <row r="752" spans="1:24" x14ac:dyDescent="0.25">
      <c r="A752" s="45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11" t="str">
        <f>IF(COUNTBLANK(B752:W752)&gt;0,"NA",'batch classification'!J758)</f>
        <v>NA</v>
      </c>
    </row>
    <row r="753" spans="1:24" x14ac:dyDescent="0.25">
      <c r="A753" s="45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11" t="str">
        <f>IF(COUNTBLANK(B753:W753)&gt;0,"NA",'batch classification'!J759)</f>
        <v>NA</v>
      </c>
    </row>
    <row r="754" spans="1:24" x14ac:dyDescent="0.25">
      <c r="A754" s="45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11" t="str">
        <f>IF(COUNTBLANK(B754:W754)&gt;0,"NA",'batch classification'!J760)</f>
        <v>NA</v>
      </c>
    </row>
    <row r="755" spans="1:24" x14ac:dyDescent="0.25">
      <c r="A755" s="45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11" t="str">
        <f>IF(COUNTBLANK(B755:W755)&gt;0,"NA",'batch classification'!J761)</f>
        <v>NA</v>
      </c>
    </row>
    <row r="756" spans="1:24" x14ac:dyDescent="0.25">
      <c r="A756" s="45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11" t="str">
        <f>IF(COUNTBLANK(B756:W756)&gt;0,"NA",'batch classification'!J762)</f>
        <v>NA</v>
      </c>
    </row>
    <row r="757" spans="1:24" x14ac:dyDescent="0.25">
      <c r="A757" s="45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11" t="str">
        <f>IF(COUNTBLANK(B757:W757)&gt;0,"NA",'batch classification'!J763)</f>
        <v>NA</v>
      </c>
    </row>
    <row r="758" spans="1:24" x14ac:dyDescent="0.25">
      <c r="A758" s="45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11" t="str">
        <f>IF(COUNTBLANK(B758:W758)&gt;0,"NA",'batch classification'!J764)</f>
        <v>NA</v>
      </c>
    </row>
    <row r="759" spans="1:24" x14ac:dyDescent="0.25">
      <c r="A759" s="45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11" t="str">
        <f>IF(COUNTBLANK(B759:W759)&gt;0,"NA",'batch classification'!J765)</f>
        <v>NA</v>
      </c>
    </row>
    <row r="760" spans="1:24" x14ac:dyDescent="0.25">
      <c r="A760" s="45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11" t="str">
        <f>IF(COUNTBLANK(B760:W760)&gt;0,"NA",'batch classification'!J766)</f>
        <v>NA</v>
      </c>
    </row>
    <row r="761" spans="1:24" x14ac:dyDescent="0.25">
      <c r="A761" s="45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11" t="str">
        <f>IF(COUNTBLANK(B761:W761)&gt;0,"NA",'batch classification'!J767)</f>
        <v>NA</v>
      </c>
    </row>
    <row r="762" spans="1:24" x14ac:dyDescent="0.25">
      <c r="A762" s="45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11" t="str">
        <f>IF(COUNTBLANK(B762:W762)&gt;0,"NA",'batch classification'!J768)</f>
        <v>NA</v>
      </c>
    </row>
    <row r="763" spans="1:24" x14ac:dyDescent="0.25">
      <c r="A763" s="45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11" t="str">
        <f>IF(COUNTBLANK(B763:W763)&gt;0,"NA",'batch classification'!J769)</f>
        <v>NA</v>
      </c>
    </row>
    <row r="764" spans="1:24" x14ac:dyDescent="0.25">
      <c r="A764" s="45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11" t="str">
        <f>IF(COUNTBLANK(B764:W764)&gt;0,"NA",'batch classification'!J770)</f>
        <v>NA</v>
      </c>
    </row>
    <row r="765" spans="1:24" x14ac:dyDescent="0.25">
      <c r="A765" s="45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11" t="str">
        <f>IF(COUNTBLANK(B765:W765)&gt;0,"NA",'batch classification'!J771)</f>
        <v>NA</v>
      </c>
    </row>
    <row r="766" spans="1:24" x14ac:dyDescent="0.25">
      <c r="A766" s="45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11" t="str">
        <f>IF(COUNTBLANK(B766:W766)&gt;0,"NA",'batch classification'!J772)</f>
        <v>NA</v>
      </c>
    </row>
    <row r="767" spans="1:24" x14ac:dyDescent="0.25">
      <c r="A767" s="45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11" t="str">
        <f>IF(COUNTBLANK(B767:W767)&gt;0,"NA",'batch classification'!J773)</f>
        <v>NA</v>
      </c>
    </row>
    <row r="768" spans="1:24" x14ac:dyDescent="0.25">
      <c r="A768" s="45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11" t="str">
        <f>IF(COUNTBLANK(B768:W768)&gt;0,"NA",'batch classification'!J774)</f>
        <v>NA</v>
      </c>
    </row>
    <row r="769" spans="1:24" x14ac:dyDescent="0.25">
      <c r="A769" s="45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11" t="str">
        <f>IF(COUNTBLANK(B769:W769)&gt;0,"NA",'batch classification'!J775)</f>
        <v>NA</v>
      </c>
    </row>
    <row r="770" spans="1:24" x14ac:dyDescent="0.25">
      <c r="A770" s="45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11" t="str">
        <f>IF(COUNTBLANK(B770:W770)&gt;0,"NA",'batch classification'!J776)</f>
        <v>NA</v>
      </c>
    </row>
    <row r="771" spans="1:24" x14ac:dyDescent="0.25">
      <c r="A771" s="45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11" t="str">
        <f>IF(COUNTBLANK(B771:W771)&gt;0,"NA",'batch classification'!J777)</f>
        <v>NA</v>
      </c>
    </row>
    <row r="772" spans="1:24" x14ac:dyDescent="0.25">
      <c r="A772" s="45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11" t="str">
        <f>IF(COUNTBLANK(B772:W772)&gt;0,"NA",'batch classification'!J778)</f>
        <v>NA</v>
      </c>
    </row>
    <row r="773" spans="1:24" x14ac:dyDescent="0.25">
      <c r="A773" s="45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11" t="str">
        <f>IF(COUNTBLANK(B773:W773)&gt;0,"NA",'batch classification'!J779)</f>
        <v>NA</v>
      </c>
    </row>
    <row r="774" spans="1:24" x14ac:dyDescent="0.25">
      <c r="A774" s="45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11" t="str">
        <f>IF(COUNTBLANK(B774:W774)&gt;0,"NA",'batch classification'!J780)</f>
        <v>NA</v>
      </c>
    </row>
    <row r="775" spans="1:24" x14ac:dyDescent="0.25">
      <c r="A775" s="45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11" t="str">
        <f>IF(COUNTBLANK(B775:W775)&gt;0,"NA",'batch classification'!J781)</f>
        <v>NA</v>
      </c>
    </row>
    <row r="776" spans="1:24" x14ac:dyDescent="0.25">
      <c r="A776" s="45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11" t="str">
        <f>IF(COUNTBLANK(B776:W776)&gt;0,"NA",'batch classification'!J782)</f>
        <v>NA</v>
      </c>
    </row>
    <row r="777" spans="1:24" x14ac:dyDescent="0.25">
      <c r="A777" s="45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11" t="str">
        <f>IF(COUNTBLANK(B777:W777)&gt;0,"NA",'batch classification'!J783)</f>
        <v>NA</v>
      </c>
    </row>
    <row r="778" spans="1:24" x14ac:dyDescent="0.25">
      <c r="A778" s="45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11" t="str">
        <f>IF(COUNTBLANK(B778:W778)&gt;0,"NA",'batch classification'!J784)</f>
        <v>NA</v>
      </c>
    </row>
    <row r="779" spans="1:24" x14ac:dyDescent="0.25">
      <c r="A779" s="45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11" t="str">
        <f>IF(COUNTBLANK(B779:W779)&gt;0,"NA",'batch classification'!J785)</f>
        <v>NA</v>
      </c>
    </row>
    <row r="780" spans="1:24" x14ac:dyDescent="0.25">
      <c r="A780" s="45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11" t="str">
        <f>IF(COUNTBLANK(B780:W780)&gt;0,"NA",'batch classification'!J786)</f>
        <v>NA</v>
      </c>
    </row>
    <row r="781" spans="1:24" x14ac:dyDescent="0.25">
      <c r="A781" s="45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11" t="str">
        <f>IF(COUNTBLANK(B781:W781)&gt;0,"NA",'batch classification'!J787)</f>
        <v>NA</v>
      </c>
    </row>
    <row r="782" spans="1:24" x14ac:dyDescent="0.25">
      <c r="A782" s="45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11" t="str">
        <f>IF(COUNTBLANK(B782:W782)&gt;0,"NA",'batch classification'!J788)</f>
        <v>NA</v>
      </c>
    </row>
    <row r="783" spans="1:24" x14ac:dyDescent="0.25">
      <c r="A783" s="45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11" t="str">
        <f>IF(COUNTBLANK(B783:W783)&gt;0,"NA",'batch classification'!J789)</f>
        <v>NA</v>
      </c>
    </row>
    <row r="784" spans="1:24" x14ac:dyDescent="0.25">
      <c r="A784" s="45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11" t="str">
        <f>IF(COUNTBLANK(B784:W784)&gt;0,"NA",'batch classification'!J790)</f>
        <v>NA</v>
      </c>
    </row>
    <row r="785" spans="1:24" x14ac:dyDescent="0.25">
      <c r="A785" s="45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11" t="str">
        <f>IF(COUNTBLANK(B785:W785)&gt;0,"NA",'batch classification'!J791)</f>
        <v>NA</v>
      </c>
    </row>
    <row r="786" spans="1:24" x14ac:dyDescent="0.25">
      <c r="A786" s="45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11" t="str">
        <f>IF(COUNTBLANK(B786:W786)&gt;0,"NA",'batch classification'!J792)</f>
        <v>NA</v>
      </c>
    </row>
    <row r="787" spans="1:24" x14ac:dyDescent="0.25">
      <c r="A787" s="45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11" t="str">
        <f>IF(COUNTBLANK(B787:W787)&gt;0,"NA",'batch classification'!J793)</f>
        <v>NA</v>
      </c>
    </row>
    <row r="788" spans="1:24" x14ac:dyDescent="0.25">
      <c r="A788" s="45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11" t="str">
        <f>IF(COUNTBLANK(B788:W788)&gt;0,"NA",'batch classification'!J794)</f>
        <v>NA</v>
      </c>
    </row>
    <row r="789" spans="1:24" x14ac:dyDescent="0.25">
      <c r="A789" s="45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11" t="str">
        <f>IF(COUNTBLANK(B789:W789)&gt;0,"NA",'batch classification'!J795)</f>
        <v>NA</v>
      </c>
    </row>
    <row r="790" spans="1:24" x14ac:dyDescent="0.25">
      <c r="A790" s="45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11" t="str">
        <f>IF(COUNTBLANK(B790:W790)&gt;0,"NA",'batch classification'!J796)</f>
        <v>NA</v>
      </c>
    </row>
    <row r="791" spans="1:24" x14ac:dyDescent="0.25">
      <c r="A791" s="45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11" t="str">
        <f>IF(COUNTBLANK(B791:W791)&gt;0,"NA",'batch classification'!J797)</f>
        <v>NA</v>
      </c>
    </row>
    <row r="792" spans="1:24" x14ac:dyDescent="0.25">
      <c r="A792" s="45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11" t="str">
        <f>IF(COUNTBLANK(B792:W792)&gt;0,"NA",'batch classification'!J798)</f>
        <v>NA</v>
      </c>
    </row>
    <row r="793" spans="1:24" x14ac:dyDescent="0.25">
      <c r="A793" s="45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11" t="str">
        <f>IF(COUNTBLANK(B793:W793)&gt;0,"NA",'batch classification'!J799)</f>
        <v>NA</v>
      </c>
    </row>
    <row r="794" spans="1:24" x14ac:dyDescent="0.25">
      <c r="A794" s="45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11" t="str">
        <f>IF(COUNTBLANK(B794:W794)&gt;0,"NA",'batch classification'!J800)</f>
        <v>NA</v>
      </c>
    </row>
    <row r="795" spans="1:24" x14ac:dyDescent="0.25">
      <c r="A795" s="45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11" t="str">
        <f>IF(COUNTBLANK(B795:W795)&gt;0,"NA",'batch classification'!J801)</f>
        <v>NA</v>
      </c>
    </row>
    <row r="796" spans="1:24" x14ac:dyDescent="0.25">
      <c r="A796" s="45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11" t="str">
        <f>IF(COUNTBLANK(B796:W796)&gt;0,"NA",'batch classification'!J802)</f>
        <v>NA</v>
      </c>
    </row>
    <row r="797" spans="1:24" x14ac:dyDescent="0.25">
      <c r="A797" s="45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11" t="str">
        <f>IF(COUNTBLANK(B797:W797)&gt;0,"NA",'batch classification'!J803)</f>
        <v>NA</v>
      </c>
    </row>
    <row r="798" spans="1:24" x14ac:dyDescent="0.25">
      <c r="A798" s="45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11" t="str">
        <f>IF(COUNTBLANK(B798:W798)&gt;0,"NA",'batch classification'!J804)</f>
        <v>NA</v>
      </c>
    </row>
    <row r="799" spans="1:24" x14ac:dyDescent="0.25">
      <c r="A799" s="45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11" t="str">
        <f>IF(COUNTBLANK(B799:W799)&gt;0,"NA",'batch classification'!J805)</f>
        <v>NA</v>
      </c>
    </row>
    <row r="800" spans="1:24" x14ac:dyDescent="0.25">
      <c r="A800" s="45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11" t="str">
        <f>IF(COUNTBLANK(B800:W800)&gt;0,"NA",'batch classification'!J806)</f>
        <v>NA</v>
      </c>
    </row>
    <row r="801" spans="1:24" x14ac:dyDescent="0.25">
      <c r="A801" s="45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11" t="str">
        <f>IF(COUNTBLANK(B801:W801)&gt;0,"NA",'batch classification'!J807)</f>
        <v>NA</v>
      </c>
    </row>
    <row r="802" spans="1:24" x14ac:dyDescent="0.25">
      <c r="A802" s="45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11" t="str">
        <f>IF(COUNTBLANK(B802:W802)&gt;0,"NA",'batch classification'!J808)</f>
        <v>NA</v>
      </c>
    </row>
    <row r="803" spans="1:24" x14ac:dyDescent="0.25">
      <c r="A803" s="45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11" t="str">
        <f>IF(COUNTBLANK(B803:W803)&gt;0,"NA",'batch classification'!J809)</f>
        <v>NA</v>
      </c>
    </row>
    <row r="804" spans="1:24" x14ac:dyDescent="0.25">
      <c r="A804" s="45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11" t="str">
        <f>IF(COUNTBLANK(B804:W804)&gt;0,"NA",'batch classification'!J810)</f>
        <v>NA</v>
      </c>
    </row>
    <row r="805" spans="1:24" x14ac:dyDescent="0.25">
      <c r="A805" s="45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11" t="str">
        <f>IF(COUNTBLANK(B805:W805)&gt;0,"NA",'batch classification'!J811)</f>
        <v>NA</v>
      </c>
    </row>
    <row r="806" spans="1:24" x14ac:dyDescent="0.25">
      <c r="A806" s="45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11" t="str">
        <f>IF(COUNTBLANK(B806:W806)&gt;0,"NA",'batch classification'!J812)</f>
        <v>NA</v>
      </c>
    </row>
    <row r="807" spans="1:24" x14ac:dyDescent="0.25">
      <c r="A807" s="45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11" t="str">
        <f>IF(COUNTBLANK(B807:W807)&gt;0,"NA",'batch classification'!J813)</f>
        <v>NA</v>
      </c>
    </row>
    <row r="808" spans="1:24" x14ac:dyDescent="0.25">
      <c r="A808" s="45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11" t="str">
        <f>IF(COUNTBLANK(B808:W808)&gt;0,"NA",'batch classification'!J814)</f>
        <v>NA</v>
      </c>
    </row>
    <row r="809" spans="1:24" x14ac:dyDescent="0.25">
      <c r="A809" s="45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11" t="str">
        <f>IF(COUNTBLANK(B809:W809)&gt;0,"NA",'batch classification'!J815)</f>
        <v>NA</v>
      </c>
    </row>
    <row r="810" spans="1:24" x14ac:dyDescent="0.25">
      <c r="A810" s="45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11" t="str">
        <f>IF(COUNTBLANK(B810:W810)&gt;0,"NA",'batch classification'!J816)</f>
        <v>NA</v>
      </c>
    </row>
    <row r="811" spans="1:24" x14ac:dyDescent="0.25">
      <c r="A811" s="45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11" t="str">
        <f>IF(COUNTBLANK(B811:W811)&gt;0,"NA",'batch classification'!J817)</f>
        <v>NA</v>
      </c>
    </row>
    <row r="812" spans="1:24" x14ac:dyDescent="0.25">
      <c r="A812" s="45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11" t="str">
        <f>IF(COUNTBLANK(B812:W812)&gt;0,"NA",'batch classification'!J818)</f>
        <v>NA</v>
      </c>
    </row>
    <row r="813" spans="1:24" x14ac:dyDescent="0.25">
      <c r="A813" s="45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11" t="str">
        <f>IF(COUNTBLANK(B813:W813)&gt;0,"NA",'batch classification'!J819)</f>
        <v>NA</v>
      </c>
    </row>
    <row r="814" spans="1:24" x14ac:dyDescent="0.25">
      <c r="A814" s="45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11" t="str">
        <f>IF(COUNTBLANK(B814:W814)&gt;0,"NA",'batch classification'!J820)</f>
        <v>NA</v>
      </c>
    </row>
    <row r="815" spans="1:24" x14ac:dyDescent="0.25">
      <c r="A815" s="45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11" t="str">
        <f>IF(COUNTBLANK(B815:W815)&gt;0,"NA",'batch classification'!J821)</f>
        <v>NA</v>
      </c>
    </row>
    <row r="816" spans="1:24" x14ac:dyDescent="0.25">
      <c r="A816" s="45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11" t="str">
        <f>IF(COUNTBLANK(B816:W816)&gt;0,"NA",'batch classification'!J822)</f>
        <v>NA</v>
      </c>
    </row>
    <row r="817" spans="1:24" x14ac:dyDescent="0.25">
      <c r="A817" s="45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11" t="str">
        <f>IF(COUNTBLANK(B817:W817)&gt;0,"NA",'batch classification'!J823)</f>
        <v>NA</v>
      </c>
    </row>
    <row r="818" spans="1:24" x14ac:dyDescent="0.25">
      <c r="A818" s="45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11" t="str">
        <f>IF(COUNTBLANK(B818:W818)&gt;0,"NA",'batch classification'!J824)</f>
        <v>NA</v>
      </c>
    </row>
    <row r="819" spans="1:24" x14ac:dyDescent="0.25">
      <c r="A819" s="45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11" t="str">
        <f>IF(COUNTBLANK(B819:W819)&gt;0,"NA",'batch classification'!J825)</f>
        <v>NA</v>
      </c>
    </row>
    <row r="820" spans="1:24" x14ac:dyDescent="0.25">
      <c r="A820" s="45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11" t="str">
        <f>IF(COUNTBLANK(B820:W820)&gt;0,"NA",'batch classification'!J826)</f>
        <v>NA</v>
      </c>
    </row>
    <row r="821" spans="1:24" x14ac:dyDescent="0.25">
      <c r="A821" s="45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11" t="str">
        <f>IF(COUNTBLANK(B821:W821)&gt;0,"NA",'batch classification'!J827)</f>
        <v>NA</v>
      </c>
    </row>
    <row r="822" spans="1:24" x14ac:dyDescent="0.25">
      <c r="A822" s="45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11" t="str">
        <f>IF(COUNTBLANK(B822:W822)&gt;0,"NA",'batch classification'!J828)</f>
        <v>NA</v>
      </c>
    </row>
    <row r="823" spans="1:24" x14ac:dyDescent="0.25">
      <c r="A823" s="45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11" t="str">
        <f>IF(COUNTBLANK(B823:W823)&gt;0,"NA",'batch classification'!J829)</f>
        <v>NA</v>
      </c>
    </row>
    <row r="824" spans="1:24" x14ac:dyDescent="0.25">
      <c r="A824" s="45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11" t="str">
        <f>IF(COUNTBLANK(B824:W824)&gt;0,"NA",'batch classification'!J830)</f>
        <v>NA</v>
      </c>
    </row>
    <row r="825" spans="1:24" x14ac:dyDescent="0.25">
      <c r="A825" s="45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11" t="str">
        <f>IF(COUNTBLANK(B825:W825)&gt;0,"NA",'batch classification'!J831)</f>
        <v>NA</v>
      </c>
    </row>
    <row r="826" spans="1:24" x14ac:dyDescent="0.25">
      <c r="A826" s="45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11" t="str">
        <f>IF(COUNTBLANK(B826:W826)&gt;0,"NA",'batch classification'!J832)</f>
        <v>NA</v>
      </c>
    </row>
    <row r="827" spans="1:24" x14ac:dyDescent="0.25">
      <c r="A827" s="45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11" t="str">
        <f>IF(COUNTBLANK(B827:W827)&gt;0,"NA",'batch classification'!J833)</f>
        <v>NA</v>
      </c>
    </row>
    <row r="828" spans="1:24" x14ac:dyDescent="0.25">
      <c r="A828" s="45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11" t="str">
        <f>IF(COUNTBLANK(B828:W828)&gt;0,"NA",'batch classification'!J834)</f>
        <v>NA</v>
      </c>
    </row>
    <row r="829" spans="1:24" x14ac:dyDescent="0.25">
      <c r="A829" s="45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11" t="str">
        <f>IF(COUNTBLANK(B829:W829)&gt;0,"NA",'batch classification'!J835)</f>
        <v>NA</v>
      </c>
    </row>
    <row r="830" spans="1:24" x14ac:dyDescent="0.25">
      <c r="A830" s="45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11" t="str">
        <f>IF(COUNTBLANK(B830:W830)&gt;0,"NA",'batch classification'!J836)</f>
        <v>NA</v>
      </c>
    </row>
    <row r="831" spans="1:24" x14ac:dyDescent="0.25">
      <c r="A831" s="45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11" t="str">
        <f>IF(COUNTBLANK(B831:W831)&gt;0,"NA",'batch classification'!J837)</f>
        <v>NA</v>
      </c>
    </row>
    <row r="832" spans="1:24" x14ac:dyDescent="0.25">
      <c r="A832" s="45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11" t="str">
        <f>IF(COUNTBLANK(B832:W832)&gt;0,"NA",'batch classification'!J838)</f>
        <v>NA</v>
      </c>
    </row>
    <row r="833" spans="1:24" x14ac:dyDescent="0.25">
      <c r="A833" s="45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11" t="str">
        <f>IF(COUNTBLANK(B833:W833)&gt;0,"NA",'batch classification'!J839)</f>
        <v>NA</v>
      </c>
    </row>
    <row r="834" spans="1:24" x14ac:dyDescent="0.25">
      <c r="A834" s="45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11" t="str">
        <f>IF(COUNTBLANK(B834:W834)&gt;0,"NA",'batch classification'!J840)</f>
        <v>NA</v>
      </c>
    </row>
    <row r="835" spans="1:24" x14ac:dyDescent="0.25">
      <c r="A835" s="45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11" t="str">
        <f>IF(COUNTBLANK(B835:W835)&gt;0,"NA",'batch classification'!J841)</f>
        <v>NA</v>
      </c>
    </row>
    <row r="836" spans="1:24" x14ac:dyDescent="0.25">
      <c r="A836" s="45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11" t="str">
        <f>IF(COUNTBLANK(B836:W836)&gt;0,"NA",'batch classification'!J842)</f>
        <v>NA</v>
      </c>
    </row>
    <row r="837" spans="1:24" x14ac:dyDescent="0.25">
      <c r="A837" s="45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11" t="str">
        <f>IF(COUNTBLANK(B837:W837)&gt;0,"NA",'batch classification'!J843)</f>
        <v>NA</v>
      </c>
    </row>
    <row r="838" spans="1:24" x14ac:dyDescent="0.25">
      <c r="A838" s="45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11" t="str">
        <f>IF(COUNTBLANK(B838:W838)&gt;0,"NA",'batch classification'!J844)</f>
        <v>NA</v>
      </c>
    </row>
    <row r="839" spans="1:24" x14ac:dyDescent="0.25">
      <c r="A839" s="45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11" t="str">
        <f>IF(COUNTBLANK(B839:W839)&gt;0,"NA",'batch classification'!J845)</f>
        <v>NA</v>
      </c>
    </row>
    <row r="840" spans="1:24" x14ac:dyDescent="0.25">
      <c r="A840" s="45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11" t="str">
        <f>IF(COUNTBLANK(B840:W840)&gt;0,"NA",'batch classification'!J846)</f>
        <v>NA</v>
      </c>
    </row>
    <row r="841" spans="1:24" x14ac:dyDescent="0.25">
      <c r="A841" s="45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11" t="str">
        <f>IF(COUNTBLANK(B841:W841)&gt;0,"NA",'batch classification'!J847)</f>
        <v>NA</v>
      </c>
    </row>
    <row r="842" spans="1:24" x14ac:dyDescent="0.25">
      <c r="A842" s="45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11" t="str">
        <f>IF(COUNTBLANK(B842:W842)&gt;0,"NA",'batch classification'!J848)</f>
        <v>NA</v>
      </c>
    </row>
    <row r="843" spans="1:24" x14ac:dyDescent="0.25">
      <c r="A843" s="45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11" t="str">
        <f>IF(COUNTBLANK(B843:W843)&gt;0,"NA",'batch classification'!J849)</f>
        <v>NA</v>
      </c>
    </row>
    <row r="844" spans="1:24" x14ac:dyDescent="0.25">
      <c r="A844" s="45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11" t="str">
        <f>IF(COUNTBLANK(B844:W844)&gt;0,"NA",'batch classification'!J850)</f>
        <v>NA</v>
      </c>
    </row>
    <row r="845" spans="1:24" x14ac:dyDescent="0.25">
      <c r="A845" s="45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11" t="str">
        <f>IF(COUNTBLANK(B845:W845)&gt;0,"NA",'batch classification'!J851)</f>
        <v>NA</v>
      </c>
    </row>
    <row r="846" spans="1:24" x14ac:dyDescent="0.25">
      <c r="A846" s="45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11" t="str">
        <f>IF(COUNTBLANK(B846:W846)&gt;0,"NA",'batch classification'!J852)</f>
        <v>NA</v>
      </c>
    </row>
    <row r="847" spans="1:24" x14ac:dyDescent="0.25">
      <c r="A847" s="45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11" t="str">
        <f>IF(COUNTBLANK(B847:W847)&gt;0,"NA",'batch classification'!J853)</f>
        <v>NA</v>
      </c>
    </row>
    <row r="848" spans="1:24" x14ac:dyDescent="0.25">
      <c r="A848" s="45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11" t="str">
        <f>IF(COUNTBLANK(B848:W848)&gt;0,"NA",'batch classification'!J854)</f>
        <v>NA</v>
      </c>
    </row>
    <row r="849" spans="1:24" x14ac:dyDescent="0.25">
      <c r="A849" s="45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11" t="str">
        <f>IF(COUNTBLANK(B849:W849)&gt;0,"NA",'batch classification'!J855)</f>
        <v>NA</v>
      </c>
    </row>
    <row r="850" spans="1:24" x14ac:dyDescent="0.25">
      <c r="A850" s="45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11" t="str">
        <f>IF(COUNTBLANK(B850:W850)&gt;0,"NA",'batch classification'!J856)</f>
        <v>NA</v>
      </c>
    </row>
    <row r="851" spans="1:24" x14ac:dyDescent="0.25">
      <c r="A851" s="45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11" t="str">
        <f>IF(COUNTBLANK(B851:W851)&gt;0,"NA",'batch classification'!J857)</f>
        <v>NA</v>
      </c>
    </row>
    <row r="852" spans="1:24" x14ac:dyDescent="0.25">
      <c r="A852" s="45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11" t="str">
        <f>IF(COUNTBLANK(B852:W852)&gt;0,"NA",'batch classification'!J858)</f>
        <v>NA</v>
      </c>
    </row>
    <row r="853" spans="1:24" x14ac:dyDescent="0.25">
      <c r="A853" s="45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11" t="str">
        <f>IF(COUNTBLANK(B853:W853)&gt;0,"NA",'batch classification'!J859)</f>
        <v>NA</v>
      </c>
    </row>
    <row r="854" spans="1:24" x14ac:dyDescent="0.25">
      <c r="A854" s="45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11" t="str">
        <f>IF(COUNTBLANK(B854:W854)&gt;0,"NA",'batch classification'!J860)</f>
        <v>NA</v>
      </c>
    </row>
    <row r="855" spans="1:24" x14ac:dyDescent="0.25">
      <c r="A855" s="45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11" t="str">
        <f>IF(COUNTBLANK(B855:W855)&gt;0,"NA",'batch classification'!J861)</f>
        <v>NA</v>
      </c>
    </row>
    <row r="856" spans="1:24" x14ac:dyDescent="0.25">
      <c r="A856" s="45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11" t="str">
        <f>IF(COUNTBLANK(B856:W856)&gt;0,"NA",'batch classification'!J862)</f>
        <v>NA</v>
      </c>
    </row>
    <row r="857" spans="1:24" x14ac:dyDescent="0.25">
      <c r="A857" s="45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11" t="str">
        <f>IF(COUNTBLANK(B857:W857)&gt;0,"NA",'batch classification'!J863)</f>
        <v>NA</v>
      </c>
    </row>
    <row r="858" spans="1:24" x14ac:dyDescent="0.25">
      <c r="A858" s="45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11" t="str">
        <f>IF(COUNTBLANK(B858:W858)&gt;0,"NA",'batch classification'!J864)</f>
        <v>NA</v>
      </c>
    </row>
    <row r="859" spans="1:24" x14ac:dyDescent="0.25">
      <c r="A859" s="45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11" t="str">
        <f>IF(COUNTBLANK(B859:W859)&gt;0,"NA",'batch classification'!J865)</f>
        <v>NA</v>
      </c>
    </row>
    <row r="860" spans="1:24" x14ac:dyDescent="0.25">
      <c r="A860" s="45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11" t="str">
        <f>IF(COUNTBLANK(B860:W860)&gt;0,"NA",'batch classification'!J866)</f>
        <v>NA</v>
      </c>
    </row>
    <row r="861" spans="1:24" x14ac:dyDescent="0.25">
      <c r="A861" s="45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11" t="str">
        <f>IF(COUNTBLANK(B861:W861)&gt;0,"NA",'batch classification'!J867)</f>
        <v>NA</v>
      </c>
    </row>
    <row r="862" spans="1:24" x14ac:dyDescent="0.25">
      <c r="A862" s="45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11" t="str">
        <f>IF(COUNTBLANK(B862:W862)&gt;0,"NA",'batch classification'!J868)</f>
        <v>NA</v>
      </c>
    </row>
    <row r="863" spans="1:24" x14ac:dyDescent="0.25">
      <c r="A863" s="45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11" t="str">
        <f>IF(COUNTBLANK(B863:W863)&gt;0,"NA",'batch classification'!J869)</f>
        <v>NA</v>
      </c>
    </row>
    <row r="864" spans="1:24" x14ac:dyDescent="0.25">
      <c r="A864" s="45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11" t="str">
        <f>IF(COUNTBLANK(B864:W864)&gt;0,"NA",'batch classification'!J870)</f>
        <v>NA</v>
      </c>
    </row>
    <row r="865" spans="1:24" x14ac:dyDescent="0.25">
      <c r="A865" s="45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11" t="str">
        <f>IF(COUNTBLANK(B865:W865)&gt;0,"NA",'batch classification'!J871)</f>
        <v>NA</v>
      </c>
    </row>
    <row r="866" spans="1:24" x14ac:dyDescent="0.25">
      <c r="A866" s="45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11" t="str">
        <f>IF(COUNTBLANK(B866:W866)&gt;0,"NA",'batch classification'!J872)</f>
        <v>NA</v>
      </c>
    </row>
    <row r="867" spans="1:24" x14ac:dyDescent="0.25">
      <c r="A867" s="45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11" t="str">
        <f>IF(COUNTBLANK(B867:W867)&gt;0,"NA",'batch classification'!J873)</f>
        <v>NA</v>
      </c>
    </row>
    <row r="868" spans="1:24" x14ac:dyDescent="0.25">
      <c r="A868" s="45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11" t="str">
        <f>IF(COUNTBLANK(B868:W868)&gt;0,"NA",'batch classification'!J874)</f>
        <v>NA</v>
      </c>
    </row>
    <row r="869" spans="1:24" x14ac:dyDescent="0.25">
      <c r="A869" s="45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11" t="str">
        <f>IF(COUNTBLANK(B869:W869)&gt;0,"NA",'batch classification'!J875)</f>
        <v>NA</v>
      </c>
    </row>
    <row r="870" spans="1:24" x14ac:dyDescent="0.25">
      <c r="A870" s="45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11" t="str">
        <f>IF(COUNTBLANK(B870:W870)&gt;0,"NA",'batch classification'!J876)</f>
        <v>NA</v>
      </c>
    </row>
    <row r="871" spans="1:24" x14ac:dyDescent="0.25">
      <c r="A871" s="45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11" t="str">
        <f>IF(COUNTBLANK(B871:W871)&gt;0,"NA",'batch classification'!J877)</f>
        <v>NA</v>
      </c>
    </row>
    <row r="872" spans="1:24" x14ac:dyDescent="0.25">
      <c r="A872" s="45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11" t="str">
        <f>IF(COUNTBLANK(B872:W872)&gt;0,"NA",'batch classification'!J878)</f>
        <v>NA</v>
      </c>
    </row>
    <row r="873" spans="1:24" x14ac:dyDescent="0.25">
      <c r="A873" s="45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11" t="str">
        <f>IF(COUNTBLANK(B873:W873)&gt;0,"NA",'batch classification'!J879)</f>
        <v>NA</v>
      </c>
    </row>
    <row r="874" spans="1:24" x14ac:dyDescent="0.25">
      <c r="A874" s="45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11" t="str">
        <f>IF(COUNTBLANK(B874:W874)&gt;0,"NA",'batch classification'!J880)</f>
        <v>NA</v>
      </c>
    </row>
    <row r="875" spans="1:24" x14ac:dyDescent="0.25">
      <c r="A875" s="45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11" t="str">
        <f>IF(COUNTBLANK(B875:W875)&gt;0,"NA",'batch classification'!J881)</f>
        <v>NA</v>
      </c>
    </row>
    <row r="876" spans="1:24" x14ac:dyDescent="0.25">
      <c r="A876" s="45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11" t="str">
        <f>IF(COUNTBLANK(B876:W876)&gt;0,"NA",'batch classification'!J882)</f>
        <v>NA</v>
      </c>
    </row>
    <row r="877" spans="1:24" x14ac:dyDescent="0.25">
      <c r="A877" s="45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11" t="str">
        <f>IF(COUNTBLANK(B877:W877)&gt;0,"NA",'batch classification'!J883)</f>
        <v>NA</v>
      </c>
    </row>
    <row r="878" spans="1:24" x14ac:dyDescent="0.25">
      <c r="A878" s="45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11" t="str">
        <f>IF(COUNTBLANK(B878:W878)&gt;0,"NA",'batch classification'!J884)</f>
        <v>NA</v>
      </c>
    </row>
    <row r="879" spans="1:24" x14ac:dyDescent="0.25">
      <c r="A879" s="45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11" t="str">
        <f>IF(COUNTBLANK(B879:W879)&gt;0,"NA",'batch classification'!J885)</f>
        <v>NA</v>
      </c>
    </row>
    <row r="880" spans="1:24" x14ac:dyDescent="0.25">
      <c r="A880" s="45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11" t="str">
        <f>IF(COUNTBLANK(B880:W880)&gt;0,"NA",'batch classification'!J886)</f>
        <v>NA</v>
      </c>
    </row>
    <row r="881" spans="1:24" x14ac:dyDescent="0.25">
      <c r="A881" s="45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11" t="str">
        <f>IF(COUNTBLANK(B881:W881)&gt;0,"NA",'batch classification'!J887)</f>
        <v>NA</v>
      </c>
    </row>
    <row r="882" spans="1:24" x14ac:dyDescent="0.25">
      <c r="A882" s="45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11" t="str">
        <f>IF(COUNTBLANK(B882:W882)&gt;0,"NA",'batch classification'!J888)</f>
        <v>NA</v>
      </c>
    </row>
    <row r="883" spans="1:24" x14ac:dyDescent="0.25">
      <c r="A883" s="45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11" t="str">
        <f>IF(COUNTBLANK(B883:W883)&gt;0,"NA",'batch classification'!J889)</f>
        <v>NA</v>
      </c>
    </row>
    <row r="884" spans="1:24" x14ac:dyDescent="0.25">
      <c r="A884" s="45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11" t="str">
        <f>IF(COUNTBLANK(B884:W884)&gt;0,"NA",'batch classification'!J890)</f>
        <v>NA</v>
      </c>
    </row>
    <row r="885" spans="1:24" x14ac:dyDescent="0.25">
      <c r="A885" s="45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11" t="str">
        <f>IF(COUNTBLANK(B885:W885)&gt;0,"NA",'batch classification'!J891)</f>
        <v>NA</v>
      </c>
    </row>
    <row r="886" spans="1:24" x14ac:dyDescent="0.25">
      <c r="A886" s="45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11" t="str">
        <f>IF(COUNTBLANK(B886:W886)&gt;0,"NA",'batch classification'!J892)</f>
        <v>NA</v>
      </c>
    </row>
    <row r="887" spans="1:24" x14ac:dyDescent="0.25">
      <c r="A887" s="45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11" t="str">
        <f>IF(COUNTBLANK(B887:W887)&gt;0,"NA",'batch classification'!J893)</f>
        <v>NA</v>
      </c>
    </row>
    <row r="888" spans="1:24" x14ac:dyDescent="0.25">
      <c r="A888" s="45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11" t="str">
        <f>IF(COUNTBLANK(B888:W888)&gt;0,"NA",'batch classification'!J894)</f>
        <v>NA</v>
      </c>
    </row>
    <row r="889" spans="1:24" x14ac:dyDescent="0.25">
      <c r="A889" s="45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11" t="str">
        <f>IF(COUNTBLANK(B889:W889)&gt;0,"NA",'batch classification'!J895)</f>
        <v>NA</v>
      </c>
    </row>
    <row r="890" spans="1:24" x14ac:dyDescent="0.25">
      <c r="A890" s="45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11" t="str">
        <f>IF(COUNTBLANK(B890:W890)&gt;0,"NA",'batch classification'!J896)</f>
        <v>NA</v>
      </c>
    </row>
    <row r="891" spans="1:24" x14ac:dyDescent="0.25">
      <c r="A891" s="45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11" t="str">
        <f>IF(COUNTBLANK(B891:W891)&gt;0,"NA",'batch classification'!J897)</f>
        <v>NA</v>
      </c>
    </row>
    <row r="892" spans="1:24" x14ac:dyDescent="0.25">
      <c r="A892" s="45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11" t="str">
        <f>IF(COUNTBLANK(B892:W892)&gt;0,"NA",'batch classification'!J898)</f>
        <v>NA</v>
      </c>
    </row>
    <row r="893" spans="1:24" x14ac:dyDescent="0.25">
      <c r="A893" s="45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11" t="str">
        <f>IF(COUNTBLANK(B893:W893)&gt;0,"NA",'batch classification'!J899)</f>
        <v>NA</v>
      </c>
    </row>
    <row r="894" spans="1:24" x14ac:dyDescent="0.25">
      <c r="A894" s="45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11" t="str">
        <f>IF(COUNTBLANK(B894:W894)&gt;0,"NA",'batch classification'!J900)</f>
        <v>NA</v>
      </c>
    </row>
    <row r="895" spans="1:24" x14ac:dyDescent="0.25">
      <c r="A895" s="45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11" t="str">
        <f>IF(COUNTBLANK(B895:W895)&gt;0,"NA",'batch classification'!J901)</f>
        <v>NA</v>
      </c>
    </row>
    <row r="896" spans="1:24" x14ac:dyDescent="0.25">
      <c r="A896" s="45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11" t="str">
        <f>IF(COUNTBLANK(B896:W896)&gt;0,"NA",'batch classification'!J902)</f>
        <v>NA</v>
      </c>
    </row>
    <row r="897" spans="1:24" x14ac:dyDescent="0.25">
      <c r="A897" s="45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11" t="str">
        <f>IF(COUNTBLANK(B897:W897)&gt;0,"NA",'batch classification'!J903)</f>
        <v>NA</v>
      </c>
    </row>
    <row r="898" spans="1:24" x14ac:dyDescent="0.25">
      <c r="A898" s="45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11" t="str">
        <f>IF(COUNTBLANK(B898:W898)&gt;0,"NA",'batch classification'!J904)</f>
        <v>NA</v>
      </c>
    </row>
    <row r="899" spans="1:24" x14ac:dyDescent="0.25">
      <c r="A899" s="45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11" t="str">
        <f>IF(COUNTBLANK(B899:W899)&gt;0,"NA",'batch classification'!J905)</f>
        <v>NA</v>
      </c>
    </row>
    <row r="900" spans="1:24" x14ac:dyDescent="0.25">
      <c r="A900" s="45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11" t="str">
        <f>IF(COUNTBLANK(B900:W900)&gt;0,"NA",'batch classification'!J906)</f>
        <v>NA</v>
      </c>
    </row>
    <row r="901" spans="1:24" x14ac:dyDescent="0.25">
      <c r="A901" s="45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11" t="str">
        <f>IF(COUNTBLANK(B901:W901)&gt;0,"NA",'batch classification'!J907)</f>
        <v>NA</v>
      </c>
    </row>
    <row r="902" spans="1:24" x14ac:dyDescent="0.25">
      <c r="A902" s="45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11" t="str">
        <f>IF(COUNTBLANK(B902:W902)&gt;0,"NA",'batch classification'!J908)</f>
        <v>NA</v>
      </c>
    </row>
    <row r="903" spans="1:24" x14ac:dyDescent="0.25">
      <c r="A903" s="45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11" t="str">
        <f>IF(COUNTBLANK(B903:W903)&gt;0,"NA",'batch classification'!J909)</f>
        <v>NA</v>
      </c>
    </row>
    <row r="904" spans="1:24" x14ac:dyDescent="0.25">
      <c r="A904" s="45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11" t="str">
        <f>IF(COUNTBLANK(B904:W904)&gt;0,"NA",'batch classification'!J910)</f>
        <v>NA</v>
      </c>
    </row>
    <row r="905" spans="1:24" x14ac:dyDescent="0.25">
      <c r="A905" s="45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11" t="str">
        <f>IF(COUNTBLANK(B905:W905)&gt;0,"NA",'batch classification'!J911)</f>
        <v>NA</v>
      </c>
    </row>
    <row r="906" spans="1:24" x14ac:dyDescent="0.25">
      <c r="A906" s="45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11" t="str">
        <f>IF(COUNTBLANK(B906:W906)&gt;0,"NA",'batch classification'!J912)</f>
        <v>NA</v>
      </c>
    </row>
    <row r="907" spans="1:24" x14ac:dyDescent="0.25">
      <c r="A907" s="45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11" t="str">
        <f>IF(COUNTBLANK(B907:W907)&gt;0,"NA",'batch classification'!J913)</f>
        <v>NA</v>
      </c>
    </row>
    <row r="908" spans="1:24" x14ac:dyDescent="0.25">
      <c r="A908" s="45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11" t="str">
        <f>IF(COUNTBLANK(B908:W908)&gt;0,"NA",'batch classification'!J914)</f>
        <v>NA</v>
      </c>
    </row>
    <row r="909" spans="1:24" x14ac:dyDescent="0.25">
      <c r="A909" s="45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11" t="str">
        <f>IF(COUNTBLANK(B909:W909)&gt;0,"NA",'batch classification'!J915)</f>
        <v>NA</v>
      </c>
    </row>
    <row r="910" spans="1:24" x14ac:dyDescent="0.25">
      <c r="A910" s="45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11" t="str">
        <f>IF(COUNTBLANK(B910:W910)&gt;0,"NA",'batch classification'!J916)</f>
        <v>NA</v>
      </c>
    </row>
    <row r="911" spans="1:24" x14ac:dyDescent="0.25">
      <c r="A911" s="45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11" t="str">
        <f>IF(COUNTBLANK(B911:W911)&gt;0,"NA",'batch classification'!J917)</f>
        <v>NA</v>
      </c>
    </row>
    <row r="912" spans="1:24" x14ac:dyDescent="0.25">
      <c r="A912" s="45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11" t="str">
        <f>IF(COUNTBLANK(B912:W912)&gt;0,"NA",'batch classification'!J918)</f>
        <v>NA</v>
      </c>
    </row>
    <row r="913" spans="1:24" x14ac:dyDescent="0.25">
      <c r="A913" s="45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11" t="str">
        <f>IF(COUNTBLANK(B913:W913)&gt;0,"NA",'batch classification'!J919)</f>
        <v>NA</v>
      </c>
    </row>
    <row r="914" spans="1:24" x14ac:dyDescent="0.25">
      <c r="A914" s="45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11" t="str">
        <f>IF(COUNTBLANK(B914:W914)&gt;0,"NA",'batch classification'!J920)</f>
        <v>NA</v>
      </c>
    </row>
    <row r="915" spans="1:24" x14ac:dyDescent="0.25">
      <c r="A915" s="45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11" t="str">
        <f>IF(COUNTBLANK(B915:W915)&gt;0,"NA",'batch classification'!J921)</f>
        <v>NA</v>
      </c>
    </row>
    <row r="916" spans="1:24" x14ac:dyDescent="0.25">
      <c r="A916" s="45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11" t="str">
        <f>IF(COUNTBLANK(B916:W916)&gt;0,"NA",'batch classification'!J922)</f>
        <v>NA</v>
      </c>
    </row>
    <row r="917" spans="1:24" x14ac:dyDescent="0.25">
      <c r="A917" s="45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11" t="str">
        <f>IF(COUNTBLANK(B917:W917)&gt;0,"NA",'batch classification'!J923)</f>
        <v>NA</v>
      </c>
    </row>
    <row r="918" spans="1:24" x14ac:dyDescent="0.25">
      <c r="A918" s="45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11" t="str">
        <f>IF(COUNTBLANK(B918:W918)&gt;0,"NA",'batch classification'!J924)</f>
        <v>NA</v>
      </c>
    </row>
    <row r="919" spans="1:24" x14ac:dyDescent="0.25">
      <c r="A919" s="45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11" t="str">
        <f>IF(COUNTBLANK(B919:W919)&gt;0,"NA",'batch classification'!J925)</f>
        <v>NA</v>
      </c>
    </row>
    <row r="920" spans="1:24" x14ac:dyDescent="0.25">
      <c r="A920" s="45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11" t="str">
        <f>IF(COUNTBLANK(B920:W920)&gt;0,"NA",'batch classification'!J926)</f>
        <v>NA</v>
      </c>
    </row>
    <row r="921" spans="1:24" x14ac:dyDescent="0.25">
      <c r="A921" s="45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11" t="str">
        <f>IF(COUNTBLANK(B921:W921)&gt;0,"NA",'batch classification'!J927)</f>
        <v>NA</v>
      </c>
    </row>
    <row r="922" spans="1:24" x14ac:dyDescent="0.25">
      <c r="A922" s="45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11" t="str">
        <f>IF(COUNTBLANK(B922:W922)&gt;0,"NA",'batch classification'!J928)</f>
        <v>NA</v>
      </c>
    </row>
    <row r="923" spans="1:24" x14ac:dyDescent="0.25">
      <c r="A923" s="45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11" t="str">
        <f>IF(COUNTBLANK(B923:W923)&gt;0,"NA",'batch classification'!J929)</f>
        <v>NA</v>
      </c>
    </row>
    <row r="924" spans="1:24" x14ac:dyDescent="0.25">
      <c r="A924" s="45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11" t="str">
        <f>IF(COUNTBLANK(B924:W924)&gt;0,"NA",'batch classification'!J930)</f>
        <v>NA</v>
      </c>
    </row>
    <row r="925" spans="1:24" x14ac:dyDescent="0.25">
      <c r="A925" s="45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11" t="str">
        <f>IF(COUNTBLANK(B925:W925)&gt;0,"NA",'batch classification'!J931)</f>
        <v>NA</v>
      </c>
    </row>
    <row r="926" spans="1:24" x14ac:dyDescent="0.25">
      <c r="A926" s="45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11" t="str">
        <f>IF(COUNTBLANK(B926:W926)&gt;0,"NA",'batch classification'!J932)</f>
        <v>NA</v>
      </c>
    </row>
    <row r="927" spans="1:24" x14ac:dyDescent="0.25">
      <c r="A927" s="45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11" t="str">
        <f>IF(COUNTBLANK(B927:W927)&gt;0,"NA",'batch classification'!J933)</f>
        <v>NA</v>
      </c>
    </row>
    <row r="928" spans="1:24" x14ac:dyDescent="0.25">
      <c r="A928" s="45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11" t="str">
        <f>IF(COUNTBLANK(B928:W928)&gt;0,"NA",'batch classification'!J934)</f>
        <v>NA</v>
      </c>
    </row>
    <row r="929" spans="1:24" x14ac:dyDescent="0.25">
      <c r="A929" s="45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11" t="str">
        <f>IF(COUNTBLANK(B929:W929)&gt;0,"NA",'batch classification'!J935)</f>
        <v>NA</v>
      </c>
    </row>
    <row r="930" spans="1:24" x14ac:dyDescent="0.25">
      <c r="A930" s="45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11" t="str">
        <f>IF(COUNTBLANK(B930:W930)&gt;0,"NA",'batch classification'!J936)</f>
        <v>NA</v>
      </c>
    </row>
    <row r="931" spans="1:24" x14ac:dyDescent="0.25">
      <c r="A931" s="45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11" t="str">
        <f>IF(COUNTBLANK(B931:W931)&gt;0,"NA",'batch classification'!J937)</f>
        <v>NA</v>
      </c>
    </row>
    <row r="932" spans="1:24" x14ac:dyDescent="0.25">
      <c r="A932" s="45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11" t="str">
        <f>IF(COUNTBLANK(B932:W932)&gt;0,"NA",'batch classification'!J938)</f>
        <v>NA</v>
      </c>
    </row>
    <row r="933" spans="1:24" x14ac:dyDescent="0.25">
      <c r="A933" s="45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11" t="str">
        <f>IF(COUNTBLANK(B933:W933)&gt;0,"NA",'batch classification'!J939)</f>
        <v>NA</v>
      </c>
    </row>
    <row r="934" spans="1:24" x14ac:dyDescent="0.25">
      <c r="A934" s="45"/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  <c r="X934" s="11" t="str">
        <f>IF(COUNTBLANK(B934:W934)&gt;0,"NA",'batch classification'!J940)</f>
        <v>NA</v>
      </c>
    </row>
    <row r="935" spans="1:24" x14ac:dyDescent="0.25">
      <c r="A935" s="45"/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  <c r="X935" s="11" t="str">
        <f>IF(COUNTBLANK(B935:W935)&gt;0,"NA",'batch classification'!J941)</f>
        <v>NA</v>
      </c>
    </row>
    <row r="936" spans="1:24" x14ac:dyDescent="0.25">
      <c r="A936" s="45"/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  <c r="X936" s="11" t="str">
        <f>IF(COUNTBLANK(B936:W936)&gt;0,"NA",'batch classification'!J942)</f>
        <v>NA</v>
      </c>
    </row>
    <row r="937" spans="1:24" x14ac:dyDescent="0.25">
      <c r="A937" s="45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  <c r="X937" s="11" t="str">
        <f>IF(COUNTBLANK(B937:W937)&gt;0,"NA",'batch classification'!J943)</f>
        <v>NA</v>
      </c>
    </row>
    <row r="938" spans="1:24" x14ac:dyDescent="0.25">
      <c r="A938" s="45"/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  <c r="X938" s="11" t="str">
        <f>IF(COUNTBLANK(B938:W938)&gt;0,"NA",'batch classification'!J944)</f>
        <v>NA</v>
      </c>
    </row>
    <row r="939" spans="1:24" x14ac:dyDescent="0.25">
      <c r="A939" s="45"/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  <c r="X939" s="11" t="str">
        <f>IF(COUNTBLANK(B939:W939)&gt;0,"NA",'batch classification'!J945)</f>
        <v>NA</v>
      </c>
    </row>
    <row r="940" spans="1:24" x14ac:dyDescent="0.25">
      <c r="A940" s="45"/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  <c r="X940" s="11" t="str">
        <f>IF(COUNTBLANK(B940:W940)&gt;0,"NA",'batch classification'!J946)</f>
        <v>NA</v>
      </c>
    </row>
    <row r="941" spans="1:24" x14ac:dyDescent="0.25">
      <c r="A941" s="45"/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  <c r="X941" s="11" t="str">
        <f>IF(COUNTBLANK(B941:W941)&gt;0,"NA",'batch classification'!J947)</f>
        <v>NA</v>
      </c>
    </row>
    <row r="942" spans="1:24" x14ac:dyDescent="0.25">
      <c r="A942" s="45"/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  <c r="X942" s="11" t="str">
        <f>IF(COUNTBLANK(B942:W942)&gt;0,"NA",'batch classification'!J948)</f>
        <v>NA</v>
      </c>
    </row>
    <row r="943" spans="1:24" x14ac:dyDescent="0.25">
      <c r="A943" s="45"/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  <c r="X943" s="11" t="str">
        <f>IF(COUNTBLANK(B943:W943)&gt;0,"NA",'batch classification'!J949)</f>
        <v>NA</v>
      </c>
    </row>
    <row r="944" spans="1:24" x14ac:dyDescent="0.25">
      <c r="A944" s="45"/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  <c r="X944" s="11" t="str">
        <f>IF(COUNTBLANK(B944:W944)&gt;0,"NA",'batch classification'!J950)</f>
        <v>NA</v>
      </c>
    </row>
    <row r="945" spans="1:24" x14ac:dyDescent="0.25">
      <c r="A945" s="45"/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  <c r="X945" s="11" t="str">
        <f>IF(COUNTBLANK(B945:W945)&gt;0,"NA",'batch classification'!J951)</f>
        <v>NA</v>
      </c>
    </row>
    <row r="946" spans="1:24" x14ac:dyDescent="0.25">
      <c r="A946" s="45"/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  <c r="X946" s="11" t="str">
        <f>IF(COUNTBLANK(B946:W946)&gt;0,"NA",'batch classification'!J952)</f>
        <v>NA</v>
      </c>
    </row>
    <row r="947" spans="1:24" x14ac:dyDescent="0.25">
      <c r="A947" s="45"/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  <c r="X947" s="11" t="str">
        <f>IF(COUNTBLANK(B947:W947)&gt;0,"NA",'batch classification'!J953)</f>
        <v>NA</v>
      </c>
    </row>
    <row r="948" spans="1:24" x14ac:dyDescent="0.25">
      <c r="A948" s="45"/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  <c r="X948" s="11" t="str">
        <f>IF(COUNTBLANK(B948:W948)&gt;0,"NA",'batch classification'!J954)</f>
        <v>NA</v>
      </c>
    </row>
    <row r="949" spans="1:24" x14ac:dyDescent="0.25">
      <c r="A949" s="45"/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  <c r="X949" s="11" t="str">
        <f>IF(COUNTBLANK(B949:W949)&gt;0,"NA",'batch classification'!J955)</f>
        <v>NA</v>
      </c>
    </row>
    <row r="950" spans="1:24" x14ac:dyDescent="0.25">
      <c r="A950" s="45"/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  <c r="X950" s="11" t="str">
        <f>IF(COUNTBLANK(B950:W950)&gt;0,"NA",'batch classification'!J956)</f>
        <v>NA</v>
      </c>
    </row>
    <row r="951" spans="1:24" x14ac:dyDescent="0.25">
      <c r="A951" s="45"/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  <c r="X951" s="11" t="str">
        <f>IF(COUNTBLANK(B951:W951)&gt;0,"NA",'batch classification'!J957)</f>
        <v>NA</v>
      </c>
    </row>
    <row r="952" spans="1:24" x14ac:dyDescent="0.25">
      <c r="A952" s="45"/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  <c r="X952" s="11" t="str">
        <f>IF(COUNTBLANK(B952:W952)&gt;0,"NA",'batch classification'!J958)</f>
        <v>NA</v>
      </c>
    </row>
    <row r="953" spans="1:24" x14ac:dyDescent="0.25">
      <c r="A953" s="45"/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  <c r="X953" s="11" t="str">
        <f>IF(COUNTBLANK(B953:W953)&gt;0,"NA",'batch classification'!J959)</f>
        <v>NA</v>
      </c>
    </row>
    <row r="954" spans="1:24" x14ac:dyDescent="0.25">
      <c r="A954" s="45"/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  <c r="X954" s="11" t="str">
        <f>IF(COUNTBLANK(B954:W954)&gt;0,"NA",'batch classification'!J960)</f>
        <v>NA</v>
      </c>
    </row>
    <row r="955" spans="1:24" x14ac:dyDescent="0.25">
      <c r="A955" s="45"/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  <c r="X955" s="11" t="str">
        <f>IF(COUNTBLANK(B955:W955)&gt;0,"NA",'batch classification'!J961)</f>
        <v>NA</v>
      </c>
    </row>
    <row r="956" spans="1:24" x14ac:dyDescent="0.25">
      <c r="A956" s="45"/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  <c r="X956" s="11" t="str">
        <f>IF(COUNTBLANK(B956:W956)&gt;0,"NA",'batch classification'!J962)</f>
        <v>NA</v>
      </c>
    </row>
    <row r="957" spans="1:24" x14ac:dyDescent="0.25">
      <c r="A957" s="45"/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  <c r="X957" s="11" t="str">
        <f>IF(COUNTBLANK(B957:W957)&gt;0,"NA",'batch classification'!J963)</f>
        <v>NA</v>
      </c>
    </row>
    <row r="958" spans="1:24" x14ac:dyDescent="0.25">
      <c r="A958" s="45"/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  <c r="X958" s="11" t="str">
        <f>IF(COUNTBLANK(B958:W958)&gt;0,"NA",'batch classification'!J964)</f>
        <v>NA</v>
      </c>
    </row>
    <row r="959" spans="1:24" x14ac:dyDescent="0.25">
      <c r="A959" s="45"/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  <c r="X959" s="11" t="str">
        <f>IF(COUNTBLANK(B959:W959)&gt;0,"NA",'batch classification'!J965)</f>
        <v>NA</v>
      </c>
    </row>
    <row r="960" spans="1:24" x14ac:dyDescent="0.25">
      <c r="A960" s="45"/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  <c r="X960" s="11" t="str">
        <f>IF(COUNTBLANK(B960:W960)&gt;0,"NA",'batch classification'!J966)</f>
        <v>NA</v>
      </c>
    </row>
    <row r="961" spans="1:24" x14ac:dyDescent="0.25">
      <c r="A961" s="45"/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  <c r="X961" s="11" t="str">
        <f>IF(COUNTBLANK(B961:W961)&gt;0,"NA",'batch classification'!J967)</f>
        <v>NA</v>
      </c>
    </row>
    <row r="962" spans="1:24" x14ac:dyDescent="0.25">
      <c r="A962" s="45"/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  <c r="X962" s="11" t="str">
        <f>IF(COUNTBLANK(B962:W962)&gt;0,"NA",'batch classification'!J968)</f>
        <v>NA</v>
      </c>
    </row>
    <row r="963" spans="1:24" x14ac:dyDescent="0.25">
      <c r="A963" s="45"/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  <c r="X963" s="11" t="str">
        <f>IF(COUNTBLANK(B963:W963)&gt;0,"NA",'batch classification'!J969)</f>
        <v>NA</v>
      </c>
    </row>
    <row r="964" spans="1:24" x14ac:dyDescent="0.25">
      <c r="A964" s="45"/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  <c r="X964" s="11" t="str">
        <f>IF(COUNTBLANK(B964:W964)&gt;0,"NA",'batch classification'!J970)</f>
        <v>NA</v>
      </c>
    </row>
    <row r="965" spans="1:24" x14ac:dyDescent="0.25">
      <c r="A965" s="45"/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  <c r="X965" s="11" t="str">
        <f>IF(COUNTBLANK(B965:W965)&gt;0,"NA",'batch classification'!J971)</f>
        <v>NA</v>
      </c>
    </row>
    <row r="966" spans="1:24" x14ac:dyDescent="0.25">
      <c r="A966" s="45"/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  <c r="X966" s="11" t="str">
        <f>IF(COUNTBLANK(B966:W966)&gt;0,"NA",'batch classification'!J972)</f>
        <v>NA</v>
      </c>
    </row>
    <row r="967" spans="1:24" x14ac:dyDescent="0.25">
      <c r="A967" s="45"/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  <c r="X967" s="11" t="str">
        <f>IF(COUNTBLANK(B967:W967)&gt;0,"NA",'batch classification'!J973)</f>
        <v>NA</v>
      </c>
    </row>
    <row r="968" spans="1:24" x14ac:dyDescent="0.25">
      <c r="A968" s="45"/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  <c r="X968" s="11" t="str">
        <f>IF(COUNTBLANK(B968:W968)&gt;0,"NA",'batch classification'!J974)</f>
        <v>NA</v>
      </c>
    </row>
    <row r="969" spans="1:24" x14ac:dyDescent="0.25">
      <c r="A969" s="45"/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  <c r="X969" s="11" t="str">
        <f>IF(COUNTBLANK(B969:W969)&gt;0,"NA",'batch classification'!J975)</f>
        <v>NA</v>
      </c>
    </row>
    <row r="970" spans="1:24" x14ac:dyDescent="0.25">
      <c r="A970" s="45"/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  <c r="X970" s="11" t="str">
        <f>IF(COUNTBLANK(B970:W970)&gt;0,"NA",'batch classification'!J976)</f>
        <v>NA</v>
      </c>
    </row>
    <row r="971" spans="1:24" x14ac:dyDescent="0.25">
      <c r="A971" s="45"/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  <c r="X971" s="11" t="str">
        <f>IF(COUNTBLANK(B971:W971)&gt;0,"NA",'batch classification'!J977)</f>
        <v>NA</v>
      </c>
    </row>
    <row r="972" spans="1:24" x14ac:dyDescent="0.25">
      <c r="A972" s="45"/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  <c r="X972" s="11" t="str">
        <f>IF(COUNTBLANK(B972:W972)&gt;0,"NA",'batch classification'!J978)</f>
        <v>NA</v>
      </c>
    </row>
    <row r="973" spans="1:24" x14ac:dyDescent="0.25">
      <c r="A973" s="45"/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  <c r="X973" s="11" t="str">
        <f>IF(COUNTBLANK(B973:W973)&gt;0,"NA",'batch classification'!J979)</f>
        <v>NA</v>
      </c>
    </row>
    <row r="974" spans="1:24" x14ac:dyDescent="0.25">
      <c r="A974" s="45"/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  <c r="X974" s="11" t="str">
        <f>IF(COUNTBLANK(B974:W974)&gt;0,"NA",'batch classification'!J980)</f>
        <v>NA</v>
      </c>
    </row>
    <row r="975" spans="1:24" x14ac:dyDescent="0.25">
      <c r="A975" s="45"/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  <c r="X975" s="11" t="str">
        <f>IF(COUNTBLANK(B975:W975)&gt;0,"NA",'batch classification'!J981)</f>
        <v>NA</v>
      </c>
    </row>
    <row r="976" spans="1:24" x14ac:dyDescent="0.25">
      <c r="A976" s="45"/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  <c r="X976" s="11" t="str">
        <f>IF(COUNTBLANK(B976:W976)&gt;0,"NA",'batch classification'!J982)</f>
        <v>NA</v>
      </c>
    </row>
    <row r="977" spans="1:24" x14ac:dyDescent="0.25">
      <c r="A977" s="45"/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  <c r="X977" s="11" t="str">
        <f>IF(COUNTBLANK(B977:W977)&gt;0,"NA",'batch classification'!J983)</f>
        <v>NA</v>
      </c>
    </row>
    <row r="978" spans="1:24" x14ac:dyDescent="0.25">
      <c r="A978" s="45"/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  <c r="X978" s="11" t="str">
        <f>IF(COUNTBLANK(B978:W978)&gt;0,"NA",'batch classification'!J984)</f>
        <v>NA</v>
      </c>
    </row>
    <row r="979" spans="1:24" x14ac:dyDescent="0.25">
      <c r="A979" s="45"/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  <c r="X979" s="11" t="str">
        <f>IF(COUNTBLANK(B979:W979)&gt;0,"NA",'batch classification'!J985)</f>
        <v>NA</v>
      </c>
    </row>
    <row r="980" spans="1:24" x14ac:dyDescent="0.25">
      <c r="A980" s="45"/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  <c r="X980" s="11" t="str">
        <f>IF(COUNTBLANK(B980:W980)&gt;0,"NA",'batch classification'!J986)</f>
        <v>NA</v>
      </c>
    </row>
    <row r="981" spans="1:24" x14ac:dyDescent="0.25">
      <c r="A981" s="45"/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  <c r="X981" s="11" t="str">
        <f>IF(COUNTBLANK(B981:W981)&gt;0,"NA",'batch classification'!J987)</f>
        <v>NA</v>
      </c>
    </row>
    <row r="982" spans="1:24" x14ac:dyDescent="0.25">
      <c r="A982" s="45"/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  <c r="X982" s="11" t="str">
        <f>IF(COUNTBLANK(B982:W982)&gt;0,"NA",'batch classification'!J988)</f>
        <v>NA</v>
      </c>
    </row>
    <row r="983" spans="1:24" x14ac:dyDescent="0.25">
      <c r="A983" s="45"/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  <c r="X983" s="11" t="str">
        <f>IF(COUNTBLANK(B983:W983)&gt;0,"NA",'batch classification'!J989)</f>
        <v>NA</v>
      </c>
    </row>
    <row r="984" spans="1:24" x14ac:dyDescent="0.25">
      <c r="A984" s="45"/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  <c r="X984" s="11" t="str">
        <f>IF(COUNTBLANK(B984:W984)&gt;0,"NA",'batch classification'!J990)</f>
        <v>NA</v>
      </c>
    </row>
    <row r="985" spans="1:24" x14ac:dyDescent="0.25">
      <c r="A985" s="45"/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  <c r="X985" s="11" t="str">
        <f>IF(COUNTBLANK(B985:W985)&gt;0,"NA",'batch classification'!J991)</f>
        <v>NA</v>
      </c>
    </row>
    <row r="986" spans="1:24" x14ac:dyDescent="0.25">
      <c r="A986" s="45"/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  <c r="X986" s="11" t="str">
        <f>IF(COUNTBLANK(B986:W986)&gt;0,"NA",'batch classification'!J992)</f>
        <v>NA</v>
      </c>
    </row>
    <row r="987" spans="1:24" x14ac:dyDescent="0.25">
      <c r="A987" s="45"/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  <c r="X987" s="11" t="str">
        <f>IF(COUNTBLANK(B987:W987)&gt;0,"NA",'batch classification'!J993)</f>
        <v>NA</v>
      </c>
    </row>
    <row r="988" spans="1:24" x14ac:dyDescent="0.25">
      <c r="A988" s="45"/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  <c r="X988" s="11" t="str">
        <f>IF(COUNTBLANK(B988:W988)&gt;0,"NA",'batch classification'!J994)</f>
        <v>NA</v>
      </c>
    </row>
    <row r="989" spans="1:24" x14ac:dyDescent="0.25">
      <c r="A989" s="45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  <c r="X989" s="11" t="str">
        <f>IF(COUNTBLANK(B989:W989)&gt;0,"NA",'batch classification'!J995)</f>
        <v>NA</v>
      </c>
    </row>
    <row r="990" spans="1:24" x14ac:dyDescent="0.25">
      <c r="A990" s="45"/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  <c r="X990" s="11" t="str">
        <f>IF(COUNTBLANK(B990:W990)&gt;0,"NA",'batch classification'!J996)</f>
        <v>NA</v>
      </c>
    </row>
    <row r="991" spans="1:24" x14ac:dyDescent="0.25">
      <c r="A991" s="45"/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  <c r="X991" s="11" t="str">
        <f>IF(COUNTBLANK(B991:W991)&gt;0,"NA",'batch classification'!J997)</f>
        <v>NA</v>
      </c>
    </row>
    <row r="992" spans="1:24" x14ac:dyDescent="0.25">
      <c r="A992" s="45"/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  <c r="X992" s="11" t="str">
        <f>IF(COUNTBLANK(B992:W992)&gt;0,"NA",'batch classification'!J998)</f>
        <v>NA</v>
      </c>
    </row>
    <row r="993" spans="1:24" x14ac:dyDescent="0.25">
      <c r="A993" s="45"/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  <c r="X993" s="11" t="str">
        <f>IF(COUNTBLANK(B993:W993)&gt;0,"NA",'batch classification'!J999)</f>
        <v>NA</v>
      </c>
    </row>
    <row r="994" spans="1:24" x14ac:dyDescent="0.25">
      <c r="A994" s="45"/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  <c r="X994" s="11" t="str">
        <f>IF(COUNTBLANK(B994:W994)&gt;0,"NA",'batch classification'!J1000)</f>
        <v>NA</v>
      </c>
    </row>
    <row r="995" spans="1:24" x14ac:dyDescent="0.25">
      <c r="A995" s="45"/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  <c r="X995" s="11" t="str">
        <f>IF(COUNTBLANK(B995:W995)&gt;0,"NA",'batch classification'!J1001)</f>
        <v>NA</v>
      </c>
    </row>
    <row r="996" spans="1:24" x14ac:dyDescent="0.25">
      <c r="A996" s="45"/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  <c r="X996" s="11" t="str">
        <f>IF(COUNTBLANK(B996:W996)&gt;0,"NA",'batch classification'!J1002)</f>
        <v>NA</v>
      </c>
    </row>
    <row r="997" spans="1:24" x14ac:dyDescent="0.25">
      <c r="A997" s="45"/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  <c r="R997" s="46"/>
      <c r="S997" s="46"/>
      <c r="T997" s="46"/>
      <c r="U997" s="46"/>
      <c r="V997" s="46"/>
      <c r="W997" s="46"/>
      <c r="X997" s="11" t="str">
        <f>IF(COUNTBLANK(B997:W997)&gt;0,"NA",'batch classification'!J1003)</f>
        <v>NA</v>
      </c>
    </row>
    <row r="998" spans="1:24" x14ac:dyDescent="0.25">
      <c r="A998" s="45"/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  <c r="W998" s="46"/>
      <c r="X998" s="11" t="str">
        <f>IF(COUNTBLANK(B998:W998)&gt;0,"NA",'batch classification'!J1004)</f>
        <v>NA</v>
      </c>
    </row>
    <row r="999" spans="1:24" x14ac:dyDescent="0.25">
      <c r="A999" s="45"/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  <c r="R999" s="46"/>
      <c r="S999" s="46"/>
      <c r="T999" s="46"/>
      <c r="U999" s="46"/>
      <c r="V999" s="46"/>
      <c r="W999" s="46"/>
      <c r="X999" s="11" t="str">
        <f>IF(COUNTBLANK(B999:W999)&gt;0,"NA",'batch classification'!J1005)</f>
        <v>NA</v>
      </c>
    </row>
    <row r="1000" spans="1:24" x14ac:dyDescent="0.25">
      <c r="A1000" s="45"/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  <c r="W1000" s="46"/>
      <c r="X1000" s="11" t="str">
        <f>IF(COUNTBLANK(B1000:W1000)&gt;0,"NA",'batch classification'!J1006)</f>
        <v>NA</v>
      </c>
    </row>
    <row r="1001" spans="1:24" x14ac:dyDescent="0.25">
      <c r="A1001" s="45"/>
      <c r="B1001" s="46"/>
      <c r="C1001" s="46"/>
      <c r="D1001" s="46"/>
      <c r="E1001" s="46"/>
      <c r="F1001" s="46"/>
      <c r="G1001" s="46"/>
      <c r="H1001" s="46"/>
      <c r="I1001" s="46"/>
      <c r="J1001" s="46"/>
      <c r="K1001" s="46"/>
      <c r="L1001" s="46"/>
      <c r="M1001" s="46"/>
      <c r="N1001" s="46"/>
      <c r="O1001" s="46"/>
      <c r="P1001" s="46"/>
      <c r="Q1001" s="46"/>
      <c r="R1001" s="46"/>
      <c r="S1001" s="46"/>
      <c r="T1001" s="46"/>
      <c r="U1001" s="46"/>
      <c r="V1001" s="46"/>
      <c r="W1001" s="46"/>
      <c r="X1001" s="11" t="str">
        <f>IF(COUNTBLANK(B1001:W1001)&gt;0,"NA",'batch classification'!J1007)</f>
        <v>NA</v>
      </c>
    </row>
    <row r="1002" spans="1:24" x14ac:dyDescent="0.25">
      <c r="A1002" s="45"/>
      <c r="B1002" s="46"/>
      <c r="C1002" s="46"/>
      <c r="D1002" s="46"/>
      <c r="E1002" s="46"/>
      <c r="F1002" s="46"/>
      <c r="G1002" s="46"/>
      <c r="H1002" s="46"/>
      <c r="I1002" s="46"/>
      <c r="J1002" s="46"/>
      <c r="K1002" s="46"/>
      <c r="L1002" s="46"/>
      <c r="M1002" s="46"/>
      <c r="N1002" s="46"/>
      <c r="O1002" s="46"/>
      <c r="P1002" s="46"/>
      <c r="Q1002" s="46"/>
      <c r="R1002" s="46"/>
      <c r="S1002" s="46"/>
      <c r="T1002" s="46"/>
      <c r="U1002" s="46"/>
      <c r="V1002" s="46"/>
      <c r="W1002" s="46"/>
      <c r="X1002" s="11" t="str">
        <f>IF(COUNTBLANK(B1002:W1002)&gt;0,"NA",'batch classification'!J1008)</f>
        <v>NA</v>
      </c>
    </row>
    <row r="1003" spans="1:24" x14ac:dyDescent="0.25">
      <c r="A1003" s="45"/>
      <c r="B1003" s="46"/>
      <c r="C1003" s="46"/>
      <c r="D1003" s="46"/>
      <c r="E1003" s="46"/>
      <c r="F1003" s="46"/>
      <c r="G1003" s="46"/>
      <c r="H1003" s="46"/>
      <c r="I1003" s="46"/>
      <c r="J1003" s="46"/>
      <c r="K1003" s="46"/>
      <c r="L1003" s="46"/>
      <c r="M1003" s="46"/>
      <c r="N1003" s="46"/>
      <c r="O1003" s="46"/>
      <c r="P1003" s="46"/>
      <c r="Q1003" s="46"/>
      <c r="R1003" s="46"/>
      <c r="S1003" s="46"/>
      <c r="T1003" s="46"/>
      <c r="U1003" s="46"/>
      <c r="V1003" s="46"/>
      <c r="W1003" s="46"/>
      <c r="X1003" s="11" t="str">
        <f>IF(COUNTBLANK(B1003:W1003)&gt;0,"NA",'batch classification'!J1009)</f>
        <v>NA</v>
      </c>
    </row>
    <row r="1004" spans="1:24" x14ac:dyDescent="0.25">
      <c r="A1004" s="45"/>
      <c r="B1004" s="46"/>
      <c r="C1004" s="46"/>
      <c r="D1004" s="46"/>
      <c r="E1004" s="46"/>
      <c r="F1004" s="46"/>
      <c r="G1004" s="46"/>
      <c r="H1004" s="46"/>
      <c r="I1004" s="46"/>
      <c r="J1004" s="46"/>
      <c r="K1004" s="46"/>
      <c r="L1004" s="46"/>
      <c r="M1004" s="46"/>
      <c r="N1004" s="46"/>
      <c r="O1004" s="46"/>
      <c r="P1004" s="46"/>
      <c r="Q1004" s="46"/>
      <c r="R1004" s="46"/>
      <c r="S1004" s="46"/>
      <c r="T1004" s="46"/>
      <c r="U1004" s="46"/>
      <c r="V1004" s="46"/>
      <c r="W1004" s="46"/>
      <c r="X1004" s="11" t="str">
        <f>IF(COUNTBLANK(B1004:W1004)&gt;0,"NA",'batch classification'!J1010)</f>
        <v>NA</v>
      </c>
    </row>
    <row r="1005" spans="1:24" x14ac:dyDescent="0.25">
      <c r="A1005" s="45"/>
      <c r="B1005" s="46"/>
      <c r="C1005" s="46"/>
      <c r="D1005" s="46"/>
      <c r="E1005" s="46"/>
      <c r="F1005" s="46"/>
      <c r="G1005" s="46"/>
      <c r="H1005" s="46"/>
      <c r="I1005" s="46"/>
      <c r="J1005" s="46"/>
      <c r="K1005" s="46"/>
      <c r="L1005" s="46"/>
      <c r="M1005" s="46"/>
      <c r="N1005" s="46"/>
      <c r="O1005" s="46"/>
      <c r="P1005" s="46"/>
      <c r="Q1005" s="46"/>
      <c r="R1005" s="46"/>
      <c r="S1005" s="46"/>
      <c r="T1005" s="46"/>
      <c r="U1005" s="46"/>
      <c r="V1005" s="46"/>
      <c r="W1005" s="46"/>
      <c r="X1005" s="11" t="str">
        <f>IF(COUNTBLANK(B1005:W1005)&gt;0,"NA",'batch classification'!J1011)</f>
        <v>NA</v>
      </c>
    </row>
    <row r="1006" spans="1:24" x14ac:dyDescent="0.25">
      <c r="A1006" s="45"/>
      <c r="B1006" s="46"/>
      <c r="C1006" s="46"/>
      <c r="D1006" s="46"/>
      <c r="E1006" s="46"/>
      <c r="F1006" s="46"/>
      <c r="G1006" s="46"/>
      <c r="H1006" s="46"/>
      <c r="I1006" s="46"/>
      <c r="J1006" s="46"/>
      <c r="K1006" s="46"/>
      <c r="L1006" s="46"/>
      <c r="M1006" s="46"/>
      <c r="N1006" s="46"/>
      <c r="O1006" s="46"/>
      <c r="P1006" s="46"/>
      <c r="Q1006" s="46"/>
      <c r="R1006" s="46"/>
      <c r="S1006" s="46"/>
      <c r="T1006" s="46"/>
      <c r="U1006" s="46"/>
      <c r="V1006" s="46"/>
      <c r="W1006" s="46"/>
      <c r="X1006" s="11" t="str">
        <f>IF(COUNTBLANK(B1006:W1006)&gt;0,"NA",'batch classification'!J1012)</f>
        <v>NA</v>
      </c>
    </row>
    <row r="1007" spans="1:24" x14ac:dyDescent="0.25">
      <c r="A1007" s="45"/>
      <c r="B1007" s="46"/>
      <c r="C1007" s="46"/>
      <c r="D1007" s="46"/>
      <c r="E1007" s="46"/>
      <c r="F1007" s="46"/>
      <c r="G1007" s="46"/>
      <c r="H1007" s="46"/>
      <c r="I1007" s="46"/>
      <c r="J1007" s="46"/>
      <c r="K1007" s="46"/>
      <c r="L1007" s="46"/>
      <c r="M1007" s="46"/>
      <c r="N1007" s="46"/>
      <c r="O1007" s="46"/>
      <c r="P1007" s="46"/>
      <c r="Q1007" s="46"/>
      <c r="R1007" s="46"/>
      <c r="S1007" s="46"/>
      <c r="T1007" s="46"/>
      <c r="U1007" s="46"/>
      <c r="V1007" s="46"/>
      <c r="W1007" s="46"/>
      <c r="X1007" s="11" t="str">
        <f>IF(COUNTBLANK(B1007:W1007)&gt;0,"NA",'batch classification'!J1013)</f>
        <v>NA</v>
      </c>
    </row>
    <row r="1008" spans="1:24" x14ac:dyDescent="0.25">
      <c r="A1008" s="45"/>
      <c r="B1008" s="46"/>
      <c r="C1008" s="46"/>
      <c r="D1008" s="46"/>
      <c r="E1008" s="46"/>
      <c r="F1008" s="46"/>
      <c r="G1008" s="46"/>
      <c r="H1008" s="46"/>
      <c r="I1008" s="46"/>
      <c r="J1008" s="46"/>
      <c r="K1008" s="46"/>
      <c r="L1008" s="46"/>
      <c r="M1008" s="46"/>
      <c r="N1008" s="46"/>
      <c r="O1008" s="46"/>
      <c r="P1008" s="46"/>
      <c r="Q1008" s="46"/>
      <c r="R1008" s="46"/>
      <c r="S1008" s="46"/>
      <c r="T1008" s="46"/>
      <c r="U1008" s="46"/>
      <c r="V1008" s="46"/>
      <c r="W1008" s="46"/>
      <c r="X1008" s="11" t="str">
        <f>IF(COUNTBLANK(B1008:W1008)&gt;0,"NA",'batch classification'!J1014)</f>
        <v>NA</v>
      </c>
    </row>
    <row r="1009" spans="1:24" x14ac:dyDescent="0.25">
      <c r="A1009" s="45"/>
      <c r="B1009" s="46"/>
      <c r="C1009" s="46"/>
      <c r="D1009" s="46"/>
      <c r="E1009" s="46"/>
      <c r="F1009" s="46"/>
      <c r="G1009" s="46"/>
      <c r="H1009" s="46"/>
      <c r="I1009" s="46"/>
      <c r="J1009" s="46"/>
      <c r="K1009" s="46"/>
      <c r="L1009" s="46"/>
      <c r="M1009" s="46"/>
      <c r="N1009" s="46"/>
      <c r="O1009" s="46"/>
      <c r="P1009" s="46"/>
      <c r="Q1009" s="46"/>
      <c r="R1009" s="46"/>
      <c r="S1009" s="46"/>
      <c r="T1009" s="46"/>
      <c r="U1009" s="46"/>
      <c r="V1009" s="46"/>
      <c r="W1009" s="46"/>
      <c r="X1009" s="11" t="str">
        <f>IF(COUNTBLANK(B1009:W1009)&gt;0,"NA",'batch classification'!J1015)</f>
        <v>NA</v>
      </c>
    </row>
    <row r="1010" spans="1:24" x14ac:dyDescent="0.25">
      <c r="A1010" s="45"/>
      <c r="B1010" s="46"/>
      <c r="C1010" s="46"/>
      <c r="D1010" s="46"/>
      <c r="E1010" s="46"/>
      <c r="F1010" s="46"/>
      <c r="G1010" s="46"/>
      <c r="H1010" s="46"/>
      <c r="I1010" s="46"/>
      <c r="J1010" s="46"/>
      <c r="K1010" s="46"/>
      <c r="L1010" s="46"/>
      <c r="M1010" s="46"/>
      <c r="N1010" s="46"/>
      <c r="O1010" s="46"/>
      <c r="P1010" s="46"/>
      <c r="Q1010" s="46"/>
      <c r="R1010" s="46"/>
      <c r="S1010" s="46"/>
      <c r="T1010" s="46"/>
      <c r="U1010" s="46"/>
      <c r="V1010" s="46"/>
      <c r="W1010" s="46"/>
      <c r="X1010" s="11" t="str">
        <f>IF(COUNTBLANK(B1010:W1010)&gt;0,"NA",'batch classification'!J1016)</f>
        <v>NA</v>
      </c>
    </row>
    <row r="1011" spans="1:24" x14ac:dyDescent="0.25">
      <c r="A1011" s="45"/>
      <c r="B1011" s="46"/>
      <c r="C1011" s="46"/>
      <c r="D1011" s="46"/>
      <c r="E1011" s="46"/>
      <c r="F1011" s="46"/>
      <c r="G1011" s="46"/>
      <c r="H1011" s="46"/>
      <c r="I1011" s="46"/>
      <c r="J1011" s="46"/>
      <c r="K1011" s="46"/>
      <c r="L1011" s="46"/>
      <c r="M1011" s="46"/>
      <c r="N1011" s="46"/>
      <c r="O1011" s="46"/>
      <c r="P1011" s="46"/>
      <c r="Q1011" s="46"/>
      <c r="R1011" s="46"/>
      <c r="S1011" s="46"/>
      <c r="T1011" s="46"/>
      <c r="U1011" s="46"/>
      <c r="V1011" s="46"/>
      <c r="W1011" s="46"/>
      <c r="X1011" s="11" t="str">
        <f>IF(COUNTBLANK(B1011:W1011)&gt;0,"NA",'batch classification'!J1017)</f>
        <v>NA</v>
      </c>
    </row>
    <row r="1012" spans="1:24" x14ac:dyDescent="0.25">
      <c r="A1012" s="45"/>
      <c r="B1012" s="46"/>
      <c r="C1012" s="46"/>
      <c r="D1012" s="46"/>
      <c r="E1012" s="46"/>
      <c r="F1012" s="46"/>
      <c r="G1012" s="46"/>
      <c r="H1012" s="46"/>
      <c r="I1012" s="46"/>
      <c r="J1012" s="46"/>
      <c r="K1012" s="46"/>
      <c r="L1012" s="46"/>
      <c r="M1012" s="46"/>
      <c r="N1012" s="46"/>
      <c r="O1012" s="46"/>
      <c r="P1012" s="46"/>
      <c r="Q1012" s="46"/>
      <c r="R1012" s="46"/>
      <c r="S1012" s="46"/>
      <c r="T1012" s="46"/>
      <c r="U1012" s="46"/>
      <c r="V1012" s="46"/>
      <c r="W1012" s="46"/>
      <c r="X1012" s="11" t="str">
        <f>IF(COUNTBLANK(B1012:W1012)&gt;0,"NA",'batch classification'!J1018)</f>
        <v>NA</v>
      </c>
    </row>
    <row r="1013" spans="1:24" x14ac:dyDescent="0.25">
      <c r="A1013" s="45"/>
      <c r="B1013" s="46"/>
      <c r="C1013" s="46"/>
      <c r="D1013" s="46"/>
      <c r="E1013" s="46"/>
      <c r="F1013" s="46"/>
      <c r="G1013" s="46"/>
      <c r="H1013" s="46"/>
      <c r="I1013" s="46"/>
      <c r="J1013" s="46"/>
      <c r="K1013" s="46"/>
      <c r="L1013" s="46"/>
      <c r="M1013" s="46"/>
      <c r="N1013" s="46"/>
      <c r="O1013" s="46"/>
      <c r="P1013" s="46"/>
      <c r="Q1013" s="46"/>
      <c r="R1013" s="46"/>
      <c r="S1013" s="46"/>
      <c r="T1013" s="46"/>
      <c r="U1013" s="46"/>
      <c r="V1013" s="46"/>
      <c r="W1013" s="46"/>
      <c r="X1013" s="11" t="str">
        <f>IF(COUNTBLANK(B1013:W1013)&gt;0,"NA",'batch classification'!J1019)</f>
        <v>NA</v>
      </c>
    </row>
    <row r="1014" spans="1:24" x14ac:dyDescent="0.25">
      <c r="A1014" s="45"/>
      <c r="B1014" s="46"/>
      <c r="C1014" s="46"/>
      <c r="D1014" s="46"/>
      <c r="E1014" s="46"/>
      <c r="F1014" s="46"/>
      <c r="G1014" s="46"/>
      <c r="H1014" s="46"/>
      <c r="I1014" s="46"/>
      <c r="J1014" s="46"/>
      <c r="K1014" s="46"/>
      <c r="L1014" s="46"/>
      <c r="M1014" s="46"/>
      <c r="N1014" s="46"/>
      <c r="O1014" s="46"/>
      <c r="P1014" s="46"/>
      <c r="Q1014" s="46"/>
      <c r="R1014" s="46"/>
      <c r="S1014" s="46"/>
      <c r="T1014" s="46"/>
      <c r="U1014" s="46"/>
      <c r="V1014" s="46"/>
      <c r="W1014" s="46"/>
      <c r="X1014" s="11" t="str">
        <f>IF(COUNTBLANK(B1014:W1014)&gt;0,"NA",'batch classification'!J1020)</f>
        <v>NA</v>
      </c>
    </row>
    <row r="1015" spans="1:24" x14ac:dyDescent="0.25">
      <c r="A1015" s="45"/>
      <c r="B1015" s="46"/>
      <c r="C1015" s="46"/>
      <c r="D1015" s="46"/>
      <c r="E1015" s="46"/>
      <c r="F1015" s="46"/>
      <c r="G1015" s="46"/>
      <c r="H1015" s="46"/>
      <c r="I1015" s="46"/>
      <c r="J1015" s="46"/>
      <c r="K1015" s="46"/>
      <c r="L1015" s="46"/>
      <c r="M1015" s="46"/>
      <c r="N1015" s="46"/>
      <c r="O1015" s="46"/>
      <c r="P1015" s="46"/>
      <c r="Q1015" s="46"/>
      <c r="R1015" s="46"/>
      <c r="S1015" s="46"/>
      <c r="T1015" s="46"/>
      <c r="U1015" s="46"/>
      <c r="V1015" s="46"/>
      <c r="W1015" s="46"/>
      <c r="X1015" s="11" t="str">
        <f>IF(COUNTBLANK(B1015:W1015)&gt;0,"NA",'batch classification'!J1021)</f>
        <v>NA</v>
      </c>
    </row>
    <row r="1016" spans="1:24" x14ac:dyDescent="0.25">
      <c r="A1016" s="45"/>
      <c r="B1016" s="46"/>
      <c r="C1016" s="46"/>
      <c r="D1016" s="46"/>
      <c r="E1016" s="46"/>
      <c r="F1016" s="46"/>
      <c r="G1016" s="46"/>
      <c r="H1016" s="46"/>
      <c r="I1016" s="46"/>
      <c r="J1016" s="46"/>
      <c r="K1016" s="46"/>
      <c r="L1016" s="46"/>
      <c r="M1016" s="46"/>
      <c r="N1016" s="46"/>
      <c r="O1016" s="46"/>
      <c r="P1016" s="46"/>
      <c r="Q1016" s="46"/>
      <c r="R1016" s="46"/>
      <c r="S1016" s="46"/>
      <c r="T1016" s="46"/>
      <c r="U1016" s="46"/>
      <c r="V1016" s="46"/>
      <c r="W1016" s="46"/>
      <c r="X1016" s="11" t="str">
        <f>IF(COUNTBLANK(B1016:W1016)&gt;0,"NA",'batch classification'!J1022)</f>
        <v>NA</v>
      </c>
    </row>
    <row r="1017" spans="1:24" x14ac:dyDescent="0.25">
      <c r="A1017" s="45"/>
      <c r="B1017" s="46"/>
      <c r="C1017" s="46"/>
      <c r="D1017" s="46"/>
      <c r="E1017" s="46"/>
      <c r="F1017" s="46"/>
      <c r="G1017" s="46"/>
      <c r="H1017" s="46"/>
      <c r="I1017" s="46"/>
      <c r="J1017" s="46"/>
      <c r="K1017" s="46"/>
      <c r="L1017" s="46"/>
      <c r="M1017" s="46"/>
      <c r="N1017" s="46"/>
      <c r="O1017" s="46"/>
      <c r="P1017" s="46"/>
      <c r="Q1017" s="46"/>
      <c r="R1017" s="46"/>
      <c r="S1017" s="46"/>
      <c r="T1017" s="46"/>
      <c r="U1017" s="46"/>
      <c r="V1017" s="46"/>
      <c r="W1017" s="46"/>
      <c r="X1017" s="11" t="str">
        <f>IF(COUNTBLANK(B1017:W1017)&gt;0,"NA",'batch classification'!J1023)</f>
        <v>NA</v>
      </c>
    </row>
    <row r="1018" spans="1:24" x14ac:dyDescent="0.25">
      <c r="A1018" s="45"/>
      <c r="B1018" s="46"/>
      <c r="C1018" s="46"/>
      <c r="D1018" s="46"/>
      <c r="E1018" s="46"/>
      <c r="F1018" s="46"/>
      <c r="G1018" s="46"/>
      <c r="H1018" s="46"/>
      <c r="I1018" s="46"/>
      <c r="J1018" s="46"/>
      <c r="K1018" s="46"/>
      <c r="L1018" s="46"/>
      <c r="M1018" s="46"/>
      <c r="N1018" s="46"/>
      <c r="O1018" s="46"/>
      <c r="P1018" s="46"/>
      <c r="Q1018" s="46"/>
      <c r="R1018" s="46"/>
      <c r="S1018" s="46"/>
      <c r="T1018" s="46"/>
      <c r="U1018" s="46"/>
      <c r="V1018" s="46"/>
      <c r="W1018" s="46"/>
      <c r="X1018" s="11" t="str">
        <f>IF(COUNTBLANK(B1018:W1018)&gt;0,"NA",'batch classification'!J1024)</f>
        <v>NA</v>
      </c>
    </row>
    <row r="1019" spans="1:24" x14ac:dyDescent="0.25">
      <c r="A1019" s="45"/>
      <c r="B1019" s="46"/>
      <c r="C1019" s="46"/>
      <c r="D1019" s="46"/>
      <c r="E1019" s="46"/>
      <c r="F1019" s="46"/>
      <c r="G1019" s="46"/>
      <c r="H1019" s="46"/>
      <c r="I1019" s="46"/>
      <c r="J1019" s="46"/>
      <c r="K1019" s="46"/>
      <c r="L1019" s="46"/>
      <c r="M1019" s="46"/>
      <c r="N1019" s="46"/>
      <c r="O1019" s="46"/>
      <c r="P1019" s="46"/>
      <c r="Q1019" s="46"/>
      <c r="R1019" s="46"/>
      <c r="S1019" s="46"/>
      <c r="T1019" s="46"/>
      <c r="U1019" s="46"/>
      <c r="V1019" s="46"/>
      <c r="W1019" s="46"/>
      <c r="X1019" s="11" t="str">
        <f>IF(COUNTBLANK(B1019:W1019)&gt;0,"NA",'batch classification'!J1025)</f>
        <v>NA</v>
      </c>
    </row>
    <row r="1020" spans="1:24" x14ac:dyDescent="0.25">
      <c r="A1020" s="45"/>
      <c r="B1020" s="46"/>
      <c r="C1020" s="46"/>
      <c r="D1020" s="46"/>
      <c r="E1020" s="46"/>
      <c r="F1020" s="46"/>
      <c r="G1020" s="46"/>
      <c r="H1020" s="46"/>
      <c r="I1020" s="46"/>
      <c r="J1020" s="46"/>
      <c r="K1020" s="46"/>
      <c r="L1020" s="46"/>
      <c r="M1020" s="46"/>
      <c r="N1020" s="46"/>
      <c r="O1020" s="46"/>
      <c r="P1020" s="46"/>
      <c r="Q1020" s="46"/>
      <c r="R1020" s="46"/>
      <c r="S1020" s="46"/>
      <c r="T1020" s="46"/>
      <c r="U1020" s="46"/>
      <c r="V1020" s="46"/>
      <c r="W1020" s="46"/>
      <c r="X1020" s="11" t="str">
        <f>IF(COUNTBLANK(B1020:W1020)&gt;0,"NA",'batch classification'!J1026)</f>
        <v>NA</v>
      </c>
    </row>
    <row r="1021" spans="1:24" x14ac:dyDescent="0.25">
      <c r="A1021" s="45"/>
      <c r="B1021" s="46"/>
      <c r="C1021" s="46"/>
      <c r="D1021" s="46"/>
      <c r="E1021" s="46"/>
      <c r="F1021" s="46"/>
      <c r="G1021" s="46"/>
      <c r="H1021" s="46"/>
      <c r="I1021" s="46"/>
      <c r="J1021" s="46"/>
      <c r="K1021" s="46"/>
      <c r="L1021" s="46"/>
      <c r="M1021" s="46"/>
      <c r="N1021" s="46"/>
      <c r="O1021" s="46"/>
      <c r="P1021" s="46"/>
      <c r="Q1021" s="46"/>
      <c r="R1021" s="46"/>
      <c r="S1021" s="46"/>
      <c r="T1021" s="46"/>
      <c r="U1021" s="46"/>
      <c r="V1021" s="46"/>
      <c r="W1021" s="46"/>
      <c r="X1021" s="11" t="str">
        <f>IF(COUNTBLANK(B1021:W1021)&gt;0,"NA",'batch classification'!J1027)</f>
        <v>NA</v>
      </c>
    </row>
    <row r="1022" spans="1:24" x14ac:dyDescent="0.25">
      <c r="A1022" s="45"/>
      <c r="B1022" s="46"/>
      <c r="C1022" s="46"/>
      <c r="D1022" s="46"/>
      <c r="E1022" s="46"/>
      <c r="F1022" s="46"/>
      <c r="G1022" s="46"/>
      <c r="H1022" s="46"/>
      <c r="I1022" s="46"/>
      <c r="J1022" s="46"/>
      <c r="K1022" s="46"/>
      <c r="L1022" s="46"/>
      <c r="M1022" s="46"/>
      <c r="N1022" s="46"/>
      <c r="O1022" s="46"/>
      <c r="P1022" s="46"/>
      <c r="Q1022" s="46"/>
      <c r="R1022" s="46"/>
      <c r="S1022" s="46"/>
      <c r="T1022" s="46"/>
      <c r="U1022" s="46"/>
      <c r="V1022" s="46"/>
      <c r="W1022" s="46"/>
      <c r="X1022" s="11" t="str">
        <f>IF(COUNTBLANK(B1022:W1022)&gt;0,"NA",'batch classification'!J1028)</f>
        <v>NA</v>
      </c>
    </row>
    <row r="1023" spans="1:24" x14ac:dyDescent="0.25">
      <c r="A1023" s="45"/>
      <c r="B1023" s="46"/>
      <c r="C1023" s="46"/>
      <c r="D1023" s="46"/>
      <c r="E1023" s="46"/>
      <c r="F1023" s="46"/>
      <c r="G1023" s="46"/>
      <c r="H1023" s="46"/>
      <c r="I1023" s="46"/>
      <c r="J1023" s="46"/>
      <c r="K1023" s="46"/>
      <c r="L1023" s="46"/>
      <c r="M1023" s="46"/>
      <c r="N1023" s="46"/>
      <c r="O1023" s="46"/>
      <c r="P1023" s="46"/>
      <c r="Q1023" s="46"/>
      <c r="R1023" s="46"/>
      <c r="S1023" s="46"/>
      <c r="T1023" s="46"/>
      <c r="U1023" s="46"/>
      <c r="V1023" s="46"/>
      <c r="W1023" s="46"/>
      <c r="X1023" s="11" t="str">
        <f>IF(COUNTBLANK(B1023:W1023)&gt;0,"NA",'batch classification'!J1029)</f>
        <v>NA</v>
      </c>
    </row>
    <row r="1024" spans="1:24" x14ac:dyDescent="0.25">
      <c r="A1024" s="45"/>
      <c r="B1024" s="46"/>
      <c r="C1024" s="46"/>
      <c r="D1024" s="46"/>
      <c r="E1024" s="46"/>
      <c r="F1024" s="46"/>
      <c r="G1024" s="46"/>
      <c r="H1024" s="46"/>
      <c r="I1024" s="46"/>
      <c r="J1024" s="46"/>
      <c r="K1024" s="46"/>
      <c r="L1024" s="46"/>
      <c r="M1024" s="46"/>
      <c r="N1024" s="46"/>
      <c r="O1024" s="46"/>
      <c r="P1024" s="46"/>
      <c r="Q1024" s="46"/>
      <c r="R1024" s="46"/>
      <c r="S1024" s="46"/>
      <c r="T1024" s="46"/>
      <c r="U1024" s="46"/>
      <c r="V1024" s="46"/>
      <c r="W1024" s="46"/>
      <c r="X1024" s="11" t="str">
        <f>IF(COUNTBLANK(B1024:W1024)&gt;0,"NA",'batch classification'!J1030)</f>
        <v>NA</v>
      </c>
    </row>
    <row r="1025" spans="1:24" x14ac:dyDescent="0.25">
      <c r="A1025" s="45"/>
      <c r="B1025" s="46"/>
      <c r="C1025" s="46"/>
      <c r="D1025" s="46"/>
      <c r="E1025" s="46"/>
      <c r="F1025" s="46"/>
      <c r="G1025" s="46"/>
      <c r="H1025" s="46"/>
      <c r="I1025" s="46"/>
      <c r="J1025" s="46"/>
      <c r="K1025" s="46"/>
      <c r="L1025" s="46"/>
      <c r="M1025" s="46"/>
      <c r="N1025" s="46"/>
      <c r="O1025" s="46"/>
      <c r="P1025" s="46"/>
      <c r="Q1025" s="46"/>
      <c r="R1025" s="46"/>
      <c r="S1025" s="46"/>
      <c r="T1025" s="46"/>
      <c r="U1025" s="46"/>
      <c r="V1025" s="46"/>
      <c r="W1025" s="46"/>
      <c r="X1025" s="11" t="str">
        <f>IF(COUNTBLANK(B1025:W1025)&gt;0,"NA",'batch classification'!J1031)</f>
        <v>NA</v>
      </c>
    </row>
    <row r="1026" spans="1:24" x14ac:dyDescent="0.25">
      <c r="A1026" s="45"/>
      <c r="B1026" s="46"/>
      <c r="C1026" s="46"/>
      <c r="D1026" s="46"/>
      <c r="E1026" s="46"/>
      <c r="F1026" s="46"/>
      <c r="G1026" s="46"/>
      <c r="H1026" s="46"/>
      <c r="I1026" s="46"/>
      <c r="J1026" s="46"/>
      <c r="K1026" s="46"/>
      <c r="L1026" s="46"/>
      <c r="M1026" s="46"/>
      <c r="N1026" s="46"/>
      <c r="O1026" s="46"/>
      <c r="P1026" s="46"/>
      <c r="Q1026" s="46"/>
      <c r="R1026" s="46"/>
      <c r="S1026" s="46"/>
      <c r="T1026" s="46"/>
      <c r="U1026" s="46"/>
      <c r="V1026" s="46"/>
      <c r="W1026" s="46"/>
      <c r="X1026" s="11" t="str">
        <f>IF(COUNTBLANK(B1026:W1026)&gt;0,"NA",'batch classification'!J1032)</f>
        <v>NA</v>
      </c>
    </row>
    <row r="1027" spans="1:24" x14ac:dyDescent="0.25">
      <c r="A1027" s="45"/>
      <c r="B1027" s="46"/>
      <c r="C1027" s="46"/>
      <c r="D1027" s="46"/>
      <c r="E1027" s="46"/>
      <c r="F1027" s="46"/>
      <c r="G1027" s="46"/>
      <c r="H1027" s="46"/>
      <c r="I1027" s="46"/>
      <c r="J1027" s="46"/>
      <c r="K1027" s="46"/>
      <c r="L1027" s="46"/>
      <c r="M1027" s="46"/>
      <c r="N1027" s="46"/>
      <c r="O1027" s="46"/>
      <c r="P1027" s="46"/>
      <c r="Q1027" s="46"/>
      <c r="R1027" s="46"/>
      <c r="S1027" s="46"/>
      <c r="T1027" s="46"/>
      <c r="U1027" s="46"/>
      <c r="V1027" s="46"/>
      <c r="W1027" s="46"/>
      <c r="X1027" s="11" t="str">
        <f>IF(COUNTBLANK(B1027:W1027)&gt;0,"NA",'batch classification'!J1033)</f>
        <v>NA</v>
      </c>
    </row>
    <row r="1028" spans="1:24" x14ac:dyDescent="0.25">
      <c r="A1028" s="45"/>
      <c r="B1028" s="46"/>
      <c r="C1028" s="46"/>
      <c r="D1028" s="46"/>
      <c r="E1028" s="46"/>
      <c r="F1028" s="46"/>
      <c r="G1028" s="46"/>
      <c r="H1028" s="46"/>
      <c r="I1028" s="46"/>
      <c r="J1028" s="46"/>
      <c r="K1028" s="46"/>
      <c r="L1028" s="46"/>
      <c r="M1028" s="46"/>
      <c r="N1028" s="46"/>
      <c r="O1028" s="46"/>
      <c r="P1028" s="46"/>
      <c r="Q1028" s="46"/>
      <c r="R1028" s="46"/>
      <c r="S1028" s="46"/>
      <c r="T1028" s="46"/>
      <c r="U1028" s="46"/>
      <c r="V1028" s="46"/>
      <c r="W1028" s="46"/>
      <c r="X1028" s="11" t="str">
        <f>IF(COUNTBLANK(B1028:W1028)&gt;0,"NA",'batch classification'!J1034)</f>
        <v>NA</v>
      </c>
    </row>
    <row r="1029" spans="1:24" x14ac:dyDescent="0.25">
      <c r="A1029" s="45"/>
      <c r="B1029" s="46"/>
      <c r="C1029" s="46"/>
      <c r="D1029" s="46"/>
      <c r="E1029" s="46"/>
      <c r="F1029" s="46"/>
      <c r="G1029" s="46"/>
      <c r="H1029" s="46"/>
      <c r="I1029" s="46"/>
      <c r="J1029" s="46"/>
      <c r="K1029" s="46"/>
      <c r="L1029" s="46"/>
      <c r="M1029" s="46"/>
      <c r="N1029" s="46"/>
      <c r="O1029" s="46"/>
      <c r="P1029" s="46"/>
      <c r="Q1029" s="46"/>
      <c r="R1029" s="46"/>
      <c r="S1029" s="46"/>
      <c r="T1029" s="46"/>
      <c r="U1029" s="46"/>
      <c r="V1029" s="46"/>
      <c r="W1029" s="46"/>
      <c r="X1029" s="11" t="str">
        <f>IF(COUNTBLANK(B1029:W1029)&gt;0,"NA",'batch classification'!J1035)</f>
        <v>NA</v>
      </c>
    </row>
    <row r="1030" spans="1:24" x14ac:dyDescent="0.25">
      <c r="A1030" s="45"/>
      <c r="B1030" s="46"/>
      <c r="C1030" s="46"/>
      <c r="D1030" s="46"/>
      <c r="E1030" s="46"/>
      <c r="F1030" s="46"/>
      <c r="G1030" s="46"/>
      <c r="H1030" s="46"/>
      <c r="I1030" s="46"/>
      <c r="J1030" s="46"/>
      <c r="K1030" s="46"/>
      <c r="L1030" s="46"/>
      <c r="M1030" s="46"/>
      <c r="N1030" s="46"/>
      <c r="O1030" s="46"/>
      <c r="P1030" s="46"/>
      <c r="Q1030" s="46"/>
      <c r="R1030" s="46"/>
      <c r="S1030" s="46"/>
      <c r="T1030" s="46"/>
      <c r="U1030" s="46"/>
      <c r="V1030" s="46"/>
      <c r="W1030" s="46"/>
      <c r="X1030" s="11" t="str">
        <f>IF(COUNTBLANK(B1030:W1030)&gt;0,"NA",'batch classification'!J1036)</f>
        <v>NA</v>
      </c>
    </row>
    <row r="1031" spans="1:24" x14ac:dyDescent="0.25">
      <c r="A1031" s="45"/>
      <c r="B1031" s="46"/>
      <c r="C1031" s="46"/>
      <c r="D1031" s="46"/>
      <c r="E1031" s="46"/>
      <c r="F1031" s="46"/>
      <c r="G1031" s="46"/>
      <c r="H1031" s="46"/>
      <c r="I1031" s="46"/>
      <c r="J1031" s="46"/>
      <c r="K1031" s="46"/>
      <c r="L1031" s="46"/>
      <c r="M1031" s="46"/>
      <c r="N1031" s="46"/>
      <c r="O1031" s="46"/>
      <c r="P1031" s="46"/>
      <c r="Q1031" s="46"/>
      <c r="R1031" s="46"/>
      <c r="S1031" s="46"/>
      <c r="T1031" s="46"/>
      <c r="U1031" s="46"/>
      <c r="V1031" s="46"/>
      <c r="W1031" s="46"/>
      <c r="X1031" s="11" t="str">
        <f>IF(COUNTBLANK(B1031:W1031)&gt;0,"NA",'batch classification'!J1037)</f>
        <v>NA</v>
      </c>
    </row>
    <row r="1032" spans="1:24" x14ac:dyDescent="0.25">
      <c r="A1032" s="45"/>
      <c r="B1032" s="46"/>
      <c r="C1032" s="46"/>
      <c r="D1032" s="46"/>
      <c r="E1032" s="46"/>
      <c r="F1032" s="46"/>
      <c r="G1032" s="46"/>
      <c r="H1032" s="46"/>
      <c r="I1032" s="46"/>
      <c r="J1032" s="46"/>
      <c r="K1032" s="46"/>
      <c r="L1032" s="46"/>
      <c r="M1032" s="46"/>
      <c r="N1032" s="46"/>
      <c r="O1032" s="46"/>
      <c r="P1032" s="46"/>
      <c r="Q1032" s="46"/>
      <c r="R1032" s="46"/>
      <c r="S1032" s="46"/>
      <c r="T1032" s="46"/>
      <c r="U1032" s="46"/>
      <c r="V1032" s="46"/>
      <c r="W1032" s="46"/>
      <c r="X1032" s="11" t="str">
        <f>IF(COUNTBLANK(B1032:W1032)&gt;0,"NA",'batch classification'!J1038)</f>
        <v>NA</v>
      </c>
    </row>
    <row r="1033" spans="1:24" x14ac:dyDescent="0.25">
      <c r="A1033" s="45"/>
      <c r="B1033" s="46"/>
      <c r="C1033" s="46"/>
      <c r="D1033" s="46"/>
      <c r="E1033" s="46"/>
      <c r="F1033" s="46"/>
      <c r="G1033" s="46"/>
      <c r="H1033" s="46"/>
      <c r="I1033" s="46"/>
      <c r="J1033" s="46"/>
      <c r="K1033" s="46"/>
      <c r="L1033" s="46"/>
      <c r="M1033" s="46"/>
      <c r="N1033" s="46"/>
      <c r="O1033" s="46"/>
      <c r="P1033" s="46"/>
      <c r="Q1033" s="46"/>
      <c r="R1033" s="46"/>
      <c r="S1033" s="46"/>
      <c r="T1033" s="46"/>
      <c r="U1033" s="46"/>
      <c r="V1033" s="46"/>
      <c r="W1033" s="46"/>
      <c r="X1033" s="11" t="str">
        <f>IF(COUNTBLANK(B1033:W1033)&gt;0,"NA",'batch classification'!J1039)</f>
        <v>NA</v>
      </c>
    </row>
    <row r="1034" spans="1:24" x14ac:dyDescent="0.25">
      <c r="A1034" s="45"/>
      <c r="B1034" s="46"/>
      <c r="C1034" s="46"/>
      <c r="D1034" s="46"/>
      <c r="E1034" s="46"/>
      <c r="F1034" s="46"/>
      <c r="G1034" s="46"/>
      <c r="H1034" s="46"/>
      <c r="I1034" s="46"/>
      <c r="J1034" s="46"/>
      <c r="K1034" s="46"/>
      <c r="L1034" s="46"/>
      <c r="M1034" s="46"/>
      <c r="N1034" s="46"/>
      <c r="O1034" s="46"/>
      <c r="P1034" s="46"/>
      <c r="Q1034" s="46"/>
      <c r="R1034" s="46"/>
      <c r="S1034" s="46"/>
      <c r="T1034" s="46"/>
      <c r="U1034" s="46"/>
      <c r="V1034" s="46"/>
      <c r="W1034" s="46"/>
      <c r="X1034" s="11" t="str">
        <f>IF(COUNTBLANK(B1034:W1034)&gt;0,"NA",'batch classification'!J1040)</f>
        <v>NA</v>
      </c>
    </row>
    <row r="1035" spans="1:24" x14ac:dyDescent="0.25">
      <c r="A1035" s="45"/>
      <c r="B1035" s="46"/>
      <c r="C1035" s="46"/>
      <c r="D1035" s="46"/>
      <c r="E1035" s="46"/>
      <c r="F1035" s="46"/>
      <c r="G1035" s="46"/>
      <c r="H1035" s="46"/>
      <c r="I1035" s="46"/>
      <c r="J1035" s="46"/>
      <c r="K1035" s="46"/>
      <c r="L1035" s="46"/>
      <c r="M1035" s="46"/>
      <c r="N1035" s="46"/>
      <c r="O1035" s="46"/>
      <c r="P1035" s="46"/>
      <c r="Q1035" s="46"/>
      <c r="R1035" s="46"/>
      <c r="S1035" s="46"/>
      <c r="T1035" s="46"/>
      <c r="U1035" s="46"/>
      <c r="V1035" s="46"/>
      <c r="W1035" s="46"/>
      <c r="X1035" s="11" t="str">
        <f>IF(COUNTBLANK(B1035:W1035)&gt;0,"NA",'batch classification'!J1041)</f>
        <v>NA</v>
      </c>
    </row>
    <row r="1036" spans="1:24" x14ac:dyDescent="0.25">
      <c r="A1036" s="45"/>
      <c r="B1036" s="46"/>
      <c r="C1036" s="46"/>
      <c r="D1036" s="46"/>
      <c r="E1036" s="46"/>
      <c r="F1036" s="46"/>
      <c r="G1036" s="46"/>
      <c r="H1036" s="46"/>
      <c r="I1036" s="46"/>
      <c r="J1036" s="46"/>
      <c r="K1036" s="46"/>
      <c r="L1036" s="46"/>
      <c r="M1036" s="46"/>
      <c r="N1036" s="46"/>
      <c r="O1036" s="46"/>
      <c r="P1036" s="46"/>
      <c r="Q1036" s="46"/>
      <c r="R1036" s="46"/>
      <c r="S1036" s="46"/>
      <c r="T1036" s="46"/>
      <c r="U1036" s="46"/>
      <c r="V1036" s="46"/>
      <c r="W1036" s="46"/>
      <c r="X1036" s="11" t="str">
        <f>IF(COUNTBLANK(B1036:W1036)&gt;0,"NA",'batch classification'!J1042)</f>
        <v>NA</v>
      </c>
    </row>
    <row r="1037" spans="1:24" x14ac:dyDescent="0.25">
      <c r="A1037" s="45"/>
      <c r="B1037" s="46"/>
      <c r="C1037" s="46"/>
      <c r="D1037" s="46"/>
      <c r="E1037" s="46"/>
      <c r="F1037" s="46"/>
      <c r="G1037" s="46"/>
      <c r="H1037" s="46"/>
      <c r="I1037" s="46"/>
      <c r="J1037" s="46"/>
      <c r="K1037" s="46"/>
      <c r="L1037" s="46"/>
      <c r="M1037" s="46"/>
      <c r="N1037" s="46"/>
      <c r="O1037" s="46"/>
      <c r="P1037" s="46"/>
      <c r="Q1037" s="46"/>
      <c r="R1037" s="46"/>
      <c r="S1037" s="46"/>
      <c r="T1037" s="46"/>
      <c r="U1037" s="46"/>
      <c r="V1037" s="46"/>
      <c r="W1037" s="46"/>
      <c r="X1037" s="11" t="str">
        <f>IF(COUNTBLANK(B1037:W1037)&gt;0,"NA",'batch classification'!J1043)</f>
        <v>NA</v>
      </c>
    </row>
    <row r="1038" spans="1:24" x14ac:dyDescent="0.25">
      <c r="A1038" s="45"/>
      <c r="B1038" s="46"/>
      <c r="C1038" s="46"/>
      <c r="D1038" s="46"/>
      <c r="E1038" s="46"/>
      <c r="F1038" s="46"/>
      <c r="G1038" s="46"/>
      <c r="H1038" s="46"/>
      <c r="I1038" s="46"/>
      <c r="J1038" s="46"/>
      <c r="K1038" s="46"/>
      <c r="L1038" s="46"/>
      <c r="M1038" s="46"/>
      <c r="N1038" s="46"/>
      <c r="O1038" s="46"/>
      <c r="P1038" s="46"/>
      <c r="Q1038" s="46"/>
      <c r="R1038" s="46"/>
      <c r="S1038" s="46"/>
      <c r="T1038" s="46"/>
      <c r="U1038" s="46"/>
      <c r="V1038" s="46"/>
      <c r="W1038" s="46"/>
      <c r="X1038" s="11" t="str">
        <f>IF(COUNTBLANK(B1038:W1038)&gt;0,"NA",'batch classification'!J1044)</f>
        <v>NA</v>
      </c>
    </row>
    <row r="1039" spans="1:24" x14ac:dyDescent="0.25">
      <c r="A1039" s="45"/>
      <c r="B1039" s="46"/>
      <c r="C1039" s="46"/>
      <c r="D1039" s="46"/>
      <c r="E1039" s="46"/>
      <c r="F1039" s="46"/>
      <c r="G1039" s="46"/>
      <c r="H1039" s="46"/>
      <c r="I1039" s="46"/>
      <c r="J1039" s="46"/>
      <c r="K1039" s="46"/>
      <c r="L1039" s="46"/>
      <c r="M1039" s="46"/>
      <c r="N1039" s="46"/>
      <c r="O1039" s="46"/>
      <c r="P1039" s="46"/>
      <c r="Q1039" s="46"/>
      <c r="R1039" s="46"/>
      <c r="S1039" s="46"/>
      <c r="T1039" s="46"/>
      <c r="U1039" s="46"/>
      <c r="V1039" s="46"/>
      <c r="W1039" s="46"/>
      <c r="X1039" s="11" t="str">
        <f>IF(COUNTBLANK(B1039:W1039)&gt;0,"NA",'batch classification'!J1045)</f>
        <v>NA</v>
      </c>
    </row>
    <row r="1040" spans="1:24" x14ac:dyDescent="0.25">
      <c r="A1040" s="45"/>
      <c r="B1040" s="46"/>
      <c r="C1040" s="46"/>
      <c r="D1040" s="46"/>
      <c r="E1040" s="46"/>
      <c r="F1040" s="46"/>
      <c r="G1040" s="46"/>
      <c r="H1040" s="46"/>
      <c r="I1040" s="46"/>
      <c r="J1040" s="46"/>
      <c r="K1040" s="46"/>
      <c r="L1040" s="46"/>
      <c r="M1040" s="46"/>
      <c r="N1040" s="46"/>
      <c r="O1040" s="46"/>
      <c r="P1040" s="46"/>
      <c r="Q1040" s="46"/>
      <c r="R1040" s="46"/>
      <c r="S1040" s="46"/>
      <c r="T1040" s="46"/>
      <c r="U1040" s="46"/>
      <c r="V1040" s="46"/>
      <c r="W1040" s="46"/>
      <c r="X1040" s="11" t="str">
        <f>IF(COUNTBLANK(B1040:W1040)&gt;0,"NA",'batch classification'!J1046)</f>
        <v>NA</v>
      </c>
    </row>
    <row r="1041" spans="1:24" x14ac:dyDescent="0.25">
      <c r="A1041" s="45"/>
      <c r="B1041" s="46"/>
      <c r="C1041" s="46"/>
      <c r="D1041" s="46"/>
      <c r="E1041" s="46"/>
      <c r="F1041" s="46"/>
      <c r="G1041" s="46"/>
      <c r="H1041" s="46"/>
      <c r="I1041" s="46"/>
      <c r="J1041" s="46"/>
      <c r="K1041" s="46"/>
      <c r="L1041" s="46"/>
      <c r="M1041" s="46"/>
      <c r="N1041" s="46"/>
      <c r="O1041" s="46"/>
      <c r="P1041" s="46"/>
      <c r="Q1041" s="46"/>
      <c r="R1041" s="46"/>
      <c r="S1041" s="46"/>
      <c r="T1041" s="46"/>
      <c r="U1041" s="46"/>
      <c r="V1041" s="46"/>
      <c r="W1041" s="46"/>
      <c r="X1041" s="11" t="str">
        <f>IF(COUNTBLANK(B1041:W1041)&gt;0,"NA",'batch classification'!J1047)</f>
        <v>NA</v>
      </c>
    </row>
    <row r="1042" spans="1:24" x14ac:dyDescent="0.25">
      <c r="A1042" s="45"/>
      <c r="B1042" s="46"/>
      <c r="C1042" s="46"/>
      <c r="D1042" s="46"/>
      <c r="E1042" s="46"/>
      <c r="F1042" s="46"/>
      <c r="G1042" s="46"/>
      <c r="H1042" s="46"/>
      <c r="I1042" s="46"/>
      <c r="J1042" s="46"/>
      <c r="K1042" s="46"/>
      <c r="L1042" s="46"/>
      <c r="M1042" s="46"/>
      <c r="N1042" s="46"/>
      <c r="O1042" s="46"/>
      <c r="P1042" s="46"/>
      <c r="Q1042" s="46"/>
      <c r="R1042" s="46"/>
      <c r="S1042" s="46"/>
      <c r="T1042" s="46"/>
      <c r="U1042" s="46"/>
      <c r="V1042" s="46"/>
      <c r="W1042" s="46"/>
      <c r="X1042" s="11" t="str">
        <f>IF(COUNTBLANK(B1042:W1042)&gt;0,"NA",'batch classification'!J1048)</f>
        <v>NA</v>
      </c>
    </row>
    <row r="1043" spans="1:24" x14ac:dyDescent="0.25">
      <c r="A1043" s="45"/>
      <c r="B1043" s="46"/>
      <c r="C1043" s="46"/>
      <c r="D1043" s="46"/>
      <c r="E1043" s="46"/>
      <c r="F1043" s="46"/>
      <c r="G1043" s="46"/>
      <c r="H1043" s="46"/>
      <c r="I1043" s="46"/>
      <c r="J1043" s="46"/>
      <c r="K1043" s="46"/>
      <c r="L1043" s="46"/>
      <c r="M1043" s="46"/>
      <c r="N1043" s="46"/>
      <c r="O1043" s="46"/>
      <c r="P1043" s="46"/>
      <c r="Q1043" s="46"/>
      <c r="R1043" s="46"/>
      <c r="S1043" s="46"/>
      <c r="T1043" s="46"/>
      <c r="U1043" s="46"/>
      <c r="V1043" s="46"/>
      <c r="W1043" s="46"/>
      <c r="X1043" s="11" t="str">
        <f>IF(COUNTBLANK(B1043:W1043)&gt;0,"NA",'batch classification'!J1049)</f>
        <v>NA</v>
      </c>
    </row>
    <row r="1044" spans="1:24" x14ac:dyDescent="0.25">
      <c r="A1044" s="45"/>
      <c r="B1044" s="46"/>
      <c r="C1044" s="46"/>
      <c r="D1044" s="46"/>
      <c r="E1044" s="46"/>
      <c r="F1044" s="46"/>
      <c r="G1044" s="46"/>
      <c r="H1044" s="46"/>
      <c r="I1044" s="46"/>
      <c r="J1044" s="46"/>
      <c r="K1044" s="46"/>
      <c r="L1044" s="46"/>
      <c r="M1044" s="46"/>
      <c r="N1044" s="46"/>
      <c r="O1044" s="46"/>
      <c r="P1044" s="46"/>
      <c r="Q1044" s="46"/>
      <c r="R1044" s="46"/>
      <c r="S1044" s="46"/>
      <c r="T1044" s="46"/>
      <c r="U1044" s="46"/>
      <c r="V1044" s="46"/>
      <c r="W1044" s="46"/>
      <c r="X1044" s="11" t="str">
        <f>IF(COUNTBLANK(B1044:W1044)&gt;0,"NA",'batch classification'!J1050)</f>
        <v>NA</v>
      </c>
    </row>
    <row r="1045" spans="1:24" x14ac:dyDescent="0.25">
      <c r="A1045" s="45"/>
      <c r="B1045" s="46"/>
      <c r="C1045" s="46"/>
      <c r="D1045" s="46"/>
      <c r="E1045" s="46"/>
      <c r="F1045" s="46"/>
      <c r="G1045" s="46"/>
      <c r="H1045" s="46"/>
      <c r="I1045" s="46"/>
      <c r="J1045" s="46"/>
      <c r="K1045" s="46"/>
      <c r="L1045" s="46"/>
      <c r="M1045" s="46"/>
      <c r="N1045" s="46"/>
      <c r="O1045" s="46"/>
      <c r="P1045" s="46"/>
      <c r="Q1045" s="46"/>
      <c r="R1045" s="46"/>
      <c r="S1045" s="46"/>
      <c r="T1045" s="46"/>
      <c r="U1045" s="46"/>
      <c r="V1045" s="46"/>
      <c r="W1045" s="46"/>
      <c r="X1045" s="11" t="str">
        <f>IF(COUNTBLANK(B1045:W1045)&gt;0,"NA",'batch classification'!J1051)</f>
        <v>NA</v>
      </c>
    </row>
    <row r="1046" spans="1:24" x14ac:dyDescent="0.25">
      <c r="A1046" s="45"/>
      <c r="B1046" s="46"/>
      <c r="C1046" s="46"/>
      <c r="D1046" s="46"/>
      <c r="E1046" s="46"/>
      <c r="F1046" s="46"/>
      <c r="G1046" s="46"/>
      <c r="H1046" s="46"/>
      <c r="I1046" s="46"/>
      <c r="J1046" s="46"/>
      <c r="K1046" s="46"/>
      <c r="L1046" s="46"/>
      <c r="M1046" s="46"/>
      <c r="N1046" s="46"/>
      <c r="O1046" s="46"/>
      <c r="P1046" s="46"/>
      <c r="Q1046" s="46"/>
      <c r="R1046" s="46"/>
      <c r="S1046" s="46"/>
      <c r="T1046" s="46"/>
      <c r="U1046" s="46"/>
      <c r="V1046" s="46"/>
      <c r="W1046" s="46"/>
      <c r="X1046" s="11" t="str">
        <f>IF(COUNTBLANK(B1046:W1046)&gt;0,"NA",'batch classification'!J1052)</f>
        <v>NA</v>
      </c>
    </row>
    <row r="1047" spans="1:24" x14ac:dyDescent="0.25">
      <c r="A1047" s="45"/>
      <c r="B1047" s="46"/>
      <c r="C1047" s="46"/>
      <c r="D1047" s="46"/>
      <c r="E1047" s="46"/>
      <c r="F1047" s="46"/>
      <c r="G1047" s="46"/>
      <c r="H1047" s="46"/>
      <c r="I1047" s="46"/>
      <c r="J1047" s="46"/>
      <c r="K1047" s="46"/>
      <c r="L1047" s="46"/>
      <c r="M1047" s="46"/>
      <c r="N1047" s="46"/>
      <c r="O1047" s="46"/>
      <c r="P1047" s="46"/>
      <c r="Q1047" s="46"/>
      <c r="R1047" s="46"/>
      <c r="S1047" s="46"/>
      <c r="T1047" s="46"/>
      <c r="U1047" s="46"/>
      <c r="V1047" s="46"/>
      <c r="W1047" s="46"/>
      <c r="X1047" s="11" t="str">
        <f>IF(COUNTBLANK(B1047:W1047)&gt;0,"NA",'batch classification'!J1053)</f>
        <v>NA</v>
      </c>
    </row>
    <row r="1048" spans="1:24" x14ac:dyDescent="0.25">
      <c r="A1048" s="45"/>
      <c r="B1048" s="46"/>
      <c r="C1048" s="46"/>
      <c r="D1048" s="46"/>
      <c r="E1048" s="46"/>
      <c r="F1048" s="46"/>
      <c r="G1048" s="46"/>
      <c r="H1048" s="46"/>
      <c r="I1048" s="46"/>
      <c r="J1048" s="46"/>
      <c r="K1048" s="46"/>
      <c r="L1048" s="46"/>
      <c r="M1048" s="46"/>
      <c r="N1048" s="46"/>
      <c r="O1048" s="46"/>
      <c r="P1048" s="46"/>
      <c r="Q1048" s="46"/>
      <c r="R1048" s="46"/>
      <c r="S1048" s="46"/>
      <c r="T1048" s="46"/>
      <c r="U1048" s="46"/>
      <c r="V1048" s="46"/>
      <c r="W1048" s="46"/>
      <c r="X1048" s="11" t="str">
        <f>IF(COUNTBLANK(B1048:W1048)&gt;0,"NA",'batch classification'!J1054)</f>
        <v>NA</v>
      </c>
    </row>
    <row r="1049" spans="1:24" x14ac:dyDescent="0.25">
      <c r="A1049" s="45"/>
      <c r="B1049" s="46"/>
      <c r="C1049" s="46"/>
      <c r="D1049" s="46"/>
      <c r="E1049" s="46"/>
      <c r="F1049" s="46"/>
      <c r="G1049" s="46"/>
      <c r="H1049" s="46"/>
      <c r="I1049" s="46"/>
      <c r="J1049" s="46"/>
      <c r="K1049" s="46"/>
      <c r="L1049" s="46"/>
      <c r="M1049" s="46"/>
      <c r="N1049" s="46"/>
      <c r="O1049" s="46"/>
      <c r="P1049" s="46"/>
      <c r="Q1049" s="46"/>
      <c r="R1049" s="46"/>
      <c r="S1049" s="46"/>
      <c r="T1049" s="46"/>
      <c r="U1049" s="46"/>
      <c r="V1049" s="46"/>
      <c r="W1049" s="46"/>
      <c r="X1049" s="11" t="str">
        <f>IF(COUNTBLANK(B1049:W1049)&gt;0,"NA",'batch classification'!J1055)</f>
        <v>NA</v>
      </c>
    </row>
    <row r="1050" spans="1:24" x14ac:dyDescent="0.25">
      <c r="A1050" s="45"/>
      <c r="B1050" s="46"/>
      <c r="C1050" s="46"/>
      <c r="D1050" s="46"/>
      <c r="E1050" s="46"/>
      <c r="F1050" s="46"/>
      <c r="G1050" s="46"/>
      <c r="H1050" s="46"/>
      <c r="I1050" s="46"/>
      <c r="J1050" s="46"/>
      <c r="K1050" s="46"/>
      <c r="L1050" s="46"/>
      <c r="M1050" s="46"/>
      <c r="N1050" s="46"/>
      <c r="O1050" s="46"/>
      <c r="P1050" s="46"/>
      <c r="Q1050" s="46"/>
      <c r="R1050" s="46"/>
      <c r="S1050" s="46"/>
      <c r="T1050" s="46"/>
      <c r="U1050" s="46"/>
      <c r="V1050" s="46"/>
      <c r="W1050" s="46"/>
      <c r="X1050" s="11" t="str">
        <f>IF(COUNTBLANK(B1050:W1050)&gt;0,"NA",'batch classification'!J1056)</f>
        <v>NA</v>
      </c>
    </row>
    <row r="1051" spans="1:24" x14ac:dyDescent="0.25">
      <c r="A1051" s="45"/>
      <c r="B1051" s="46"/>
      <c r="C1051" s="46"/>
      <c r="D1051" s="46"/>
      <c r="E1051" s="46"/>
      <c r="F1051" s="46"/>
      <c r="G1051" s="46"/>
      <c r="H1051" s="46"/>
      <c r="I1051" s="46"/>
      <c r="J1051" s="46"/>
      <c r="K1051" s="46"/>
      <c r="L1051" s="46"/>
      <c r="M1051" s="46"/>
      <c r="N1051" s="46"/>
      <c r="O1051" s="46"/>
      <c r="P1051" s="46"/>
      <c r="Q1051" s="46"/>
      <c r="R1051" s="46"/>
      <c r="S1051" s="46"/>
      <c r="T1051" s="46"/>
      <c r="U1051" s="46"/>
      <c r="V1051" s="46"/>
      <c r="W1051" s="46"/>
      <c r="X1051" s="11" t="str">
        <f>IF(COUNTBLANK(B1051:W1051)&gt;0,"NA",'batch classification'!J1057)</f>
        <v>NA</v>
      </c>
    </row>
    <row r="1052" spans="1:24" x14ac:dyDescent="0.25">
      <c r="A1052" s="45"/>
      <c r="B1052" s="46"/>
      <c r="C1052" s="46"/>
      <c r="D1052" s="46"/>
      <c r="E1052" s="46"/>
      <c r="F1052" s="46"/>
      <c r="G1052" s="46"/>
      <c r="H1052" s="46"/>
      <c r="I1052" s="46"/>
      <c r="J1052" s="46"/>
      <c r="K1052" s="46"/>
      <c r="L1052" s="46"/>
      <c r="M1052" s="46"/>
      <c r="N1052" s="46"/>
      <c r="O1052" s="46"/>
      <c r="P1052" s="46"/>
      <c r="Q1052" s="46"/>
      <c r="R1052" s="46"/>
      <c r="S1052" s="46"/>
      <c r="T1052" s="46"/>
      <c r="U1052" s="46"/>
      <c r="V1052" s="46"/>
      <c r="W1052" s="46"/>
      <c r="X1052" s="11" t="str">
        <f>IF(COUNTBLANK(B1052:W1052)&gt;0,"NA",'batch classification'!J1058)</f>
        <v>NA</v>
      </c>
    </row>
    <row r="1053" spans="1:24" x14ac:dyDescent="0.25">
      <c r="A1053" s="45"/>
      <c r="B1053" s="46"/>
      <c r="C1053" s="46"/>
      <c r="D1053" s="46"/>
      <c r="E1053" s="46"/>
      <c r="F1053" s="46"/>
      <c r="G1053" s="46"/>
      <c r="H1053" s="46"/>
      <c r="I1053" s="46"/>
      <c r="J1053" s="46"/>
      <c r="K1053" s="46"/>
      <c r="L1053" s="46"/>
      <c r="M1053" s="46"/>
      <c r="N1053" s="46"/>
      <c r="O1053" s="46"/>
      <c r="P1053" s="46"/>
      <c r="Q1053" s="46"/>
      <c r="R1053" s="46"/>
      <c r="S1053" s="46"/>
      <c r="T1053" s="46"/>
      <c r="U1053" s="46"/>
      <c r="V1053" s="46"/>
      <c r="W1053" s="46"/>
      <c r="X1053" s="11" t="str">
        <f>IF(COUNTBLANK(B1053:W1053)&gt;0,"NA",'batch classification'!J1059)</f>
        <v>NA</v>
      </c>
    </row>
    <row r="1054" spans="1:24" x14ac:dyDescent="0.25">
      <c r="A1054" s="45"/>
      <c r="B1054" s="46"/>
      <c r="C1054" s="46"/>
      <c r="D1054" s="46"/>
      <c r="E1054" s="46"/>
      <c r="F1054" s="46"/>
      <c r="G1054" s="46"/>
      <c r="H1054" s="46"/>
      <c r="I1054" s="46"/>
      <c r="J1054" s="46"/>
      <c r="K1054" s="46"/>
      <c r="L1054" s="46"/>
      <c r="M1054" s="46"/>
      <c r="N1054" s="46"/>
      <c r="O1054" s="46"/>
      <c r="P1054" s="46"/>
      <c r="Q1054" s="46"/>
      <c r="R1054" s="46"/>
      <c r="S1054" s="46"/>
      <c r="T1054" s="46"/>
      <c r="U1054" s="46"/>
      <c r="V1054" s="46"/>
      <c r="W1054" s="46"/>
      <c r="X1054" s="11" t="str">
        <f>IF(COUNTBLANK(B1054:W1054)&gt;0,"NA",'batch classification'!J1060)</f>
        <v>NA</v>
      </c>
    </row>
    <row r="1055" spans="1:24" x14ac:dyDescent="0.25">
      <c r="A1055" s="45"/>
      <c r="B1055" s="46"/>
      <c r="C1055" s="46"/>
      <c r="D1055" s="46"/>
      <c r="E1055" s="46"/>
      <c r="F1055" s="46"/>
      <c r="G1055" s="46"/>
      <c r="H1055" s="46"/>
      <c r="I1055" s="46"/>
      <c r="J1055" s="46"/>
      <c r="K1055" s="46"/>
      <c r="L1055" s="46"/>
      <c r="M1055" s="46"/>
      <c r="N1055" s="46"/>
      <c r="O1055" s="46"/>
      <c r="P1055" s="46"/>
      <c r="Q1055" s="46"/>
      <c r="R1055" s="46"/>
      <c r="S1055" s="46"/>
      <c r="T1055" s="46"/>
      <c r="U1055" s="46"/>
      <c r="V1055" s="46"/>
      <c r="W1055" s="46"/>
      <c r="X1055" s="11" t="str">
        <f>IF(COUNTBLANK(B1055:W1055)&gt;0,"NA",'batch classification'!J1061)</f>
        <v>NA</v>
      </c>
    </row>
    <row r="1056" spans="1:24" x14ac:dyDescent="0.25">
      <c r="A1056" s="45"/>
      <c r="B1056" s="46"/>
      <c r="C1056" s="46"/>
      <c r="D1056" s="46"/>
      <c r="E1056" s="46"/>
      <c r="F1056" s="46"/>
      <c r="G1056" s="46"/>
      <c r="H1056" s="46"/>
      <c r="I1056" s="46"/>
      <c r="J1056" s="46"/>
      <c r="K1056" s="46"/>
      <c r="L1056" s="46"/>
      <c r="M1056" s="46"/>
      <c r="N1056" s="46"/>
      <c r="O1056" s="46"/>
      <c r="P1056" s="46"/>
      <c r="Q1056" s="46"/>
      <c r="R1056" s="46"/>
      <c r="S1056" s="46"/>
      <c r="T1056" s="46"/>
      <c r="U1056" s="46"/>
      <c r="V1056" s="46"/>
      <c r="W1056" s="46"/>
      <c r="X1056" s="11" t="str">
        <f>IF(COUNTBLANK(B1056:W1056)&gt;0,"NA",'batch classification'!J1062)</f>
        <v>NA</v>
      </c>
    </row>
    <row r="1057" spans="1:24" x14ac:dyDescent="0.25">
      <c r="A1057" s="45"/>
      <c r="B1057" s="46"/>
      <c r="C1057" s="46"/>
      <c r="D1057" s="46"/>
      <c r="E1057" s="46"/>
      <c r="F1057" s="46"/>
      <c r="G1057" s="46"/>
      <c r="H1057" s="46"/>
      <c r="I1057" s="46"/>
      <c r="J1057" s="46"/>
      <c r="K1057" s="46"/>
      <c r="L1057" s="46"/>
      <c r="M1057" s="46"/>
      <c r="N1057" s="46"/>
      <c r="O1057" s="46"/>
      <c r="P1057" s="46"/>
      <c r="Q1057" s="46"/>
      <c r="R1057" s="46"/>
      <c r="S1057" s="46"/>
      <c r="T1057" s="46"/>
      <c r="U1057" s="46"/>
      <c r="V1057" s="46"/>
      <c r="W1057" s="46"/>
      <c r="X1057" s="11" t="str">
        <f>IF(COUNTBLANK(B1057:W1057)&gt;0,"NA",'batch classification'!J1063)</f>
        <v>NA</v>
      </c>
    </row>
    <row r="1058" spans="1:24" x14ac:dyDescent="0.25">
      <c r="A1058" s="45"/>
      <c r="B1058" s="46"/>
      <c r="C1058" s="46"/>
      <c r="D1058" s="46"/>
      <c r="E1058" s="46"/>
      <c r="F1058" s="46"/>
      <c r="G1058" s="46"/>
      <c r="H1058" s="46"/>
      <c r="I1058" s="46"/>
      <c r="J1058" s="46"/>
      <c r="K1058" s="46"/>
      <c r="L1058" s="46"/>
      <c r="M1058" s="46"/>
      <c r="N1058" s="46"/>
      <c r="O1058" s="46"/>
      <c r="P1058" s="46"/>
      <c r="Q1058" s="46"/>
      <c r="R1058" s="46"/>
      <c r="S1058" s="46"/>
      <c r="T1058" s="46"/>
      <c r="U1058" s="46"/>
      <c r="V1058" s="46"/>
      <c r="W1058" s="46"/>
      <c r="X1058" s="11" t="str">
        <f>IF(COUNTBLANK(B1058:W1058)&gt;0,"NA",'batch classification'!J1064)</f>
        <v>NA</v>
      </c>
    </row>
    <row r="1059" spans="1:24" x14ac:dyDescent="0.25">
      <c r="A1059" s="45"/>
      <c r="B1059" s="46"/>
      <c r="C1059" s="46"/>
      <c r="D1059" s="46"/>
      <c r="E1059" s="46"/>
      <c r="F1059" s="46"/>
      <c r="G1059" s="46"/>
      <c r="H1059" s="46"/>
      <c r="I1059" s="46"/>
      <c r="J1059" s="46"/>
      <c r="K1059" s="46"/>
      <c r="L1059" s="46"/>
      <c r="M1059" s="46"/>
      <c r="N1059" s="46"/>
      <c r="O1059" s="46"/>
      <c r="P1059" s="46"/>
      <c r="Q1059" s="46"/>
      <c r="R1059" s="46"/>
      <c r="S1059" s="46"/>
      <c r="T1059" s="46"/>
      <c r="U1059" s="46"/>
      <c r="V1059" s="46"/>
      <c r="W1059" s="46"/>
      <c r="X1059" s="11" t="str">
        <f>IF(COUNTBLANK(B1059:W1059)&gt;0,"NA",'batch classification'!J1065)</f>
        <v>NA</v>
      </c>
    </row>
    <row r="1060" spans="1:24" x14ac:dyDescent="0.25">
      <c r="A1060" s="45"/>
      <c r="B1060" s="46"/>
      <c r="C1060" s="46"/>
      <c r="D1060" s="46"/>
      <c r="E1060" s="46"/>
      <c r="F1060" s="46"/>
      <c r="G1060" s="46"/>
      <c r="H1060" s="46"/>
      <c r="I1060" s="46"/>
      <c r="J1060" s="46"/>
      <c r="K1060" s="46"/>
      <c r="L1060" s="46"/>
      <c r="M1060" s="46"/>
      <c r="N1060" s="46"/>
      <c r="O1060" s="46"/>
      <c r="P1060" s="46"/>
      <c r="Q1060" s="46"/>
      <c r="R1060" s="46"/>
      <c r="S1060" s="46"/>
      <c r="T1060" s="46"/>
      <c r="U1060" s="46"/>
      <c r="V1060" s="46"/>
      <c r="W1060" s="46"/>
      <c r="X1060" s="11" t="str">
        <f>IF(COUNTBLANK(B1060:W1060)&gt;0,"NA",'batch classification'!J1066)</f>
        <v>NA</v>
      </c>
    </row>
    <row r="1061" spans="1:24" x14ac:dyDescent="0.25">
      <c r="A1061" s="45"/>
      <c r="B1061" s="46"/>
      <c r="C1061" s="46"/>
      <c r="D1061" s="46"/>
      <c r="E1061" s="46"/>
      <c r="F1061" s="46"/>
      <c r="G1061" s="46"/>
      <c r="H1061" s="46"/>
      <c r="I1061" s="46"/>
      <c r="J1061" s="46"/>
      <c r="K1061" s="46"/>
      <c r="L1061" s="46"/>
      <c r="M1061" s="46"/>
      <c r="N1061" s="46"/>
      <c r="O1061" s="46"/>
      <c r="P1061" s="46"/>
      <c r="Q1061" s="46"/>
      <c r="R1061" s="46"/>
      <c r="S1061" s="46"/>
      <c r="T1061" s="46"/>
      <c r="U1061" s="46"/>
      <c r="V1061" s="46"/>
      <c r="W1061" s="46"/>
      <c r="X1061" s="11" t="str">
        <f>IF(COUNTBLANK(B1061:W1061)&gt;0,"NA",'batch classification'!J1067)</f>
        <v>NA</v>
      </c>
    </row>
    <row r="1062" spans="1:24" x14ac:dyDescent="0.25">
      <c r="A1062" s="45"/>
      <c r="B1062" s="46"/>
      <c r="C1062" s="46"/>
      <c r="D1062" s="46"/>
      <c r="E1062" s="46"/>
      <c r="F1062" s="46"/>
      <c r="G1062" s="46"/>
      <c r="H1062" s="46"/>
      <c r="I1062" s="46"/>
      <c r="J1062" s="46"/>
      <c r="K1062" s="46"/>
      <c r="L1062" s="46"/>
      <c r="M1062" s="46"/>
      <c r="N1062" s="46"/>
      <c r="O1062" s="46"/>
      <c r="P1062" s="46"/>
      <c r="Q1062" s="46"/>
      <c r="R1062" s="46"/>
      <c r="S1062" s="46"/>
      <c r="T1062" s="46"/>
      <c r="U1062" s="46"/>
      <c r="V1062" s="46"/>
      <c r="W1062" s="46"/>
      <c r="X1062" s="11" t="str">
        <f>IF(COUNTBLANK(B1062:W1062)&gt;0,"NA",'batch classification'!J1068)</f>
        <v>NA</v>
      </c>
    </row>
    <row r="1063" spans="1:24" x14ac:dyDescent="0.25">
      <c r="A1063" s="45"/>
      <c r="B1063" s="46"/>
      <c r="C1063" s="46"/>
      <c r="D1063" s="46"/>
      <c r="E1063" s="46"/>
      <c r="F1063" s="46"/>
      <c r="G1063" s="46"/>
      <c r="H1063" s="46"/>
      <c r="I1063" s="46"/>
      <c r="J1063" s="46"/>
      <c r="K1063" s="46"/>
      <c r="L1063" s="46"/>
      <c r="M1063" s="46"/>
      <c r="N1063" s="46"/>
      <c r="O1063" s="46"/>
      <c r="P1063" s="46"/>
      <c r="Q1063" s="46"/>
      <c r="R1063" s="46"/>
      <c r="S1063" s="46"/>
      <c r="T1063" s="46"/>
      <c r="U1063" s="46"/>
      <c r="V1063" s="46"/>
      <c r="W1063" s="46"/>
      <c r="X1063" s="11" t="str">
        <f>IF(COUNTBLANK(B1063:W1063)&gt;0,"NA",'batch classification'!J1069)</f>
        <v>NA</v>
      </c>
    </row>
    <row r="1064" spans="1:24" x14ac:dyDescent="0.25">
      <c r="A1064" s="45"/>
      <c r="B1064" s="46"/>
      <c r="C1064" s="46"/>
      <c r="D1064" s="46"/>
      <c r="E1064" s="46"/>
      <c r="F1064" s="46"/>
      <c r="G1064" s="46"/>
      <c r="H1064" s="46"/>
      <c r="I1064" s="46"/>
      <c r="J1064" s="46"/>
      <c r="K1064" s="46"/>
      <c r="L1064" s="46"/>
      <c r="M1064" s="46"/>
      <c r="N1064" s="46"/>
      <c r="O1064" s="46"/>
      <c r="P1064" s="46"/>
      <c r="Q1064" s="46"/>
      <c r="R1064" s="46"/>
      <c r="S1064" s="46"/>
      <c r="T1064" s="46"/>
      <c r="U1064" s="46"/>
      <c r="V1064" s="46"/>
      <c r="W1064" s="46"/>
      <c r="X1064" s="11" t="str">
        <f>IF(COUNTBLANK(B1064:W1064)&gt;0,"NA",'batch classification'!J1070)</f>
        <v>NA</v>
      </c>
    </row>
    <row r="1065" spans="1:24" x14ac:dyDescent="0.25">
      <c r="A1065" s="45"/>
      <c r="B1065" s="46"/>
      <c r="C1065" s="46"/>
      <c r="D1065" s="46"/>
      <c r="E1065" s="46"/>
      <c r="F1065" s="46"/>
      <c r="G1065" s="46"/>
      <c r="H1065" s="46"/>
      <c r="I1065" s="46"/>
      <c r="J1065" s="46"/>
      <c r="K1065" s="46"/>
      <c r="L1065" s="46"/>
      <c r="M1065" s="46"/>
      <c r="N1065" s="46"/>
      <c r="O1065" s="46"/>
      <c r="P1065" s="46"/>
      <c r="Q1065" s="46"/>
      <c r="R1065" s="46"/>
      <c r="S1065" s="46"/>
      <c r="T1065" s="46"/>
      <c r="U1065" s="46"/>
      <c r="V1065" s="46"/>
      <c r="W1065" s="46"/>
      <c r="X1065" s="11" t="str">
        <f>IF(COUNTBLANK(B1065:W1065)&gt;0,"NA",'batch classification'!J1071)</f>
        <v>NA</v>
      </c>
    </row>
    <row r="1066" spans="1:24" x14ac:dyDescent="0.25">
      <c r="A1066" s="45"/>
      <c r="B1066" s="46"/>
      <c r="C1066" s="46"/>
      <c r="D1066" s="46"/>
      <c r="E1066" s="46"/>
      <c r="F1066" s="46"/>
      <c r="G1066" s="46"/>
      <c r="H1066" s="46"/>
      <c r="I1066" s="46"/>
      <c r="J1066" s="46"/>
      <c r="K1066" s="46"/>
      <c r="L1066" s="46"/>
      <c r="M1066" s="46"/>
      <c r="N1066" s="46"/>
      <c r="O1066" s="46"/>
      <c r="P1066" s="46"/>
      <c r="Q1066" s="46"/>
      <c r="R1066" s="46"/>
      <c r="S1066" s="46"/>
      <c r="T1066" s="46"/>
      <c r="U1066" s="46"/>
      <c r="V1066" s="46"/>
      <c r="W1066" s="46"/>
      <c r="X1066" s="11" t="str">
        <f>IF(COUNTBLANK(B1066:W1066)&gt;0,"NA",'batch classification'!J1072)</f>
        <v>NA</v>
      </c>
    </row>
    <row r="1067" spans="1:24" x14ac:dyDescent="0.25">
      <c r="A1067" s="45"/>
      <c r="B1067" s="46"/>
      <c r="C1067" s="46"/>
      <c r="D1067" s="46"/>
      <c r="E1067" s="46"/>
      <c r="F1067" s="46"/>
      <c r="G1067" s="46"/>
      <c r="H1067" s="46"/>
      <c r="I1067" s="46"/>
      <c r="J1067" s="46"/>
      <c r="K1067" s="46"/>
      <c r="L1067" s="46"/>
      <c r="M1067" s="46"/>
      <c r="N1067" s="46"/>
      <c r="O1067" s="46"/>
      <c r="P1067" s="46"/>
      <c r="Q1067" s="46"/>
      <c r="R1067" s="46"/>
      <c r="S1067" s="46"/>
      <c r="T1067" s="46"/>
      <c r="U1067" s="46"/>
      <c r="V1067" s="46"/>
      <c r="W1067" s="46"/>
      <c r="X1067" s="11" t="str">
        <f>IF(COUNTBLANK(B1067:W1067)&gt;0,"NA",'batch classification'!J1073)</f>
        <v>NA</v>
      </c>
    </row>
    <row r="1068" spans="1:24" x14ac:dyDescent="0.25">
      <c r="A1068" s="45"/>
      <c r="B1068" s="46"/>
      <c r="C1068" s="46"/>
      <c r="D1068" s="46"/>
      <c r="E1068" s="46"/>
      <c r="F1068" s="46"/>
      <c r="G1068" s="46"/>
      <c r="H1068" s="46"/>
      <c r="I1068" s="46"/>
      <c r="J1068" s="46"/>
      <c r="K1068" s="46"/>
      <c r="L1068" s="46"/>
      <c r="M1068" s="46"/>
      <c r="N1068" s="46"/>
      <c r="O1068" s="46"/>
      <c r="P1068" s="46"/>
      <c r="Q1068" s="46"/>
      <c r="R1068" s="46"/>
      <c r="S1068" s="46"/>
      <c r="T1068" s="46"/>
      <c r="U1068" s="46"/>
      <c r="V1068" s="46"/>
      <c r="W1068" s="46"/>
      <c r="X1068" s="11" t="str">
        <f>IF(COUNTBLANK(B1068:W1068)&gt;0,"NA",'batch classification'!J1074)</f>
        <v>NA</v>
      </c>
    </row>
    <row r="1069" spans="1:24" x14ac:dyDescent="0.25">
      <c r="A1069" s="45"/>
      <c r="B1069" s="46"/>
      <c r="C1069" s="46"/>
      <c r="D1069" s="46"/>
      <c r="E1069" s="46"/>
      <c r="F1069" s="46"/>
      <c r="G1069" s="46"/>
      <c r="H1069" s="46"/>
      <c r="I1069" s="46"/>
      <c r="J1069" s="46"/>
      <c r="K1069" s="46"/>
      <c r="L1069" s="46"/>
      <c r="M1069" s="46"/>
      <c r="N1069" s="46"/>
      <c r="O1069" s="46"/>
      <c r="P1069" s="46"/>
      <c r="Q1069" s="46"/>
      <c r="R1069" s="46"/>
      <c r="S1069" s="46"/>
      <c r="T1069" s="46"/>
      <c r="U1069" s="46"/>
      <c r="V1069" s="46"/>
      <c r="W1069" s="46"/>
      <c r="X1069" s="11" t="str">
        <f>IF(COUNTBLANK(B1069:W1069)&gt;0,"NA",'batch classification'!J1075)</f>
        <v>NA</v>
      </c>
    </row>
    <row r="1070" spans="1:24" x14ac:dyDescent="0.25">
      <c r="A1070" s="45"/>
      <c r="B1070" s="46"/>
      <c r="C1070" s="46"/>
      <c r="D1070" s="46"/>
      <c r="E1070" s="46"/>
      <c r="F1070" s="46"/>
      <c r="G1070" s="46"/>
      <c r="H1070" s="46"/>
      <c r="I1070" s="46"/>
      <c r="J1070" s="46"/>
      <c r="K1070" s="46"/>
      <c r="L1070" s="46"/>
      <c r="M1070" s="46"/>
      <c r="N1070" s="46"/>
      <c r="O1070" s="46"/>
      <c r="P1070" s="46"/>
      <c r="Q1070" s="46"/>
      <c r="R1070" s="46"/>
      <c r="S1070" s="46"/>
      <c r="T1070" s="46"/>
      <c r="U1070" s="46"/>
      <c r="V1070" s="46"/>
      <c r="W1070" s="46"/>
      <c r="X1070" s="11" t="str">
        <f>IF(COUNTBLANK(B1070:W1070)&gt;0,"NA",'batch classification'!J1076)</f>
        <v>NA</v>
      </c>
    </row>
    <row r="1071" spans="1:24" x14ac:dyDescent="0.25">
      <c r="A1071" s="45"/>
      <c r="B1071" s="46"/>
      <c r="C1071" s="46"/>
      <c r="D1071" s="46"/>
      <c r="E1071" s="46"/>
      <c r="F1071" s="46"/>
      <c r="G1071" s="46"/>
      <c r="H1071" s="46"/>
      <c r="I1071" s="46"/>
      <c r="J1071" s="46"/>
      <c r="K1071" s="46"/>
      <c r="L1071" s="46"/>
      <c r="M1071" s="46"/>
      <c r="N1071" s="46"/>
      <c r="O1071" s="46"/>
      <c r="P1071" s="46"/>
      <c r="Q1071" s="46"/>
      <c r="R1071" s="46"/>
      <c r="S1071" s="46"/>
      <c r="T1071" s="46"/>
      <c r="U1071" s="46"/>
      <c r="V1071" s="46"/>
      <c r="W1071" s="46"/>
      <c r="X1071" s="11" t="str">
        <f>IF(COUNTBLANK(B1071:W1071)&gt;0,"NA",'batch classification'!J1077)</f>
        <v>NA</v>
      </c>
    </row>
    <row r="1072" spans="1:24" x14ac:dyDescent="0.25">
      <c r="A1072" s="45"/>
      <c r="B1072" s="46"/>
      <c r="C1072" s="46"/>
      <c r="D1072" s="46"/>
      <c r="E1072" s="46"/>
      <c r="F1072" s="46"/>
      <c r="G1072" s="46"/>
      <c r="H1072" s="46"/>
      <c r="I1072" s="46"/>
      <c r="J1072" s="46"/>
      <c r="K1072" s="46"/>
      <c r="L1072" s="46"/>
      <c r="M1072" s="46"/>
      <c r="N1072" s="46"/>
      <c r="O1072" s="46"/>
      <c r="P1072" s="46"/>
      <c r="Q1072" s="46"/>
      <c r="R1072" s="46"/>
      <c r="S1072" s="46"/>
      <c r="T1072" s="46"/>
      <c r="U1072" s="46"/>
      <c r="V1072" s="46"/>
      <c r="W1072" s="46"/>
      <c r="X1072" s="11" t="str">
        <f>IF(COUNTBLANK(B1072:W1072)&gt;0,"NA",'batch classification'!J1078)</f>
        <v>NA</v>
      </c>
    </row>
    <row r="1073" spans="1:24" x14ac:dyDescent="0.25">
      <c r="A1073" s="45"/>
      <c r="B1073" s="46"/>
      <c r="C1073" s="46"/>
      <c r="D1073" s="46"/>
      <c r="E1073" s="46"/>
      <c r="F1073" s="46"/>
      <c r="G1073" s="46"/>
      <c r="H1073" s="46"/>
      <c r="I1073" s="46"/>
      <c r="J1073" s="46"/>
      <c r="K1073" s="46"/>
      <c r="L1073" s="46"/>
      <c r="M1073" s="46"/>
      <c r="N1073" s="46"/>
      <c r="O1073" s="46"/>
      <c r="P1073" s="46"/>
      <c r="Q1073" s="46"/>
      <c r="R1073" s="46"/>
      <c r="S1073" s="46"/>
      <c r="T1073" s="46"/>
      <c r="U1073" s="46"/>
      <c r="V1073" s="46"/>
      <c r="W1073" s="46"/>
      <c r="X1073" s="11" t="str">
        <f>IF(COUNTBLANK(B1073:W1073)&gt;0,"NA",'batch classification'!J1079)</f>
        <v>NA</v>
      </c>
    </row>
    <row r="1074" spans="1:24" x14ac:dyDescent="0.25">
      <c r="A1074" s="45"/>
      <c r="B1074" s="46"/>
      <c r="C1074" s="46"/>
      <c r="D1074" s="46"/>
      <c r="E1074" s="46"/>
      <c r="F1074" s="46"/>
      <c r="G1074" s="46"/>
      <c r="H1074" s="46"/>
      <c r="I1074" s="46"/>
      <c r="J1074" s="46"/>
      <c r="K1074" s="46"/>
      <c r="L1074" s="46"/>
      <c r="M1074" s="46"/>
      <c r="N1074" s="46"/>
      <c r="O1074" s="46"/>
      <c r="P1074" s="46"/>
      <c r="Q1074" s="46"/>
      <c r="R1074" s="46"/>
      <c r="S1074" s="46"/>
      <c r="T1074" s="46"/>
      <c r="U1074" s="46"/>
      <c r="V1074" s="46"/>
      <c r="W1074" s="46"/>
      <c r="X1074" s="11" t="str">
        <f>IF(COUNTBLANK(B1074:W1074)&gt;0,"NA",'batch classification'!J1080)</f>
        <v>NA</v>
      </c>
    </row>
    <row r="1075" spans="1:24" x14ac:dyDescent="0.25">
      <c r="A1075" s="45"/>
      <c r="B1075" s="46"/>
      <c r="C1075" s="46"/>
      <c r="D1075" s="46"/>
      <c r="E1075" s="46"/>
      <c r="F1075" s="46"/>
      <c r="G1075" s="46"/>
      <c r="H1075" s="46"/>
      <c r="I1075" s="46"/>
      <c r="J1075" s="46"/>
      <c r="K1075" s="46"/>
      <c r="L1075" s="46"/>
      <c r="M1075" s="46"/>
      <c r="N1075" s="46"/>
      <c r="O1075" s="46"/>
      <c r="P1075" s="46"/>
      <c r="Q1075" s="46"/>
      <c r="R1075" s="46"/>
      <c r="S1075" s="46"/>
      <c r="T1075" s="46"/>
      <c r="U1075" s="46"/>
      <c r="V1075" s="46"/>
      <c r="W1075" s="46"/>
      <c r="X1075" s="11" t="str">
        <f>IF(COUNTBLANK(B1075:W1075)&gt;0,"NA",'batch classification'!J1081)</f>
        <v>NA</v>
      </c>
    </row>
    <row r="1076" spans="1:24" x14ac:dyDescent="0.25">
      <c r="A1076" s="45"/>
      <c r="B1076" s="46"/>
      <c r="C1076" s="46"/>
      <c r="D1076" s="46"/>
      <c r="E1076" s="46"/>
      <c r="F1076" s="46"/>
      <c r="G1076" s="46"/>
      <c r="H1076" s="46"/>
      <c r="I1076" s="46"/>
      <c r="J1076" s="46"/>
      <c r="K1076" s="46"/>
      <c r="L1076" s="46"/>
      <c r="M1076" s="46"/>
      <c r="N1076" s="46"/>
      <c r="O1076" s="46"/>
      <c r="P1076" s="46"/>
      <c r="Q1076" s="46"/>
      <c r="R1076" s="46"/>
      <c r="S1076" s="46"/>
      <c r="T1076" s="46"/>
      <c r="U1076" s="46"/>
      <c r="V1076" s="46"/>
      <c r="W1076" s="46"/>
      <c r="X1076" s="11" t="str">
        <f>IF(COUNTBLANK(B1076:W1076)&gt;0,"NA",'batch classification'!J1082)</f>
        <v>NA</v>
      </c>
    </row>
    <row r="1077" spans="1:24" x14ac:dyDescent="0.25">
      <c r="A1077" s="45"/>
      <c r="B1077" s="46"/>
      <c r="C1077" s="46"/>
      <c r="D1077" s="46"/>
      <c r="E1077" s="46"/>
      <c r="F1077" s="46"/>
      <c r="G1077" s="46"/>
      <c r="H1077" s="46"/>
      <c r="I1077" s="46"/>
      <c r="J1077" s="46"/>
      <c r="K1077" s="46"/>
      <c r="L1077" s="46"/>
      <c r="M1077" s="46"/>
      <c r="N1077" s="46"/>
      <c r="O1077" s="46"/>
      <c r="P1077" s="46"/>
      <c r="Q1077" s="46"/>
      <c r="R1077" s="46"/>
      <c r="S1077" s="46"/>
      <c r="T1077" s="46"/>
      <c r="U1077" s="46"/>
      <c r="V1077" s="46"/>
      <c r="W1077" s="46"/>
      <c r="X1077" s="11" t="str">
        <f>IF(COUNTBLANK(B1077:W1077)&gt;0,"NA",'batch classification'!J1083)</f>
        <v>NA</v>
      </c>
    </row>
    <row r="1078" spans="1:24" x14ac:dyDescent="0.25">
      <c r="A1078" s="45"/>
      <c r="B1078" s="46"/>
      <c r="C1078" s="46"/>
      <c r="D1078" s="46"/>
      <c r="E1078" s="46"/>
      <c r="F1078" s="46"/>
      <c r="G1078" s="46"/>
      <c r="H1078" s="46"/>
      <c r="I1078" s="46"/>
      <c r="J1078" s="46"/>
      <c r="K1078" s="46"/>
      <c r="L1078" s="46"/>
      <c r="M1078" s="46"/>
      <c r="N1078" s="46"/>
      <c r="O1078" s="46"/>
      <c r="P1078" s="46"/>
      <c r="Q1078" s="46"/>
      <c r="R1078" s="46"/>
      <c r="S1078" s="46"/>
      <c r="T1078" s="46"/>
      <c r="U1078" s="46"/>
      <c r="V1078" s="46"/>
      <c r="W1078" s="46"/>
      <c r="X1078" s="11" t="str">
        <f>IF(COUNTBLANK(B1078:W1078)&gt;0,"NA",'batch classification'!J1084)</f>
        <v>NA</v>
      </c>
    </row>
    <row r="1079" spans="1:24" x14ac:dyDescent="0.25">
      <c r="A1079" s="45"/>
      <c r="B1079" s="46"/>
      <c r="C1079" s="46"/>
      <c r="D1079" s="46"/>
      <c r="E1079" s="46"/>
      <c r="F1079" s="46"/>
      <c r="G1079" s="46"/>
      <c r="H1079" s="46"/>
      <c r="I1079" s="46"/>
      <c r="J1079" s="46"/>
      <c r="K1079" s="46"/>
      <c r="L1079" s="46"/>
      <c r="M1079" s="46"/>
      <c r="N1079" s="46"/>
      <c r="O1079" s="46"/>
      <c r="P1079" s="46"/>
      <c r="Q1079" s="46"/>
      <c r="R1079" s="46"/>
      <c r="S1079" s="46"/>
      <c r="T1079" s="46"/>
      <c r="U1079" s="46"/>
      <c r="V1079" s="46"/>
      <c r="W1079" s="46"/>
      <c r="X1079" s="11" t="str">
        <f>IF(COUNTBLANK(B1079:W1079)&gt;0,"NA",'batch classification'!J1085)</f>
        <v>NA</v>
      </c>
    </row>
    <row r="1080" spans="1:24" x14ac:dyDescent="0.25">
      <c r="A1080" s="45"/>
      <c r="B1080" s="46"/>
      <c r="C1080" s="46"/>
      <c r="D1080" s="46"/>
      <c r="E1080" s="46"/>
      <c r="F1080" s="46"/>
      <c r="G1080" s="46"/>
      <c r="H1080" s="46"/>
      <c r="I1080" s="46"/>
      <c r="J1080" s="46"/>
      <c r="K1080" s="46"/>
      <c r="L1080" s="46"/>
      <c r="M1080" s="46"/>
      <c r="N1080" s="46"/>
      <c r="O1080" s="46"/>
      <c r="P1080" s="46"/>
      <c r="Q1080" s="46"/>
      <c r="R1080" s="46"/>
      <c r="S1080" s="46"/>
      <c r="T1080" s="46"/>
      <c r="U1080" s="46"/>
      <c r="V1080" s="46"/>
      <c r="W1080" s="46"/>
      <c r="X1080" s="11" t="str">
        <f>IF(COUNTBLANK(B1080:W1080)&gt;0,"NA",'batch classification'!J1086)</f>
        <v>NA</v>
      </c>
    </row>
    <row r="1081" spans="1:24" x14ac:dyDescent="0.25">
      <c r="A1081" s="45"/>
      <c r="B1081" s="46"/>
      <c r="C1081" s="46"/>
      <c r="D1081" s="46"/>
      <c r="E1081" s="46"/>
      <c r="F1081" s="46"/>
      <c r="G1081" s="46"/>
      <c r="H1081" s="46"/>
      <c r="I1081" s="46"/>
      <c r="J1081" s="46"/>
      <c r="K1081" s="46"/>
      <c r="L1081" s="46"/>
      <c r="M1081" s="46"/>
      <c r="N1081" s="46"/>
      <c r="O1081" s="46"/>
      <c r="P1081" s="46"/>
      <c r="Q1081" s="46"/>
      <c r="R1081" s="46"/>
      <c r="S1081" s="46"/>
      <c r="T1081" s="46"/>
      <c r="U1081" s="46"/>
      <c r="V1081" s="46"/>
      <c r="W1081" s="46"/>
      <c r="X1081" s="11" t="str">
        <f>IF(COUNTBLANK(B1081:W1081)&gt;0,"NA",'batch classification'!J1087)</f>
        <v>NA</v>
      </c>
    </row>
    <row r="1082" spans="1:24" x14ac:dyDescent="0.25">
      <c r="A1082" s="45"/>
      <c r="B1082" s="46"/>
      <c r="C1082" s="46"/>
      <c r="D1082" s="46"/>
      <c r="E1082" s="46"/>
      <c r="F1082" s="46"/>
      <c r="G1082" s="46"/>
      <c r="H1082" s="46"/>
      <c r="I1082" s="46"/>
      <c r="J1082" s="46"/>
      <c r="K1082" s="46"/>
      <c r="L1082" s="46"/>
      <c r="M1082" s="46"/>
      <c r="N1082" s="46"/>
      <c r="O1082" s="46"/>
      <c r="P1082" s="46"/>
      <c r="Q1082" s="46"/>
      <c r="R1082" s="46"/>
      <c r="S1082" s="46"/>
      <c r="T1082" s="46"/>
      <c r="U1082" s="46"/>
      <c r="V1082" s="46"/>
      <c r="W1082" s="46"/>
      <c r="X1082" s="11" t="str">
        <f>IF(COUNTBLANK(B1082:W1082)&gt;0,"NA",'batch classification'!J1088)</f>
        <v>NA</v>
      </c>
    </row>
    <row r="1083" spans="1:24" x14ac:dyDescent="0.25">
      <c r="A1083" s="45"/>
      <c r="B1083" s="46"/>
      <c r="C1083" s="46"/>
      <c r="D1083" s="46"/>
      <c r="E1083" s="46"/>
      <c r="F1083" s="46"/>
      <c r="G1083" s="46"/>
      <c r="H1083" s="46"/>
      <c r="I1083" s="46"/>
      <c r="J1083" s="46"/>
      <c r="K1083" s="46"/>
      <c r="L1083" s="46"/>
      <c r="M1083" s="46"/>
      <c r="N1083" s="46"/>
      <c r="O1083" s="46"/>
      <c r="P1083" s="46"/>
      <c r="Q1083" s="46"/>
      <c r="R1083" s="46"/>
      <c r="S1083" s="46"/>
      <c r="T1083" s="46"/>
      <c r="U1083" s="46"/>
      <c r="V1083" s="46"/>
      <c r="W1083" s="46"/>
      <c r="X1083" s="11" t="str">
        <f>IF(COUNTBLANK(B1083:W1083)&gt;0,"NA",'batch classification'!J1089)</f>
        <v>NA</v>
      </c>
    </row>
    <row r="1084" spans="1:24" x14ac:dyDescent="0.25">
      <c r="A1084" s="45"/>
      <c r="B1084" s="46"/>
      <c r="C1084" s="46"/>
      <c r="D1084" s="46"/>
      <c r="E1084" s="46"/>
      <c r="F1084" s="46"/>
      <c r="G1084" s="46"/>
      <c r="H1084" s="46"/>
      <c r="I1084" s="46"/>
      <c r="J1084" s="46"/>
      <c r="K1084" s="46"/>
      <c r="L1084" s="46"/>
      <c r="M1084" s="46"/>
      <c r="N1084" s="46"/>
      <c r="O1084" s="46"/>
      <c r="P1084" s="46"/>
      <c r="Q1084" s="46"/>
      <c r="R1084" s="46"/>
      <c r="S1084" s="46"/>
      <c r="T1084" s="46"/>
      <c r="U1084" s="46"/>
      <c r="V1084" s="46"/>
      <c r="W1084" s="46"/>
      <c r="X1084" s="11" t="str">
        <f>IF(COUNTBLANK(B1084:W1084)&gt;0,"NA",'batch classification'!J1090)</f>
        <v>NA</v>
      </c>
    </row>
    <row r="1085" spans="1:24" x14ac:dyDescent="0.25">
      <c r="A1085" s="45"/>
      <c r="B1085" s="46"/>
      <c r="C1085" s="46"/>
      <c r="D1085" s="46"/>
      <c r="E1085" s="46"/>
      <c r="F1085" s="46"/>
      <c r="G1085" s="46"/>
      <c r="H1085" s="46"/>
      <c r="I1085" s="46"/>
      <c r="J1085" s="46"/>
      <c r="K1085" s="46"/>
      <c r="L1085" s="46"/>
      <c r="M1085" s="46"/>
      <c r="N1085" s="46"/>
      <c r="O1085" s="46"/>
      <c r="P1085" s="46"/>
      <c r="Q1085" s="46"/>
      <c r="R1085" s="46"/>
      <c r="S1085" s="46"/>
      <c r="T1085" s="46"/>
      <c r="U1085" s="46"/>
      <c r="V1085" s="46"/>
      <c r="W1085" s="46"/>
      <c r="X1085" s="11" t="str">
        <f>IF(COUNTBLANK(B1085:W1085)&gt;0,"NA",'batch classification'!J1091)</f>
        <v>NA</v>
      </c>
    </row>
    <row r="1086" spans="1:24" x14ac:dyDescent="0.25">
      <c r="A1086" s="45"/>
      <c r="B1086" s="46"/>
      <c r="C1086" s="46"/>
      <c r="D1086" s="46"/>
      <c r="E1086" s="46"/>
      <c r="F1086" s="46"/>
      <c r="G1086" s="46"/>
      <c r="H1086" s="46"/>
      <c r="I1086" s="46"/>
      <c r="J1086" s="46"/>
      <c r="K1086" s="46"/>
      <c r="L1086" s="46"/>
      <c r="M1086" s="46"/>
      <c r="N1086" s="46"/>
      <c r="O1086" s="46"/>
      <c r="P1086" s="46"/>
      <c r="Q1086" s="46"/>
      <c r="R1086" s="46"/>
      <c r="S1086" s="46"/>
      <c r="T1086" s="46"/>
      <c r="U1086" s="46"/>
      <c r="V1086" s="46"/>
      <c r="W1086" s="46"/>
      <c r="X1086" s="11" t="str">
        <f>IF(COUNTBLANK(B1086:W1086)&gt;0,"NA",'batch classification'!J1092)</f>
        <v>NA</v>
      </c>
    </row>
    <row r="1087" spans="1:24" x14ac:dyDescent="0.25">
      <c r="A1087" s="45"/>
      <c r="B1087" s="46"/>
      <c r="C1087" s="46"/>
      <c r="D1087" s="46"/>
      <c r="E1087" s="46"/>
      <c r="F1087" s="46"/>
      <c r="G1087" s="46"/>
      <c r="H1087" s="46"/>
      <c r="I1087" s="46"/>
      <c r="J1087" s="46"/>
      <c r="K1087" s="46"/>
      <c r="L1087" s="46"/>
      <c r="M1087" s="46"/>
      <c r="N1087" s="46"/>
      <c r="O1087" s="46"/>
      <c r="P1087" s="46"/>
      <c r="Q1087" s="46"/>
      <c r="R1087" s="46"/>
      <c r="S1087" s="46"/>
      <c r="T1087" s="46"/>
      <c r="U1087" s="46"/>
      <c r="V1087" s="46"/>
      <c r="W1087" s="46"/>
      <c r="X1087" s="11" t="str">
        <f>IF(COUNTBLANK(B1087:W1087)&gt;0,"NA",'batch classification'!J1093)</f>
        <v>NA</v>
      </c>
    </row>
    <row r="1088" spans="1:24" x14ac:dyDescent="0.25">
      <c r="A1088" s="45"/>
      <c r="B1088" s="46"/>
      <c r="C1088" s="46"/>
      <c r="D1088" s="46"/>
      <c r="E1088" s="46"/>
      <c r="F1088" s="46"/>
      <c r="G1088" s="46"/>
      <c r="H1088" s="46"/>
      <c r="I1088" s="46"/>
      <c r="J1088" s="46"/>
      <c r="K1088" s="46"/>
      <c r="L1088" s="46"/>
      <c r="M1088" s="46"/>
      <c r="N1088" s="46"/>
      <c r="O1088" s="46"/>
      <c r="P1088" s="46"/>
      <c r="Q1088" s="46"/>
      <c r="R1088" s="46"/>
      <c r="S1088" s="46"/>
      <c r="T1088" s="46"/>
      <c r="U1088" s="46"/>
      <c r="V1088" s="46"/>
      <c r="W1088" s="46"/>
      <c r="X1088" s="11" t="str">
        <f>IF(COUNTBLANK(B1088:W1088)&gt;0,"NA",'batch classification'!J1094)</f>
        <v>NA</v>
      </c>
    </row>
    <row r="1089" spans="1:24" x14ac:dyDescent="0.25">
      <c r="A1089" s="45"/>
      <c r="B1089" s="46"/>
      <c r="C1089" s="46"/>
      <c r="D1089" s="46"/>
      <c r="E1089" s="46"/>
      <c r="F1089" s="46"/>
      <c r="G1089" s="46"/>
      <c r="H1089" s="46"/>
      <c r="I1089" s="46"/>
      <c r="J1089" s="46"/>
      <c r="K1089" s="46"/>
      <c r="L1089" s="46"/>
      <c r="M1089" s="46"/>
      <c r="N1089" s="46"/>
      <c r="O1089" s="46"/>
      <c r="P1089" s="46"/>
      <c r="Q1089" s="46"/>
      <c r="R1089" s="46"/>
      <c r="S1089" s="46"/>
      <c r="T1089" s="46"/>
      <c r="U1089" s="46"/>
      <c r="V1089" s="46"/>
      <c r="W1089" s="46"/>
      <c r="X1089" s="11" t="str">
        <f>IF(COUNTBLANK(B1089:W1089)&gt;0,"NA",'batch classification'!J1095)</f>
        <v>NA</v>
      </c>
    </row>
    <row r="1090" spans="1:24" x14ac:dyDescent="0.25">
      <c r="A1090" s="45"/>
      <c r="B1090" s="46"/>
      <c r="C1090" s="46"/>
      <c r="D1090" s="46"/>
      <c r="E1090" s="46"/>
      <c r="F1090" s="46"/>
      <c r="G1090" s="46"/>
      <c r="H1090" s="46"/>
      <c r="I1090" s="46"/>
      <c r="J1090" s="46"/>
      <c r="K1090" s="46"/>
      <c r="L1090" s="46"/>
      <c r="M1090" s="46"/>
      <c r="N1090" s="46"/>
      <c r="O1090" s="46"/>
      <c r="P1090" s="46"/>
      <c r="Q1090" s="46"/>
      <c r="R1090" s="46"/>
      <c r="S1090" s="46"/>
      <c r="T1090" s="46"/>
      <c r="U1090" s="46"/>
      <c r="V1090" s="46"/>
      <c r="W1090" s="46"/>
      <c r="X1090" s="11" t="str">
        <f>IF(COUNTBLANK(B1090:W1090)&gt;0,"NA",'batch classification'!J1096)</f>
        <v>NA</v>
      </c>
    </row>
    <row r="1091" spans="1:24" x14ac:dyDescent="0.25">
      <c r="A1091" s="45"/>
      <c r="B1091" s="46"/>
      <c r="C1091" s="46"/>
      <c r="D1091" s="46"/>
      <c r="E1091" s="46"/>
      <c r="F1091" s="46"/>
      <c r="G1091" s="46"/>
      <c r="H1091" s="46"/>
      <c r="I1091" s="46"/>
      <c r="J1091" s="46"/>
      <c r="K1091" s="46"/>
      <c r="L1091" s="46"/>
      <c r="M1091" s="46"/>
      <c r="N1091" s="46"/>
      <c r="O1091" s="46"/>
      <c r="P1091" s="46"/>
      <c r="Q1091" s="46"/>
      <c r="R1091" s="46"/>
      <c r="S1091" s="46"/>
      <c r="T1091" s="46"/>
      <c r="U1091" s="46"/>
      <c r="V1091" s="46"/>
      <c r="W1091" s="46"/>
      <c r="X1091" s="11" t="str">
        <f>IF(COUNTBLANK(B1091:W1091)&gt;0,"NA",'batch classification'!J1097)</f>
        <v>NA</v>
      </c>
    </row>
    <row r="1092" spans="1:24" x14ac:dyDescent="0.25">
      <c r="A1092" s="45"/>
      <c r="B1092" s="46"/>
      <c r="C1092" s="46"/>
      <c r="D1092" s="46"/>
      <c r="E1092" s="46"/>
      <c r="F1092" s="46"/>
      <c r="G1092" s="46"/>
      <c r="H1092" s="46"/>
      <c r="I1092" s="46"/>
      <c r="J1092" s="46"/>
      <c r="K1092" s="46"/>
      <c r="L1092" s="46"/>
      <c r="M1092" s="46"/>
      <c r="N1092" s="46"/>
      <c r="O1092" s="46"/>
      <c r="P1092" s="46"/>
      <c r="Q1092" s="46"/>
      <c r="R1092" s="46"/>
      <c r="S1092" s="46"/>
      <c r="T1092" s="46"/>
      <c r="U1092" s="46"/>
      <c r="V1092" s="46"/>
      <c r="W1092" s="46"/>
      <c r="X1092" s="11" t="str">
        <f>IF(COUNTBLANK(B1092:W1092)&gt;0,"NA",'batch classification'!J1098)</f>
        <v>NA</v>
      </c>
    </row>
    <row r="1093" spans="1:24" x14ac:dyDescent="0.25">
      <c r="A1093" s="45"/>
      <c r="B1093" s="46"/>
      <c r="C1093" s="46"/>
      <c r="D1093" s="46"/>
      <c r="E1093" s="46"/>
      <c r="F1093" s="46"/>
      <c r="G1093" s="46"/>
      <c r="H1093" s="46"/>
      <c r="I1093" s="46"/>
      <c r="J1093" s="46"/>
      <c r="K1093" s="46"/>
      <c r="L1093" s="46"/>
      <c r="M1093" s="46"/>
      <c r="N1093" s="46"/>
      <c r="O1093" s="46"/>
      <c r="P1093" s="46"/>
      <c r="Q1093" s="46"/>
      <c r="R1093" s="46"/>
      <c r="S1093" s="46"/>
      <c r="T1093" s="46"/>
      <c r="U1093" s="46"/>
      <c r="V1093" s="46"/>
      <c r="W1093" s="46"/>
      <c r="X1093" s="11" t="str">
        <f>IF(COUNTBLANK(B1093:W1093)&gt;0,"NA",'batch classification'!J1099)</f>
        <v>NA</v>
      </c>
    </row>
    <row r="1094" spans="1:24" x14ac:dyDescent="0.25">
      <c r="A1094" s="45"/>
      <c r="B1094" s="46"/>
      <c r="C1094" s="46"/>
      <c r="D1094" s="46"/>
      <c r="E1094" s="46"/>
      <c r="F1094" s="46"/>
      <c r="G1094" s="46"/>
      <c r="H1094" s="46"/>
      <c r="I1094" s="46"/>
      <c r="J1094" s="46"/>
      <c r="K1094" s="46"/>
      <c r="L1094" s="46"/>
      <c r="M1094" s="46"/>
      <c r="N1094" s="46"/>
      <c r="O1094" s="46"/>
      <c r="P1094" s="46"/>
      <c r="Q1094" s="46"/>
      <c r="R1094" s="46"/>
      <c r="S1094" s="46"/>
      <c r="T1094" s="46"/>
      <c r="U1094" s="46"/>
      <c r="V1094" s="46"/>
      <c r="W1094" s="46"/>
      <c r="X1094" s="11" t="str">
        <f>IF(COUNTBLANK(B1094:W1094)&gt;0,"NA",'batch classification'!J1100)</f>
        <v>NA</v>
      </c>
    </row>
    <row r="1095" spans="1:24" x14ac:dyDescent="0.25">
      <c r="A1095" s="45"/>
      <c r="B1095" s="46"/>
      <c r="C1095" s="46"/>
      <c r="D1095" s="46"/>
      <c r="E1095" s="46"/>
      <c r="F1095" s="46"/>
      <c r="G1095" s="46"/>
      <c r="H1095" s="46"/>
      <c r="I1095" s="46"/>
      <c r="J1095" s="46"/>
      <c r="K1095" s="46"/>
      <c r="L1095" s="46"/>
      <c r="M1095" s="46"/>
      <c r="N1095" s="46"/>
      <c r="O1095" s="46"/>
      <c r="P1095" s="46"/>
      <c r="Q1095" s="46"/>
      <c r="R1095" s="46"/>
      <c r="S1095" s="46"/>
      <c r="T1095" s="46"/>
      <c r="U1095" s="46"/>
      <c r="V1095" s="46"/>
      <c r="W1095" s="46"/>
      <c r="X1095" s="11" t="str">
        <f>IF(COUNTBLANK(B1095:W1095)&gt;0,"NA",'batch classification'!J1101)</f>
        <v>NA</v>
      </c>
    </row>
    <row r="1096" spans="1:24" x14ac:dyDescent="0.25">
      <c r="A1096" s="45"/>
      <c r="B1096" s="46"/>
      <c r="C1096" s="46"/>
      <c r="D1096" s="46"/>
      <c r="E1096" s="46"/>
      <c r="F1096" s="46"/>
      <c r="G1096" s="46"/>
      <c r="H1096" s="46"/>
      <c r="I1096" s="46"/>
      <c r="J1096" s="46"/>
      <c r="K1096" s="46"/>
      <c r="L1096" s="46"/>
      <c r="M1096" s="46"/>
      <c r="N1096" s="46"/>
      <c r="O1096" s="46"/>
      <c r="P1096" s="46"/>
      <c r="Q1096" s="46"/>
      <c r="R1096" s="46"/>
      <c r="S1096" s="46"/>
      <c r="T1096" s="46"/>
      <c r="U1096" s="46"/>
      <c r="V1096" s="46"/>
      <c r="W1096" s="46"/>
      <c r="X1096" s="11" t="str">
        <f>IF(COUNTBLANK(B1096:W1096)&gt;0,"NA",'batch classification'!J1102)</f>
        <v>NA</v>
      </c>
    </row>
    <row r="1097" spans="1:24" x14ac:dyDescent="0.25">
      <c r="A1097" s="45"/>
      <c r="B1097" s="46"/>
      <c r="C1097" s="46"/>
      <c r="D1097" s="46"/>
      <c r="E1097" s="46"/>
      <c r="F1097" s="46"/>
      <c r="G1097" s="46"/>
      <c r="H1097" s="46"/>
      <c r="I1097" s="46"/>
      <c r="J1097" s="46"/>
      <c r="K1097" s="46"/>
      <c r="L1097" s="46"/>
      <c r="M1097" s="46"/>
      <c r="N1097" s="46"/>
      <c r="O1097" s="46"/>
      <c r="P1097" s="46"/>
      <c r="Q1097" s="46"/>
      <c r="R1097" s="46"/>
      <c r="S1097" s="46"/>
      <c r="T1097" s="46"/>
      <c r="U1097" s="46"/>
      <c r="V1097" s="46"/>
      <c r="W1097" s="46"/>
      <c r="X1097" s="11" t="str">
        <f>IF(COUNTBLANK(B1097:W1097)&gt;0,"NA",'batch classification'!J1103)</f>
        <v>NA</v>
      </c>
    </row>
    <row r="1098" spans="1:24" x14ac:dyDescent="0.25">
      <c r="A1098" s="45"/>
      <c r="B1098" s="46"/>
      <c r="C1098" s="46"/>
      <c r="D1098" s="46"/>
      <c r="E1098" s="46"/>
      <c r="F1098" s="46"/>
      <c r="G1098" s="46"/>
      <c r="H1098" s="46"/>
      <c r="I1098" s="46"/>
      <c r="J1098" s="46"/>
      <c r="K1098" s="46"/>
      <c r="L1098" s="46"/>
      <c r="M1098" s="46"/>
      <c r="N1098" s="46"/>
      <c r="O1098" s="46"/>
      <c r="P1098" s="46"/>
      <c r="Q1098" s="46"/>
      <c r="R1098" s="46"/>
      <c r="S1098" s="46"/>
      <c r="T1098" s="46"/>
      <c r="U1098" s="46"/>
      <c r="V1098" s="46"/>
      <c r="W1098" s="46"/>
      <c r="X1098" s="11" t="str">
        <f>IF(COUNTBLANK(B1098:W1098)&gt;0,"NA",'batch classification'!J1104)</f>
        <v>NA</v>
      </c>
    </row>
    <row r="1099" spans="1:24" x14ac:dyDescent="0.25">
      <c r="A1099" s="45"/>
      <c r="B1099" s="46"/>
      <c r="C1099" s="46"/>
      <c r="D1099" s="46"/>
      <c r="E1099" s="46"/>
      <c r="F1099" s="46"/>
      <c r="G1099" s="46"/>
      <c r="H1099" s="46"/>
      <c r="I1099" s="46"/>
      <c r="J1099" s="46"/>
      <c r="K1099" s="46"/>
      <c r="L1099" s="46"/>
      <c r="M1099" s="46"/>
      <c r="N1099" s="46"/>
      <c r="O1099" s="46"/>
      <c r="P1099" s="46"/>
      <c r="Q1099" s="46"/>
      <c r="R1099" s="46"/>
      <c r="S1099" s="46"/>
      <c r="T1099" s="46"/>
      <c r="U1099" s="46"/>
      <c r="V1099" s="46"/>
      <c r="W1099" s="46"/>
      <c r="X1099" s="11" t="str">
        <f>IF(COUNTBLANK(B1099:W1099)&gt;0,"NA",'batch classification'!J1105)</f>
        <v>NA</v>
      </c>
    </row>
    <row r="1100" spans="1:24" x14ac:dyDescent="0.25">
      <c r="A1100" s="45"/>
      <c r="B1100" s="46"/>
      <c r="C1100" s="46"/>
      <c r="D1100" s="46"/>
      <c r="E1100" s="46"/>
      <c r="F1100" s="46"/>
      <c r="G1100" s="46"/>
      <c r="H1100" s="46"/>
      <c r="I1100" s="46"/>
      <c r="J1100" s="46"/>
      <c r="K1100" s="46"/>
      <c r="L1100" s="46"/>
      <c r="M1100" s="46"/>
      <c r="N1100" s="46"/>
      <c r="O1100" s="46"/>
      <c r="P1100" s="46"/>
      <c r="Q1100" s="46"/>
      <c r="R1100" s="46"/>
      <c r="S1100" s="46"/>
      <c r="T1100" s="46"/>
      <c r="U1100" s="46"/>
      <c r="V1100" s="46"/>
      <c r="W1100" s="46"/>
      <c r="X1100" s="11" t="str">
        <f>IF(COUNTBLANK(B1100:W1100)&gt;0,"NA",'batch classification'!J1106)</f>
        <v>NA</v>
      </c>
    </row>
    <row r="1101" spans="1:24" x14ac:dyDescent="0.25">
      <c r="A1101" s="45"/>
      <c r="B1101" s="46"/>
      <c r="C1101" s="46"/>
      <c r="D1101" s="46"/>
      <c r="E1101" s="46"/>
      <c r="F1101" s="46"/>
      <c r="G1101" s="46"/>
      <c r="H1101" s="46"/>
      <c r="I1101" s="46"/>
      <c r="J1101" s="46"/>
      <c r="K1101" s="46"/>
      <c r="L1101" s="46"/>
      <c r="M1101" s="46"/>
      <c r="N1101" s="46"/>
      <c r="O1101" s="46"/>
      <c r="P1101" s="46"/>
      <c r="Q1101" s="46"/>
      <c r="R1101" s="46"/>
      <c r="S1101" s="46"/>
      <c r="T1101" s="46"/>
      <c r="U1101" s="46"/>
      <c r="V1101" s="46"/>
      <c r="W1101" s="46"/>
      <c r="X1101" s="11" t="str">
        <f>IF(COUNTBLANK(B1101:W1101)&gt;0,"NA",'batch classification'!J1107)</f>
        <v>NA</v>
      </c>
    </row>
    <row r="1102" spans="1:24" x14ac:dyDescent="0.25">
      <c r="A1102" s="45"/>
      <c r="B1102" s="46"/>
      <c r="C1102" s="46"/>
      <c r="D1102" s="46"/>
      <c r="E1102" s="46"/>
      <c r="F1102" s="46"/>
      <c r="G1102" s="46"/>
      <c r="H1102" s="46"/>
      <c r="I1102" s="46"/>
      <c r="J1102" s="46"/>
      <c r="K1102" s="46"/>
      <c r="L1102" s="46"/>
      <c r="M1102" s="46"/>
      <c r="N1102" s="46"/>
      <c r="O1102" s="46"/>
      <c r="P1102" s="46"/>
      <c r="Q1102" s="46"/>
      <c r="R1102" s="46"/>
      <c r="S1102" s="46"/>
      <c r="T1102" s="46"/>
      <c r="U1102" s="46"/>
      <c r="V1102" s="46"/>
      <c r="W1102" s="46"/>
      <c r="X1102" s="11" t="str">
        <f>IF(COUNTBLANK(B1102:W1102)&gt;0,"NA",'batch classification'!J1108)</f>
        <v>NA</v>
      </c>
    </row>
    <row r="1103" spans="1:24" x14ac:dyDescent="0.25">
      <c r="A1103" s="45"/>
      <c r="B1103" s="46"/>
      <c r="C1103" s="46"/>
      <c r="D1103" s="46"/>
      <c r="E1103" s="46"/>
      <c r="F1103" s="46"/>
      <c r="G1103" s="46"/>
      <c r="H1103" s="46"/>
      <c r="I1103" s="46"/>
      <c r="J1103" s="46"/>
      <c r="K1103" s="46"/>
      <c r="L1103" s="46"/>
      <c r="M1103" s="46"/>
      <c r="N1103" s="46"/>
      <c r="O1103" s="46"/>
      <c r="P1103" s="46"/>
      <c r="Q1103" s="46"/>
      <c r="R1103" s="46"/>
      <c r="S1103" s="46"/>
      <c r="T1103" s="46"/>
      <c r="U1103" s="46"/>
      <c r="V1103" s="46"/>
      <c r="W1103" s="46"/>
      <c r="X1103" s="11" t="str">
        <f>IF(COUNTBLANK(B1103:W1103)&gt;0,"NA",'batch classification'!J1109)</f>
        <v>NA</v>
      </c>
    </row>
    <row r="1104" spans="1:24" x14ac:dyDescent="0.25">
      <c r="A1104" s="45"/>
      <c r="B1104" s="46"/>
      <c r="C1104" s="46"/>
      <c r="D1104" s="46"/>
      <c r="E1104" s="46"/>
      <c r="F1104" s="46"/>
      <c r="G1104" s="46"/>
      <c r="H1104" s="46"/>
      <c r="I1104" s="46"/>
      <c r="J1104" s="46"/>
      <c r="K1104" s="46"/>
      <c r="L1104" s="46"/>
      <c r="M1104" s="46"/>
      <c r="N1104" s="46"/>
      <c r="O1104" s="46"/>
      <c r="P1104" s="46"/>
      <c r="Q1104" s="46"/>
      <c r="R1104" s="46"/>
      <c r="S1104" s="46"/>
      <c r="T1104" s="46"/>
      <c r="U1104" s="46"/>
      <c r="V1104" s="46"/>
      <c r="W1104" s="46"/>
      <c r="X1104" s="11" t="str">
        <f>IF(COUNTBLANK(B1104:W1104)&gt;0,"NA",'batch classification'!J1110)</f>
        <v>NA</v>
      </c>
    </row>
    <row r="1105" spans="1:24" x14ac:dyDescent="0.25">
      <c r="A1105" s="45"/>
      <c r="B1105" s="46"/>
      <c r="C1105" s="46"/>
      <c r="D1105" s="46"/>
      <c r="E1105" s="46"/>
      <c r="F1105" s="46"/>
      <c r="G1105" s="46"/>
      <c r="H1105" s="46"/>
      <c r="I1105" s="46"/>
      <c r="J1105" s="46"/>
      <c r="K1105" s="46"/>
      <c r="L1105" s="46"/>
      <c r="M1105" s="46"/>
      <c r="N1105" s="46"/>
      <c r="O1105" s="46"/>
      <c r="P1105" s="46"/>
      <c r="Q1105" s="46"/>
      <c r="R1105" s="46"/>
      <c r="S1105" s="46"/>
      <c r="T1105" s="46"/>
      <c r="U1105" s="46"/>
      <c r="V1105" s="46"/>
      <c r="W1105" s="46"/>
      <c r="X1105" s="11" t="str">
        <f>IF(COUNTBLANK(B1105:W1105)&gt;0,"NA",'batch classification'!J1111)</f>
        <v>NA</v>
      </c>
    </row>
    <row r="1106" spans="1:24" x14ac:dyDescent="0.25">
      <c r="A1106" s="45"/>
      <c r="B1106" s="46"/>
      <c r="C1106" s="46"/>
      <c r="D1106" s="46"/>
      <c r="E1106" s="46"/>
      <c r="F1106" s="46"/>
      <c r="G1106" s="46"/>
      <c r="H1106" s="46"/>
      <c r="I1106" s="46"/>
      <c r="J1106" s="46"/>
      <c r="K1106" s="46"/>
      <c r="L1106" s="46"/>
      <c r="M1106" s="46"/>
      <c r="N1106" s="46"/>
      <c r="O1106" s="46"/>
      <c r="P1106" s="46"/>
      <c r="Q1106" s="46"/>
      <c r="R1106" s="46"/>
      <c r="S1106" s="46"/>
      <c r="T1106" s="46"/>
      <c r="U1106" s="46"/>
      <c r="V1106" s="46"/>
      <c r="W1106" s="46"/>
      <c r="X1106" s="11" t="str">
        <f>IF(COUNTBLANK(B1106:W1106)&gt;0,"NA",'batch classification'!J1112)</f>
        <v>NA</v>
      </c>
    </row>
    <row r="1107" spans="1:24" x14ac:dyDescent="0.25">
      <c r="A1107" s="45"/>
      <c r="B1107" s="46"/>
      <c r="C1107" s="46"/>
      <c r="D1107" s="46"/>
      <c r="E1107" s="46"/>
      <c r="F1107" s="46"/>
      <c r="G1107" s="46"/>
      <c r="H1107" s="46"/>
      <c r="I1107" s="46"/>
      <c r="J1107" s="46"/>
      <c r="K1107" s="46"/>
      <c r="L1107" s="46"/>
      <c r="M1107" s="46"/>
      <c r="N1107" s="46"/>
      <c r="O1107" s="46"/>
      <c r="P1107" s="46"/>
      <c r="Q1107" s="46"/>
      <c r="R1107" s="46"/>
      <c r="S1107" s="46"/>
      <c r="T1107" s="46"/>
      <c r="U1107" s="46"/>
      <c r="V1107" s="46"/>
      <c r="W1107" s="46"/>
      <c r="X1107" s="11" t="str">
        <f>IF(COUNTBLANK(B1107:W1107)&gt;0,"NA",'batch classification'!J1113)</f>
        <v>NA</v>
      </c>
    </row>
    <row r="1108" spans="1:24" x14ac:dyDescent="0.25">
      <c r="A1108" s="45"/>
      <c r="B1108" s="46"/>
      <c r="C1108" s="46"/>
      <c r="D1108" s="46"/>
      <c r="E1108" s="46"/>
      <c r="F1108" s="46"/>
      <c r="G1108" s="46"/>
      <c r="H1108" s="46"/>
      <c r="I1108" s="46"/>
      <c r="J1108" s="46"/>
      <c r="K1108" s="46"/>
      <c r="L1108" s="46"/>
      <c r="M1108" s="46"/>
      <c r="N1108" s="46"/>
      <c r="O1108" s="46"/>
      <c r="P1108" s="46"/>
      <c r="Q1108" s="46"/>
      <c r="R1108" s="46"/>
      <c r="S1108" s="46"/>
      <c r="T1108" s="46"/>
      <c r="U1108" s="46"/>
      <c r="V1108" s="46"/>
      <c r="W1108" s="46"/>
      <c r="X1108" s="11" t="str">
        <f>IF(COUNTBLANK(B1108:W1108)&gt;0,"NA",'batch classification'!J1114)</f>
        <v>NA</v>
      </c>
    </row>
    <row r="1109" spans="1:24" x14ac:dyDescent="0.25">
      <c r="A1109" s="45"/>
      <c r="B1109" s="46"/>
      <c r="C1109" s="46"/>
      <c r="D1109" s="46"/>
      <c r="E1109" s="46"/>
      <c r="F1109" s="46"/>
      <c r="G1109" s="46"/>
      <c r="H1109" s="46"/>
      <c r="I1109" s="46"/>
      <c r="J1109" s="46"/>
      <c r="K1109" s="46"/>
      <c r="L1109" s="46"/>
      <c r="M1109" s="46"/>
      <c r="N1109" s="46"/>
      <c r="O1109" s="46"/>
      <c r="P1109" s="46"/>
      <c r="Q1109" s="46"/>
      <c r="R1109" s="46"/>
      <c r="S1109" s="46"/>
      <c r="T1109" s="46"/>
      <c r="U1109" s="46"/>
      <c r="V1109" s="46"/>
      <c r="W1109" s="46"/>
      <c r="X1109" s="11" t="str">
        <f>IF(COUNTBLANK(B1109:W1109)&gt;0,"NA",'batch classification'!J1115)</f>
        <v>NA</v>
      </c>
    </row>
    <row r="1110" spans="1:24" x14ac:dyDescent="0.25">
      <c r="A1110" s="45"/>
      <c r="B1110" s="46"/>
      <c r="C1110" s="46"/>
      <c r="D1110" s="46"/>
      <c r="E1110" s="46"/>
      <c r="F1110" s="46"/>
      <c r="G1110" s="46"/>
      <c r="H1110" s="46"/>
      <c r="I1110" s="46"/>
      <c r="J1110" s="46"/>
      <c r="K1110" s="46"/>
      <c r="L1110" s="46"/>
      <c r="M1110" s="46"/>
      <c r="N1110" s="46"/>
      <c r="O1110" s="46"/>
      <c r="P1110" s="46"/>
      <c r="Q1110" s="46"/>
      <c r="R1110" s="46"/>
      <c r="S1110" s="46"/>
      <c r="T1110" s="46"/>
      <c r="U1110" s="46"/>
      <c r="V1110" s="46"/>
      <c r="W1110" s="46"/>
      <c r="X1110" s="11" t="str">
        <f>IF(COUNTBLANK(B1110:W1110)&gt;0,"NA",'batch classification'!J1116)</f>
        <v>NA</v>
      </c>
    </row>
    <row r="1111" spans="1:24" x14ac:dyDescent="0.25">
      <c r="A1111" s="45"/>
      <c r="B1111" s="46"/>
      <c r="C1111" s="46"/>
      <c r="D1111" s="46"/>
      <c r="E1111" s="46"/>
      <c r="F1111" s="46"/>
      <c r="G1111" s="46"/>
      <c r="H1111" s="46"/>
      <c r="I1111" s="46"/>
      <c r="J1111" s="46"/>
      <c r="K1111" s="46"/>
      <c r="L1111" s="46"/>
      <c r="M1111" s="46"/>
      <c r="N1111" s="46"/>
      <c r="O1111" s="46"/>
      <c r="P1111" s="46"/>
      <c r="Q1111" s="46"/>
      <c r="R1111" s="46"/>
      <c r="S1111" s="46"/>
      <c r="T1111" s="46"/>
      <c r="U1111" s="46"/>
      <c r="V1111" s="46"/>
      <c r="W1111" s="46"/>
      <c r="X1111" s="11" t="str">
        <f>IF(COUNTBLANK(B1111:W1111)&gt;0,"NA",'batch classification'!J1117)</f>
        <v>NA</v>
      </c>
    </row>
    <row r="1112" spans="1:24" x14ac:dyDescent="0.25">
      <c r="A1112" s="45"/>
      <c r="B1112" s="46"/>
      <c r="C1112" s="46"/>
      <c r="D1112" s="46"/>
      <c r="E1112" s="46"/>
      <c r="F1112" s="46"/>
      <c r="G1112" s="46"/>
      <c r="H1112" s="46"/>
      <c r="I1112" s="46"/>
      <c r="J1112" s="46"/>
      <c r="K1112" s="46"/>
      <c r="L1112" s="46"/>
      <c r="M1112" s="46"/>
      <c r="N1112" s="46"/>
      <c r="O1112" s="46"/>
      <c r="P1112" s="46"/>
      <c r="Q1112" s="46"/>
      <c r="R1112" s="46"/>
      <c r="S1112" s="46"/>
      <c r="T1112" s="46"/>
      <c r="U1112" s="46"/>
      <c r="V1112" s="46"/>
      <c r="W1112" s="46"/>
      <c r="X1112" s="11" t="str">
        <f>IF(COUNTBLANK(B1112:W1112)&gt;0,"NA",'batch classification'!J1118)</f>
        <v>NA</v>
      </c>
    </row>
    <row r="1113" spans="1:24" x14ac:dyDescent="0.25">
      <c r="A1113" s="45"/>
      <c r="B1113" s="46"/>
      <c r="C1113" s="46"/>
      <c r="D1113" s="46"/>
      <c r="E1113" s="46"/>
      <c r="F1113" s="46"/>
      <c r="G1113" s="46"/>
      <c r="H1113" s="46"/>
      <c r="I1113" s="46"/>
      <c r="J1113" s="46"/>
      <c r="K1113" s="46"/>
      <c r="L1113" s="46"/>
      <c r="M1113" s="46"/>
      <c r="N1113" s="46"/>
      <c r="O1113" s="46"/>
      <c r="P1113" s="46"/>
      <c r="Q1113" s="46"/>
      <c r="R1113" s="46"/>
      <c r="S1113" s="46"/>
      <c r="T1113" s="46"/>
      <c r="U1113" s="46"/>
      <c r="V1113" s="46"/>
      <c r="W1113" s="46"/>
      <c r="X1113" s="11" t="str">
        <f>IF(COUNTBLANK(B1113:W1113)&gt;0,"NA",'batch classification'!J1119)</f>
        <v>NA</v>
      </c>
    </row>
    <row r="1114" spans="1:24" x14ac:dyDescent="0.25">
      <c r="A1114" s="45"/>
      <c r="B1114" s="46"/>
      <c r="C1114" s="46"/>
      <c r="D1114" s="46"/>
      <c r="E1114" s="46"/>
      <c r="F1114" s="46"/>
      <c r="G1114" s="46"/>
      <c r="H1114" s="46"/>
      <c r="I1114" s="46"/>
      <c r="J1114" s="46"/>
      <c r="K1114" s="46"/>
      <c r="L1114" s="46"/>
      <c r="M1114" s="46"/>
      <c r="N1114" s="46"/>
      <c r="O1114" s="46"/>
      <c r="P1114" s="46"/>
      <c r="Q1114" s="46"/>
      <c r="R1114" s="46"/>
      <c r="S1114" s="46"/>
      <c r="T1114" s="46"/>
      <c r="U1114" s="46"/>
      <c r="V1114" s="46"/>
      <c r="W1114" s="46"/>
      <c r="X1114" s="11" t="str">
        <f>IF(COUNTBLANK(B1114:W1114)&gt;0,"NA",'batch classification'!J1120)</f>
        <v>NA</v>
      </c>
    </row>
    <row r="1115" spans="1:24" x14ac:dyDescent="0.25">
      <c r="A1115" s="45"/>
      <c r="B1115" s="46"/>
      <c r="C1115" s="46"/>
      <c r="D1115" s="46"/>
      <c r="E1115" s="46"/>
      <c r="F1115" s="46"/>
      <c r="G1115" s="46"/>
      <c r="H1115" s="46"/>
      <c r="I1115" s="46"/>
      <c r="J1115" s="46"/>
      <c r="K1115" s="46"/>
      <c r="L1115" s="46"/>
      <c r="M1115" s="46"/>
      <c r="N1115" s="46"/>
      <c r="O1115" s="46"/>
      <c r="P1115" s="46"/>
      <c r="Q1115" s="46"/>
      <c r="R1115" s="46"/>
      <c r="S1115" s="46"/>
      <c r="T1115" s="46"/>
      <c r="U1115" s="46"/>
      <c r="V1115" s="46"/>
      <c r="W1115" s="46"/>
      <c r="X1115" s="11" t="str">
        <f>IF(COUNTBLANK(B1115:W1115)&gt;0,"NA",'batch classification'!J1121)</f>
        <v>NA</v>
      </c>
    </row>
    <row r="1116" spans="1:24" x14ac:dyDescent="0.25">
      <c r="A1116" s="45"/>
      <c r="B1116" s="46"/>
      <c r="C1116" s="46"/>
      <c r="D1116" s="46"/>
      <c r="E1116" s="46"/>
      <c r="F1116" s="46"/>
      <c r="G1116" s="46"/>
      <c r="H1116" s="46"/>
      <c r="I1116" s="46"/>
      <c r="J1116" s="46"/>
      <c r="K1116" s="46"/>
      <c r="L1116" s="46"/>
      <c r="M1116" s="46"/>
      <c r="N1116" s="46"/>
      <c r="O1116" s="46"/>
      <c r="P1116" s="46"/>
      <c r="Q1116" s="46"/>
      <c r="R1116" s="46"/>
      <c r="S1116" s="46"/>
      <c r="T1116" s="46"/>
      <c r="U1116" s="46"/>
      <c r="V1116" s="46"/>
      <c r="W1116" s="46"/>
      <c r="X1116" s="11" t="str">
        <f>IF(COUNTBLANK(B1116:W1116)&gt;0,"NA",'batch classification'!J1122)</f>
        <v>NA</v>
      </c>
    </row>
    <row r="1117" spans="1:24" x14ac:dyDescent="0.25">
      <c r="A1117" s="45"/>
      <c r="B1117" s="46"/>
      <c r="C1117" s="46"/>
      <c r="D1117" s="46"/>
      <c r="E1117" s="46"/>
      <c r="F1117" s="46"/>
      <c r="G1117" s="46"/>
      <c r="H1117" s="46"/>
      <c r="I1117" s="46"/>
      <c r="J1117" s="46"/>
      <c r="K1117" s="46"/>
      <c r="L1117" s="46"/>
      <c r="M1117" s="46"/>
      <c r="N1117" s="46"/>
      <c r="O1117" s="46"/>
      <c r="P1117" s="46"/>
      <c r="Q1117" s="46"/>
      <c r="R1117" s="46"/>
      <c r="S1117" s="46"/>
      <c r="T1117" s="46"/>
      <c r="U1117" s="46"/>
      <c r="V1117" s="46"/>
      <c r="W1117" s="46"/>
      <c r="X1117" s="11" t="str">
        <f>IF(COUNTBLANK(B1117:W1117)&gt;0,"NA",'batch classification'!J1123)</f>
        <v>NA</v>
      </c>
    </row>
    <row r="1118" spans="1:24" x14ac:dyDescent="0.25">
      <c r="A1118" s="45"/>
      <c r="B1118" s="46"/>
      <c r="C1118" s="46"/>
      <c r="D1118" s="46"/>
      <c r="E1118" s="46"/>
      <c r="F1118" s="46"/>
      <c r="G1118" s="46"/>
      <c r="H1118" s="46"/>
      <c r="I1118" s="46"/>
      <c r="J1118" s="46"/>
      <c r="K1118" s="46"/>
      <c r="L1118" s="46"/>
      <c r="M1118" s="46"/>
      <c r="N1118" s="46"/>
      <c r="O1118" s="46"/>
      <c r="P1118" s="46"/>
      <c r="Q1118" s="46"/>
      <c r="R1118" s="46"/>
      <c r="S1118" s="46"/>
      <c r="T1118" s="46"/>
      <c r="U1118" s="46"/>
      <c r="V1118" s="46"/>
      <c r="W1118" s="46"/>
      <c r="X1118" s="11" t="str">
        <f>IF(COUNTBLANK(B1118:W1118)&gt;0,"NA",'batch classification'!J1124)</f>
        <v>NA</v>
      </c>
    </row>
    <row r="1119" spans="1:24" x14ac:dyDescent="0.25">
      <c r="A1119" s="45"/>
      <c r="B1119" s="46"/>
      <c r="C1119" s="46"/>
      <c r="D1119" s="46"/>
      <c r="E1119" s="46"/>
      <c r="F1119" s="46"/>
      <c r="G1119" s="46"/>
      <c r="H1119" s="46"/>
      <c r="I1119" s="46"/>
      <c r="J1119" s="46"/>
      <c r="K1119" s="46"/>
      <c r="L1119" s="46"/>
      <c r="M1119" s="46"/>
      <c r="N1119" s="46"/>
      <c r="O1119" s="46"/>
      <c r="P1119" s="46"/>
      <c r="Q1119" s="46"/>
      <c r="R1119" s="46"/>
      <c r="S1119" s="46"/>
      <c r="T1119" s="46"/>
      <c r="U1119" s="46"/>
      <c r="V1119" s="46"/>
      <c r="W1119" s="46"/>
      <c r="X1119" s="11" t="str">
        <f>IF(COUNTBLANK(B1119:W1119)&gt;0,"NA",'batch classification'!J1125)</f>
        <v>NA</v>
      </c>
    </row>
    <row r="1120" spans="1:24" x14ac:dyDescent="0.25">
      <c r="A1120" s="45"/>
      <c r="B1120" s="46"/>
      <c r="C1120" s="46"/>
      <c r="D1120" s="46"/>
      <c r="E1120" s="46"/>
      <c r="F1120" s="46"/>
      <c r="G1120" s="46"/>
      <c r="H1120" s="46"/>
      <c r="I1120" s="46"/>
      <c r="J1120" s="46"/>
      <c r="K1120" s="46"/>
      <c r="L1120" s="46"/>
      <c r="M1120" s="46"/>
      <c r="N1120" s="46"/>
      <c r="O1120" s="46"/>
      <c r="P1120" s="46"/>
      <c r="Q1120" s="46"/>
      <c r="R1120" s="46"/>
      <c r="S1120" s="46"/>
      <c r="T1120" s="46"/>
      <c r="U1120" s="46"/>
      <c r="V1120" s="46"/>
      <c r="W1120" s="46"/>
      <c r="X1120" s="11" t="str">
        <f>IF(COUNTBLANK(B1120:W1120)&gt;0,"NA",'batch classification'!J1126)</f>
        <v>NA</v>
      </c>
    </row>
    <row r="1121" spans="1:24" x14ac:dyDescent="0.25">
      <c r="A1121" s="45"/>
      <c r="B1121" s="46"/>
      <c r="C1121" s="46"/>
      <c r="D1121" s="46"/>
      <c r="E1121" s="46"/>
      <c r="F1121" s="46"/>
      <c r="G1121" s="46"/>
      <c r="H1121" s="46"/>
      <c r="I1121" s="46"/>
      <c r="J1121" s="46"/>
      <c r="K1121" s="46"/>
      <c r="L1121" s="46"/>
      <c r="M1121" s="46"/>
      <c r="N1121" s="46"/>
      <c r="O1121" s="46"/>
      <c r="P1121" s="46"/>
      <c r="Q1121" s="46"/>
      <c r="R1121" s="46"/>
      <c r="S1121" s="46"/>
      <c r="T1121" s="46"/>
      <c r="U1121" s="46"/>
      <c r="V1121" s="46"/>
      <c r="W1121" s="46"/>
      <c r="X1121" s="11" t="str">
        <f>IF(COUNTBLANK(B1121:W1121)&gt;0,"NA",'batch classification'!J1127)</f>
        <v>NA</v>
      </c>
    </row>
    <row r="1122" spans="1:24" x14ac:dyDescent="0.25">
      <c r="A1122" s="45"/>
      <c r="B1122" s="46"/>
      <c r="C1122" s="46"/>
      <c r="D1122" s="46"/>
      <c r="E1122" s="46"/>
      <c r="F1122" s="46"/>
      <c r="G1122" s="46"/>
      <c r="H1122" s="46"/>
      <c r="I1122" s="46"/>
      <c r="J1122" s="46"/>
      <c r="K1122" s="46"/>
      <c r="L1122" s="46"/>
      <c r="M1122" s="46"/>
      <c r="N1122" s="46"/>
      <c r="O1122" s="46"/>
      <c r="P1122" s="46"/>
      <c r="Q1122" s="46"/>
      <c r="R1122" s="46"/>
      <c r="S1122" s="46"/>
      <c r="T1122" s="46"/>
      <c r="U1122" s="46"/>
      <c r="V1122" s="46"/>
      <c r="W1122" s="46"/>
      <c r="X1122" s="11" t="str">
        <f>IF(COUNTBLANK(B1122:W1122)&gt;0,"NA",'batch classification'!J1128)</f>
        <v>NA</v>
      </c>
    </row>
    <row r="1123" spans="1:24" x14ac:dyDescent="0.25">
      <c r="A1123" s="45"/>
      <c r="B1123" s="46"/>
      <c r="C1123" s="46"/>
      <c r="D1123" s="46"/>
      <c r="E1123" s="46"/>
      <c r="F1123" s="46"/>
      <c r="G1123" s="46"/>
      <c r="H1123" s="46"/>
      <c r="I1123" s="46"/>
      <c r="J1123" s="46"/>
      <c r="K1123" s="46"/>
      <c r="L1123" s="46"/>
      <c r="M1123" s="46"/>
      <c r="N1123" s="46"/>
      <c r="O1123" s="46"/>
      <c r="P1123" s="46"/>
      <c r="Q1123" s="46"/>
      <c r="R1123" s="46"/>
      <c r="S1123" s="46"/>
      <c r="T1123" s="46"/>
      <c r="U1123" s="46"/>
      <c r="V1123" s="46"/>
      <c r="W1123" s="46"/>
      <c r="X1123" s="11" t="str">
        <f>IF(COUNTBLANK(B1123:W1123)&gt;0,"NA",'batch classification'!J1129)</f>
        <v>NA</v>
      </c>
    </row>
    <row r="1124" spans="1:24" x14ac:dyDescent="0.25">
      <c r="A1124" s="45"/>
      <c r="B1124" s="46"/>
      <c r="C1124" s="46"/>
      <c r="D1124" s="46"/>
      <c r="E1124" s="46"/>
      <c r="F1124" s="46"/>
      <c r="G1124" s="46"/>
      <c r="H1124" s="46"/>
      <c r="I1124" s="46"/>
      <c r="J1124" s="46"/>
      <c r="K1124" s="46"/>
      <c r="L1124" s="46"/>
      <c r="M1124" s="46"/>
      <c r="N1124" s="46"/>
      <c r="O1124" s="46"/>
      <c r="P1124" s="46"/>
      <c r="Q1124" s="46"/>
      <c r="R1124" s="46"/>
      <c r="S1124" s="46"/>
      <c r="T1124" s="46"/>
      <c r="U1124" s="46"/>
      <c r="V1124" s="46"/>
      <c r="W1124" s="46"/>
      <c r="X1124" s="11" t="str">
        <f>IF(COUNTBLANK(B1124:W1124)&gt;0,"NA",'batch classification'!J1130)</f>
        <v>NA</v>
      </c>
    </row>
    <row r="1125" spans="1:24" x14ac:dyDescent="0.25">
      <c r="A1125" s="45"/>
      <c r="B1125" s="46"/>
      <c r="C1125" s="46"/>
      <c r="D1125" s="46"/>
      <c r="E1125" s="46"/>
      <c r="F1125" s="46"/>
      <c r="G1125" s="46"/>
      <c r="H1125" s="46"/>
      <c r="I1125" s="46"/>
      <c r="J1125" s="46"/>
      <c r="K1125" s="46"/>
      <c r="L1125" s="46"/>
      <c r="M1125" s="46"/>
      <c r="N1125" s="46"/>
      <c r="O1125" s="46"/>
      <c r="P1125" s="46"/>
      <c r="Q1125" s="46"/>
      <c r="R1125" s="46"/>
      <c r="S1125" s="46"/>
      <c r="T1125" s="46"/>
      <c r="U1125" s="46"/>
      <c r="V1125" s="46"/>
      <c r="W1125" s="46"/>
      <c r="X1125" s="11" t="str">
        <f>IF(COUNTBLANK(B1125:W1125)&gt;0,"NA",'batch classification'!J1131)</f>
        <v>NA</v>
      </c>
    </row>
    <row r="1126" spans="1:24" x14ac:dyDescent="0.25">
      <c r="A1126" s="45"/>
      <c r="B1126" s="46"/>
      <c r="C1126" s="46"/>
      <c r="D1126" s="46"/>
      <c r="E1126" s="46"/>
      <c r="F1126" s="46"/>
      <c r="G1126" s="46"/>
      <c r="H1126" s="46"/>
      <c r="I1126" s="46"/>
      <c r="J1126" s="46"/>
      <c r="K1126" s="46"/>
      <c r="L1126" s="46"/>
      <c r="M1126" s="46"/>
      <c r="N1126" s="46"/>
      <c r="O1126" s="46"/>
      <c r="P1126" s="46"/>
      <c r="Q1126" s="46"/>
      <c r="R1126" s="46"/>
      <c r="S1126" s="46"/>
      <c r="T1126" s="46"/>
      <c r="U1126" s="46"/>
      <c r="V1126" s="46"/>
      <c r="W1126" s="46"/>
      <c r="X1126" s="11" t="str">
        <f>IF(COUNTBLANK(B1126:W1126)&gt;0,"NA",'batch classification'!J1132)</f>
        <v>NA</v>
      </c>
    </row>
    <row r="1127" spans="1:24" x14ac:dyDescent="0.25">
      <c r="A1127" s="45"/>
      <c r="B1127" s="46"/>
      <c r="C1127" s="46"/>
      <c r="D1127" s="46"/>
      <c r="E1127" s="46"/>
      <c r="F1127" s="46"/>
      <c r="G1127" s="46"/>
      <c r="H1127" s="46"/>
      <c r="I1127" s="46"/>
      <c r="J1127" s="46"/>
      <c r="K1127" s="46"/>
      <c r="L1127" s="46"/>
      <c r="M1127" s="46"/>
      <c r="N1127" s="46"/>
      <c r="O1127" s="46"/>
      <c r="P1127" s="46"/>
      <c r="Q1127" s="46"/>
      <c r="R1127" s="46"/>
      <c r="S1127" s="46"/>
      <c r="T1127" s="46"/>
      <c r="U1127" s="46"/>
      <c r="V1127" s="46"/>
      <c r="W1127" s="46"/>
      <c r="X1127" s="11" t="str">
        <f>IF(COUNTBLANK(B1127:W1127)&gt;0,"NA",'batch classification'!J1133)</f>
        <v>NA</v>
      </c>
    </row>
    <row r="1128" spans="1:24" x14ac:dyDescent="0.25">
      <c r="A1128" s="45"/>
      <c r="B1128" s="46"/>
      <c r="C1128" s="46"/>
      <c r="D1128" s="46"/>
      <c r="E1128" s="46"/>
      <c r="F1128" s="46"/>
      <c r="G1128" s="46"/>
      <c r="H1128" s="46"/>
      <c r="I1128" s="46"/>
      <c r="J1128" s="46"/>
      <c r="K1128" s="46"/>
      <c r="L1128" s="46"/>
      <c r="M1128" s="46"/>
      <c r="N1128" s="46"/>
      <c r="O1128" s="46"/>
      <c r="P1128" s="46"/>
      <c r="Q1128" s="46"/>
      <c r="R1128" s="46"/>
      <c r="S1128" s="46"/>
      <c r="T1128" s="46"/>
      <c r="U1128" s="46"/>
      <c r="V1128" s="46"/>
      <c r="W1128" s="46"/>
      <c r="X1128" s="11" t="str">
        <f>IF(COUNTBLANK(B1128:W1128)&gt;0,"NA",'batch classification'!J1134)</f>
        <v>NA</v>
      </c>
    </row>
    <row r="1129" spans="1:24" x14ac:dyDescent="0.25">
      <c r="A1129" s="45"/>
      <c r="B1129" s="46"/>
      <c r="C1129" s="46"/>
      <c r="D1129" s="46"/>
      <c r="E1129" s="46"/>
      <c r="F1129" s="46"/>
      <c r="G1129" s="46"/>
      <c r="H1129" s="46"/>
      <c r="I1129" s="46"/>
      <c r="J1129" s="46"/>
      <c r="K1129" s="46"/>
      <c r="L1129" s="46"/>
      <c r="M1129" s="46"/>
      <c r="N1129" s="46"/>
      <c r="O1129" s="46"/>
      <c r="P1129" s="46"/>
      <c r="Q1129" s="46"/>
      <c r="R1129" s="46"/>
      <c r="S1129" s="46"/>
      <c r="T1129" s="46"/>
      <c r="U1129" s="46"/>
      <c r="V1129" s="46"/>
      <c r="W1129" s="46"/>
      <c r="X1129" s="11" t="str">
        <f>IF(COUNTBLANK(B1129:W1129)&gt;0,"NA",'batch classification'!J1135)</f>
        <v>NA</v>
      </c>
    </row>
    <row r="1130" spans="1:24" x14ac:dyDescent="0.25">
      <c r="A1130" s="45"/>
      <c r="B1130" s="46"/>
      <c r="C1130" s="46"/>
      <c r="D1130" s="46"/>
      <c r="E1130" s="46"/>
      <c r="F1130" s="46"/>
      <c r="G1130" s="46"/>
      <c r="H1130" s="46"/>
      <c r="I1130" s="46"/>
      <c r="J1130" s="46"/>
      <c r="K1130" s="46"/>
      <c r="L1130" s="46"/>
      <c r="M1130" s="46"/>
      <c r="N1130" s="46"/>
      <c r="O1130" s="46"/>
      <c r="P1130" s="46"/>
      <c r="Q1130" s="46"/>
      <c r="R1130" s="46"/>
      <c r="S1130" s="46"/>
      <c r="T1130" s="46"/>
      <c r="U1130" s="46"/>
      <c r="V1130" s="46"/>
      <c r="W1130" s="46"/>
      <c r="X1130" s="11" t="str">
        <f>IF(COUNTBLANK(B1130:W1130)&gt;0,"NA",'batch classification'!J1136)</f>
        <v>NA</v>
      </c>
    </row>
    <row r="1131" spans="1:24" x14ac:dyDescent="0.25">
      <c r="A1131" s="45"/>
      <c r="B1131" s="46"/>
      <c r="C1131" s="46"/>
      <c r="D1131" s="46"/>
      <c r="E1131" s="46"/>
      <c r="F1131" s="46"/>
      <c r="G1131" s="46"/>
      <c r="H1131" s="46"/>
      <c r="I1131" s="46"/>
      <c r="J1131" s="46"/>
      <c r="K1131" s="46"/>
      <c r="L1131" s="46"/>
      <c r="M1131" s="46"/>
      <c r="N1131" s="46"/>
      <c r="O1131" s="46"/>
      <c r="P1131" s="46"/>
      <c r="Q1131" s="46"/>
      <c r="R1131" s="46"/>
      <c r="S1131" s="46"/>
      <c r="T1131" s="46"/>
      <c r="U1131" s="46"/>
      <c r="V1131" s="46"/>
      <c r="W1131" s="46"/>
      <c r="X1131" s="11" t="str">
        <f>IF(COUNTBLANK(B1131:W1131)&gt;0,"NA",'batch classification'!J1137)</f>
        <v>NA</v>
      </c>
    </row>
    <row r="1132" spans="1:24" x14ac:dyDescent="0.25">
      <c r="A1132" s="45"/>
      <c r="B1132" s="46"/>
      <c r="C1132" s="46"/>
      <c r="D1132" s="46"/>
      <c r="E1132" s="46"/>
      <c r="F1132" s="46"/>
      <c r="G1132" s="46"/>
      <c r="H1132" s="46"/>
      <c r="I1132" s="46"/>
      <c r="J1132" s="46"/>
      <c r="K1132" s="46"/>
      <c r="L1132" s="46"/>
      <c r="M1132" s="46"/>
      <c r="N1132" s="46"/>
      <c r="O1132" s="46"/>
      <c r="P1132" s="46"/>
      <c r="Q1132" s="46"/>
      <c r="R1132" s="46"/>
      <c r="S1132" s="46"/>
      <c r="T1132" s="46"/>
      <c r="U1132" s="46"/>
      <c r="V1132" s="46"/>
      <c r="W1132" s="46"/>
      <c r="X1132" s="11" t="str">
        <f>IF(COUNTBLANK(B1132:W1132)&gt;0,"NA",'batch classification'!J1138)</f>
        <v>NA</v>
      </c>
    </row>
    <row r="1133" spans="1:24" x14ac:dyDescent="0.25">
      <c r="A1133" s="45"/>
      <c r="B1133" s="46"/>
      <c r="C1133" s="46"/>
      <c r="D1133" s="46"/>
      <c r="E1133" s="46"/>
      <c r="F1133" s="46"/>
      <c r="G1133" s="46"/>
      <c r="H1133" s="46"/>
      <c r="I1133" s="46"/>
      <c r="J1133" s="46"/>
      <c r="K1133" s="46"/>
      <c r="L1133" s="46"/>
      <c r="M1133" s="46"/>
      <c r="N1133" s="46"/>
      <c r="O1133" s="46"/>
      <c r="P1133" s="46"/>
      <c r="Q1133" s="46"/>
      <c r="R1133" s="46"/>
      <c r="S1133" s="46"/>
      <c r="T1133" s="46"/>
      <c r="U1133" s="46"/>
      <c r="V1133" s="46"/>
      <c r="W1133" s="46"/>
      <c r="X1133" s="11" t="str">
        <f>IF(COUNTBLANK(B1133:W1133)&gt;0,"NA",'batch classification'!J1139)</f>
        <v>NA</v>
      </c>
    </row>
    <row r="1134" spans="1:24" x14ac:dyDescent="0.25">
      <c r="A1134" s="45"/>
      <c r="B1134" s="46"/>
      <c r="C1134" s="46"/>
      <c r="D1134" s="46"/>
      <c r="E1134" s="46"/>
      <c r="F1134" s="46"/>
      <c r="G1134" s="46"/>
      <c r="H1134" s="46"/>
      <c r="I1134" s="46"/>
      <c r="J1134" s="46"/>
      <c r="K1134" s="46"/>
      <c r="L1134" s="46"/>
      <c r="M1134" s="46"/>
      <c r="N1134" s="46"/>
      <c r="O1134" s="46"/>
      <c r="P1134" s="46"/>
      <c r="Q1134" s="46"/>
      <c r="R1134" s="46"/>
      <c r="S1134" s="46"/>
      <c r="T1134" s="46"/>
      <c r="U1134" s="46"/>
      <c r="V1134" s="46"/>
      <c r="W1134" s="46"/>
      <c r="X1134" s="11" t="str">
        <f>IF(COUNTBLANK(B1134:W1134)&gt;0,"NA",'batch classification'!J1140)</f>
        <v>NA</v>
      </c>
    </row>
    <row r="1135" spans="1:24" x14ac:dyDescent="0.25">
      <c r="A1135" s="45"/>
      <c r="B1135" s="46"/>
      <c r="C1135" s="46"/>
      <c r="D1135" s="46"/>
      <c r="E1135" s="46"/>
      <c r="F1135" s="46"/>
      <c r="G1135" s="46"/>
      <c r="H1135" s="46"/>
      <c r="I1135" s="46"/>
      <c r="J1135" s="46"/>
      <c r="K1135" s="46"/>
      <c r="L1135" s="46"/>
      <c r="M1135" s="46"/>
      <c r="N1135" s="46"/>
      <c r="O1135" s="46"/>
      <c r="P1135" s="46"/>
      <c r="Q1135" s="46"/>
      <c r="R1135" s="46"/>
      <c r="S1135" s="46"/>
      <c r="T1135" s="46"/>
      <c r="U1135" s="46"/>
      <c r="V1135" s="46"/>
      <c r="W1135" s="46"/>
      <c r="X1135" s="11" t="str">
        <f>IF(COUNTBLANK(B1135:W1135)&gt;0,"NA",'batch classification'!J1141)</f>
        <v>NA</v>
      </c>
    </row>
    <row r="1136" spans="1:24" x14ac:dyDescent="0.25">
      <c r="A1136" s="45"/>
      <c r="B1136" s="46"/>
      <c r="C1136" s="46"/>
      <c r="D1136" s="46"/>
      <c r="E1136" s="46"/>
      <c r="F1136" s="46"/>
      <c r="G1136" s="46"/>
      <c r="H1136" s="46"/>
      <c r="I1136" s="46"/>
      <c r="J1136" s="46"/>
      <c r="K1136" s="46"/>
      <c r="L1136" s="46"/>
      <c r="M1136" s="46"/>
      <c r="N1136" s="46"/>
      <c r="O1136" s="46"/>
      <c r="P1136" s="46"/>
      <c r="Q1136" s="46"/>
      <c r="R1136" s="46"/>
      <c r="S1136" s="46"/>
      <c r="T1136" s="46"/>
      <c r="U1136" s="46"/>
      <c r="V1136" s="46"/>
      <c r="W1136" s="46"/>
      <c r="X1136" s="11" t="str">
        <f>IF(COUNTBLANK(B1136:W1136)&gt;0,"NA",'batch classification'!J1142)</f>
        <v>NA</v>
      </c>
    </row>
    <row r="1137" spans="1:24" x14ac:dyDescent="0.25">
      <c r="A1137" s="45"/>
      <c r="B1137" s="46"/>
      <c r="C1137" s="46"/>
      <c r="D1137" s="46"/>
      <c r="E1137" s="46"/>
      <c r="F1137" s="46"/>
      <c r="G1137" s="46"/>
      <c r="H1137" s="46"/>
      <c r="I1137" s="46"/>
      <c r="J1137" s="46"/>
      <c r="K1137" s="46"/>
      <c r="L1137" s="46"/>
      <c r="M1137" s="46"/>
      <c r="N1137" s="46"/>
      <c r="O1137" s="46"/>
      <c r="P1137" s="46"/>
      <c r="Q1137" s="46"/>
      <c r="R1137" s="46"/>
      <c r="S1137" s="46"/>
      <c r="T1137" s="46"/>
      <c r="U1137" s="46"/>
      <c r="V1137" s="46"/>
      <c r="W1137" s="46"/>
      <c r="X1137" s="11" t="str">
        <f>IF(COUNTBLANK(B1137:W1137)&gt;0,"NA",'batch classification'!J1143)</f>
        <v>NA</v>
      </c>
    </row>
    <row r="1138" spans="1:24" x14ac:dyDescent="0.25">
      <c r="A1138" s="45"/>
      <c r="B1138" s="46"/>
      <c r="C1138" s="46"/>
      <c r="D1138" s="46"/>
      <c r="E1138" s="46"/>
      <c r="F1138" s="46"/>
      <c r="G1138" s="46"/>
      <c r="H1138" s="46"/>
      <c r="I1138" s="46"/>
      <c r="J1138" s="46"/>
      <c r="K1138" s="46"/>
      <c r="L1138" s="46"/>
      <c r="M1138" s="46"/>
      <c r="N1138" s="46"/>
      <c r="O1138" s="46"/>
      <c r="P1138" s="46"/>
      <c r="Q1138" s="46"/>
      <c r="R1138" s="46"/>
      <c r="S1138" s="46"/>
      <c r="T1138" s="46"/>
      <c r="U1138" s="46"/>
      <c r="V1138" s="46"/>
      <c r="W1138" s="46"/>
      <c r="X1138" s="11" t="str">
        <f>IF(COUNTBLANK(B1138:W1138)&gt;0,"NA",'batch classification'!J1144)</f>
        <v>NA</v>
      </c>
    </row>
    <row r="1139" spans="1:24" x14ac:dyDescent="0.25">
      <c r="A1139" s="45"/>
      <c r="B1139" s="46"/>
      <c r="C1139" s="46"/>
      <c r="D1139" s="46"/>
      <c r="E1139" s="46"/>
      <c r="F1139" s="46"/>
      <c r="G1139" s="46"/>
      <c r="H1139" s="46"/>
      <c r="I1139" s="46"/>
      <c r="J1139" s="46"/>
      <c r="K1139" s="46"/>
      <c r="L1139" s="46"/>
      <c r="M1139" s="46"/>
      <c r="N1139" s="46"/>
      <c r="O1139" s="46"/>
      <c r="P1139" s="46"/>
      <c r="Q1139" s="46"/>
      <c r="R1139" s="46"/>
      <c r="S1139" s="46"/>
      <c r="T1139" s="46"/>
      <c r="U1139" s="46"/>
      <c r="V1139" s="46"/>
      <c r="W1139" s="46"/>
      <c r="X1139" s="11" t="str">
        <f>IF(COUNTBLANK(B1139:W1139)&gt;0,"NA",'batch classification'!J1145)</f>
        <v>NA</v>
      </c>
    </row>
    <row r="1140" spans="1:24" x14ac:dyDescent="0.25">
      <c r="A1140" s="45"/>
      <c r="B1140" s="46"/>
      <c r="C1140" s="46"/>
      <c r="D1140" s="46"/>
      <c r="E1140" s="46"/>
      <c r="F1140" s="46"/>
      <c r="G1140" s="46"/>
      <c r="H1140" s="46"/>
      <c r="I1140" s="46"/>
      <c r="J1140" s="46"/>
      <c r="K1140" s="46"/>
      <c r="L1140" s="46"/>
      <c r="M1140" s="46"/>
      <c r="N1140" s="46"/>
      <c r="O1140" s="46"/>
      <c r="P1140" s="46"/>
      <c r="Q1140" s="46"/>
      <c r="R1140" s="46"/>
      <c r="S1140" s="46"/>
      <c r="T1140" s="46"/>
      <c r="U1140" s="46"/>
      <c r="V1140" s="46"/>
      <c r="W1140" s="46"/>
      <c r="X1140" s="11" t="str">
        <f>IF(COUNTBLANK(B1140:W1140)&gt;0,"NA",'batch classification'!J1146)</f>
        <v>NA</v>
      </c>
    </row>
    <row r="1141" spans="1:24" x14ac:dyDescent="0.25">
      <c r="A1141" s="45"/>
      <c r="B1141" s="46"/>
      <c r="C1141" s="46"/>
      <c r="D1141" s="46"/>
      <c r="E1141" s="46"/>
      <c r="F1141" s="46"/>
      <c r="G1141" s="46"/>
      <c r="H1141" s="46"/>
      <c r="I1141" s="46"/>
      <c r="J1141" s="46"/>
      <c r="K1141" s="46"/>
      <c r="L1141" s="46"/>
      <c r="M1141" s="46"/>
      <c r="N1141" s="46"/>
      <c r="O1141" s="46"/>
      <c r="P1141" s="46"/>
      <c r="Q1141" s="46"/>
      <c r="R1141" s="46"/>
      <c r="S1141" s="46"/>
      <c r="T1141" s="46"/>
      <c r="U1141" s="46"/>
      <c r="V1141" s="46"/>
      <c r="W1141" s="46"/>
      <c r="X1141" s="11" t="str">
        <f>IF(COUNTBLANK(B1141:W1141)&gt;0,"NA",'batch classification'!J1147)</f>
        <v>NA</v>
      </c>
    </row>
    <row r="1142" spans="1:24" x14ac:dyDescent="0.25">
      <c r="A1142" s="45"/>
      <c r="B1142" s="46"/>
      <c r="C1142" s="46"/>
      <c r="D1142" s="46"/>
      <c r="E1142" s="46"/>
      <c r="F1142" s="46"/>
      <c r="G1142" s="46"/>
      <c r="H1142" s="46"/>
      <c r="I1142" s="46"/>
      <c r="J1142" s="46"/>
      <c r="K1142" s="46"/>
      <c r="L1142" s="46"/>
      <c r="M1142" s="46"/>
      <c r="N1142" s="46"/>
      <c r="O1142" s="46"/>
      <c r="P1142" s="46"/>
      <c r="Q1142" s="46"/>
      <c r="R1142" s="46"/>
      <c r="S1142" s="46"/>
      <c r="T1142" s="46"/>
      <c r="U1142" s="46"/>
      <c r="V1142" s="46"/>
      <c r="W1142" s="46"/>
      <c r="X1142" s="11" t="str">
        <f>IF(COUNTBLANK(B1142:W1142)&gt;0,"NA",'batch classification'!J1148)</f>
        <v>NA</v>
      </c>
    </row>
    <row r="1143" spans="1:24" x14ac:dyDescent="0.25">
      <c r="A1143" s="45"/>
      <c r="B1143" s="46"/>
      <c r="C1143" s="46"/>
      <c r="D1143" s="46"/>
      <c r="E1143" s="46"/>
      <c r="F1143" s="46"/>
      <c r="G1143" s="46"/>
      <c r="H1143" s="46"/>
      <c r="I1143" s="46"/>
      <c r="J1143" s="46"/>
      <c r="K1143" s="46"/>
      <c r="L1143" s="46"/>
      <c r="M1143" s="46"/>
      <c r="N1143" s="46"/>
      <c r="O1143" s="46"/>
      <c r="P1143" s="46"/>
      <c r="Q1143" s="46"/>
      <c r="R1143" s="46"/>
      <c r="S1143" s="46"/>
      <c r="T1143" s="46"/>
      <c r="U1143" s="46"/>
      <c r="V1143" s="46"/>
      <c r="W1143" s="46"/>
      <c r="X1143" s="11" t="str">
        <f>IF(COUNTBLANK(B1143:W1143)&gt;0,"NA",'batch classification'!J1149)</f>
        <v>NA</v>
      </c>
    </row>
    <row r="1144" spans="1:24" x14ac:dyDescent="0.25">
      <c r="A1144" s="45"/>
      <c r="B1144" s="46"/>
      <c r="C1144" s="46"/>
      <c r="D1144" s="46"/>
      <c r="E1144" s="46"/>
      <c r="F1144" s="46"/>
      <c r="G1144" s="46"/>
      <c r="H1144" s="46"/>
      <c r="I1144" s="46"/>
      <c r="J1144" s="46"/>
      <c r="K1144" s="46"/>
      <c r="L1144" s="46"/>
      <c r="M1144" s="46"/>
      <c r="N1144" s="46"/>
      <c r="O1144" s="46"/>
      <c r="P1144" s="46"/>
      <c r="Q1144" s="46"/>
      <c r="R1144" s="46"/>
      <c r="S1144" s="46"/>
      <c r="T1144" s="46"/>
      <c r="U1144" s="46"/>
      <c r="V1144" s="46"/>
      <c r="W1144" s="46"/>
      <c r="X1144" s="11" t="str">
        <f>IF(COUNTBLANK(B1144:W1144)&gt;0,"NA",'batch classification'!J1150)</f>
        <v>NA</v>
      </c>
    </row>
    <row r="1145" spans="1:24" x14ac:dyDescent="0.25">
      <c r="A1145" s="45"/>
      <c r="B1145" s="46"/>
      <c r="C1145" s="46"/>
      <c r="D1145" s="46"/>
      <c r="E1145" s="46"/>
      <c r="F1145" s="46"/>
      <c r="G1145" s="46"/>
      <c r="H1145" s="46"/>
      <c r="I1145" s="46"/>
      <c r="J1145" s="46"/>
      <c r="K1145" s="46"/>
      <c r="L1145" s="46"/>
      <c r="M1145" s="46"/>
      <c r="N1145" s="46"/>
      <c r="O1145" s="46"/>
      <c r="P1145" s="46"/>
      <c r="Q1145" s="46"/>
      <c r="R1145" s="46"/>
      <c r="S1145" s="46"/>
      <c r="T1145" s="46"/>
      <c r="U1145" s="46"/>
      <c r="V1145" s="46"/>
      <c r="W1145" s="46"/>
      <c r="X1145" s="11" t="str">
        <f>IF(COUNTBLANK(B1145:W1145)&gt;0,"NA",'batch classification'!J1151)</f>
        <v>NA</v>
      </c>
    </row>
    <row r="1146" spans="1:24" x14ac:dyDescent="0.25">
      <c r="A1146" s="45"/>
      <c r="B1146" s="46"/>
      <c r="C1146" s="46"/>
      <c r="D1146" s="46"/>
      <c r="E1146" s="46"/>
      <c r="F1146" s="46"/>
      <c r="G1146" s="46"/>
      <c r="H1146" s="46"/>
      <c r="I1146" s="46"/>
      <c r="J1146" s="46"/>
      <c r="K1146" s="46"/>
      <c r="L1146" s="46"/>
      <c r="M1146" s="46"/>
      <c r="N1146" s="46"/>
      <c r="O1146" s="46"/>
      <c r="P1146" s="46"/>
      <c r="Q1146" s="46"/>
      <c r="R1146" s="46"/>
      <c r="S1146" s="46"/>
      <c r="T1146" s="46"/>
      <c r="U1146" s="46"/>
      <c r="V1146" s="46"/>
      <c r="W1146" s="46"/>
      <c r="X1146" s="11" t="str">
        <f>IF(COUNTBLANK(B1146:W1146)&gt;0,"NA",'batch classification'!J1152)</f>
        <v>NA</v>
      </c>
    </row>
    <row r="1147" spans="1:24" x14ac:dyDescent="0.25">
      <c r="A1147" s="45"/>
      <c r="B1147" s="46"/>
      <c r="C1147" s="46"/>
      <c r="D1147" s="46"/>
      <c r="E1147" s="46"/>
      <c r="F1147" s="46"/>
      <c r="G1147" s="46"/>
      <c r="H1147" s="46"/>
      <c r="I1147" s="46"/>
      <c r="J1147" s="46"/>
      <c r="K1147" s="46"/>
      <c r="L1147" s="46"/>
      <c r="M1147" s="46"/>
      <c r="N1147" s="46"/>
      <c r="O1147" s="46"/>
      <c r="P1147" s="46"/>
      <c r="Q1147" s="46"/>
      <c r="R1147" s="46"/>
      <c r="S1147" s="46"/>
      <c r="T1147" s="46"/>
      <c r="U1147" s="46"/>
      <c r="V1147" s="46"/>
      <c r="W1147" s="46"/>
      <c r="X1147" s="11" t="str">
        <f>IF(COUNTBLANK(B1147:W1147)&gt;0,"NA",'batch classification'!J1153)</f>
        <v>NA</v>
      </c>
    </row>
    <row r="1148" spans="1:24" x14ac:dyDescent="0.25">
      <c r="A1148" s="45"/>
      <c r="B1148" s="46"/>
      <c r="C1148" s="46"/>
      <c r="D1148" s="46"/>
      <c r="E1148" s="46"/>
      <c r="F1148" s="46"/>
      <c r="G1148" s="46"/>
      <c r="H1148" s="46"/>
      <c r="I1148" s="46"/>
      <c r="J1148" s="46"/>
      <c r="K1148" s="46"/>
      <c r="L1148" s="46"/>
      <c r="M1148" s="46"/>
      <c r="N1148" s="46"/>
      <c r="O1148" s="46"/>
      <c r="P1148" s="46"/>
      <c r="Q1148" s="46"/>
      <c r="R1148" s="46"/>
      <c r="S1148" s="46"/>
      <c r="T1148" s="46"/>
      <c r="U1148" s="46"/>
      <c r="V1148" s="46"/>
      <c r="W1148" s="46"/>
      <c r="X1148" s="11" t="str">
        <f>IF(COUNTBLANK(B1148:W1148)&gt;0,"NA",'batch classification'!J1154)</f>
        <v>NA</v>
      </c>
    </row>
    <row r="1149" spans="1:24" x14ac:dyDescent="0.25">
      <c r="A1149" s="45"/>
      <c r="B1149" s="46"/>
      <c r="C1149" s="46"/>
      <c r="D1149" s="46"/>
      <c r="E1149" s="46"/>
      <c r="F1149" s="46"/>
      <c r="G1149" s="46"/>
      <c r="H1149" s="46"/>
      <c r="I1149" s="46"/>
      <c r="J1149" s="46"/>
      <c r="K1149" s="46"/>
      <c r="L1149" s="46"/>
      <c r="M1149" s="46"/>
      <c r="N1149" s="46"/>
      <c r="O1149" s="46"/>
      <c r="P1149" s="46"/>
      <c r="Q1149" s="46"/>
      <c r="R1149" s="46"/>
      <c r="S1149" s="46"/>
      <c r="T1149" s="46"/>
      <c r="U1149" s="46"/>
      <c r="V1149" s="46"/>
      <c r="W1149" s="46"/>
      <c r="X1149" s="11" t="str">
        <f>IF(COUNTBLANK(B1149:W1149)&gt;0,"NA",'batch classification'!J1155)</f>
        <v>NA</v>
      </c>
    </row>
    <row r="1150" spans="1:24" x14ac:dyDescent="0.25">
      <c r="A1150" s="45"/>
      <c r="B1150" s="46"/>
      <c r="C1150" s="46"/>
      <c r="D1150" s="46"/>
      <c r="E1150" s="46"/>
      <c r="F1150" s="46"/>
      <c r="G1150" s="46"/>
      <c r="H1150" s="46"/>
      <c r="I1150" s="46"/>
      <c r="J1150" s="46"/>
      <c r="K1150" s="46"/>
      <c r="L1150" s="46"/>
      <c r="M1150" s="46"/>
      <c r="N1150" s="46"/>
      <c r="O1150" s="46"/>
      <c r="P1150" s="46"/>
      <c r="Q1150" s="46"/>
      <c r="R1150" s="46"/>
      <c r="S1150" s="46"/>
      <c r="T1150" s="46"/>
      <c r="U1150" s="46"/>
      <c r="V1150" s="46"/>
      <c r="W1150" s="46"/>
      <c r="X1150" s="11" t="str">
        <f>IF(COUNTBLANK(B1150:W1150)&gt;0,"NA",'batch classification'!J1156)</f>
        <v>NA</v>
      </c>
    </row>
    <row r="1151" spans="1:24" x14ac:dyDescent="0.25">
      <c r="A1151" s="45"/>
      <c r="B1151" s="46"/>
      <c r="C1151" s="46"/>
      <c r="D1151" s="46"/>
      <c r="E1151" s="46"/>
      <c r="F1151" s="46"/>
      <c r="G1151" s="46"/>
      <c r="H1151" s="46"/>
      <c r="I1151" s="46"/>
      <c r="J1151" s="46"/>
      <c r="K1151" s="46"/>
      <c r="L1151" s="46"/>
      <c r="M1151" s="46"/>
      <c r="N1151" s="46"/>
      <c r="O1151" s="46"/>
      <c r="P1151" s="46"/>
      <c r="Q1151" s="46"/>
      <c r="R1151" s="46"/>
      <c r="S1151" s="46"/>
      <c r="T1151" s="46"/>
      <c r="U1151" s="46"/>
      <c r="V1151" s="46"/>
      <c r="W1151" s="46"/>
      <c r="X1151" s="11" t="str">
        <f>IF(COUNTBLANK(B1151:W1151)&gt;0,"NA",'batch classification'!J1157)</f>
        <v>NA</v>
      </c>
    </row>
    <row r="1152" spans="1:24" x14ac:dyDescent="0.25">
      <c r="A1152" s="45"/>
      <c r="B1152" s="46"/>
      <c r="C1152" s="46"/>
      <c r="D1152" s="46"/>
      <c r="E1152" s="46"/>
      <c r="F1152" s="46"/>
      <c r="G1152" s="46"/>
      <c r="H1152" s="46"/>
      <c r="I1152" s="46"/>
      <c r="J1152" s="46"/>
      <c r="K1152" s="46"/>
      <c r="L1152" s="46"/>
      <c r="M1152" s="46"/>
      <c r="N1152" s="46"/>
      <c r="O1152" s="46"/>
      <c r="P1152" s="46"/>
      <c r="Q1152" s="46"/>
      <c r="R1152" s="46"/>
      <c r="S1152" s="46"/>
      <c r="T1152" s="46"/>
      <c r="U1152" s="46"/>
      <c r="V1152" s="46"/>
      <c r="W1152" s="46"/>
      <c r="X1152" s="11" t="str">
        <f>IF(COUNTBLANK(B1152:W1152)&gt;0,"NA",'batch classification'!J1158)</f>
        <v>NA</v>
      </c>
    </row>
    <row r="1153" spans="1:24" x14ac:dyDescent="0.25">
      <c r="A1153" s="45"/>
      <c r="B1153" s="46"/>
      <c r="C1153" s="46"/>
      <c r="D1153" s="46"/>
      <c r="E1153" s="46"/>
      <c r="F1153" s="46"/>
      <c r="G1153" s="46"/>
      <c r="H1153" s="46"/>
      <c r="I1153" s="46"/>
      <c r="J1153" s="46"/>
      <c r="K1153" s="46"/>
      <c r="L1153" s="46"/>
      <c r="M1153" s="46"/>
      <c r="N1153" s="46"/>
      <c r="O1153" s="46"/>
      <c r="P1153" s="46"/>
      <c r="Q1153" s="46"/>
      <c r="R1153" s="46"/>
      <c r="S1153" s="46"/>
      <c r="T1153" s="46"/>
      <c r="U1153" s="46"/>
      <c r="V1153" s="46"/>
      <c r="W1153" s="46"/>
      <c r="X1153" s="11" t="str">
        <f>IF(COUNTBLANK(B1153:W1153)&gt;0,"NA",'batch classification'!J1159)</f>
        <v>NA</v>
      </c>
    </row>
    <row r="1154" spans="1:24" x14ac:dyDescent="0.25">
      <c r="A1154" s="45"/>
      <c r="B1154" s="46"/>
      <c r="C1154" s="46"/>
      <c r="D1154" s="46"/>
      <c r="E1154" s="46"/>
      <c r="F1154" s="46"/>
      <c r="G1154" s="46"/>
      <c r="H1154" s="46"/>
      <c r="I1154" s="46"/>
      <c r="J1154" s="46"/>
      <c r="K1154" s="46"/>
      <c r="L1154" s="46"/>
      <c r="M1154" s="46"/>
      <c r="N1154" s="46"/>
      <c r="O1154" s="46"/>
      <c r="P1154" s="46"/>
      <c r="Q1154" s="46"/>
      <c r="R1154" s="46"/>
      <c r="S1154" s="46"/>
      <c r="T1154" s="46"/>
      <c r="U1154" s="46"/>
      <c r="V1154" s="46"/>
      <c r="W1154" s="46"/>
      <c r="X1154" s="11" t="str">
        <f>IF(COUNTBLANK(B1154:W1154)&gt;0,"NA",'batch classification'!J1160)</f>
        <v>NA</v>
      </c>
    </row>
    <row r="1155" spans="1:24" x14ac:dyDescent="0.25">
      <c r="A1155" s="45"/>
      <c r="B1155" s="46"/>
      <c r="C1155" s="46"/>
      <c r="D1155" s="46"/>
      <c r="E1155" s="46"/>
      <c r="F1155" s="46"/>
      <c r="G1155" s="46"/>
      <c r="H1155" s="46"/>
      <c r="I1155" s="46"/>
      <c r="J1155" s="46"/>
      <c r="K1155" s="46"/>
      <c r="L1155" s="46"/>
      <c r="M1155" s="46"/>
      <c r="N1155" s="46"/>
      <c r="O1155" s="46"/>
      <c r="P1155" s="46"/>
      <c r="Q1155" s="46"/>
      <c r="R1155" s="46"/>
      <c r="S1155" s="46"/>
      <c r="T1155" s="46"/>
      <c r="U1155" s="46"/>
      <c r="V1155" s="46"/>
      <c r="W1155" s="46"/>
      <c r="X1155" s="11" t="str">
        <f>IF(COUNTBLANK(B1155:W1155)&gt;0,"NA",'batch classification'!J1161)</f>
        <v>NA</v>
      </c>
    </row>
    <row r="1156" spans="1:24" x14ac:dyDescent="0.25">
      <c r="A1156" s="45"/>
      <c r="B1156" s="46"/>
      <c r="C1156" s="46"/>
      <c r="D1156" s="46"/>
      <c r="E1156" s="46"/>
      <c r="F1156" s="46"/>
      <c r="G1156" s="46"/>
      <c r="H1156" s="46"/>
      <c r="I1156" s="46"/>
      <c r="J1156" s="46"/>
      <c r="K1156" s="46"/>
      <c r="L1156" s="46"/>
      <c r="M1156" s="46"/>
      <c r="N1156" s="46"/>
      <c r="O1156" s="46"/>
      <c r="P1156" s="46"/>
      <c r="Q1156" s="46"/>
      <c r="R1156" s="46"/>
      <c r="S1156" s="46"/>
      <c r="T1156" s="46"/>
      <c r="U1156" s="46"/>
      <c r="V1156" s="46"/>
      <c r="W1156" s="46"/>
      <c r="X1156" s="11" t="str">
        <f>IF(COUNTBLANK(B1156:W1156)&gt;0,"NA",'batch classification'!J1162)</f>
        <v>NA</v>
      </c>
    </row>
    <row r="1157" spans="1:24" x14ac:dyDescent="0.25">
      <c r="A1157" s="45"/>
      <c r="B1157" s="46"/>
      <c r="C1157" s="46"/>
      <c r="D1157" s="46"/>
      <c r="E1157" s="46"/>
      <c r="F1157" s="46"/>
      <c r="G1157" s="46"/>
      <c r="H1157" s="46"/>
      <c r="I1157" s="46"/>
      <c r="J1157" s="46"/>
      <c r="K1157" s="46"/>
      <c r="L1157" s="46"/>
      <c r="M1157" s="46"/>
      <c r="N1157" s="46"/>
      <c r="O1157" s="46"/>
      <c r="P1157" s="46"/>
      <c r="Q1157" s="46"/>
      <c r="R1157" s="46"/>
      <c r="S1157" s="46"/>
      <c r="T1157" s="46"/>
      <c r="U1157" s="46"/>
      <c r="V1157" s="46"/>
      <c r="W1157" s="46"/>
      <c r="X1157" s="11" t="str">
        <f>IF(COUNTBLANK(B1157:W1157)&gt;0,"NA",'batch classification'!J1163)</f>
        <v>NA</v>
      </c>
    </row>
    <row r="1158" spans="1:24" x14ac:dyDescent="0.25">
      <c r="A1158" s="45"/>
      <c r="B1158" s="46"/>
      <c r="C1158" s="46"/>
      <c r="D1158" s="46"/>
      <c r="E1158" s="46"/>
      <c r="F1158" s="46"/>
      <c r="G1158" s="46"/>
      <c r="H1158" s="46"/>
      <c r="I1158" s="46"/>
      <c r="J1158" s="46"/>
      <c r="K1158" s="46"/>
      <c r="L1158" s="46"/>
      <c r="M1158" s="46"/>
      <c r="N1158" s="46"/>
      <c r="O1158" s="46"/>
      <c r="P1158" s="46"/>
      <c r="Q1158" s="46"/>
      <c r="R1158" s="46"/>
      <c r="S1158" s="46"/>
      <c r="T1158" s="46"/>
      <c r="U1158" s="46"/>
      <c r="V1158" s="46"/>
      <c r="W1158" s="46"/>
      <c r="X1158" s="11" t="str">
        <f>IF(COUNTBLANK(B1158:W1158)&gt;0,"NA",'batch classification'!J1164)</f>
        <v>NA</v>
      </c>
    </row>
    <row r="1159" spans="1:24" x14ac:dyDescent="0.25">
      <c r="A1159" s="45"/>
      <c r="B1159" s="46"/>
      <c r="C1159" s="46"/>
      <c r="D1159" s="46"/>
      <c r="E1159" s="46"/>
      <c r="F1159" s="46"/>
      <c r="G1159" s="46"/>
      <c r="H1159" s="46"/>
      <c r="I1159" s="46"/>
      <c r="J1159" s="46"/>
      <c r="K1159" s="46"/>
      <c r="L1159" s="46"/>
      <c r="M1159" s="46"/>
      <c r="N1159" s="46"/>
      <c r="O1159" s="46"/>
      <c r="P1159" s="46"/>
      <c r="Q1159" s="46"/>
      <c r="R1159" s="46"/>
      <c r="S1159" s="46"/>
      <c r="T1159" s="46"/>
      <c r="U1159" s="46"/>
      <c r="V1159" s="46"/>
      <c r="W1159" s="46"/>
      <c r="X1159" s="11" t="str">
        <f>IF(COUNTBLANK(B1159:W1159)&gt;0,"NA",'batch classification'!J1165)</f>
        <v>NA</v>
      </c>
    </row>
    <row r="1160" spans="1:24" x14ac:dyDescent="0.25">
      <c r="A1160" s="45"/>
      <c r="B1160" s="46"/>
      <c r="C1160" s="46"/>
      <c r="D1160" s="46"/>
      <c r="E1160" s="46"/>
      <c r="F1160" s="46"/>
      <c r="G1160" s="46"/>
      <c r="H1160" s="46"/>
      <c r="I1160" s="46"/>
      <c r="J1160" s="46"/>
      <c r="K1160" s="46"/>
      <c r="L1160" s="46"/>
      <c r="M1160" s="46"/>
      <c r="N1160" s="46"/>
      <c r="O1160" s="46"/>
      <c r="P1160" s="46"/>
      <c r="Q1160" s="46"/>
      <c r="R1160" s="46"/>
      <c r="S1160" s="46"/>
      <c r="T1160" s="46"/>
      <c r="U1160" s="46"/>
      <c r="V1160" s="46"/>
      <c r="W1160" s="46"/>
      <c r="X1160" s="11" t="str">
        <f>IF(COUNTBLANK(B1160:W1160)&gt;0,"NA",'batch classification'!J1166)</f>
        <v>NA</v>
      </c>
    </row>
    <row r="1161" spans="1:24" x14ac:dyDescent="0.25">
      <c r="A1161" s="45"/>
      <c r="B1161" s="46"/>
      <c r="C1161" s="46"/>
      <c r="D1161" s="46"/>
      <c r="E1161" s="46"/>
      <c r="F1161" s="46"/>
      <c r="G1161" s="46"/>
      <c r="H1161" s="46"/>
      <c r="I1161" s="46"/>
      <c r="J1161" s="46"/>
      <c r="K1161" s="46"/>
      <c r="L1161" s="46"/>
      <c r="M1161" s="46"/>
      <c r="N1161" s="46"/>
      <c r="O1161" s="46"/>
      <c r="P1161" s="46"/>
      <c r="Q1161" s="46"/>
      <c r="R1161" s="46"/>
      <c r="S1161" s="46"/>
      <c r="T1161" s="46"/>
      <c r="U1161" s="46"/>
      <c r="V1161" s="46"/>
      <c r="W1161" s="46"/>
      <c r="X1161" s="11" t="str">
        <f>IF(COUNTBLANK(B1161:W1161)&gt;0,"NA",'batch classification'!J1167)</f>
        <v>NA</v>
      </c>
    </row>
    <row r="1162" spans="1:24" x14ac:dyDescent="0.25">
      <c r="A1162" s="45"/>
      <c r="B1162" s="46"/>
      <c r="C1162" s="46"/>
      <c r="D1162" s="46"/>
      <c r="E1162" s="46"/>
      <c r="F1162" s="46"/>
      <c r="G1162" s="46"/>
      <c r="H1162" s="46"/>
      <c r="I1162" s="46"/>
      <c r="J1162" s="46"/>
      <c r="K1162" s="46"/>
      <c r="L1162" s="46"/>
      <c r="M1162" s="46"/>
      <c r="N1162" s="46"/>
      <c r="O1162" s="46"/>
      <c r="P1162" s="46"/>
      <c r="Q1162" s="46"/>
      <c r="R1162" s="46"/>
      <c r="S1162" s="46"/>
      <c r="T1162" s="46"/>
      <c r="U1162" s="46"/>
      <c r="V1162" s="46"/>
      <c r="W1162" s="46"/>
      <c r="X1162" s="11" t="str">
        <f>IF(COUNTBLANK(B1162:W1162)&gt;0,"NA",'batch classification'!J1168)</f>
        <v>NA</v>
      </c>
    </row>
    <row r="1163" spans="1:24" x14ac:dyDescent="0.25">
      <c r="A1163" s="45"/>
      <c r="B1163" s="46"/>
      <c r="C1163" s="46"/>
      <c r="D1163" s="46"/>
      <c r="E1163" s="46"/>
      <c r="F1163" s="46"/>
      <c r="G1163" s="46"/>
      <c r="H1163" s="46"/>
      <c r="I1163" s="46"/>
      <c r="J1163" s="46"/>
      <c r="K1163" s="46"/>
      <c r="L1163" s="46"/>
      <c r="M1163" s="46"/>
      <c r="N1163" s="46"/>
      <c r="O1163" s="46"/>
      <c r="P1163" s="46"/>
      <c r="Q1163" s="46"/>
      <c r="R1163" s="46"/>
      <c r="S1163" s="46"/>
      <c r="T1163" s="46"/>
      <c r="U1163" s="46"/>
      <c r="V1163" s="46"/>
      <c r="W1163" s="46"/>
      <c r="X1163" s="11" t="str">
        <f>IF(COUNTBLANK(B1163:W1163)&gt;0,"NA",'batch classification'!J1169)</f>
        <v>NA</v>
      </c>
    </row>
    <row r="1164" spans="1:24" x14ac:dyDescent="0.25">
      <c r="A1164" s="45"/>
      <c r="B1164" s="46"/>
      <c r="C1164" s="46"/>
      <c r="D1164" s="46"/>
      <c r="E1164" s="46"/>
      <c r="F1164" s="46"/>
      <c r="G1164" s="46"/>
      <c r="H1164" s="46"/>
      <c r="I1164" s="46"/>
      <c r="J1164" s="46"/>
      <c r="K1164" s="46"/>
      <c r="L1164" s="46"/>
      <c r="M1164" s="46"/>
      <c r="N1164" s="46"/>
      <c r="O1164" s="46"/>
      <c r="P1164" s="46"/>
      <c r="Q1164" s="46"/>
      <c r="R1164" s="46"/>
      <c r="S1164" s="46"/>
      <c r="T1164" s="46"/>
      <c r="U1164" s="46"/>
      <c r="V1164" s="46"/>
      <c r="W1164" s="46"/>
      <c r="X1164" s="11" t="str">
        <f>IF(COUNTBLANK(B1164:W1164)&gt;0,"NA",'batch classification'!J1170)</f>
        <v>NA</v>
      </c>
    </row>
    <row r="1165" spans="1:24" x14ac:dyDescent="0.25">
      <c r="A1165" s="45"/>
      <c r="B1165" s="46"/>
      <c r="C1165" s="46"/>
      <c r="D1165" s="46"/>
      <c r="E1165" s="46"/>
      <c r="F1165" s="46"/>
      <c r="G1165" s="46"/>
      <c r="H1165" s="46"/>
      <c r="I1165" s="46"/>
      <c r="J1165" s="46"/>
      <c r="K1165" s="46"/>
      <c r="L1165" s="46"/>
      <c r="M1165" s="46"/>
      <c r="N1165" s="46"/>
      <c r="O1165" s="46"/>
      <c r="P1165" s="46"/>
      <c r="Q1165" s="46"/>
      <c r="R1165" s="46"/>
      <c r="S1165" s="46"/>
      <c r="T1165" s="46"/>
      <c r="U1165" s="46"/>
      <c r="V1165" s="46"/>
      <c r="W1165" s="46"/>
      <c r="X1165" s="11" t="str">
        <f>IF(COUNTBLANK(B1165:W1165)&gt;0,"NA",'batch classification'!J1171)</f>
        <v>NA</v>
      </c>
    </row>
    <row r="1166" spans="1:24" x14ac:dyDescent="0.25">
      <c r="A1166" s="45"/>
      <c r="B1166" s="46"/>
      <c r="C1166" s="46"/>
      <c r="D1166" s="46"/>
      <c r="E1166" s="46"/>
      <c r="F1166" s="46"/>
      <c r="G1166" s="46"/>
      <c r="H1166" s="46"/>
      <c r="I1166" s="46"/>
      <c r="J1166" s="46"/>
      <c r="K1166" s="46"/>
      <c r="L1166" s="46"/>
      <c r="M1166" s="46"/>
      <c r="N1166" s="46"/>
      <c r="O1166" s="46"/>
      <c r="P1166" s="46"/>
      <c r="Q1166" s="46"/>
      <c r="R1166" s="46"/>
      <c r="S1166" s="46"/>
      <c r="T1166" s="46"/>
      <c r="U1166" s="46"/>
      <c r="V1166" s="46"/>
      <c r="W1166" s="46"/>
      <c r="X1166" s="11" t="str">
        <f>IF(COUNTBLANK(B1166:W1166)&gt;0,"NA",'batch classification'!J1172)</f>
        <v>NA</v>
      </c>
    </row>
    <row r="1167" spans="1:24" x14ac:dyDescent="0.25">
      <c r="A1167" s="45"/>
      <c r="B1167" s="46"/>
      <c r="C1167" s="46"/>
      <c r="D1167" s="46"/>
      <c r="E1167" s="46"/>
      <c r="F1167" s="46"/>
      <c r="G1167" s="46"/>
      <c r="H1167" s="46"/>
      <c r="I1167" s="46"/>
      <c r="J1167" s="46"/>
      <c r="K1167" s="46"/>
      <c r="L1167" s="46"/>
      <c r="M1167" s="46"/>
      <c r="N1167" s="46"/>
      <c r="O1167" s="46"/>
      <c r="P1167" s="46"/>
      <c r="Q1167" s="46"/>
      <c r="R1167" s="46"/>
      <c r="S1167" s="46"/>
      <c r="T1167" s="46"/>
      <c r="U1167" s="46"/>
      <c r="V1167" s="46"/>
      <c r="W1167" s="46"/>
      <c r="X1167" s="11" t="str">
        <f>IF(COUNTBLANK(B1167:W1167)&gt;0,"NA",'batch classification'!J1173)</f>
        <v>NA</v>
      </c>
    </row>
    <row r="1168" spans="1:24" x14ac:dyDescent="0.25">
      <c r="A1168" s="45"/>
      <c r="B1168" s="46"/>
      <c r="C1168" s="46"/>
      <c r="D1168" s="46"/>
      <c r="E1168" s="46"/>
      <c r="F1168" s="46"/>
      <c r="G1168" s="46"/>
      <c r="H1168" s="46"/>
      <c r="I1168" s="46"/>
      <c r="J1168" s="46"/>
      <c r="K1168" s="46"/>
      <c r="L1168" s="46"/>
      <c r="M1168" s="46"/>
      <c r="N1168" s="46"/>
      <c r="O1168" s="46"/>
      <c r="P1168" s="46"/>
      <c r="Q1168" s="46"/>
      <c r="R1168" s="46"/>
      <c r="S1168" s="46"/>
      <c r="T1168" s="46"/>
      <c r="U1168" s="46"/>
      <c r="V1168" s="46"/>
      <c r="W1168" s="46"/>
      <c r="X1168" s="11" t="str">
        <f>IF(COUNTBLANK(B1168:W1168)&gt;0,"NA",'batch classification'!J1174)</f>
        <v>NA</v>
      </c>
    </row>
    <row r="1169" spans="1:24" x14ac:dyDescent="0.25">
      <c r="A1169" s="45"/>
      <c r="B1169" s="46"/>
      <c r="C1169" s="46"/>
      <c r="D1169" s="46"/>
      <c r="E1169" s="46"/>
      <c r="F1169" s="46"/>
      <c r="G1169" s="46"/>
      <c r="H1169" s="46"/>
      <c r="I1169" s="46"/>
      <c r="J1169" s="46"/>
      <c r="K1169" s="46"/>
      <c r="L1169" s="46"/>
      <c r="M1169" s="46"/>
      <c r="N1169" s="46"/>
      <c r="O1169" s="46"/>
      <c r="P1169" s="46"/>
      <c r="Q1169" s="46"/>
      <c r="R1169" s="46"/>
      <c r="S1169" s="46"/>
      <c r="T1169" s="46"/>
      <c r="U1169" s="46"/>
      <c r="V1169" s="46"/>
      <c r="W1169" s="46"/>
      <c r="X1169" s="11" t="str">
        <f>IF(COUNTBLANK(B1169:W1169)&gt;0,"NA",'batch classification'!J1175)</f>
        <v>NA</v>
      </c>
    </row>
    <row r="1170" spans="1:24" x14ac:dyDescent="0.25">
      <c r="A1170" s="45"/>
      <c r="B1170" s="46"/>
      <c r="C1170" s="46"/>
      <c r="D1170" s="46"/>
      <c r="E1170" s="46"/>
      <c r="F1170" s="46"/>
      <c r="G1170" s="46"/>
      <c r="H1170" s="46"/>
      <c r="I1170" s="46"/>
      <c r="J1170" s="46"/>
      <c r="K1170" s="46"/>
      <c r="L1170" s="46"/>
      <c r="M1170" s="46"/>
      <c r="N1170" s="46"/>
      <c r="O1170" s="46"/>
      <c r="P1170" s="46"/>
      <c r="Q1170" s="46"/>
      <c r="R1170" s="46"/>
      <c r="S1170" s="46"/>
      <c r="T1170" s="46"/>
      <c r="U1170" s="46"/>
      <c r="V1170" s="46"/>
      <c r="W1170" s="46"/>
      <c r="X1170" s="11" t="str">
        <f>IF(COUNTBLANK(B1170:W1170)&gt;0,"NA",'batch classification'!J1176)</f>
        <v>NA</v>
      </c>
    </row>
    <row r="1171" spans="1:24" x14ac:dyDescent="0.25">
      <c r="A1171" s="45"/>
      <c r="B1171" s="46"/>
      <c r="C1171" s="46"/>
      <c r="D1171" s="46"/>
      <c r="E1171" s="46"/>
      <c r="F1171" s="46"/>
      <c r="G1171" s="46"/>
      <c r="H1171" s="46"/>
      <c r="I1171" s="46"/>
      <c r="J1171" s="46"/>
      <c r="K1171" s="46"/>
      <c r="L1171" s="46"/>
      <c r="M1171" s="46"/>
      <c r="N1171" s="46"/>
      <c r="O1171" s="46"/>
      <c r="P1171" s="46"/>
      <c r="Q1171" s="46"/>
      <c r="R1171" s="46"/>
      <c r="S1171" s="46"/>
      <c r="T1171" s="46"/>
      <c r="U1171" s="46"/>
      <c r="V1171" s="46"/>
      <c r="W1171" s="46"/>
      <c r="X1171" s="11" t="str">
        <f>IF(COUNTBLANK(B1171:W1171)&gt;0,"NA",'batch classification'!J1177)</f>
        <v>NA</v>
      </c>
    </row>
    <row r="1172" spans="1:24" x14ac:dyDescent="0.25">
      <c r="A1172" s="45"/>
      <c r="B1172" s="46"/>
      <c r="C1172" s="46"/>
      <c r="D1172" s="46"/>
      <c r="E1172" s="46"/>
      <c r="F1172" s="46"/>
      <c r="G1172" s="46"/>
      <c r="H1172" s="46"/>
      <c r="I1172" s="46"/>
      <c r="J1172" s="46"/>
      <c r="K1172" s="46"/>
      <c r="L1172" s="46"/>
      <c r="M1172" s="46"/>
      <c r="N1172" s="46"/>
      <c r="O1172" s="46"/>
      <c r="P1172" s="46"/>
      <c r="Q1172" s="46"/>
      <c r="R1172" s="46"/>
      <c r="S1172" s="46"/>
      <c r="T1172" s="46"/>
      <c r="U1172" s="46"/>
      <c r="V1172" s="46"/>
      <c r="W1172" s="46"/>
      <c r="X1172" s="11" t="str">
        <f>IF(COUNTBLANK(B1172:W1172)&gt;0,"NA",'batch classification'!J1178)</f>
        <v>NA</v>
      </c>
    </row>
    <row r="1173" spans="1:24" x14ac:dyDescent="0.25">
      <c r="A1173" s="45"/>
      <c r="B1173" s="46"/>
      <c r="C1173" s="46"/>
      <c r="D1173" s="46"/>
      <c r="E1173" s="46"/>
      <c r="F1173" s="46"/>
      <c r="G1173" s="46"/>
      <c r="H1173" s="46"/>
      <c r="I1173" s="46"/>
      <c r="J1173" s="46"/>
      <c r="K1173" s="46"/>
      <c r="L1173" s="46"/>
      <c r="M1173" s="46"/>
      <c r="N1173" s="46"/>
      <c r="O1173" s="46"/>
      <c r="P1173" s="46"/>
      <c r="Q1173" s="46"/>
      <c r="R1173" s="46"/>
      <c r="S1173" s="46"/>
      <c r="T1173" s="46"/>
      <c r="U1173" s="46"/>
      <c r="V1173" s="46"/>
      <c r="W1173" s="46"/>
      <c r="X1173" s="11" t="str">
        <f>IF(COUNTBLANK(B1173:W1173)&gt;0,"NA",'batch classification'!J1179)</f>
        <v>NA</v>
      </c>
    </row>
    <row r="1174" spans="1:24" x14ac:dyDescent="0.25">
      <c r="A1174" s="45"/>
      <c r="B1174" s="46"/>
      <c r="C1174" s="46"/>
      <c r="D1174" s="46"/>
      <c r="E1174" s="46"/>
      <c r="F1174" s="46"/>
      <c r="G1174" s="46"/>
      <c r="H1174" s="46"/>
      <c r="I1174" s="46"/>
      <c r="J1174" s="46"/>
      <c r="K1174" s="46"/>
      <c r="L1174" s="46"/>
      <c r="M1174" s="46"/>
      <c r="N1174" s="46"/>
      <c r="O1174" s="46"/>
      <c r="P1174" s="46"/>
      <c r="Q1174" s="46"/>
      <c r="R1174" s="46"/>
      <c r="S1174" s="46"/>
      <c r="T1174" s="46"/>
      <c r="U1174" s="46"/>
      <c r="V1174" s="46"/>
      <c r="W1174" s="46"/>
      <c r="X1174" s="11" t="str">
        <f>IF(COUNTBLANK(B1174:W1174)&gt;0,"NA",'batch classification'!J1180)</f>
        <v>NA</v>
      </c>
    </row>
    <row r="1175" spans="1:24" x14ac:dyDescent="0.25">
      <c r="A1175" s="45"/>
      <c r="B1175" s="46"/>
      <c r="C1175" s="46"/>
      <c r="D1175" s="46"/>
      <c r="E1175" s="46"/>
      <c r="F1175" s="46"/>
      <c r="G1175" s="46"/>
      <c r="H1175" s="46"/>
      <c r="I1175" s="46"/>
      <c r="J1175" s="46"/>
      <c r="K1175" s="46"/>
      <c r="L1175" s="46"/>
      <c r="M1175" s="46"/>
      <c r="N1175" s="46"/>
      <c r="O1175" s="46"/>
      <c r="P1175" s="46"/>
      <c r="Q1175" s="46"/>
      <c r="R1175" s="46"/>
      <c r="S1175" s="46"/>
      <c r="T1175" s="46"/>
      <c r="U1175" s="46"/>
      <c r="V1175" s="46"/>
      <c r="W1175" s="46"/>
      <c r="X1175" s="11" t="str">
        <f>IF(COUNTBLANK(B1175:W1175)&gt;0,"NA",'batch classification'!J1181)</f>
        <v>NA</v>
      </c>
    </row>
    <row r="1176" spans="1:24" x14ac:dyDescent="0.25">
      <c r="A1176" s="45"/>
      <c r="B1176" s="46"/>
      <c r="C1176" s="46"/>
      <c r="D1176" s="46"/>
      <c r="E1176" s="46"/>
      <c r="F1176" s="46"/>
      <c r="G1176" s="46"/>
      <c r="H1176" s="46"/>
      <c r="I1176" s="46"/>
      <c r="J1176" s="46"/>
      <c r="K1176" s="46"/>
      <c r="L1176" s="46"/>
      <c r="M1176" s="46"/>
      <c r="N1176" s="46"/>
      <c r="O1176" s="46"/>
      <c r="P1176" s="46"/>
      <c r="Q1176" s="46"/>
      <c r="R1176" s="46"/>
      <c r="S1176" s="46"/>
      <c r="T1176" s="46"/>
      <c r="U1176" s="46"/>
      <c r="V1176" s="46"/>
      <c r="W1176" s="46"/>
      <c r="X1176" s="11" t="str">
        <f>IF(COUNTBLANK(B1176:W1176)&gt;0,"NA",'batch classification'!J1182)</f>
        <v>NA</v>
      </c>
    </row>
    <row r="1177" spans="1:24" x14ac:dyDescent="0.25">
      <c r="A1177" s="45"/>
      <c r="B1177" s="46"/>
      <c r="C1177" s="46"/>
      <c r="D1177" s="46"/>
      <c r="E1177" s="46"/>
      <c r="F1177" s="46"/>
      <c r="G1177" s="46"/>
      <c r="H1177" s="46"/>
      <c r="I1177" s="46"/>
      <c r="J1177" s="46"/>
      <c r="K1177" s="46"/>
      <c r="L1177" s="46"/>
      <c r="M1177" s="46"/>
      <c r="N1177" s="46"/>
      <c r="O1177" s="46"/>
      <c r="P1177" s="46"/>
      <c r="Q1177" s="46"/>
      <c r="R1177" s="46"/>
      <c r="S1177" s="46"/>
      <c r="T1177" s="46"/>
      <c r="U1177" s="46"/>
      <c r="V1177" s="46"/>
      <c r="W1177" s="46"/>
      <c r="X1177" s="11" t="str">
        <f>IF(COUNTBLANK(B1177:W1177)&gt;0,"NA",'batch classification'!J1183)</f>
        <v>NA</v>
      </c>
    </row>
    <row r="1178" spans="1:24" x14ac:dyDescent="0.25">
      <c r="A1178" s="45"/>
      <c r="B1178" s="46"/>
      <c r="C1178" s="46"/>
      <c r="D1178" s="46"/>
      <c r="E1178" s="46"/>
      <c r="F1178" s="46"/>
      <c r="G1178" s="46"/>
      <c r="H1178" s="46"/>
      <c r="I1178" s="46"/>
      <c r="J1178" s="46"/>
      <c r="K1178" s="46"/>
      <c r="L1178" s="46"/>
      <c r="M1178" s="46"/>
      <c r="N1178" s="46"/>
      <c r="O1178" s="46"/>
      <c r="P1178" s="46"/>
      <c r="Q1178" s="46"/>
      <c r="R1178" s="46"/>
      <c r="S1178" s="46"/>
      <c r="T1178" s="46"/>
      <c r="U1178" s="46"/>
      <c r="V1178" s="46"/>
      <c r="W1178" s="46"/>
      <c r="X1178" s="11" t="str">
        <f>IF(COUNTBLANK(B1178:W1178)&gt;0,"NA",'batch classification'!J1184)</f>
        <v>NA</v>
      </c>
    </row>
    <row r="1179" spans="1:24" x14ac:dyDescent="0.25">
      <c r="A1179" s="45"/>
      <c r="B1179" s="46"/>
      <c r="C1179" s="46"/>
      <c r="D1179" s="46"/>
      <c r="E1179" s="46"/>
      <c r="F1179" s="46"/>
      <c r="G1179" s="46"/>
      <c r="H1179" s="46"/>
      <c r="I1179" s="46"/>
      <c r="J1179" s="46"/>
      <c r="K1179" s="46"/>
      <c r="L1179" s="46"/>
      <c r="M1179" s="46"/>
      <c r="N1179" s="46"/>
      <c r="O1179" s="46"/>
      <c r="P1179" s="46"/>
      <c r="Q1179" s="46"/>
      <c r="R1179" s="46"/>
      <c r="S1179" s="46"/>
      <c r="T1179" s="46"/>
      <c r="U1179" s="46"/>
      <c r="V1179" s="46"/>
      <c r="W1179" s="46"/>
      <c r="X1179" s="11" t="str">
        <f>IF(COUNTBLANK(B1179:W1179)&gt;0,"NA",'batch classification'!J1185)</f>
        <v>NA</v>
      </c>
    </row>
    <row r="1180" spans="1:24" x14ac:dyDescent="0.25">
      <c r="A1180" s="45"/>
      <c r="B1180" s="46"/>
      <c r="C1180" s="46"/>
      <c r="D1180" s="46"/>
      <c r="E1180" s="46"/>
      <c r="F1180" s="46"/>
      <c r="G1180" s="46"/>
      <c r="H1180" s="46"/>
      <c r="I1180" s="46"/>
      <c r="J1180" s="46"/>
      <c r="K1180" s="46"/>
      <c r="L1180" s="46"/>
      <c r="M1180" s="46"/>
      <c r="N1180" s="46"/>
      <c r="O1180" s="46"/>
      <c r="P1180" s="46"/>
      <c r="Q1180" s="46"/>
      <c r="R1180" s="46"/>
      <c r="S1180" s="46"/>
      <c r="T1180" s="46"/>
      <c r="U1180" s="46"/>
      <c r="V1180" s="46"/>
      <c r="W1180" s="46"/>
      <c r="X1180" s="11" t="str">
        <f>IF(COUNTBLANK(B1180:W1180)&gt;0,"NA",'batch classification'!J1186)</f>
        <v>NA</v>
      </c>
    </row>
    <row r="1181" spans="1:24" x14ac:dyDescent="0.25">
      <c r="A1181" s="45"/>
      <c r="B1181" s="46"/>
      <c r="C1181" s="46"/>
      <c r="D1181" s="46"/>
      <c r="E1181" s="46"/>
      <c r="F1181" s="46"/>
      <c r="G1181" s="46"/>
      <c r="H1181" s="46"/>
      <c r="I1181" s="46"/>
      <c r="J1181" s="46"/>
      <c r="K1181" s="46"/>
      <c r="L1181" s="46"/>
      <c r="M1181" s="46"/>
      <c r="N1181" s="46"/>
      <c r="O1181" s="46"/>
      <c r="P1181" s="46"/>
      <c r="Q1181" s="46"/>
      <c r="R1181" s="46"/>
      <c r="S1181" s="46"/>
      <c r="T1181" s="46"/>
      <c r="U1181" s="46"/>
      <c r="V1181" s="46"/>
      <c r="W1181" s="46"/>
      <c r="X1181" s="11" t="str">
        <f>IF(COUNTBLANK(B1181:W1181)&gt;0,"NA",'batch classification'!J1187)</f>
        <v>NA</v>
      </c>
    </row>
    <row r="1182" spans="1:24" x14ac:dyDescent="0.25">
      <c r="A1182" s="45"/>
      <c r="B1182" s="46"/>
      <c r="C1182" s="46"/>
      <c r="D1182" s="46"/>
      <c r="E1182" s="46"/>
      <c r="F1182" s="46"/>
      <c r="G1182" s="46"/>
      <c r="H1182" s="46"/>
      <c r="I1182" s="46"/>
      <c r="J1182" s="46"/>
      <c r="K1182" s="46"/>
      <c r="L1182" s="46"/>
      <c r="M1182" s="46"/>
      <c r="N1182" s="46"/>
      <c r="O1182" s="46"/>
      <c r="P1182" s="46"/>
      <c r="Q1182" s="46"/>
      <c r="R1182" s="46"/>
      <c r="S1182" s="46"/>
      <c r="T1182" s="46"/>
      <c r="U1182" s="46"/>
      <c r="V1182" s="46"/>
      <c r="W1182" s="46"/>
      <c r="X1182" s="11" t="str">
        <f>IF(COUNTBLANK(B1182:W1182)&gt;0,"NA",'batch classification'!J1188)</f>
        <v>NA</v>
      </c>
    </row>
    <row r="1183" spans="1:24" x14ac:dyDescent="0.25">
      <c r="A1183" s="45"/>
      <c r="B1183" s="46"/>
      <c r="C1183" s="46"/>
      <c r="D1183" s="46"/>
      <c r="E1183" s="46"/>
      <c r="F1183" s="46"/>
      <c r="G1183" s="46"/>
      <c r="H1183" s="46"/>
      <c r="I1183" s="46"/>
      <c r="J1183" s="46"/>
      <c r="K1183" s="46"/>
      <c r="L1183" s="46"/>
      <c r="M1183" s="46"/>
      <c r="N1183" s="46"/>
      <c r="O1183" s="46"/>
      <c r="P1183" s="46"/>
      <c r="Q1183" s="46"/>
      <c r="R1183" s="46"/>
      <c r="S1183" s="46"/>
      <c r="T1183" s="46"/>
      <c r="U1183" s="46"/>
      <c r="V1183" s="46"/>
      <c r="W1183" s="46"/>
      <c r="X1183" s="11" t="str">
        <f>IF(COUNTBLANK(B1183:W1183)&gt;0,"NA",'batch classification'!J1189)</f>
        <v>NA</v>
      </c>
    </row>
    <row r="1184" spans="1:24" x14ac:dyDescent="0.25">
      <c r="A1184" s="45"/>
      <c r="B1184" s="46"/>
      <c r="C1184" s="46"/>
      <c r="D1184" s="46"/>
      <c r="E1184" s="46"/>
      <c r="F1184" s="46"/>
      <c r="G1184" s="46"/>
      <c r="H1184" s="46"/>
      <c r="I1184" s="46"/>
      <c r="J1184" s="46"/>
      <c r="K1184" s="46"/>
      <c r="L1184" s="46"/>
      <c r="M1184" s="46"/>
      <c r="N1184" s="46"/>
      <c r="O1184" s="46"/>
      <c r="P1184" s="46"/>
      <c r="Q1184" s="46"/>
      <c r="R1184" s="46"/>
      <c r="S1184" s="46"/>
      <c r="T1184" s="46"/>
      <c r="U1184" s="46"/>
      <c r="V1184" s="46"/>
      <c r="W1184" s="46"/>
      <c r="X1184" s="11" t="str">
        <f>IF(COUNTBLANK(B1184:W1184)&gt;0,"NA",'batch classification'!J1190)</f>
        <v>NA</v>
      </c>
    </row>
    <row r="1185" spans="1:24" x14ac:dyDescent="0.25">
      <c r="A1185" s="45"/>
      <c r="B1185" s="46"/>
      <c r="C1185" s="46"/>
      <c r="D1185" s="46"/>
      <c r="E1185" s="46"/>
      <c r="F1185" s="46"/>
      <c r="G1185" s="46"/>
      <c r="H1185" s="46"/>
      <c r="I1185" s="46"/>
      <c r="J1185" s="46"/>
      <c r="K1185" s="46"/>
      <c r="L1185" s="46"/>
      <c r="M1185" s="46"/>
      <c r="N1185" s="46"/>
      <c r="O1185" s="46"/>
      <c r="P1185" s="46"/>
      <c r="Q1185" s="46"/>
      <c r="R1185" s="46"/>
      <c r="S1185" s="46"/>
      <c r="T1185" s="46"/>
      <c r="U1185" s="46"/>
      <c r="V1185" s="46"/>
      <c r="W1185" s="46"/>
      <c r="X1185" s="11" t="str">
        <f>IF(COUNTBLANK(B1185:W1185)&gt;0,"NA",'batch classification'!J1191)</f>
        <v>NA</v>
      </c>
    </row>
    <row r="1186" spans="1:24" x14ac:dyDescent="0.25">
      <c r="A1186" s="45"/>
      <c r="B1186" s="46"/>
      <c r="C1186" s="46"/>
      <c r="D1186" s="46"/>
      <c r="E1186" s="46"/>
      <c r="F1186" s="46"/>
      <c r="G1186" s="46"/>
      <c r="H1186" s="46"/>
      <c r="I1186" s="46"/>
      <c r="J1186" s="46"/>
      <c r="K1186" s="46"/>
      <c r="L1186" s="46"/>
      <c r="M1186" s="46"/>
      <c r="N1186" s="46"/>
      <c r="O1186" s="46"/>
      <c r="P1186" s="46"/>
      <c r="Q1186" s="46"/>
      <c r="R1186" s="46"/>
      <c r="S1186" s="46"/>
      <c r="T1186" s="46"/>
      <c r="U1186" s="46"/>
      <c r="V1186" s="46"/>
      <c r="W1186" s="46"/>
      <c r="X1186" s="11" t="str">
        <f>IF(COUNTBLANK(B1186:W1186)&gt;0,"NA",'batch classification'!J1192)</f>
        <v>NA</v>
      </c>
    </row>
    <row r="1187" spans="1:24" x14ac:dyDescent="0.25">
      <c r="A1187" s="45"/>
      <c r="B1187" s="46"/>
      <c r="C1187" s="46"/>
      <c r="D1187" s="46"/>
      <c r="E1187" s="46"/>
      <c r="F1187" s="46"/>
      <c r="G1187" s="46"/>
      <c r="H1187" s="46"/>
      <c r="I1187" s="46"/>
      <c r="J1187" s="46"/>
      <c r="K1187" s="46"/>
      <c r="L1187" s="46"/>
      <c r="M1187" s="46"/>
      <c r="N1187" s="46"/>
      <c r="O1187" s="46"/>
      <c r="P1187" s="46"/>
      <c r="Q1187" s="46"/>
      <c r="R1187" s="46"/>
      <c r="S1187" s="46"/>
      <c r="T1187" s="46"/>
      <c r="U1187" s="46"/>
      <c r="V1187" s="46"/>
      <c r="W1187" s="46"/>
      <c r="X1187" s="11" t="str">
        <f>IF(COUNTBLANK(B1187:W1187)&gt;0,"NA",'batch classification'!J1193)</f>
        <v>NA</v>
      </c>
    </row>
    <row r="1188" spans="1:24" x14ac:dyDescent="0.25">
      <c r="A1188" s="45"/>
      <c r="B1188" s="46"/>
      <c r="C1188" s="46"/>
      <c r="D1188" s="46"/>
      <c r="E1188" s="46"/>
      <c r="F1188" s="46"/>
      <c r="G1188" s="46"/>
      <c r="H1188" s="46"/>
      <c r="I1188" s="46"/>
      <c r="J1188" s="46"/>
      <c r="K1188" s="46"/>
      <c r="L1188" s="46"/>
      <c r="M1188" s="46"/>
      <c r="N1188" s="46"/>
      <c r="O1188" s="46"/>
      <c r="P1188" s="46"/>
      <c r="Q1188" s="46"/>
      <c r="R1188" s="46"/>
      <c r="S1188" s="46"/>
      <c r="T1188" s="46"/>
      <c r="U1188" s="46"/>
      <c r="V1188" s="46"/>
      <c r="W1188" s="46"/>
      <c r="X1188" s="11" t="str">
        <f>IF(COUNTBLANK(B1188:W1188)&gt;0,"NA",'batch classification'!J1194)</f>
        <v>NA</v>
      </c>
    </row>
    <row r="1189" spans="1:24" x14ac:dyDescent="0.25">
      <c r="A1189" s="45"/>
      <c r="B1189" s="46"/>
      <c r="C1189" s="46"/>
      <c r="D1189" s="46"/>
      <c r="E1189" s="46"/>
      <c r="F1189" s="46"/>
      <c r="G1189" s="46"/>
      <c r="H1189" s="46"/>
      <c r="I1189" s="46"/>
      <c r="J1189" s="46"/>
      <c r="K1189" s="46"/>
      <c r="L1189" s="46"/>
      <c r="M1189" s="46"/>
      <c r="N1189" s="46"/>
      <c r="O1189" s="46"/>
      <c r="P1189" s="46"/>
      <c r="Q1189" s="46"/>
      <c r="R1189" s="46"/>
      <c r="S1189" s="46"/>
      <c r="T1189" s="46"/>
      <c r="U1189" s="46"/>
      <c r="V1189" s="46"/>
      <c r="W1189" s="46"/>
      <c r="X1189" s="11" t="str">
        <f>IF(COUNTBLANK(B1189:W1189)&gt;0,"NA",'batch classification'!J1195)</f>
        <v>NA</v>
      </c>
    </row>
    <row r="1190" spans="1:24" x14ac:dyDescent="0.25">
      <c r="A1190" s="45"/>
      <c r="B1190" s="46"/>
      <c r="C1190" s="46"/>
      <c r="D1190" s="46"/>
      <c r="E1190" s="46"/>
      <c r="F1190" s="46"/>
      <c r="G1190" s="46"/>
      <c r="H1190" s="46"/>
      <c r="I1190" s="46"/>
      <c r="J1190" s="46"/>
      <c r="K1190" s="46"/>
      <c r="L1190" s="46"/>
      <c r="M1190" s="46"/>
      <c r="N1190" s="46"/>
      <c r="O1190" s="46"/>
      <c r="P1190" s="46"/>
      <c r="Q1190" s="46"/>
      <c r="R1190" s="46"/>
      <c r="S1190" s="46"/>
      <c r="T1190" s="46"/>
      <c r="U1190" s="46"/>
      <c r="V1190" s="46"/>
      <c r="W1190" s="46"/>
      <c r="X1190" s="11" t="str">
        <f>IF(COUNTBLANK(B1190:W1190)&gt;0,"NA",'batch classification'!J1196)</f>
        <v>NA</v>
      </c>
    </row>
    <row r="1191" spans="1:24" x14ac:dyDescent="0.25">
      <c r="A1191" s="45"/>
      <c r="B1191" s="46"/>
      <c r="C1191" s="46"/>
      <c r="D1191" s="46"/>
      <c r="E1191" s="46"/>
      <c r="F1191" s="46"/>
      <c r="G1191" s="46"/>
      <c r="H1191" s="46"/>
      <c r="I1191" s="46"/>
      <c r="J1191" s="46"/>
      <c r="K1191" s="46"/>
      <c r="L1191" s="46"/>
      <c r="M1191" s="46"/>
      <c r="N1191" s="46"/>
      <c r="O1191" s="46"/>
      <c r="P1191" s="46"/>
      <c r="Q1191" s="46"/>
      <c r="R1191" s="46"/>
      <c r="S1191" s="46"/>
      <c r="T1191" s="46"/>
      <c r="U1191" s="46"/>
      <c r="V1191" s="46"/>
      <c r="W1191" s="46"/>
      <c r="X1191" s="11" t="str">
        <f>IF(COUNTBLANK(B1191:W1191)&gt;0,"NA",'batch classification'!J1197)</f>
        <v>NA</v>
      </c>
    </row>
    <row r="1192" spans="1:24" x14ac:dyDescent="0.25">
      <c r="A1192" s="45"/>
      <c r="B1192" s="46"/>
      <c r="C1192" s="46"/>
      <c r="D1192" s="46"/>
      <c r="E1192" s="46"/>
      <c r="F1192" s="46"/>
      <c r="G1192" s="46"/>
      <c r="H1192" s="46"/>
      <c r="I1192" s="46"/>
      <c r="J1192" s="46"/>
      <c r="K1192" s="46"/>
      <c r="L1192" s="46"/>
      <c r="M1192" s="46"/>
      <c r="N1192" s="46"/>
      <c r="O1192" s="46"/>
      <c r="P1192" s="46"/>
      <c r="Q1192" s="46"/>
      <c r="R1192" s="46"/>
      <c r="S1192" s="46"/>
      <c r="T1192" s="46"/>
      <c r="U1192" s="46"/>
      <c r="V1192" s="46"/>
      <c r="W1192" s="46"/>
      <c r="X1192" s="11" t="str">
        <f>IF(COUNTBLANK(B1192:W1192)&gt;0,"NA",'batch classification'!J1198)</f>
        <v>NA</v>
      </c>
    </row>
    <row r="1193" spans="1:24" x14ac:dyDescent="0.25">
      <c r="A1193" s="45"/>
      <c r="B1193" s="46"/>
      <c r="C1193" s="46"/>
      <c r="D1193" s="46"/>
      <c r="E1193" s="46"/>
      <c r="F1193" s="46"/>
      <c r="G1193" s="46"/>
      <c r="H1193" s="46"/>
      <c r="I1193" s="46"/>
      <c r="J1193" s="46"/>
      <c r="K1193" s="46"/>
      <c r="L1193" s="46"/>
      <c r="M1193" s="46"/>
      <c r="N1193" s="46"/>
      <c r="O1193" s="46"/>
      <c r="P1193" s="46"/>
      <c r="Q1193" s="46"/>
      <c r="R1193" s="46"/>
      <c r="S1193" s="46"/>
      <c r="T1193" s="46"/>
      <c r="U1193" s="46"/>
      <c r="V1193" s="46"/>
      <c r="W1193" s="46"/>
      <c r="X1193" s="11" t="str">
        <f>IF(COUNTBLANK(B1193:W1193)&gt;0,"NA",'batch classification'!J1199)</f>
        <v>NA</v>
      </c>
    </row>
    <row r="1194" spans="1:24" x14ac:dyDescent="0.25">
      <c r="A1194" s="45"/>
      <c r="B1194" s="46"/>
      <c r="C1194" s="46"/>
      <c r="D1194" s="46"/>
      <c r="E1194" s="46"/>
      <c r="F1194" s="46"/>
      <c r="G1194" s="46"/>
      <c r="H1194" s="46"/>
      <c r="I1194" s="46"/>
      <c r="J1194" s="46"/>
      <c r="K1194" s="46"/>
      <c r="L1194" s="46"/>
      <c r="M1194" s="46"/>
      <c r="N1194" s="46"/>
      <c r="O1194" s="46"/>
      <c r="P1194" s="46"/>
      <c r="Q1194" s="46"/>
      <c r="R1194" s="46"/>
      <c r="S1194" s="46"/>
      <c r="T1194" s="46"/>
      <c r="U1194" s="46"/>
      <c r="V1194" s="46"/>
      <c r="W1194" s="46"/>
      <c r="X1194" s="11" t="str">
        <f>IF(COUNTBLANK(B1194:W1194)&gt;0,"NA",'batch classification'!J1200)</f>
        <v>NA</v>
      </c>
    </row>
    <row r="1195" spans="1:24" x14ac:dyDescent="0.25">
      <c r="A1195" s="45"/>
      <c r="B1195" s="46"/>
      <c r="C1195" s="46"/>
      <c r="D1195" s="46"/>
      <c r="E1195" s="46"/>
      <c r="F1195" s="46"/>
      <c r="G1195" s="46"/>
      <c r="H1195" s="46"/>
      <c r="I1195" s="46"/>
      <c r="J1195" s="46"/>
      <c r="K1195" s="46"/>
      <c r="L1195" s="46"/>
      <c r="M1195" s="46"/>
      <c r="N1195" s="46"/>
      <c r="O1195" s="46"/>
      <c r="P1195" s="46"/>
      <c r="Q1195" s="46"/>
      <c r="R1195" s="46"/>
      <c r="S1195" s="46"/>
      <c r="T1195" s="46"/>
      <c r="U1195" s="46"/>
      <c r="V1195" s="46"/>
      <c r="W1195" s="46"/>
      <c r="X1195" s="11" t="str">
        <f>IF(COUNTBLANK(B1195:W1195)&gt;0,"NA",'batch classification'!J1201)</f>
        <v>NA</v>
      </c>
    </row>
    <row r="1196" spans="1:24" x14ac:dyDescent="0.25">
      <c r="A1196" s="45"/>
      <c r="B1196" s="46"/>
      <c r="C1196" s="46"/>
      <c r="D1196" s="46"/>
      <c r="E1196" s="46"/>
      <c r="F1196" s="46"/>
      <c r="G1196" s="46"/>
      <c r="H1196" s="46"/>
      <c r="I1196" s="46"/>
      <c r="J1196" s="46"/>
      <c r="K1196" s="46"/>
      <c r="L1196" s="46"/>
      <c r="M1196" s="46"/>
      <c r="N1196" s="46"/>
      <c r="O1196" s="46"/>
      <c r="P1196" s="46"/>
      <c r="Q1196" s="46"/>
      <c r="R1196" s="46"/>
      <c r="S1196" s="46"/>
      <c r="T1196" s="46"/>
      <c r="U1196" s="46"/>
      <c r="V1196" s="46"/>
      <c r="W1196" s="46"/>
      <c r="X1196" s="11" t="str">
        <f>IF(COUNTBLANK(B1196:W1196)&gt;0,"NA",'batch classification'!J1202)</f>
        <v>NA</v>
      </c>
    </row>
    <row r="1197" spans="1:24" x14ac:dyDescent="0.25">
      <c r="A1197" s="45"/>
      <c r="B1197" s="46"/>
      <c r="C1197" s="46"/>
      <c r="D1197" s="46"/>
      <c r="E1197" s="46"/>
      <c r="F1197" s="46"/>
      <c r="G1197" s="46"/>
      <c r="H1197" s="46"/>
      <c r="I1197" s="46"/>
      <c r="J1197" s="46"/>
      <c r="K1197" s="46"/>
      <c r="L1197" s="46"/>
      <c r="M1197" s="46"/>
      <c r="N1197" s="46"/>
      <c r="O1197" s="46"/>
      <c r="P1197" s="46"/>
      <c r="Q1197" s="46"/>
      <c r="R1197" s="46"/>
      <c r="S1197" s="46"/>
      <c r="T1197" s="46"/>
      <c r="U1197" s="46"/>
      <c r="V1197" s="46"/>
      <c r="W1197" s="46"/>
      <c r="X1197" s="11" t="str">
        <f>IF(COUNTBLANK(B1197:W1197)&gt;0,"NA",'batch classification'!J1203)</f>
        <v>NA</v>
      </c>
    </row>
    <row r="1198" spans="1:24" x14ac:dyDescent="0.25">
      <c r="A1198" s="45"/>
      <c r="B1198" s="46"/>
      <c r="C1198" s="46"/>
      <c r="D1198" s="46"/>
      <c r="E1198" s="46"/>
      <c r="F1198" s="46"/>
      <c r="G1198" s="46"/>
      <c r="H1198" s="46"/>
      <c r="I1198" s="46"/>
      <c r="J1198" s="46"/>
      <c r="K1198" s="46"/>
      <c r="L1198" s="46"/>
      <c r="M1198" s="46"/>
      <c r="N1198" s="46"/>
      <c r="O1198" s="46"/>
      <c r="P1198" s="46"/>
      <c r="Q1198" s="46"/>
      <c r="R1198" s="46"/>
      <c r="S1198" s="46"/>
      <c r="T1198" s="46"/>
      <c r="U1198" s="46"/>
      <c r="V1198" s="46"/>
      <c r="W1198" s="46"/>
      <c r="X1198" s="11" t="str">
        <f>IF(COUNTBLANK(B1198:W1198)&gt;0,"NA",'batch classification'!J1204)</f>
        <v>NA</v>
      </c>
    </row>
    <row r="1199" spans="1:24" x14ac:dyDescent="0.25">
      <c r="A1199" s="45"/>
      <c r="B1199" s="46"/>
      <c r="C1199" s="46"/>
      <c r="D1199" s="46"/>
      <c r="E1199" s="46"/>
      <c r="F1199" s="46"/>
      <c r="G1199" s="46"/>
      <c r="H1199" s="46"/>
      <c r="I1199" s="46"/>
      <c r="J1199" s="46"/>
      <c r="K1199" s="46"/>
      <c r="L1199" s="46"/>
      <c r="M1199" s="46"/>
      <c r="N1199" s="46"/>
      <c r="O1199" s="46"/>
      <c r="P1199" s="46"/>
      <c r="Q1199" s="46"/>
      <c r="R1199" s="46"/>
      <c r="S1199" s="46"/>
      <c r="T1199" s="46"/>
      <c r="U1199" s="46"/>
      <c r="V1199" s="46"/>
      <c r="W1199" s="46"/>
      <c r="X1199" s="11" t="str">
        <f>IF(COUNTBLANK(B1199:W1199)&gt;0,"NA",'batch classification'!J1205)</f>
        <v>NA</v>
      </c>
    </row>
    <row r="1200" spans="1:24" x14ac:dyDescent="0.25">
      <c r="A1200" s="45"/>
      <c r="B1200" s="46"/>
      <c r="C1200" s="46"/>
      <c r="D1200" s="46"/>
      <c r="E1200" s="46"/>
      <c r="F1200" s="46"/>
      <c r="G1200" s="46"/>
      <c r="H1200" s="46"/>
      <c r="I1200" s="46"/>
      <c r="J1200" s="46"/>
      <c r="K1200" s="46"/>
      <c r="L1200" s="46"/>
      <c r="M1200" s="46"/>
      <c r="N1200" s="46"/>
      <c r="O1200" s="46"/>
      <c r="P1200" s="46"/>
      <c r="Q1200" s="46"/>
      <c r="R1200" s="46"/>
      <c r="S1200" s="46"/>
      <c r="T1200" s="46"/>
      <c r="U1200" s="46"/>
      <c r="V1200" s="46"/>
      <c r="W1200" s="46"/>
      <c r="X1200" s="11" t="str">
        <f>IF(COUNTBLANK(B1200:W1200)&gt;0,"NA",'batch classification'!J1206)</f>
        <v>NA</v>
      </c>
    </row>
    <row r="1201" spans="1:24" x14ac:dyDescent="0.25">
      <c r="A1201" s="45"/>
      <c r="B1201" s="46"/>
      <c r="C1201" s="46"/>
      <c r="D1201" s="46"/>
      <c r="E1201" s="46"/>
      <c r="F1201" s="46"/>
      <c r="G1201" s="46"/>
      <c r="H1201" s="46"/>
      <c r="I1201" s="46"/>
      <c r="J1201" s="46"/>
      <c r="K1201" s="46"/>
      <c r="L1201" s="46"/>
      <c r="M1201" s="46"/>
      <c r="N1201" s="46"/>
      <c r="O1201" s="46"/>
      <c r="P1201" s="46"/>
      <c r="Q1201" s="46"/>
      <c r="R1201" s="46"/>
      <c r="S1201" s="46"/>
      <c r="T1201" s="46"/>
      <c r="U1201" s="46"/>
      <c r="V1201" s="46"/>
      <c r="W1201" s="46"/>
      <c r="X1201" s="11" t="str">
        <f>IF(COUNTBLANK(B1201:W1201)&gt;0,"NA",'batch classification'!J1207)</f>
        <v>NA</v>
      </c>
    </row>
    <row r="1202" spans="1:24" x14ac:dyDescent="0.25">
      <c r="A1202" s="45"/>
      <c r="B1202" s="46"/>
      <c r="C1202" s="46"/>
      <c r="D1202" s="46"/>
      <c r="E1202" s="46"/>
      <c r="F1202" s="46"/>
      <c r="G1202" s="46"/>
      <c r="H1202" s="46"/>
      <c r="I1202" s="46"/>
      <c r="J1202" s="46"/>
      <c r="K1202" s="46"/>
      <c r="L1202" s="46"/>
      <c r="M1202" s="46"/>
      <c r="N1202" s="46"/>
      <c r="O1202" s="46"/>
      <c r="P1202" s="46"/>
      <c r="Q1202" s="46"/>
      <c r="R1202" s="46"/>
      <c r="S1202" s="46"/>
      <c r="T1202" s="46"/>
      <c r="U1202" s="46"/>
      <c r="V1202" s="46"/>
      <c r="W1202" s="46"/>
      <c r="X1202" s="11" t="str">
        <f>IF(COUNTBLANK(B1202:W1202)&gt;0,"NA",'batch classification'!J1208)</f>
        <v>NA</v>
      </c>
    </row>
    <row r="1203" spans="1:24" x14ac:dyDescent="0.25">
      <c r="A1203" s="45"/>
      <c r="B1203" s="46"/>
      <c r="C1203" s="46"/>
      <c r="D1203" s="46"/>
      <c r="E1203" s="46"/>
      <c r="F1203" s="46"/>
      <c r="G1203" s="46"/>
      <c r="H1203" s="46"/>
      <c r="I1203" s="46"/>
      <c r="J1203" s="46"/>
      <c r="K1203" s="46"/>
      <c r="L1203" s="46"/>
      <c r="M1203" s="46"/>
      <c r="N1203" s="46"/>
      <c r="O1203" s="46"/>
      <c r="P1203" s="46"/>
      <c r="Q1203" s="46"/>
      <c r="R1203" s="46"/>
      <c r="S1203" s="46"/>
      <c r="T1203" s="46"/>
      <c r="U1203" s="46"/>
      <c r="V1203" s="46"/>
      <c r="W1203" s="46"/>
      <c r="X1203" s="11" t="str">
        <f>IF(COUNTBLANK(B1203:W1203)&gt;0,"NA",'batch classification'!J1209)</f>
        <v>NA</v>
      </c>
    </row>
    <row r="1204" spans="1:24" x14ac:dyDescent="0.25">
      <c r="A1204" s="45"/>
      <c r="B1204" s="46"/>
      <c r="C1204" s="46"/>
      <c r="D1204" s="46"/>
      <c r="E1204" s="46"/>
      <c r="F1204" s="46"/>
      <c r="G1204" s="46"/>
      <c r="H1204" s="46"/>
      <c r="I1204" s="46"/>
      <c r="J1204" s="46"/>
      <c r="K1204" s="46"/>
      <c r="L1204" s="46"/>
      <c r="M1204" s="46"/>
      <c r="N1204" s="46"/>
      <c r="O1204" s="46"/>
      <c r="P1204" s="46"/>
      <c r="Q1204" s="46"/>
      <c r="R1204" s="46"/>
      <c r="S1204" s="46"/>
      <c r="T1204" s="46"/>
      <c r="U1204" s="46"/>
      <c r="V1204" s="46"/>
      <c r="W1204" s="46"/>
      <c r="X1204" s="11" t="str">
        <f>IF(COUNTBLANK(B1204:W1204)&gt;0,"NA",'batch classification'!J1210)</f>
        <v>NA</v>
      </c>
    </row>
    <row r="1205" spans="1:24" x14ac:dyDescent="0.25">
      <c r="A1205" s="45"/>
      <c r="B1205" s="46"/>
      <c r="C1205" s="46"/>
      <c r="D1205" s="46"/>
      <c r="E1205" s="46"/>
      <c r="F1205" s="46"/>
      <c r="G1205" s="46"/>
      <c r="H1205" s="46"/>
      <c r="I1205" s="46"/>
      <c r="J1205" s="46"/>
      <c r="K1205" s="46"/>
      <c r="L1205" s="46"/>
      <c r="M1205" s="46"/>
      <c r="N1205" s="46"/>
      <c r="O1205" s="46"/>
      <c r="P1205" s="46"/>
      <c r="Q1205" s="46"/>
      <c r="R1205" s="46"/>
      <c r="S1205" s="46"/>
      <c r="T1205" s="46"/>
      <c r="U1205" s="46"/>
      <c r="V1205" s="46"/>
      <c r="W1205" s="46"/>
      <c r="X1205" s="11" t="str">
        <f>IF(COUNTBLANK(B1205:W1205)&gt;0,"NA",'batch classification'!J1211)</f>
        <v>NA</v>
      </c>
    </row>
    <row r="1206" spans="1:24" x14ac:dyDescent="0.25">
      <c r="A1206" s="45"/>
      <c r="B1206" s="46"/>
      <c r="C1206" s="46"/>
      <c r="D1206" s="46"/>
      <c r="E1206" s="46"/>
      <c r="F1206" s="46"/>
      <c r="G1206" s="46"/>
      <c r="H1206" s="46"/>
      <c r="I1206" s="46"/>
      <c r="J1206" s="46"/>
      <c r="K1206" s="46"/>
      <c r="L1206" s="46"/>
      <c r="M1206" s="46"/>
      <c r="N1206" s="46"/>
      <c r="O1206" s="46"/>
      <c r="P1206" s="46"/>
      <c r="Q1206" s="46"/>
      <c r="R1206" s="46"/>
      <c r="S1206" s="46"/>
      <c r="T1206" s="46"/>
      <c r="U1206" s="46"/>
      <c r="V1206" s="46"/>
      <c r="W1206" s="46"/>
      <c r="X1206" s="11" t="str">
        <f>IF(COUNTBLANK(B1206:W1206)&gt;0,"NA",'batch classification'!J1212)</f>
        <v>NA</v>
      </c>
    </row>
    <row r="1207" spans="1:24" x14ac:dyDescent="0.25">
      <c r="A1207" s="45"/>
      <c r="B1207" s="46"/>
      <c r="C1207" s="46"/>
      <c r="D1207" s="46"/>
      <c r="E1207" s="46"/>
      <c r="F1207" s="46"/>
      <c r="G1207" s="46"/>
      <c r="H1207" s="46"/>
      <c r="I1207" s="46"/>
      <c r="J1207" s="46"/>
      <c r="K1207" s="46"/>
      <c r="L1207" s="46"/>
      <c r="M1207" s="46"/>
      <c r="N1207" s="46"/>
      <c r="O1207" s="46"/>
      <c r="P1207" s="46"/>
      <c r="Q1207" s="46"/>
      <c r="R1207" s="46"/>
      <c r="S1207" s="46"/>
      <c r="T1207" s="46"/>
      <c r="U1207" s="46"/>
      <c r="V1207" s="46"/>
      <c r="W1207" s="46"/>
      <c r="X1207" s="11" t="str">
        <f>IF(COUNTBLANK(B1207:W1207)&gt;0,"NA",'batch classification'!J1213)</f>
        <v>NA</v>
      </c>
    </row>
    <row r="1208" spans="1:24" x14ac:dyDescent="0.25">
      <c r="A1208" s="45"/>
      <c r="B1208" s="46"/>
      <c r="C1208" s="46"/>
      <c r="D1208" s="46"/>
      <c r="E1208" s="46"/>
      <c r="F1208" s="46"/>
      <c r="G1208" s="46"/>
      <c r="H1208" s="46"/>
      <c r="I1208" s="46"/>
      <c r="J1208" s="46"/>
      <c r="K1208" s="46"/>
      <c r="L1208" s="46"/>
      <c r="M1208" s="46"/>
      <c r="N1208" s="46"/>
      <c r="O1208" s="46"/>
      <c r="P1208" s="46"/>
      <c r="Q1208" s="46"/>
      <c r="R1208" s="46"/>
      <c r="S1208" s="46"/>
      <c r="T1208" s="46"/>
      <c r="U1208" s="46"/>
      <c r="V1208" s="46"/>
      <c r="W1208" s="46"/>
      <c r="X1208" s="11" t="str">
        <f>IF(COUNTBLANK(B1208:W1208)&gt;0,"NA",'batch classification'!J1214)</f>
        <v>NA</v>
      </c>
    </row>
    <row r="1209" spans="1:24" x14ac:dyDescent="0.25">
      <c r="A1209" s="45"/>
      <c r="B1209" s="46"/>
      <c r="C1209" s="46"/>
      <c r="D1209" s="46"/>
      <c r="E1209" s="46"/>
      <c r="F1209" s="46"/>
      <c r="G1209" s="46"/>
      <c r="H1209" s="46"/>
      <c r="I1209" s="46"/>
      <c r="J1209" s="46"/>
      <c r="K1209" s="46"/>
      <c r="L1209" s="46"/>
      <c r="M1209" s="46"/>
      <c r="N1209" s="46"/>
      <c r="O1209" s="46"/>
      <c r="P1209" s="46"/>
      <c r="Q1209" s="46"/>
      <c r="R1209" s="46"/>
      <c r="S1209" s="46"/>
      <c r="T1209" s="46"/>
      <c r="U1209" s="46"/>
      <c r="V1209" s="46"/>
      <c r="W1209" s="46"/>
      <c r="X1209" s="11" t="str">
        <f>IF(COUNTBLANK(B1209:W1209)&gt;0,"NA",'batch classification'!J1215)</f>
        <v>NA</v>
      </c>
    </row>
    <row r="1210" spans="1:24" x14ac:dyDescent="0.25">
      <c r="A1210" s="45"/>
      <c r="B1210" s="46"/>
      <c r="C1210" s="46"/>
      <c r="D1210" s="46"/>
      <c r="E1210" s="46"/>
      <c r="F1210" s="46"/>
      <c r="G1210" s="46"/>
      <c r="H1210" s="46"/>
      <c r="I1210" s="46"/>
      <c r="J1210" s="46"/>
      <c r="K1210" s="46"/>
      <c r="L1210" s="46"/>
      <c r="M1210" s="46"/>
      <c r="N1210" s="46"/>
      <c r="O1210" s="46"/>
      <c r="P1210" s="46"/>
      <c r="Q1210" s="46"/>
      <c r="R1210" s="46"/>
      <c r="S1210" s="46"/>
      <c r="T1210" s="46"/>
      <c r="U1210" s="46"/>
      <c r="V1210" s="46"/>
      <c r="W1210" s="46"/>
      <c r="X1210" s="11" t="str">
        <f>IF(COUNTBLANK(B1210:W1210)&gt;0,"NA",'batch classification'!J1216)</f>
        <v>NA</v>
      </c>
    </row>
    <row r="1211" spans="1:24" x14ac:dyDescent="0.25">
      <c r="A1211" s="45"/>
      <c r="B1211" s="46"/>
      <c r="C1211" s="46"/>
      <c r="D1211" s="46"/>
      <c r="E1211" s="46"/>
      <c r="F1211" s="46"/>
      <c r="G1211" s="46"/>
      <c r="H1211" s="46"/>
      <c r="I1211" s="46"/>
      <c r="J1211" s="46"/>
      <c r="K1211" s="46"/>
      <c r="L1211" s="46"/>
      <c r="M1211" s="46"/>
      <c r="N1211" s="46"/>
      <c r="O1211" s="46"/>
      <c r="P1211" s="46"/>
      <c r="Q1211" s="46"/>
      <c r="R1211" s="46"/>
      <c r="S1211" s="46"/>
      <c r="T1211" s="46"/>
      <c r="U1211" s="46"/>
      <c r="V1211" s="46"/>
      <c r="W1211" s="46"/>
      <c r="X1211" s="11" t="str">
        <f>IF(COUNTBLANK(B1211:W1211)&gt;0,"NA",'batch classification'!J1217)</f>
        <v>NA</v>
      </c>
    </row>
    <row r="1212" spans="1:24" x14ac:dyDescent="0.25">
      <c r="A1212" s="45"/>
      <c r="B1212" s="46"/>
      <c r="C1212" s="46"/>
      <c r="D1212" s="46"/>
      <c r="E1212" s="46"/>
      <c r="F1212" s="46"/>
      <c r="G1212" s="46"/>
      <c r="H1212" s="46"/>
      <c r="I1212" s="46"/>
      <c r="J1212" s="46"/>
      <c r="K1212" s="46"/>
      <c r="L1212" s="46"/>
      <c r="M1212" s="46"/>
      <c r="N1212" s="46"/>
      <c r="O1212" s="46"/>
      <c r="P1212" s="46"/>
      <c r="Q1212" s="46"/>
      <c r="R1212" s="46"/>
      <c r="S1212" s="46"/>
      <c r="T1212" s="46"/>
      <c r="U1212" s="46"/>
      <c r="V1212" s="46"/>
      <c r="W1212" s="46"/>
      <c r="X1212" s="11" t="str">
        <f>IF(COUNTBLANK(B1212:W1212)&gt;0,"NA",'batch classification'!J1218)</f>
        <v>NA</v>
      </c>
    </row>
    <row r="1213" spans="1:24" x14ac:dyDescent="0.25">
      <c r="A1213" s="45"/>
      <c r="B1213" s="46"/>
      <c r="C1213" s="46"/>
      <c r="D1213" s="46"/>
      <c r="E1213" s="46"/>
      <c r="F1213" s="46"/>
      <c r="G1213" s="46"/>
      <c r="H1213" s="46"/>
      <c r="I1213" s="46"/>
      <c r="J1213" s="46"/>
      <c r="K1213" s="46"/>
      <c r="L1213" s="46"/>
      <c r="M1213" s="46"/>
      <c r="N1213" s="46"/>
      <c r="O1213" s="46"/>
      <c r="P1213" s="46"/>
      <c r="Q1213" s="46"/>
      <c r="R1213" s="46"/>
      <c r="S1213" s="46"/>
      <c r="T1213" s="46"/>
      <c r="U1213" s="46"/>
      <c r="V1213" s="46"/>
      <c r="W1213" s="46"/>
      <c r="X1213" s="11" t="str">
        <f>IF(COUNTBLANK(B1213:W1213)&gt;0,"NA",'batch classification'!J1219)</f>
        <v>NA</v>
      </c>
    </row>
    <row r="1214" spans="1:24" x14ac:dyDescent="0.25">
      <c r="A1214" s="45"/>
      <c r="B1214" s="46"/>
      <c r="C1214" s="46"/>
      <c r="D1214" s="46"/>
      <c r="E1214" s="46"/>
      <c r="F1214" s="46"/>
      <c r="G1214" s="46"/>
      <c r="H1214" s="46"/>
      <c r="I1214" s="46"/>
      <c r="J1214" s="46"/>
      <c r="K1214" s="46"/>
      <c r="L1214" s="46"/>
      <c r="M1214" s="46"/>
      <c r="N1214" s="46"/>
      <c r="O1214" s="46"/>
      <c r="P1214" s="46"/>
      <c r="Q1214" s="46"/>
      <c r="R1214" s="46"/>
      <c r="S1214" s="46"/>
      <c r="T1214" s="46"/>
      <c r="U1214" s="46"/>
      <c r="V1214" s="46"/>
      <c r="W1214" s="46"/>
      <c r="X1214" s="11" t="str">
        <f>IF(COUNTBLANK(B1214:W1214)&gt;0,"NA",'batch classification'!J1220)</f>
        <v>NA</v>
      </c>
    </row>
    <row r="1215" spans="1:24" x14ac:dyDescent="0.25">
      <c r="A1215" s="45"/>
      <c r="B1215" s="46"/>
      <c r="C1215" s="46"/>
      <c r="D1215" s="46"/>
      <c r="E1215" s="46"/>
      <c r="F1215" s="46"/>
      <c r="G1215" s="46"/>
      <c r="H1215" s="46"/>
      <c r="I1215" s="46"/>
      <c r="J1215" s="46"/>
      <c r="K1215" s="46"/>
      <c r="L1215" s="46"/>
      <c r="M1215" s="46"/>
      <c r="N1215" s="46"/>
      <c r="O1215" s="46"/>
      <c r="P1215" s="46"/>
      <c r="Q1215" s="46"/>
      <c r="R1215" s="46"/>
      <c r="S1215" s="46"/>
      <c r="T1215" s="46"/>
      <c r="U1215" s="46"/>
      <c r="V1215" s="46"/>
      <c r="W1215" s="46"/>
      <c r="X1215" s="11" t="str">
        <f>IF(COUNTBLANK(B1215:W1215)&gt;0,"NA",'batch classification'!J1221)</f>
        <v>NA</v>
      </c>
    </row>
    <row r="1216" spans="1:24" x14ac:dyDescent="0.25">
      <c r="A1216" s="45"/>
      <c r="B1216" s="46"/>
      <c r="C1216" s="46"/>
      <c r="D1216" s="46"/>
      <c r="E1216" s="46"/>
      <c r="F1216" s="46"/>
      <c r="G1216" s="46"/>
      <c r="H1216" s="46"/>
      <c r="I1216" s="46"/>
      <c r="J1216" s="46"/>
      <c r="K1216" s="46"/>
      <c r="L1216" s="46"/>
      <c r="M1216" s="46"/>
      <c r="N1216" s="46"/>
      <c r="O1216" s="46"/>
      <c r="P1216" s="46"/>
      <c r="Q1216" s="46"/>
      <c r="R1216" s="46"/>
      <c r="S1216" s="46"/>
      <c r="T1216" s="46"/>
      <c r="U1216" s="46"/>
      <c r="V1216" s="46"/>
      <c r="W1216" s="46"/>
      <c r="X1216" s="11" t="str">
        <f>IF(COUNTBLANK(B1216:W1216)&gt;0,"NA",'batch classification'!J1222)</f>
        <v>NA</v>
      </c>
    </row>
    <row r="1217" spans="1:24" x14ac:dyDescent="0.25">
      <c r="A1217" s="45"/>
      <c r="B1217" s="46"/>
      <c r="C1217" s="46"/>
      <c r="D1217" s="46"/>
      <c r="E1217" s="46"/>
      <c r="F1217" s="46"/>
      <c r="G1217" s="46"/>
      <c r="H1217" s="46"/>
      <c r="I1217" s="46"/>
      <c r="J1217" s="46"/>
      <c r="K1217" s="46"/>
      <c r="L1217" s="46"/>
      <c r="M1217" s="46"/>
      <c r="N1217" s="46"/>
      <c r="O1217" s="46"/>
      <c r="P1217" s="46"/>
      <c r="Q1217" s="46"/>
      <c r="R1217" s="46"/>
      <c r="S1217" s="46"/>
      <c r="T1217" s="46"/>
      <c r="U1217" s="46"/>
      <c r="V1217" s="46"/>
      <c r="W1217" s="46"/>
      <c r="X1217" s="11" t="str">
        <f>IF(COUNTBLANK(B1217:W1217)&gt;0,"NA",'batch classification'!J1223)</f>
        <v>NA</v>
      </c>
    </row>
    <row r="1218" spans="1:24" x14ac:dyDescent="0.25">
      <c r="A1218" s="45"/>
      <c r="B1218" s="46"/>
      <c r="C1218" s="46"/>
      <c r="D1218" s="46"/>
      <c r="E1218" s="46"/>
      <c r="F1218" s="46"/>
      <c r="G1218" s="46"/>
      <c r="H1218" s="46"/>
      <c r="I1218" s="46"/>
      <c r="J1218" s="46"/>
      <c r="K1218" s="46"/>
      <c r="L1218" s="46"/>
      <c r="M1218" s="46"/>
      <c r="N1218" s="46"/>
      <c r="O1218" s="46"/>
      <c r="P1218" s="46"/>
      <c r="Q1218" s="46"/>
      <c r="R1218" s="46"/>
      <c r="S1218" s="46"/>
      <c r="T1218" s="46"/>
      <c r="U1218" s="46"/>
      <c r="V1218" s="46"/>
      <c r="W1218" s="46"/>
      <c r="X1218" s="11" t="str">
        <f>IF(COUNTBLANK(B1218:W1218)&gt;0,"NA",'batch classification'!J1224)</f>
        <v>NA</v>
      </c>
    </row>
    <row r="1219" spans="1:24" x14ac:dyDescent="0.25">
      <c r="A1219" s="45"/>
      <c r="B1219" s="46"/>
      <c r="C1219" s="46"/>
      <c r="D1219" s="46"/>
      <c r="E1219" s="46"/>
      <c r="F1219" s="46"/>
      <c r="G1219" s="46"/>
      <c r="H1219" s="46"/>
      <c r="I1219" s="46"/>
      <c r="J1219" s="46"/>
      <c r="K1219" s="46"/>
      <c r="L1219" s="46"/>
      <c r="M1219" s="46"/>
      <c r="N1219" s="46"/>
      <c r="O1219" s="46"/>
      <c r="P1219" s="46"/>
      <c r="Q1219" s="46"/>
      <c r="R1219" s="46"/>
      <c r="S1219" s="46"/>
      <c r="T1219" s="46"/>
      <c r="U1219" s="46"/>
      <c r="V1219" s="46"/>
      <c r="W1219" s="46"/>
      <c r="X1219" s="11" t="str">
        <f>IF(COUNTBLANK(B1219:W1219)&gt;0,"NA",'batch classification'!J1225)</f>
        <v>NA</v>
      </c>
    </row>
    <row r="1220" spans="1:24" x14ac:dyDescent="0.25">
      <c r="A1220" s="45"/>
      <c r="B1220" s="46"/>
      <c r="C1220" s="46"/>
      <c r="D1220" s="46"/>
      <c r="E1220" s="46"/>
      <c r="F1220" s="46"/>
      <c r="G1220" s="46"/>
      <c r="H1220" s="46"/>
      <c r="I1220" s="46"/>
      <c r="J1220" s="46"/>
      <c r="K1220" s="46"/>
      <c r="L1220" s="46"/>
      <c r="M1220" s="46"/>
      <c r="N1220" s="46"/>
      <c r="O1220" s="46"/>
      <c r="P1220" s="46"/>
      <c r="Q1220" s="46"/>
      <c r="R1220" s="46"/>
      <c r="S1220" s="46"/>
      <c r="T1220" s="46"/>
      <c r="U1220" s="46"/>
      <c r="V1220" s="46"/>
      <c r="W1220" s="46"/>
      <c r="X1220" s="11" t="str">
        <f>IF(COUNTBLANK(B1220:W1220)&gt;0,"NA",'batch classification'!J1226)</f>
        <v>NA</v>
      </c>
    </row>
    <row r="1221" spans="1:24" x14ac:dyDescent="0.25">
      <c r="A1221" s="45"/>
      <c r="B1221" s="46"/>
      <c r="C1221" s="46"/>
      <c r="D1221" s="46"/>
      <c r="E1221" s="46"/>
      <c r="F1221" s="46"/>
      <c r="G1221" s="46"/>
      <c r="H1221" s="46"/>
      <c r="I1221" s="46"/>
      <c r="J1221" s="46"/>
      <c r="K1221" s="46"/>
      <c r="L1221" s="46"/>
      <c r="M1221" s="46"/>
      <c r="N1221" s="46"/>
      <c r="O1221" s="46"/>
      <c r="P1221" s="46"/>
      <c r="Q1221" s="46"/>
      <c r="R1221" s="46"/>
      <c r="S1221" s="46"/>
      <c r="T1221" s="46"/>
      <c r="U1221" s="46"/>
      <c r="V1221" s="46"/>
      <c r="W1221" s="46"/>
      <c r="X1221" s="11" t="str">
        <f>IF(COUNTBLANK(B1221:W1221)&gt;0,"NA",'batch classification'!J1227)</f>
        <v>NA</v>
      </c>
    </row>
    <row r="1222" spans="1:24" x14ac:dyDescent="0.25">
      <c r="A1222" s="45"/>
      <c r="B1222" s="46"/>
      <c r="C1222" s="46"/>
      <c r="D1222" s="46"/>
      <c r="E1222" s="46"/>
      <c r="F1222" s="46"/>
      <c r="G1222" s="46"/>
      <c r="H1222" s="46"/>
      <c r="I1222" s="46"/>
      <c r="J1222" s="46"/>
      <c r="K1222" s="46"/>
      <c r="L1222" s="46"/>
      <c r="M1222" s="46"/>
      <c r="N1222" s="46"/>
      <c r="O1222" s="46"/>
      <c r="P1222" s="46"/>
      <c r="Q1222" s="46"/>
      <c r="R1222" s="46"/>
      <c r="S1222" s="46"/>
      <c r="T1222" s="46"/>
      <c r="U1222" s="46"/>
      <c r="V1222" s="46"/>
      <c r="W1222" s="46"/>
      <c r="X1222" s="11" t="str">
        <f>IF(COUNTBLANK(B1222:W1222)&gt;0,"NA",'batch classification'!J1228)</f>
        <v>NA</v>
      </c>
    </row>
    <row r="1223" spans="1:24" x14ac:dyDescent="0.25">
      <c r="A1223" s="45"/>
      <c r="B1223" s="46"/>
      <c r="C1223" s="46"/>
      <c r="D1223" s="46"/>
      <c r="E1223" s="46"/>
      <c r="F1223" s="46"/>
      <c r="G1223" s="46"/>
      <c r="H1223" s="46"/>
      <c r="I1223" s="46"/>
      <c r="J1223" s="46"/>
      <c r="K1223" s="46"/>
      <c r="L1223" s="46"/>
      <c r="M1223" s="46"/>
      <c r="N1223" s="46"/>
      <c r="O1223" s="46"/>
      <c r="P1223" s="46"/>
      <c r="Q1223" s="46"/>
      <c r="R1223" s="46"/>
      <c r="S1223" s="46"/>
      <c r="T1223" s="46"/>
      <c r="U1223" s="46"/>
      <c r="V1223" s="46"/>
      <c r="W1223" s="46"/>
      <c r="X1223" s="11" t="str">
        <f>IF(COUNTBLANK(B1223:W1223)&gt;0,"NA",'batch classification'!J1229)</f>
        <v>NA</v>
      </c>
    </row>
    <row r="1224" spans="1:24" x14ac:dyDescent="0.25">
      <c r="A1224" s="45"/>
      <c r="B1224" s="46"/>
      <c r="C1224" s="46"/>
      <c r="D1224" s="46"/>
      <c r="E1224" s="46"/>
      <c r="F1224" s="46"/>
      <c r="G1224" s="46"/>
      <c r="H1224" s="46"/>
      <c r="I1224" s="46"/>
      <c r="J1224" s="46"/>
      <c r="K1224" s="46"/>
      <c r="L1224" s="46"/>
      <c r="M1224" s="46"/>
      <c r="N1224" s="46"/>
      <c r="O1224" s="46"/>
      <c r="P1224" s="46"/>
      <c r="Q1224" s="46"/>
      <c r="R1224" s="46"/>
      <c r="S1224" s="46"/>
      <c r="T1224" s="46"/>
      <c r="U1224" s="46"/>
      <c r="V1224" s="46"/>
      <c r="W1224" s="46"/>
      <c r="X1224" s="11" t="str">
        <f>IF(COUNTBLANK(B1224:W1224)&gt;0,"NA",'batch classification'!J1230)</f>
        <v>NA</v>
      </c>
    </row>
    <row r="1225" spans="1:24" x14ac:dyDescent="0.25">
      <c r="A1225" s="45"/>
      <c r="B1225" s="46"/>
      <c r="C1225" s="46"/>
      <c r="D1225" s="46"/>
      <c r="E1225" s="46"/>
      <c r="F1225" s="46"/>
      <c r="G1225" s="46"/>
      <c r="H1225" s="46"/>
      <c r="I1225" s="46"/>
      <c r="J1225" s="46"/>
      <c r="K1225" s="46"/>
      <c r="L1225" s="46"/>
      <c r="M1225" s="46"/>
      <c r="N1225" s="46"/>
      <c r="O1225" s="46"/>
      <c r="P1225" s="46"/>
      <c r="Q1225" s="46"/>
      <c r="R1225" s="46"/>
      <c r="S1225" s="46"/>
      <c r="T1225" s="46"/>
      <c r="U1225" s="46"/>
      <c r="V1225" s="46"/>
      <c r="W1225" s="46"/>
      <c r="X1225" s="11" t="str">
        <f>IF(COUNTBLANK(B1225:W1225)&gt;0,"NA",'batch classification'!J1231)</f>
        <v>NA</v>
      </c>
    </row>
    <row r="1226" spans="1:24" x14ac:dyDescent="0.25">
      <c r="A1226" s="45"/>
      <c r="B1226" s="46"/>
      <c r="C1226" s="46"/>
      <c r="D1226" s="46"/>
      <c r="E1226" s="46"/>
      <c r="F1226" s="46"/>
      <c r="G1226" s="46"/>
      <c r="H1226" s="46"/>
      <c r="I1226" s="46"/>
      <c r="J1226" s="46"/>
      <c r="K1226" s="46"/>
      <c r="L1226" s="46"/>
      <c r="M1226" s="46"/>
      <c r="N1226" s="46"/>
      <c r="O1226" s="46"/>
      <c r="P1226" s="46"/>
      <c r="Q1226" s="46"/>
      <c r="R1226" s="46"/>
      <c r="S1226" s="46"/>
      <c r="T1226" s="46"/>
      <c r="U1226" s="46"/>
      <c r="V1226" s="46"/>
      <c r="W1226" s="46"/>
      <c r="X1226" s="11" t="str">
        <f>IF(COUNTBLANK(B1226:W1226)&gt;0,"NA",'batch classification'!J1232)</f>
        <v>NA</v>
      </c>
    </row>
    <row r="1227" spans="1:24" x14ac:dyDescent="0.25">
      <c r="A1227" s="45"/>
      <c r="B1227" s="46"/>
      <c r="C1227" s="46"/>
      <c r="D1227" s="46"/>
      <c r="E1227" s="46"/>
      <c r="F1227" s="46"/>
      <c r="G1227" s="46"/>
      <c r="H1227" s="46"/>
      <c r="I1227" s="46"/>
      <c r="J1227" s="46"/>
      <c r="K1227" s="46"/>
      <c r="L1227" s="46"/>
      <c r="M1227" s="46"/>
      <c r="N1227" s="46"/>
      <c r="O1227" s="46"/>
      <c r="P1227" s="46"/>
      <c r="Q1227" s="46"/>
      <c r="R1227" s="46"/>
      <c r="S1227" s="46"/>
      <c r="T1227" s="46"/>
      <c r="U1227" s="46"/>
      <c r="V1227" s="46"/>
      <c r="W1227" s="46"/>
      <c r="X1227" s="11" t="str">
        <f>IF(COUNTBLANK(B1227:W1227)&gt;0,"NA",'batch classification'!J1233)</f>
        <v>NA</v>
      </c>
    </row>
    <row r="1228" spans="1:24" x14ac:dyDescent="0.25">
      <c r="A1228" s="45"/>
      <c r="B1228" s="46"/>
      <c r="C1228" s="46"/>
      <c r="D1228" s="46"/>
      <c r="E1228" s="46"/>
      <c r="F1228" s="46"/>
      <c r="G1228" s="46"/>
      <c r="H1228" s="46"/>
      <c r="I1228" s="46"/>
      <c r="J1228" s="46"/>
      <c r="K1228" s="46"/>
      <c r="L1228" s="46"/>
      <c r="M1228" s="46"/>
      <c r="N1228" s="46"/>
      <c r="O1228" s="46"/>
      <c r="P1228" s="46"/>
      <c r="Q1228" s="46"/>
      <c r="R1228" s="46"/>
      <c r="S1228" s="46"/>
      <c r="T1228" s="46"/>
      <c r="U1228" s="46"/>
      <c r="V1228" s="46"/>
      <c r="W1228" s="46"/>
      <c r="X1228" s="11" t="str">
        <f>IF(COUNTBLANK(B1228:W1228)&gt;0,"NA",'batch classification'!J1234)</f>
        <v>NA</v>
      </c>
    </row>
    <row r="1229" spans="1:24" x14ac:dyDescent="0.25">
      <c r="A1229" s="45"/>
      <c r="B1229" s="46"/>
      <c r="C1229" s="46"/>
      <c r="D1229" s="46"/>
      <c r="E1229" s="46"/>
      <c r="F1229" s="46"/>
      <c r="G1229" s="46"/>
      <c r="H1229" s="46"/>
      <c r="I1229" s="46"/>
      <c r="J1229" s="46"/>
      <c r="K1229" s="46"/>
      <c r="L1229" s="46"/>
      <c r="M1229" s="46"/>
      <c r="N1229" s="46"/>
      <c r="O1229" s="46"/>
      <c r="P1229" s="46"/>
      <c r="Q1229" s="46"/>
      <c r="R1229" s="46"/>
      <c r="S1229" s="46"/>
      <c r="T1229" s="46"/>
      <c r="U1229" s="46"/>
      <c r="V1229" s="46"/>
      <c r="W1229" s="46"/>
      <c r="X1229" s="11" t="str">
        <f>IF(COUNTBLANK(B1229:W1229)&gt;0,"NA",'batch classification'!J1235)</f>
        <v>NA</v>
      </c>
    </row>
    <row r="1230" spans="1:24" x14ac:dyDescent="0.25">
      <c r="A1230" s="45"/>
      <c r="B1230" s="46"/>
      <c r="C1230" s="46"/>
      <c r="D1230" s="46"/>
      <c r="E1230" s="46"/>
      <c r="F1230" s="46"/>
      <c r="G1230" s="46"/>
      <c r="H1230" s="46"/>
      <c r="I1230" s="46"/>
      <c r="J1230" s="46"/>
      <c r="K1230" s="46"/>
      <c r="L1230" s="46"/>
      <c r="M1230" s="46"/>
      <c r="N1230" s="46"/>
      <c r="O1230" s="46"/>
      <c r="P1230" s="46"/>
      <c r="Q1230" s="46"/>
      <c r="R1230" s="46"/>
      <c r="S1230" s="46"/>
      <c r="T1230" s="46"/>
      <c r="U1230" s="46"/>
      <c r="V1230" s="46"/>
      <c r="W1230" s="46"/>
      <c r="X1230" s="11" t="str">
        <f>IF(COUNTBLANK(B1230:W1230)&gt;0,"NA",'batch classification'!J1236)</f>
        <v>NA</v>
      </c>
    </row>
    <row r="1231" spans="1:24" x14ac:dyDescent="0.25">
      <c r="A1231" s="45"/>
      <c r="B1231" s="46"/>
      <c r="C1231" s="46"/>
      <c r="D1231" s="46"/>
      <c r="E1231" s="46"/>
      <c r="F1231" s="46"/>
      <c r="G1231" s="46"/>
      <c r="H1231" s="46"/>
      <c r="I1231" s="46"/>
      <c r="J1231" s="46"/>
      <c r="K1231" s="46"/>
      <c r="L1231" s="46"/>
      <c r="M1231" s="46"/>
      <c r="N1231" s="46"/>
      <c r="O1231" s="46"/>
      <c r="P1231" s="46"/>
      <c r="Q1231" s="46"/>
      <c r="R1231" s="46"/>
      <c r="S1231" s="46"/>
      <c r="T1231" s="46"/>
      <c r="U1231" s="46"/>
      <c r="V1231" s="46"/>
      <c r="W1231" s="46"/>
      <c r="X1231" s="11" t="str">
        <f>IF(COUNTBLANK(B1231:W1231)&gt;0,"NA",'batch classification'!J1237)</f>
        <v>NA</v>
      </c>
    </row>
    <row r="1232" spans="1:24" x14ac:dyDescent="0.25">
      <c r="A1232" s="45"/>
      <c r="B1232" s="46"/>
      <c r="C1232" s="46"/>
      <c r="D1232" s="46"/>
      <c r="E1232" s="46"/>
      <c r="F1232" s="46"/>
      <c r="G1232" s="46"/>
      <c r="H1232" s="46"/>
      <c r="I1232" s="46"/>
      <c r="J1232" s="46"/>
      <c r="K1232" s="46"/>
      <c r="L1232" s="46"/>
      <c r="M1232" s="46"/>
      <c r="N1232" s="46"/>
      <c r="O1232" s="46"/>
      <c r="P1232" s="46"/>
      <c r="Q1232" s="46"/>
      <c r="R1232" s="46"/>
      <c r="S1232" s="46"/>
      <c r="T1232" s="46"/>
      <c r="U1232" s="46"/>
      <c r="V1232" s="46"/>
      <c r="W1232" s="46"/>
      <c r="X1232" s="11" t="str">
        <f>IF(COUNTBLANK(B1232:W1232)&gt;0,"NA",'batch classification'!J1238)</f>
        <v>NA</v>
      </c>
    </row>
    <row r="1233" spans="1:24" x14ac:dyDescent="0.25">
      <c r="A1233" s="45"/>
      <c r="B1233" s="46"/>
      <c r="C1233" s="46"/>
      <c r="D1233" s="46"/>
      <c r="E1233" s="46"/>
      <c r="F1233" s="46"/>
      <c r="G1233" s="46"/>
      <c r="H1233" s="46"/>
      <c r="I1233" s="46"/>
      <c r="J1233" s="46"/>
      <c r="K1233" s="46"/>
      <c r="L1233" s="46"/>
      <c r="M1233" s="46"/>
      <c r="N1233" s="46"/>
      <c r="O1233" s="46"/>
      <c r="P1233" s="46"/>
      <c r="Q1233" s="46"/>
      <c r="R1233" s="46"/>
      <c r="S1233" s="46"/>
      <c r="T1233" s="46"/>
      <c r="U1233" s="46"/>
      <c r="V1233" s="46"/>
      <c r="W1233" s="46"/>
      <c r="X1233" s="11" t="str">
        <f>IF(COUNTBLANK(B1233:W1233)&gt;0,"NA",'batch classification'!J1239)</f>
        <v>NA</v>
      </c>
    </row>
    <row r="1234" spans="1:24" x14ac:dyDescent="0.25">
      <c r="A1234" s="45"/>
      <c r="B1234" s="46"/>
      <c r="C1234" s="46"/>
      <c r="D1234" s="46"/>
      <c r="E1234" s="46"/>
      <c r="F1234" s="46"/>
      <c r="G1234" s="46"/>
      <c r="H1234" s="46"/>
      <c r="I1234" s="46"/>
      <c r="J1234" s="46"/>
      <c r="K1234" s="46"/>
      <c r="L1234" s="46"/>
      <c r="M1234" s="46"/>
      <c r="N1234" s="46"/>
      <c r="O1234" s="46"/>
      <c r="P1234" s="46"/>
      <c r="Q1234" s="46"/>
      <c r="R1234" s="46"/>
      <c r="S1234" s="46"/>
      <c r="T1234" s="46"/>
      <c r="U1234" s="46"/>
      <c r="V1234" s="46"/>
      <c r="W1234" s="46"/>
      <c r="X1234" s="11" t="str">
        <f>IF(COUNTBLANK(B1234:W1234)&gt;0,"NA",'batch classification'!J1240)</f>
        <v>NA</v>
      </c>
    </row>
    <row r="1235" spans="1:24" x14ac:dyDescent="0.25">
      <c r="A1235" s="45"/>
      <c r="B1235" s="46"/>
      <c r="C1235" s="46"/>
      <c r="D1235" s="46"/>
      <c r="E1235" s="46"/>
      <c r="F1235" s="46"/>
      <c r="G1235" s="46"/>
      <c r="H1235" s="46"/>
      <c r="I1235" s="46"/>
      <c r="J1235" s="46"/>
      <c r="K1235" s="46"/>
      <c r="L1235" s="46"/>
      <c r="M1235" s="46"/>
      <c r="N1235" s="46"/>
      <c r="O1235" s="46"/>
      <c r="P1235" s="46"/>
      <c r="Q1235" s="46"/>
      <c r="R1235" s="46"/>
      <c r="S1235" s="46"/>
      <c r="T1235" s="46"/>
      <c r="U1235" s="46"/>
      <c r="V1235" s="46"/>
      <c r="W1235" s="46"/>
      <c r="X1235" s="11" t="str">
        <f>IF(COUNTBLANK(B1235:W1235)&gt;0,"NA",'batch classification'!J1241)</f>
        <v>NA</v>
      </c>
    </row>
    <row r="1236" spans="1:24" x14ac:dyDescent="0.25">
      <c r="A1236" s="45"/>
      <c r="B1236" s="46"/>
      <c r="C1236" s="46"/>
      <c r="D1236" s="46"/>
      <c r="E1236" s="46"/>
      <c r="F1236" s="46"/>
      <c r="G1236" s="46"/>
      <c r="H1236" s="46"/>
      <c r="I1236" s="46"/>
      <c r="J1236" s="46"/>
      <c r="K1236" s="46"/>
      <c r="L1236" s="46"/>
      <c r="M1236" s="46"/>
      <c r="N1236" s="46"/>
      <c r="O1236" s="46"/>
      <c r="P1236" s="46"/>
      <c r="Q1236" s="46"/>
      <c r="R1236" s="46"/>
      <c r="S1236" s="46"/>
      <c r="T1236" s="46"/>
      <c r="U1236" s="46"/>
      <c r="V1236" s="46"/>
      <c r="W1236" s="46"/>
      <c r="X1236" s="11" t="str">
        <f>IF(COUNTBLANK(B1236:W1236)&gt;0,"NA",'batch classification'!J1242)</f>
        <v>NA</v>
      </c>
    </row>
    <row r="1237" spans="1:24" x14ac:dyDescent="0.25">
      <c r="A1237" s="45"/>
      <c r="B1237" s="46"/>
      <c r="C1237" s="46"/>
      <c r="D1237" s="46"/>
      <c r="E1237" s="46"/>
      <c r="F1237" s="46"/>
      <c r="G1237" s="46"/>
      <c r="H1237" s="46"/>
      <c r="I1237" s="46"/>
      <c r="J1237" s="46"/>
      <c r="K1237" s="46"/>
      <c r="L1237" s="46"/>
      <c r="M1237" s="46"/>
      <c r="N1237" s="46"/>
      <c r="O1237" s="46"/>
      <c r="P1237" s="46"/>
      <c r="Q1237" s="46"/>
      <c r="R1237" s="46"/>
      <c r="S1237" s="46"/>
      <c r="T1237" s="46"/>
      <c r="U1237" s="46"/>
      <c r="V1237" s="46"/>
      <c r="W1237" s="46"/>
      <c r="X1237" s="11" t="str">
        <f>IF(COUNTBLANK(B1237:W1237)&gt;0,"NA",'batch classification'!J1243)</f>
        <v>NA</v>
      </c>
    </row>
    <row r="1238" spans="1:24" x14ac:dyDescent="0.25">
      <c r="A1238" s="45"/>
      <c r="B1238" s="46"/>
      <c r="C1238" s="46"/>
      <c r="D1238" s="46"/>
      <c r="E1238" s="46"/>
      <c r="F1238" s="46"/>
      <c r="G1238" s="46"/>
      <c r="H1238" s="46"/>
      <c r="I1238" s="46"/>
      <c r="J1238" s="46"/>
      <c r="K1238" s="46"/>
      <c r="L1238" s="46"/>
      <c r="M1238" s="46"/>
      <c r="N1238" s="46"/>
      <c r="O1238" s="46"/>
      <c r="P1238" s="46"/>
      <c r="Q1238" s="46"/>
      <c r="R1238" s="46"/>
      <c r="S1238" s="46"/>
      <c r="T1238" s="46"/>
      <c r="U1238" s="46"/>
      <c r="V1238" s="46"/>
      <c r="W1238" s="46"/>
      <c r="X1238" s="11" t="str">
        <f>IF(COUNTBLANK(B1238:W1238)&gt;0,"NA",'batch classification'!J1244)</f>
        <v>NA</v>
      </c>
    </row>
    <row r="1239" spans="1:24" x14ac:dyDescent="0.25">
      <c r="A1239" s="45"/>
      <c r="B1239" s="46"/>
      <c r="C1239" s="46"/>
      <c r="D1239" s="46"/>
      <c r="E1239" s="46"/>
      <c r="F1239" s="46"/>
      <c r="G1239" s="46"/>
      <c r="H1239" s="46"/>
      <c r="I1239" s="46"/>
      <c r="J1239" s="46"/>
      <c r="K1239" s="46"/>
      <c r="L1239" s="46"/>
      <c r="M1239" s="46"/>
      <c r="N1239" s="46"/>
      <c r="O1239" s="46"/>
      <c r="P1239" s="46"/>
      <c r="Q1239" s="46"/>
      <c r="R1239" s="46"/>
      <c r="S1239" s="46"/>
      <c r="T1239" s="46"/>
      <c r="U1239" s="46"/>
      <c r="V1239" s="46"/>
      <c r="W1239" s="46"/>
      <c r="X1239" s="11" t="str">
        <f>IF(COUNTBLANK(B1239:W1239)&gt;0,"NA",'batch classification'!J1245)</f>
        <v>NA</v>
      </c>
    </row>
    <row r="1240" spans="1:24" x14ac:dyDescent="0.25">
      <c r="A1240" s="45"/>
      <c r="B1240" s="46"/>
      <c r="C1240" s="46"/>
      <c r="D1240" s="46"/>
      <c r="E1240" s="46"/>
      <c r="F1240" s="46"/>
      <c r="G1240" s="46"/>
      <c r="H1240" s="46"/>
      <c r="I1240" s="46"/>
      <c r="J1240" s="46"/>
      <c r="K1240" s="46"/>
      <c r="L1240" s="46"/>
      <c r="M1240" s="46"/>
      <c r="N1240" s="46"/>
      <c r="O1240" s="46"/>
      <c r="P1240" s="46"/>
      <c r="Q1240" s="46"/>
      <c r="R1240" s="46"/>
      <c r="S1240" s="46"/>
      <c r="T1240" s="46"/>
      <c r="U1240" s="46"/>
      <c r="V1240" s="46"/>
      <c r="W1240" s="46"/>
      <c r="X1240" s="11" t="str">
        <f>IF(COUNTBLANK(B1240:W1240)&gt;0,"NA",'batch classification'!J1246)</f>
        <v>NA</v>
      </c>
    </row>
    <row r="1241" spans="1:24" x14ac:dyDescent="0.25">
      <c r="A1241" s="45"/>
      <c r="B1241" s="46"/>
      <c r="C1241" s="46"/>
      <c r="D1241" s="46"/>
      <c r="E1241" s="46"/>
      <c r="F1241" s="46"/>
      <c r="G1241" s="46"/>
      <c r="H1241" s="46"/>
      <c r="I1241" s="46"/>
      <c r="J1241" s="46"/>
      <c r="K1241" s="46"/>
      <c r="L1241" s="46"/>
      <c r="M1241" s="46"/>
      <c r="N1241" s="46"/>
      <c r="O1241" s="46"/>
      <c r="P1241" s="46"/>
      <c r="Q1241" s="46"/>
      <c r="R1241" s="46"/>
      <c r="S1241" s="46"/>
      <c r="T1241" s="46"/>
      <c r="U1241" s="46"/>
      <c r="V1241" s="46"/>
      <c r="W1241" s="46"/>
      <c r="X1241" s="11" t="str">
        <f>IF(COUNTBLANK(B1241:W1241)&gt;0,"NA",'batch classification'!J1247)</f>
        <v>NA</v>
      </c>
    </row>
    <row r="1242" spans="1:24" x14ac:dyDescent="0.25">
      <c r="A1242" s="45"/>
      <c r="B1242" s="46"/>
      <c r="C1242" s="46"/>
      <c r="D1242" s="46"/>
      <c r="E1242" s="46"/>
      <c r="F1242" s="46"/>
      <c r="G1242" s="46"/>
      <c r="H1242" s="46"/>
      <c r="I1242" s="46"/>
      <c r="J1242" s="46"/>
      <c r="K1242" s="46"/>
      <c r="L1242" s="46"/>
      <c r="M1242" s="46"/>
      <c r="N1242" s="46"/>
      <c r="O1242" s="46"/>
      <c r="P1242" s="46"/>
      <c r="Q1242" s="46"/>
      <c r="R1242" s="46"/>
      <c r="S1242" s="46"/>
      <c r="T1242" s="46"/>
      <c r="U1242" s="46"/>
      <c r="V1242" s="46"/>
      <c r="W1242" s="46"/>
      <c r="X1242" s="11" t="str">
        <f>IF(COUNTBLANK(B1242:W1242)&gt;0,"NA",'batch classification'!J1248)</f>
        <v>NA</v>
      </c>
    </row>
    <row r="1243" spans="1:24" x14ac:dyDescent="0.25">
      <c r="A1243" s="45"/>
      <c r="B1243" s="46"/>
      <c r="C1243" s="46"/>
      <c r="D1243" s="46"/>
      <c r="E1243" s="46"/>
      <c r="F1243" s="46"/>
      <c r="G1243" s="46"/>
      <c r="H1243" s="46"/>
      <c r="I1243" s="46"/>
      <c r="J1243" s="46"/>
      <c r="K1243" s="46"/>
      <c r="L1243" s="46"/>
      <c r="M1243" s="46"/>
      <c r="N1243" s="46"/>
      <c r="O1243" s="46"/>
      <c r="P1243" s="46"/>
      <c r="Q1243" s="46"/>
      <c r="R1243" s="46"/>
      <c r="S1243" s="46"/>
      <c r="T1243" s="46"/>
      <c r="U1243" s="46"/>
      <c r="V1243" s="46"/>
      <c r="W1243" s="46"/>
      <c r="X1243" s="11" t="str">
        <f>IF(COUNTBLANK(B1243:W1243)&gt;0,"NA",'batch classification'!J1249)</f>
        <v>NA</v>
      </c>
    </row>
    <row r="1244" spans="1:24" x14ac:dyDescent="0.25">
      <c r="A1244" s="45"/>
      <c r="B1244" s="46"/>
      <c r="C1244" s="46"/>
      <c r="D1244" s="46"/>
      <c r="E1244" s="46"/>
      <c r="F1244" s="46"/>
      <c r="G1244" s="46"/>
      <c r="H1244" s="46"/>
      <c r="I1244" s="46"/>
      <c r="J1244" s="46"/>
      <c r="K1244" s="46"/>
      <c r="L1244" s="46"/>
      <c r="M1244" s="46"/>
      <c r="N1244" s="46"/>
      <c r="O1244" s="46"/>
      <c r="P1244" s="46"/>
      <c r="Q1244" s="46"/>
      <c r="R1244" s="46"/>
      <c r="S1244" s="46"/>
      <c r="T1244" s="46"/>
      <c r="U1244" s="46"/>
      <c r="V1244" s="46"/>
      <c r="W1244" s="46"/>
      <c r="X1244" s="11" t="str">
        <f>IF(COUNTBLANK(B1244:W1244)&gt;0,"NA",'batch classification'!J1250)</f>
        <v>NA</v>
      </c>
    </row>
    <row r="1245" spans="1:24" x14ac:dyDescent="0.25">
      <c r="A1245" s="45"/>
      <c r="B1245" s="46"/>
      <c r="C1245" s="46"/>
      <c r="D1245" s="46"/>
      <c r="E1245" s="46"/>
      <c r="F1245" s="46"/>
      <c r="G1245" s="46"/>
      <c r="H1245" s="46"/>
      <c r="I1245" s="46"/>
      <c r="J1245" s="46"/>
      <c r="K1245" s="46"/>
      <c r="L1245" s="46"/>
      <c r="M1245" s="46"/>
      <c r="N1245" s="46"/>
      <c r="O1245" s="46"/>
      <c r="P1245" s="46"/>
      <c r="Q1245" s="46"/>
      <c r="R1245" s="46"/>
      <c r="S1245" s="46"/>
      <c r="T1245" s="46"/>
      <c r="U1245" s="46"/>
      <c r="V1245" s="46"/>
      <c r="W1245" s="46"/>
      <c r="X1245" s="11" t="str">
        <f>IF(COUNTBLANK(B1245:W1245)&gt;0,"NA",'batch classification'!J1251)</f>
        <v>NA</v>
      </c>
    </row>
    <row r="1246" spans="1:24" x14ac:dyDescent="0.25">
      <c r="A1246" s="45"/>
      <c r="B1246" s="46"/>
      <c r="C1246" s="46"/>
      <c r="D1246" s="46"/>
      <c r="E1246" s="46"/>
      <c r="F1246" s="46"/>
      <c r="G1246" s="46"/>
      <c r="H1246" s="46"/>
      <c r="I1246" s="46"/>
      <c r="J1246" s="46"/>
      <c r="K1246" s="46"/>
      <c r="L1246" s="46"/>
      <c r="M1246" s="46"/>
      <c r="N1246" s="46"/>
      <c r="O1246" s="46"/>
      <c r="P1246" s="46"/>
      <c r="Q1246" s="46"/>
      <c r="R1246" s="46"/>
      <c r="S1246" s="46"/>
      <c r="T1246" s="46"/>
      <c r="U1246" s="46"/>
      <c r="V1246" s="46"/>
      <c r="W1246" s="46"/>
      <c r="X1246" s="11" t="str">
        <f>IF(COUNTBLANK(B1246:W1246)&gt;0,"NA",'batch classification'!J1252)</f>
        <v>NA</v>
      </c>
    </row>
    <row r="1247" spans="1:24" x14ac:dyDescent="0.25">
      <c r="A1247" s="45"/>
      <c r="B1247" s="46"/>
      <c r="C1247" s="46"/>
      <c r="D1247" s="46"/>
      <c r="E1247" s="46"/>
      <c r="F1247" s="46"/>
      <c r="G1247" s="46"/>
      <c r="H1247" s="46"/>
      <c r="I1247" s="46"/>
      <c r="J1247" s="46"/>
      <c r="K1247" s="46"/>
      <c r="L1247" s="46"/>
      <c r="M1247" s="46"/>
      <c r="N1247" s="46"/>
      <c r="O1247" s="46"/>
      <c r="P1247" s="46"/>
      <c r="Q1247" s="46"/>
      <c r="R1247" s="46"/>
      <c r="S1247" s="46"/>
      <c r="T1247" s="46"/>
      <c r="U1247" s="46"/>
      <c r="V1247" s="46"/>
      <c r="W1247" s="46"/>
      <c r="X1247" s="11" t="str">
        <f>IF(COUNTBLANK(B1247:W1247)&gt;0,"NA",'batch classification'!J1253)</f>
        <v>NA</v>
      </c>
    </row>
    <row r="1248" spans="1:24" x14ac:dyDescent="0.25">
      <c r="A1248" s="45"/>
      <c r="B1248" s="46"/>
      <c r="C1248" s="46"/>
      <c r="D1248" s="46"/>
      <c r="E1248" s="46"/>
      <c r="F1248" s="46"/>
      <c r="G1248" s="46"/>
      <c r="H1248" s="46"/>
      <c r="I1248" s="46"/>
      <c r="J1248" s="46"/>
      <c r="K1248" s="46"/>
      <c r="L1248" s="46"/>
      <c r="M1248" s="46"/>
      <c r="N1248" s="46"/>
      <c r="O1248" s="46"/>
      <c r="P1248" s="46"/>
      <c r="Q1248" s="46"/>
      <c r="R1248" s="46"/>
      <c r="S1248" s="46"/>
      <c r="T1248" s="46"/>
      <c r="U1248" s="46"/>
      <c r="V1248" s="46"/>
      <c r="W1248" s="46"/>
      <c r="X1248" s="11" t="str">
        <f>IF(COUNTBLANK(B1248:W1248)&gt;0,"NA",'batch classification'!J1254)</f>
        <v>NA</v>
      </c>
    </row>
    <row r="1249" spans="1:24" x14ac:dyDescent="0.25">
      <c r="A1249" s="45"/>
      <c r="B1249" s="46"/>
      <c r="C1249" s="46"/>
      <c r="D1249" s="46"/>
      <c r="E1249" s="46"/>
      <c r="F1249" s="46"/>
      <c r="G1249" s="46"/>
      <c r="H1249" s="46"/>
      <c r="I1249" s="46"/>
      <c r="J1249" s="46"/>
      <c r="K1249" s="46"/>
      <c r="L1249" s="46"/>
      <c r="M1249" s="46"/>
      <c r="N1249" s="46"/>
      <c r="O1249" s="46"/>
      <c r="P1249" s="46"/>
      <c r="Q1249" s="46"/>
      <c r="R1249" s="46"/>
      <c r="S1249" s="46"/>
      <c r="T1249" s="46"/>
      <c r="U1249" s="46"/>
      <c r="V1249" s="46"/>
      <c r="W1249" s="46"/>
      <c r="X1249" s="11" t="str">
        <f>IF(COUNTBLANK(B1249:W1249)&gt;0,"NA",'batch classification'!J1255)</f>
        <v>NA</v>
      </c>
    </row>
    <row r="1250" spans="1:24" x14ac:dyDescent="0.25">
      <c r="A1250" s="45"/>
      <c r="B1250" s="46"/>
      <c r="C1250" s="46"/>
      <c r="D1250" s="46"/>
      <c r="E1250" s="46"/>
      <c r="F1250" s="46"/>
      <c r="G1250" s="46"/>
      <c r="H1250" s="46"/>
      <c r="I1250" s="46"/>
      <c r="J1250" s="46"/>
      <c r="K1250" s="46"/>
      <c r="L1250" s="46"/>
      <c r="M1250" s="46"/>
      <c r="N1250" s="46"/>
      <c r="O1250" s="46"/>
      <c r="P1250" s="46"/>
      <c r="Q1250" s="46"/>
      <c r="R1250" s="46"/>
      <c r="S1250" s="46"/>
      <c r="T1250" s="46"/>
      <c r="U1250" s="46"/>
      <c r="V1250" s="46"/>
      <c r="W1250" s="46"/>
      <c r="X1250" s="11" t="str">
        <f>IF(COUNTBLANK(B1250:W1250)&gt;0,"NA",'batch classification'!J1256)</f>
        <v>NA</v>
      </c>
    </row>
    <row r="1251" spans="1:24" x14ac:dyDescent="0.25">
      <c r="A1251" s="45"/>
      <c r="B1251" s="46"/>
      <c r="C1251" s="46"/>
      <c r="D1251" s="46"/>
      <c r="E1251" s="46"/>
      <c r="F1251" s="46"/>
      <c r="G1251" s="46"/>
      <c r="H1251" s="46"/>
      <c r="I1251" s="46"/>
      <c r="J1251" s="46"/>
      <c r="K1251" s="46"/>
      <c r="L1251" s="46"/>
      <c r="M1251" s="46"/>
      <c r="N1251" s="46"/>
      <c r="O1251" s="46"/>
      <c r="P1251" s="46"/>
      <c r="Q1251" s="46"/>
      <c r="R1251" s="46"/>
      <c r="S1251" s="46"/>
      <c r="T1251" s="46"/>
      <c r="U1251" s="46"/>
      <c r="V1251" s="46"/>
      <c r="W1251" s="46"/>
      <c r="X1251" s="11" t="str">
        <f>IF(COUNTBLANK(B1251:W1251)&gt;0,"NA",'batch classification'!J1257)</f>
        <v>NA</v>
      </c>
    </row>
    <row r="1252" spans="1:24" x14ac:dyDescent="0.25">
      <c r="A1252" s="45"/>
      <c r="B1252" s="46"/>
      <c r="C1252" s="46"/>
      <c r="D1252" s="46"/>
      <c r="E1252" s="46"/>
      <c r="F1252" s="46"/>
      <c r="G1252" s="46"/>
      <c r="H1252" s="46"/>
      <c r="I1252" s="46"/>
      <c r="J1252" s="46"/>
      <c r="K1252" s="46"/>
      <c r="L1252" s="46"/>
      <c r="M1252" s="46"/>
      <c r="N1252" s="46"/>
      <c r="O1252" s="46"/>
      <c r="P1252" s="46"/>
      <c r="Q1252" s="46"/>
      <c r="R1252" s="46"/>
      <c r="S1252" s="46"/>
      <c r="T1252" s="46"/>
      <c r="U1252" s="46"/>
      <c r="V1252" s="46"/>
      <c r="W1252" s="46"/>
      <c r="X1252" s="11" t="str">
        <f>IF(COUNTBLANK(B1252:W1252)&gt;0,"NA",'batch classification'!J1258)</f>
        <v>NA</v>
      </c>
    </row>
    <row r="1253" spans="1:24" x14ac:dyDescent="0.25">
      <c r="A1253" s="45"/>
      <c r="B1253" s="46"/>
      <c r="C1253" s="46"/>
      <c r="D1253" s="46"/>
      <c r="E1253" s="46"/>
      <c r="F1253" s="46"/>
      <c r="G1253" s="46"/>
      <c r="H1253" s="46"/>
      <c r="I1253" s="46"/>
      <c r="J1253" s="46"/>
      <c r="K1253" s="46"/>
      <c r="L1253" s="46"/>
      <c r="M1253" s="46"/>
      <c r="N1253" s="46"/>
      <c r="O1253" s="46"/>
      <c r="P1253" s="46"/>
      <c r="Q1253" s="46"/>
      <c r="R1253" s="46"/>
      <c r="S1253" s="46"/>
      <c r="T1253" s="46"/>
      <c r="U1253" s="46"/>
      <c r="V1253" s="46"/>
      <c r="W1253" s="46"/>
      <c r="X1253" s="11" t="str">
        <f>IF(COUNTBLANK(B1253:W1253)&gt;0,"NA",'batch classification'!J1259)</f>
        <v>NA</v>
      </c>
    </row>
    <row r="1254" spans="1:24" x14ac:dyDescent="0.25">
      <c r="A1254" s="45"/>
      <c r="B1254" s="46"/>
      <c r="C1254" s="46"/>
      <c r="D1254" s="46"/>
      <c r="E1254" s="46"/>
      <c r="F1254" s="46"/>
      <c r="G1254" s="46"/>
      <c r="H1254" s="46"/>
      <c r="I1254" s="46"/>
      <c r="J1254" s="46"/>
      <c r="K1254" s="46"/>
      <c r="L1254" s="46"/>
      <c r="M1254" s="46"/>
      <c r="N1254" s="46"/>
      <c r="O1254" s="46"/>
      <c r="P1254" s="46"/>
      <c r="Q1254" s="46"/>
      <c r="R1254" s="46"/>
      <c r="S1254" s="46"/>
      <c r="T1254" s="46"/>
      <c r="U1254" s="46"/>
      <c r="V1254" s="46"/>
      <c r="W1254" s="46"/>
      <c r="X1254" s="11" t="str">
        <f>IF(COUNTBLANK(B1254:W1254)&gt;0,"NA",'batch classification'!J1260)</f>
        <v>NA</v>
      </c>
    </row>
    <row r="1255" spans="1:24" x14ac:dyDescent="0.25">
      <c r="A1255" s="45"/>
      <c r="B1255" s="46"/>
      <c r="C1255" s="46"/>
      <c r="D1255" s="46"/>
      <c r="E1255" s="46"/>
      <c r="F1255" s="46"/>
      <c r="G1255" s="46"/>
      <c r="H1255" s="46"/>
      <c r="I1255" s="46"/>
      <c r="J1255" s="46"/>
      <c r="K1255" s="46"/>
      <c r="L1255" s="46"/>
      <c r="M1255" s="46"/>
      <c r="N1255" s="46"/>
      <c r="O1255" s="46"/>
      <c r="P1255" s="46"/>
      <c r="Q1255" s="46"/>
      <c r="R1255" s="46"/>
      <c r="S1255" s="46"/>
      <c r="T1255" s="46"/>
      <c r="U1255" s="46"/>
      <c r="V1255" s="46"/>
      <c r="W1255" s="46"/>
      <c r="X1255" s="11" t="str">
        <f>IF(COUNTBLANK(B1255:W1255)&gt;0,"NA",'batch classification'!J1261)</f>
        <v>NA</v>
      </c>
    </row>
    <row r="1256" spans="1:24" x14ac:dyDescent="0.25">
      <c r="A1256" s="45"/>
      <c r="B1256" s="46"/>
      <c r="C1256" s="46"/>
      <c r="D1256" s="46"/>
      <c r="E1256" s="46"/>
      <c r="F1256" s="46"/>
      <c r="G1256" s="46"/>
      <c r="H1256" s="46"/>
      <c r="I1256" s="46"/>
      <c r="J1256" s="46"/>
      <c r="K1256" s="46"/>
      <c r="L1256" s="46"/>
      <c r="M1256" s="46"/>
      <c r="N1256" s="46"/>
      <c r="O1256" s="46"/>
      <c r="P1256" s="46"/>
      <c r="Q1256" s="46"/>
      <c r="R1256" s="46"/>
      <c r="S1256" s="46"/>
      <c r="T1256" s="46"/>
      <c r="U1256" s="46"/>
      <c r="V1256" s="46"/>
      <c r="W1256" s="46"/>
      <c r="X1256" s="11" t="str">
        <f>IF(COUNTBLANK(B1256:W1256)&gt;0,"NA",'batch classification'!J1262)</f>
        <v>NA</v>
      </c>
    </row>
    <row r="1257" spans="1:24" x14ac:dyDescent="0.25">
      <c r="A1257" s="45"/>
      <c r="B1257" s="46"/>
      <c r="C1257" s="46"/>
      <c r="D1257" s="46"/>
      <c r="E1257" s="46"/>
      <c r="F1257" s="46"/>
      <c r="G1257" s="46"/>
      <c r="H1257" s="46"/>
      <c r="I1257" s="46"/>
      <c r="J1257" s="46"/>
      <c r="K1257" s="46"/>
      <c r="L1257" s="46"/>
      <c r="M1257" s="46"/>
      <c r="N1257" s="46"/>
      <c r="O1257" s="46"/>
      <c r="P1257" s="46"/>
      <c r="Q1257" s="46"/>
      <c r="R1257" s="46"/>
      <c r="S1257" s="46"/>
      <c r="T1257" s="46"/>
      <c r="U1257" s="46"/>
      <c r="V1257" s="46"/>
      <c r="W1257" s="46"/>
      <c r="X1257" s="11" t="str">
        <f>IF(COUNTBLANK(B1257:W1257)&gt;0,"NA",'batch classification'!J1263)</f>
        <v>NA</v>
      </c>
    </row>
    <row r="1258" spans="1:24" x14ac:dyDescent="0.25">
      <c r="A1258" s="45"/>
      <c r="B1258" s="46"/>
      <c r="C1258" s="46"/>
      <c r="D1258" s="46"/>
      <c r="E1258" s="46"/>
      <c r="F1258" s="46"/>
      <c r="G1258" s="46"/>
      <c r="H1258" s="46"/>
      <c r="I1258" s="46"/>
      <c r="J1258" s="46"/>
      <c r="K1258" s="46"/>
      <c r="L1258" s="46"/>
      <c r="M1258" s="46"/>
      <c r="N1258" s="46"/>
      <c r="O1258" s="46"/>
      <c r="P1258" s="46"/>
      <c r="Q1258" s="46"/>
      <c r="R1258" s="46"/>
      <c r="S1258" s="46"/>
      <c r="T1258" s="46"/>
      <c r="U1258" s="46"/>
      <c r="V1258" s="46"/>
      <c r="W1258" s="46"/>
      <c r="X1258" s="11" t="str">
        <f>IF(COUNTBLANK(B1258:W1258)&gt;0,"NA",'batch classification'!J1264)</f>
        <v>NA</v>
      </c>
    </row>
    <row r="1259" spans="1:24" x14ac:dyDescent="0.25">
      <c r="A1259" s="45"/>
      <c r="B1259" s="46"/>
      <c r="C1259" s="46"/>
      <c r="D1259" s="46"/>
      <c r="E1259" s="46"/>
      <c r="F1259" s="46"/>
      <c r="G1259" s="46"/>
      <c r="H1259" s="46"/>
      <c r="I1259" s="46"/>
      <c r="J1259" s="46"/>
      <c r="K1259" s="46"/>
      <c r="L1259" s="46"/>
      <c r="M1259" s="46"/>
      <c r="N1259" s="46"/>
      <c r="O1259" s="46"/>
      <c r="P1259" s="46"/>
      <c r="Q1259" s="46"/>
      <c r="R1259" s="46"/>
      <c r="S1259" s="46"/>
      <c r="T1259" s="46"/>
      <c r="U1259" s="46"/>
      <c r="V1259" s="46"/>
      <c r="W1259" s="46"/>
      <c r="X1259" s="11" t="str">
        <f>IF(COUNTBLANK(B1259:W1259)&gt;0,"NA",'batch classification'!J1265)</f>
        <v>NA</v>
      </c>
    </row>
    <row r="1260" spans="1:24" x14ac:dyDescent="0.25">
      <c r="A1260" s="45"/>
      <c r="B1260" s="46"/>
      <c r="C1260" s="46"/>
      <c r="D1260" s="46"/>
      <c r="E1260" s="46"/>
      <c r="F1260" s="46"/>
      <c r="G1260" s="46"/>
      <c r="H1260" s="46"/>
      <c r="I1260" s="46"/>
      <c r="J1260" s="46"/>
      <c r="K1260" s="46"/>
      <c r="L1260" s="46"/>
      <c r="M1260" s="46"/>
      <c r="N1260" s="46"/>
      <c r="O1260" s="46"/>
      <c r="P1260" s="46"/>
      <c r="Q1260" s="46"/>
      <c r="R1260" s="46"/>
      <c r="S1260" s="46"/>
      <c r="T1260" s="46"/>
      <c r="U1260" s="46"/>
      <c r="V1260" s="46"/>
      <c r="W1260" s="46"/>
      <c r="X1260" s="11" t="str">
        <f>IF(COUNTBLANK(B1260:W1260)&gt;0,"NA",'batch classification'!J1266)</f>
        <v>NA</v>
      </c>
    </row>
    <row r="1261" spans="1:24" x14ac:dyDescent="0.25">
      <c r="A1261" s="45"/>
      <c r="B1261" s="46"/>
      <c r="C1261" s="46"/>
      <c r="D1261" s="46"/>
      <c r="E1261" s="46"/>
      <c r="F1261" s="46"/>
      <c r="G1261" s="46"/>
      <c r="H1261" s="46"/>
      <c r="I1261" s="46"/>
      <c r="J1261" s="46"/>
      <c r="K1261" s="46"/>
      <c r="L1261" s="46"/>
      <c r="M1261" s="46"/>
      <c r="N1261" s="46"/>
      <c r="O1261" s="46"/>
      <c r="P1261" s="46"/>
      <c r="Q1261" s="46"/>
      <c r="R1261" s="46"/>
      <c r="S1261" s="46"/>
      <c r="T1261" s="46"/>
      <c r="U1261" s="46"/>
      <c r="V1261" s="46"/>
      <c r="W1261" s="46"/>
      <c r="X1261" s="11" t="str">
        <f>IF(COUNTBLANK(B1261:W1261)&gt;0,"NA",'batch classification'!J1267)</f>
        <v>NA</v>
      </c>
    </row>
    <row r="1262" spans="1:24" x14ac:dyDescent="0.25">
      <c r="A1262" s="45"/>
      <c r="B1262" s="46"/>
      <c r="C1262" s="46"/>
      <c r="D1262" s="46"/>
      <c r="E1262" s="46"/>
      <c r="F1262" s="46"/>
      <c r="G1262" s="46"/>
      <c r="H1262" s="46"/>
      <c r="I1262" s="46"/>
      <c r="J1262" s="46"/>
      <c r="K1262" s="46"/>
      <c r="L1262" s="46"/>
      <c r="M1262" s="46"/>
      <c r="N1262" s="46"/>
      <c r="O1262" s="46"/>
      <c r="P1262" s="46"/>
      <c r="Q1262" s="46"/>
      <c r="R1262" s="46"/>
      <c r="S1262" s="46"/>
      <c r="T1262" s="46"/>
      <c r="U1262" s="46"/>
      <c r="V1262" s="46"/>
      <c r="W1262" s="46"/>
      <c r="X1262" s="11" t="str">
        <f>IF(COUNTBLANK(B1262:W1262)&gt;0,"NA",'batch classification'!J1268)</f>
        <v>NA</v>
      </c>
    </row>
    <row r="1263" spans="1:24" x14ac:dyDescent="0.25">
      <c r="A1263" s="45"/>
      <c r="B1263" s="46"/>
      <c r="C1263" s="46"/>
      <c r="D1263" s="46"/>
      <c r="E1263" s="46"/>
      <c r="F1263" s="46"/>
      <c r="G1263" s="46"/>
      <c r="H1263" s="46"/>
      <c r="I1263" s="46"/>
      <c r="J1263" s="46"/>
      <c r="K1263" s="46"/>
      <c r="L1263" s="46"/>
      <c r="M1263" s="46"/>
      <c r="N1263" s="46"/>
      <c r="O1263" s="46"/>
      <c r="P1263" s="46"/>
      <c r="Q1263" s="46"/>
      <c r="R1263" s="46"/>
      <c r="S1263" s="46"/>
      <c r="T1263" s="46"/>
      <c r="U1263" s="46"/>
      <c r="V1263" s="46"/>
      <c r="W1263" s="46"/>
      <c r="X1263" s="11" t="str">
        <f>IF(COUNTBLANK(B1263:W1263)&gt;0,"NA",'batch classification'!J1269)</f>
        <v>NA</v>
      </c>
    </row>
    <row r="1264" spans="1:24" x14ac:dyDescent="0.25">
      <c r="A1264" s="45"/>
      <c r="B1264" s="46"/>
      <c r="C1264" s="46"/>
      <c r="D1264" s="46"/>
      <c r="E1264" s="46"/>
      <c r="F1264" s="46"/>
      <c r="G1264" s="46"/>
      <c r="H1264" s="46"/>
      <c r="I1264" s="46"/>
      <c r="J1264" s="46"/>
      <c r="K1264" s="46"/>
      <c r="L1264" s="46"/>
      <c r="M1264" s="46"/>
      <c r="N1264" s="46"/>
      <c r="O1264" s="46"/>
      <c r="P1264" s="46"/>
      <c r="Q1264" s="46"/>
      <c r="R1264" s="46"/>
      <c r="S1264" s="46"/>
      <c r="T1264" s="46"/>
      <c r="U1264" s="46"/>
      <c r="V1264" s="46"/>
      <c r="W1264" s="46"/>
      <c r="X1264" s="11" t="str">
        <f>IF(COUNTBLANK(B1264:W1264)&gt;0,"NA",'batch classification'!J1270)</f>
        <v>NA</v>
      </c>
    </row>
    <row r="1265" spans="1:24" x14ac:dyDescent="0.25">
      <c r="A1265" s="45"/>
      <c r="B1265" s="46"/>
      <c r="C1265" s="46"/>
      <c r="D1265" s="46"/>
      <c r="E1265" s="46"/>
      <c r="F1265" s="46"/>
      <c r="G1265" s="46"/>
      <c r="H1265" s="46"/>
      <c r="I1265" s="46"/>
      <c r="J1265" s="46"/>
      <c r="K1265" s="46"/>
      <c r="L1265" s="46"/>
      <c r="M1265" s="46"/>
      <c r="N1265" s="46"/>
      <c r="O1265" s="46"/>
      <c r="P1265" s="46"/>
      <c r="Q1265" s="46"/>
      <c r="R1265" s="46"/>
      <c r="S1265" s="46"/>
      <c r="T1265" s="46"/>
      <c r="U1265" s="46"/>
      <c r="V1265" s="46"/>
      <c r="W1265" s="46"/>
      <c r="X1265" s="11" t="str">
        <f>IF(COUNTBLANK(B1265:W1265)&gt;0,"NA",'batch classification'!J1271)</f>
        <v>NA</v>
      </c>
    </row>
    <row r="1266" spans="1:24" x14ac:dyDescent="0.25">
      <c r="A1266" s="45"/>
      <c r="B1266" s="46"/>
      <c r="C1266" s="46"/>
      <c r="D1266" s="46"/>
      <c r="E1266" s="46"/>
      <c r="F1266" s="46"/>
      <c r="G1266" s="46"/>
      <c r="H1266" s="46"/>
      <c r="I1266" s="46"/>
      <c r="J1266" s="46"/>
      <c r="K1266" s="46"/>
      <c r="L1266" s="46"/>
      <c r="M1266" s="46"/>
      <c r="N1266" s="46"/>
      <c r="O1266" s="46"/>
      <c r="P1266" s="46"/>
      <c r="Q1266" s="46"/>
      <c r="R1266" s="46"/>
      <c r="S1266" s="46"/>
      <c r="T1266" s="46"/>
      <c r="U1266" s="46"/>
      <c r="V1266" s="46"/>
      <c r="W1266" s="46"/>
      <c r="X1266" s="11" t="str">
        <f>IF(COUNTBLANK(B1266:W1266)&gt;0,"NA",'batch classification'!J1272)</f>
        <v>NA</v>
      </c>
    </row>
    <row r="1267" spans="1:24" x14ac:dyDescent="0.25">
      <c r="A1267" s="45"/>
      <c r="B1267" s="46"/>
      <c r="C1267" s="46"/>
      <c r="D1267" s="46"/>
      <c r="E1267" s="46"/>
      <c r="F1267" s="46"/>
      <c r="G1267" s="46"/>
      <c r="H1267" s="46"/>
      <c r="I1267" s="46"/>
      <c r="J1267" s="46"/>
      <c r="K1267" s="46"/>
      <c r="L1267" s="46"/>
      <c r="M1267" s="46"/>
      <c r="N1267" s="46"/>
      <c r="O1267" s="46"/>
      <c r="P1267" s="46"/>
      <c r="Q1267" s="46"/>
      <c r="R1267" s="46"/>
      <c r="S1267" s="46"/>
      <c r="T1267" s="46"/>
      <c r="U1267" s="46"/>
      <c r="V1267" s="46"/>
      <c r="W1267" s="46"/>
      <c r="X1267" s="11" t="str">
        <f>IF(COUNTBLANK(B1267:W1267)&gt;0,"NA",'batch classification'!J1273)</f>
        <v>NA</v>
      </c>
    </row>
    <row r="1268" spans="1:24" x14ac:dyDescent="0.25">
      <c r="A1268" s="45"/>
      <c r="B1268" s="46"/>
      <c r="C1268" s="46"/>
      <c r="D1268" s="46"/>
      <c r="E1268" s="46"/>
      <c r="F1268" s="46"/>
      <c r="G1268" s="46"/>
      <c r="H1268" s="46"/>
      <c r="I1268" s="46"/>
      <c r="J1268" s="46"/>
      <c r="K1268" s="46"/>
      <c r="L1268" s="46"/>
      <c r="M1268" s="46"/>
      <c r="N1268" s="46"/>
      <c r="O1268" s="46"/>
      <c r="P1268" s="46"/>
      <c r="Q1268" s="46"/>
      <c r="R1268" s="46"/>
      <c r="S1268" s="46"/>
      <c r="T1268" s="46"/>
      <c r="U1268" s="46"/>
      <c r="V1268" s="46"/>
      <c r="W1268" s="46"/>
      <c r="X1268" s="11" t="str">
        <f>IF(COUNTBLANK(B1268:W1268)&gt;0,"NA",'batch classification'!J1274)</f>
        <v>NA</v>
      </c>
    </row>
    <row r="1269" spans="1:24" x14ac:dyDescent="0.25">
      <c r="A1269" s="45"/>
      <c r="B1269" s="46"/>
      <c r="C1269" s="46"/>
      <c r="D1269" s="46"/>
      <c r="E1269" s="46"/>
      <c r="F1269" s="46"/>
      <c r="G1269" s="46"/>
      <c r="H1269" s="46"/>
      <c r="I1269" s="46"/>
      <c r="J1269" s="46"/>
      <c r="K1269" s="46"/>
      <c r="L1269" s="46"/>
      <c r="M1269" s="46"/>
      <c r="N1269" s="46"/>
      <c r="O1269" s="46"/>
      <c r="P1269" s="46"/>
      <c r="Q1269" s="46"/>
      <c r="R1269" s="46"/>
      <c r="S1269" s="46"/>
      <c r="T1269" s="46"/>
      <c r="U1269" s="46"/>
      <c r="V1269" s="46"/>
      <c r="W1269" s="46"/>
      <c r="X1269" s="11" t="str">
        <f>IF(COUNTBLANK(B1269:W1269)&gt;0,"NA",'batch classification'!J1275)</f>
        <v>NA</v>
      </c>
    </row>
    <row r="1270" spans="1:24" x14ac:dyDescent="0.25">
      <c r="A1270" s="45"/>
      <c r="B1270" s="46"/>
      <c r="C1270" s="46"/>
      <c r="D1270" s="46"/>
      <c r="E1270" s="46"/>
      <c r="F1270" s="46"/>
      <c r="G1270" s="46"/>
      <c r="H1270" s="46"/>
      <c r="I1270" s="46"/>
      <c r="J1270" s="46"/>
      <c r="K1270" s="46"/>
      <c r="L1270" s="46"/>
      <c r="M1270" s="46"/>
      <c r="N1270" s="46"/>
      <c r="O1270" s="46"/>
      <c r="P1270" s="46"/>
      <c r="Q1270" s="46"/>
      <c r="R1270" s="46"/>
      <c r="S1270" s="46"/>
      <c r="T1270" s="46"/>
      <c r="U1270" s="46"/>
      <c r="V1270" s="46"/>
      <c r="W1270" s="46"/>
      <c r="X1270" s="11" t="str">
        <f>IF(COUNTBLANK(B1270:W1270)&gt;0,"NA",'batch classification'!J1276)</f>
        <v>NA</v>
      </c>
    </row>
    <row r="1271" spans="1:24" x14ac:dyDescent="0.25">
      <c r="A1271" s="45"/>
      <c r="B1271" s="46"/>
      <c r="C1271" s="46"/>
      <c r="D1271" s="46"/>
      <c r="E1271" s="46"/>
      <c r="F1271" s="46"/>
      <c r="G1271" s="46"/>
      <c r="H1271" s="46"/>
      <c r="I1271" s="46"/>
      <c r="J1271" s="46"/>
      <c r="K1271" s="46"/>
      <c r="L1271" s="46"/>
      <c r="M1271" s="46"/>
      <c r="N1271" s="46"/>
      <c r="O1271" s="46"/>
      <c r="P1271" s="46"/>
      <c r="Q1271" s="46"/>
      <c r="R1271" s="46"/>
      <c r="S1271" s="46"/>
      <c r="T1271" s="46"/>
      <c r="U1271" s="46"/>
      <c r="V1271" s="46"/>
      <c r="W1271" s="46"/>
      <c r="X1271" s="11" t="str">
        <f>IF(COUNTBLANK(B1271:W1271)&gt;0,"NA",'batch classification'!J1277)</f>
        <v>NA</v>
      </c>
    </row>
    <row r="1272" spans="1:24" x14ac:dyDescent="0.25">
      <c r="A1272" s="45"/>
      <c r="B1272" s="46"/>
      <c r="C1272" s="46"/>
      <c r="D1272" s="46"/>
      <c r="E1272" s="46"/>
      <c r="F1272" s="46"/>
      <c r="G1272" s="46"/>
      <c r="H1272" s="46"/>
      <c r="I1272" s="46"/>
      <c r="J1272" s="46"/>
      <c r="K1272" s="46"/>
      <c r="L1272" s="46"/>
      <c r="M1272" s="46"/>
      <c r="N1272" s="46"/>
      <c r="O1272" s="46"/>
      <c r="P1272" s="46"/>
      <c r="Q1272" s="46"/>
      <c r="R1272" s="46"/>
      <c r="S1272" s="46"/>
      <c r="T1272" s="46"/>
      <c r="U1272" s="46"/>
      <c r="V1272" s="46"/>
      <c r="W1272" s="46"/>
      <c r="X1272" s="11" t="str">
        <f>IF(COUNTBLANK(B1272:W1272)&gt;0,"NA",'batch classification'!J1278)</f>
        <v>NA</v>
      </c>
    </row>
    <row r="1273" spans="1:24" x14ac:dyDescent="0.25">
      <c r="A1273" s="45"/>
      <c r="B1273" s="46"/>
      <c r="C1273" s="46"/>
      <c r="D1273" s="46"/>
      <c r="E1273" s="46"/>
      <c r="F1273" s="46"/>
      <c r="G1273" s="46"/>
      <c r="H1273" s="46"/>
      <c r="I1273" s="46"/>
      <c r="J1273" s="46"/>
      <c r="K1273" s="46"/>
      <c r="L1273" s="46"/>
      <c r="M1273" s="46"/>
      <c r="N1273" s="46"/>
      <c r="O1273" s="46"/>
      <c r="P1273" s="46"/>
      <c r="Q1273" s="46"/>
      <c r="R1273" s="46"/>
      <c r="S1273" s="46"/>
      <c r="T1273" s="46"/>
      <c r="U1273" s="46"/>
      <c r="V1273" s="46"/>
      <c r="W1273" s="46"/>
      <c r="X1273" s="11" t="str">
        <f>IF(COUNTBLANK(B1273:W1273)&gt;0,"NA",'batch classification'!J1279)</f>
        <v>NA</v>
      </c>
    </row>
    <row r="1274" spans="1:24" x14ac:dyDescent="0.25">
      <c r="A1274" s="45"/>
      <c r="B1274" s="46"/>
      <c r="C1274" s="46"/>
      <c r="D1274" s="46"/>
      <c r="E1274" s="46"/>
      <c r="F1274" s="46"/>
      <c r="G1274" s="46"/>
      <c r="H1274" s="46"/>
      <c r="I1274" s="46"/>
      <c r="J1274" s="46"/>
      <c r="K1274" s="46"/>
      <c r="L1274" s="46"/>
      <c r="M1274" s="46"/>
      <c r="N1274" s="46"/>
      <c r="O1274" s="46"/>
      <c r="P1274" s="46"/>
      <c r="Q1274" s="46"/>
      <c r="R1274" s="46"/>
      <c r="S1274" s="46"/>
      <c r="T1274" s="46"/>
      <c r="U1274" s="46"/>
      <c r="V1274" s="46"/>
      <c r="W1274" s="46"/>
      <c r="X1274" s="11" t="str">
        <f>IF(COUNTBLANK(B1274:W1274)&gt;0,"NA",'batch classification'!J1280)</f>
        <v>NA</v>
      </c>
    </row>
    <row r="1275" spans="1:24" x14ac:dyDescent="0.25">
      <c r="A1275" s="45"/>
      <c r="B1275" s="46"/>
      <c r="C1275" s="46"/>
      <c r="D1275" s="46"/>
      <c r="E1275" s="46"/>
      <c r="F1275" s="46"/>
      <c r="G1275" s="46"/>
      <c r="H1275" s="46"/>
      <c r="I1275" s="46"/>
      <c r="J1275" s="46"/>
      <c r="K1275" s="46"/>
      <c r="L1275" s="46"/>
      <c r="M1275" s="46"/>
      <c r="N1275" s="46"/>
      <c r="O1275" s="46"/>
      <c r="P1275" s="46"/>
      <c r="Q1275" s="46"/>
      <c r="R1275" s="46"/>
      <c r="S1275" s="46"/>
      <c r="T1275" s="46"/>
      <c r="U1275" s="46"/>
      <c r="V1275" s="46"/>
      <c r="W1275" s="46"/>
      <c r="X1275" s="11" t="str">
        <f>IF(COUNTBLANK(B1275:W1275)&gt;0,"NA",'batch classification'!J1281)</f>
        <v>NA</v>
      </c>
    </row>
    <row r="1276" spans="1:24" x14ac:dyDescent="0.25">
      <c r="A1276" s="45"/>
      <c r="B1276" s="46"/>
      <c r="C1276" s="46"/>
      <c r="D1276" s="46"/>
      <c r="E1276" s="46"/>
      <c r="F1276" s="46"/>
      <c r="G1276" s="46"/>
      <c r="H1276" s="46"/>
      <c r="I1276" s="46"/>
      <c r="J1276" s="46"/>
      <c r="K1276" s="46"/>
      <c r="L1276" s="46"/>
      <c r="M1276" s="46"/>
      <c r="N1276" s="46"/>
      <c r="O1276" s="46"/>
      <c r="P1276" s="46"/>
      <c r="Q1276" s="46"/>
      <c r="R1276" s="46"/>
      <c r="S1276" s="46"/>
      <c r="T1276" s="46"/>
      <c r="U1276" s="46"/>
      <c r="V1276" s="46"/>
      <c r="W1276" s="46"/>
      <c r="X1276" s="11" t="str">
        <f>IF(COUNTBLANK(B1276:W1276)&gt;0,"NA",'batch classification'!J1282)</f>
        <v>NA</v>
      </c>
    </row>
    <row r="1277" spans="1:24" x14ac:dyDescent="0.25">
      <c r="A1277" s="45"/>
      <c r="B1277" s="46"/>
      <c r="C1277" s="46"/>
      <c r="D1277" s="46"/>
      <c r="E1277" s="46"/>
      <c r="F1277" s="46"/>
      <c r="G1277" s="46"/>
      <c r="H1277" s="46"/>
      <c r="I1277" s="46"/>
      <c r="J1277" s="46"/>
      <c r="K1277" s="46"/>
      <c r="L1277" s="46"/>
      <c r="M1277" s="46"/>
      <c r="N1277" s="46"/>
      <c r="O1277" s="46"/>
      <c r="P1277" s="46"/>
      <c r="Q1277" s="46"/>
      <c r="R1277" s="46"/>
      <c r="S1277" s="46"/>
      <c r="T1277" s="46"/>
      <c r="U1277" s="46"/>
      <c r="V1277" s="46"/>
      <c r="W1277" s="46"/>
      <c r="X1277" s="11" t="str">
        <f>IF(COUNTBLANK(B1277:W1277)&gt;0,"NA",'batch classification'!J1283)</f>
        <v>NA</v>
      </c>
    </row>
    <row r="1278" spans="1:24" x14ac:dyDescent="0.25">
      <c r="A1278" s="45"/>
      <c r="B1278" s="46"/>
      <c r="C1278" s="46"/>
      <c r="D1278" s="46"/>
      <c r="E1278" s="46"/>
      <c r="F1278" s="46"/>
      <c r="G1278" s="46"/>
      <c r="H1278" s="46"/>
      <c r="I1278" s="46"/>
      <c r="J1278" s="46"/>
      <c r="K1278" s="46"/>
      <c r="L1278" s="46"/>
      <c r="M1278" s="46"/>
      <c r="N1278" s="46"/>
      <c r="O1278" s="46"/>
      <c r="P1278" s="46"/>
      <c r="Q1278" s="46"/>
      <c r="R1278" s="46"/>
      <c r="S1278" s="46"/>
      <c r="T1278" s="46"/>
      <c r="U1278" s="46"/>
      <c r="V1278" s="46"/>
      <c r="W1278" s="46"/>
      <c r="X1278" s="11" t="str">
        <f>IF(COUNTBLANK(B1278:W1278)&gt;0,"NA",'batch classification'!J1284)</f>
        <v>NA</v>
      </c>
    </row>
    <row r="1279" spans="1:24" x14ac:dyDescent="0.25">
      <c r="A1279" s="45"/>
      <c r="B1279" s="46"/>
      <c r="C1279" s="46"/>
      <c r="D1279" s="46"/>
      <c r="E1279" s="46"/>
      <c r="F1279" s="46"/>
      <c r="G1279" s="46"/>
      <c r="H1279" s="46"/>
      <c r="I1279" s="46"/>
      <c r="J1279" s="46"/>
      <c r="K1279" s="46"/>
      <c r="L1279" s="46"/>
      <c r="M1279" s="46"/>
      <c r="N1279" s="46"/>
      <c r="O1279" s="46"/>
      <c r="P1279" s="46"/>
      <c r="Q1279" s="46"/>
      <c r="R1279" s="46"/>
      <c r="S1279" s="46"/>
      <c r="T1279" s="46"/>
      <c r="U1279" s="46"/>
      <c r="V1279" s="46"/>
      <c r="W1279" s="46"/>
      <c r="X1279" s="11" t="str">
        <f>IF(COUNTBLANK(B1279:W1279)&gt;0,"NA",'batch classification'!J1285)</f>
        <v>NA</v>
      </c>
    </row>
    <row r="1280" spans="1:24" x14ac:dyDescent="0.25">
      <c r="A1280" s="45"/>
      <c r="B1280" s="46"/>
      <c r="C1280" s="46"/>
      <c r="D1280" s="46"/>
      <c r="E1280" s="46"/>
      <c r="F1280" s="46"/>
      <c r="G1280" s="46"/>
      <c r="H1280" s="46"/>
      <c r="I1280" s="46"/>
      <c r="J1280" s="46"/>
      <c r="K1280" s="46"/>
      <c r="L1280" s="46"/>
      <c r="M1280" s="46"/>
      <c r="N1280" s="46"/>
      <c r="O1280" s="46"/>
      <c r="P1280" s="46"/>
      <c r="Q1280" s="46"/>
      <c r="R1280" s="46"/>
      <c r="S1280" s="46"/>
      <c r="T1280" s="46"/>
      <c r="U1280" s="46"/>
      <c r="V1280" s="46"/>
      <c r="W1280" s="46"/>
      <c r="X1280" s="11" t="str">
        <f>IF(COUNTBLANK(B1280:W1280)&gt;0,"NA",'batch classification'!J1286)</f>
        <v>NA</v>
      </c>
    </row>
    <row r="1281" spans="1:24" x14ac:dyDescent="0.25">
      <c r="A1281" s="45"/>
      <c r="B1281" s="46"/>
      <c r="C1281" s="46"/>
      <c r="D1281" s="46"/>
      <c r="E1281" s="46"/>
      <c r="F1281" s="46"/>
      <c r="G1281" s="46"/>
      <c r="H1281" s="46"/>
      <c r="I1281" s="46"/>
      <c r="J1281" s="46"/>
      <c r="K1281" s="46"/>
      <c r="L1281" s="46"/>
      <c r="M1281" s="46"/>
      <c r="N1281" s="46"/>
      <c r="O1281" s="46"/>
      <c r="P1281" s="46"/>
      <c r="Q1281" s="46"/>
      <c r="R1281" s="46"/>
      <c r="S1281" s="46"/>
      <c r="T1281" s="46"/>
      <c r="U1281" s="46"/>
      <c r="V1281" s="46"/>
      <c r="W1281" s="46"/>
      <c r="X1281" s="11" t="str">
        <f>IF(COUNTBLANK(B1281:W1281)&gt;0,"NA",'batch classification'!J1287)</f>
        <v>NA</v>
      </c>
    </row>
    <row r="1282" spans="1:24" x14ac:dyDescent="0.25">
      <c r="A1282" s="45"/>
      <c r="B1282" s="46"/>
      <c r="C1282" s="46"/>
      <c r="D1282" s="46"/>
      <c r="E1282" s="46"/>
      <c r="F1282" s="46"/>
      <c r="G1282" s="46"/>
      <c r="H1282" s="46"/>
      <c r="I1282" s="46"/>
      <c r="J1282" s="46"/>
      <c r="K1282" s="46"/>
      <c r="L1282" s="46"/>
      <c r="M1282" s="46"/>
      <c r="N1282" s="46"/>
      <c r="O1282" s="46"/>
      <c r="P1282" s="46"/>
      <c r="Q1282" s="46"/>
      <c r="R1282" s="46"/>
      <c r="S1282" s="46"/>
      <c r="T1282" s="46"/>
      <c r="U1282" s="46"/>
      <c r="V1282" s="46"/>
      <c r="W1282" s="46"/>
      <c r="X1282" s="11" t="str">
        <f>IF(COUNTBLANK(B1282:W1282)&gt;0,"NA",'batch classification'!J1288)</f>
        <v>NA</v>
      </c>
    </row>
    <row r="1283" spans="1:24" x14ac:dyDescent="0.25">
      <c r="A1283" s="45"/>
      <c r="B1283" s="46"/>
      <c r="C1283" s="46"/>
      <c r="D1283" s="46"/>
      <c r="E1283" s="46"/>
      <c r="F1283" s="46"/>
      <c r="G1283" s="46"/>
      <c r="H1283" s="46"/>
      <c r="I1283" s="46"/>
      <c r="J1283" s="46"/>
      <c r="K1283" s="46"/>
      <c r="L1283" s="46"/>
      <c r="M1283" s="46"/>
      <c r="N1283" s="46"/>
      <c r="O1283" s="46"/>
      <c r="P1283" s="46"/>
      <c r="Q1283" s="46"/>
      <c r="R1283" s="46"/>
      <c r="S1283" s="46"/>
      <c r="T1283" s="46"/>
      <c r="U1283" s="46"/>
      <c r="V1283" s="46"/>
      <c r="W1283" s="46"/>
      <c r="X1283" s="11" t="str">
        <f>IF(COUNTBLANK(B1283:W1283)&gt;0,"NA",'batch classification'!J1289)</f>
        <v>NA</v>
      </c>
    </row>
    <row r="1284" spans="1:24" x14ac:dyDescent="0.25">
      <c r="A1284" s="45"/>
      <c r="B1284" s="46"/>
      <c r="C1284" s="46"/>
      <c r="D1284" s="46"/>
      <c r="E1284" s="46"/>
      <c r="F1284" s="46"/>
      <c r="G1284" s="46"/>
      <c r="H1284" s="46"/>
      <c r="I1284" s="46"/>
      <c r="J1284" s="46"/>
      <c r="K1284" s="46"/>
      <c r="L1284" s="46"/>
      <c r="M1284" s="46"/>
      <c r="N1284" s="46"/>
      <c r="O1284" s="46"/>
      <c r="P1284" s="46"/>
      <c r="Q1284" s="46"/>
      <c r="R1284" s="46"/>
      <c r="S1284" s="46"/>
      <c r="T1284" s="46"/>
      <c r="U1284" s="46"/>
      <c r="V1284" s="46"/>
      <c r="W1284" s="46"/>
      <c r="X1284" s="11" t="str">
        <f>IF(COUNTBLANK(B1284:W1284)&gt;0,"NA",'batch classification'!J1290)</f>
        <v>NA</v>
      </c>
    </row>
    <row r="1285" spans="1:24" x14ac:dyDescent="0.25">
      <c r="A1285" s="45"/>
      <c r="B1285" s="46"/>
      <c r="C1285" s="46"/>
      <c r="D1285" s="46"/>
      <c r="E1285" s="46"/>
      <c r="F1285" s="46"/>
      <c r="G1285" s="46"/>
      <c r="H1285" s="46"/>
      <c r="I1285" s="46"/>
      <c r="J1285" s="46"/>
      <c r="K1285" s="46"/>
      <c r="L1285" s="46"/>
      <c r="M1285" s="46"/>
      <c r="N1285" s="46"/>
      <c r="O1285" s="46"/>
      <c r="P1285" s="46"/>
      <c r="Q1285" s="46"/>
      <c r="R1285" s="46"/>
      <c r="S1285" s="46"/>
      <c r="T1285" s="46"/>
      <c r="U1285" s="46"/>
      <c r="V1285" s="46"/>
      <c r="W1285" s="46"/>
      <c r="X1285" s="11" t="str">
        <f>IF(COUNTBLANK(B1285:W1285)&gt;0,"NA",'batch classification'!J1291)</f>
        <v>NA</v>
      </c>
    </row>
    <row r="1286" spans="1:24" x14ac:dyDescent="0.25">
      <c r="A1286" s="45"/>
      <c r="B1286" s="46"/>
      <c r="C1286" s="46"/>
      <c r="D1286" s="46"/>
      <c r="E1286" s="46"/>
      <c r="F1286" s="46"/>
      <c r="G1286" s="46"/>
      <c r="H1286" s="46"/>
      <c r="I1286" s="46"/>
      <c r="J1286" s="46"/>
      <c r="K1286" s="46"/>
      <c r="L1286" s="46"/>
      <c r="M1286" s="46"/>
      <c r="N1286" s="46"/>
      <c r="O1286" s="46"/>
      <c r="P1286" s="46"/>
      <c r="Q1286" s="46"/>
      <c r="R1286" s="46"/>
      <c r="S1286" s="46"/>
      <c r="T1286" s="46"/>
      <c r="U1286" s="46"/>
      <c r="V1286" s="46"/>
      <c r="W1286" s="46"/>
      <c r="X1286" s="11" t="str">
        <f>IF(COUNTBLANK(B1286:W1286)&gt;0,"NA",'batch classification'!J1292)</f>
        <v>NA</v>
      </c>
    </row>
    <row r="1287" spans="1:24" x14ac:dyDescent="0.25">
      <c r="A1287" s="45"/>
      <c r="B1287" s="46"/>
      <c r="C1287" s="46"/>
      <c r="D1287" s="46"/>
      <c r="E1287" s="46"/>
      <c r="F1287" s="46"/>
      <c r="G1287" s="46"/>
      <c r="H1287" s="46"/>
      <c r="I1287" s="46"/>
      <c r="J1287" s="46"/>
      <c r="K1287" s="46"/>
      <c r="L1287" s="46"/>
      <c r="M1287" s="46"/>
      <c r="N1287" s="46"/>
      <c r="O1287" s="46"/>
      <c r="P1287" s="46"/>
      <c r="Q1287" s="46"/>
      <c r="R1287" s="46"/>
      <c r="S1287" s="46"/>
      <c r="T1287" s="46"/>
      <c r="U1287" s="46"/>
      <c r="V1287" s="46"/>
      <c r="W1287" s="46"/>
      <c r="X1287" s="11" t="str">
        <f>IF(COUNTBLANK(B1287:W1287)&gt;0,"NA",'batch classification'!J1293)</f>
        <v>NA</v>
      </c>
    </row>
    <row r="1288" spans="1:24" x14ac:dyDescent="0.25">
      <c r="A1288" s="45"/>
      <c r="B1288" s="46"/>
      <c r="C1288" s="46"/>
      <c r="D1288" s="46"/>
      <c r="E1288" s="46"/>
      <c r="F1288" s="46"/>
      <c r="G1288" s="46"/>
      <c r="H1288" s="46"/>
      <c r="I1288" s="46"/>
      <c r="J1288" s="46"/>
      <c r="K1288" s="46"/>
      <c r="L1288" s="46"/>
      <c r="M1288" s="46"/>
      <c r="N1288" s="46"/>
      <c r="O1288" s="46"/>
      <c r="P1288" s="46"/>
      <c r="Q1288" s="46"/>
      <c r="R1288" s="46"/>
      <c r="S1288" s="46"/>
      <c r="T1288" s="46"/>
      <c r="U1288" s="46"/>
      <c r="V1288" s="46"/>
      <c r="W1288" s="46"/>
      <c r="X1288" s="11" t="str">
        <f>IF(COUNTBLANK(B1288:W1288)&gt;0,"NA",'batch classification'!J1294)</f>
        <v>NA</v>
      </c>
    </row>
    <row r="1289" spans="1:24" x14ac:dyDescent="0.25">
      <c r="A1289" s="45"/>
      <c r="B1289" s="46"/>
      <c r="C1289" s="46"/>
      <c r="D1289" s="46"/>
      <c r="E1289" s="46"/>
      <c r="F1289" s="46"/>
      <c r="G1289" s="46"/>
      <c r="H1289" s="46"/>
      <c r="I1289" s="46"/>
      <c r="J1289" s="46"/>
      <c r="K1289" s="46"/>
      <c r="L1289" s="46"/>
      <c r="M1289" s="46"/>
      <c r="N1289" s="46"/>
      <c r="O1289" s="46"/>
      <c r="P1289" s="46"/>
      <c r="Q1289" s="46"/>
      <c r="R1289" s="46"/>
      <c r="S1289" s="46"/>
      <c r="T1289" s="46"/>
      <c r="U1289" s="46"/>
      <c r="V1289" s="46"/>
      <c r="W1289" s="46"/>
      <c r="X1289" s="11" t="str">
        <f>IF(COUNTBLANK(B1289:W1289)&gt;0,"NA",'batch classification'!J1295)</f>
        <v>NA</v>
      </c>
    </row>
    <row r="1290" spans="1:24" x14ac:dyDescent="0.25">
      <c r="A1290" s="45"/>
      <c r="B1290" s="46"/>
      <c r="C1290" s="46"/>
      <c r="D1290" s="46"/>
      <c r="E1290" s="46"/>
      <c r="F1290" s="46"/>
      <c r="G1290" s="46"/>
      <c r="H1290" s="46"/>
      <c r="I1290" s="46"/>
      <c r="J1290" s="46"/>
      <c r="K1290" s="46"/>
      <c r="L1290" s="46"/>
      <c r="M1290" s="46"/>
      <c r="N1290" s="46"/>
      <c r="O1290" s="46"/>
      <c r="P1290" s="46"/>
      <c r="Q1290" s="46"/>
      <c r="R1290" s="46"/>
      <c r="S1290" s="46"/>
      <c r="T1290" s="46"/>
      <c r="U1290" s="46"/>
      <c r="V1290" s="46"/>
      <c r="W1290" s="46"/>
      <c r="X1290" s="11" t="str">
        <f>IF(COUNTBLANK(B1290:W1290)&gt;0,"NA",'batch classification'!J1296)</f>
        <v>NA</v>
      </c>
    </row>
    <row r="1291" spans="1:24" x14ac:dyDescent="0.25">
      <c r="A1291" s="45"/>
      <c r="B1291" s="46"/>
      <c r="C1291" s="46"/>
      <c r="D1291" s="46"/>
      <c r="E1291" s="46"/>
      <c r="F1291" s="46"/>
      <c r="G1291" s="46"/>
      <c r="H1291" s="46"/>
      <c r="I1291" s="46"/>
      <c r="J1291" s="46"/>
      <c r="K1291" s="46"/>
      <c r="L1291" s="46"/>
      <c r="M1291" s="46"/>
      <c r="N1291" s="46"/>
      <c r="O1291" s="46"/>
      <c r="P1291" s="46"/>
      <c r="Q1291" s="46"/>
      <c r="R1291" s="46"/>
      <c r="S1291" s="46"/>
      <c r="T1291" s="46"/>
      <c r="U1291" s="46"/>
      <c r="V1291" s="46"/>
      <c r="W1291" s="46"/>
      <c r="X1291" s="11" t="str">
        <f>IF(COUNTBLANK(B1291:W1291)&gt;0,"NA",'batch classification'!J1297)</f>
        <v>NA</v>
      </c>
    </row>
    <row r="1292" spans="1:24" x14ac:dyDescent="0.25">
      <c r="A1292" s="45"/>
      <c r="B1292" s="46"/>
      <c r="C1292" s="46"/>
      <c r="D1292" s="46"/>
      <c r="E1292" s="46"/>
      <c r="F1292" s="46"/>
      <c r="G1292" s="46"/>
      <c r="H1292" s="46"/>
      <c r="I1292" s="46"/>
      <c r="J1292" s="46"/>
      <c r="K1292" s="46"/>
      <c r="L1292" s="46"/>
      <c r="M1292" s="46"/>
      <c r="N1292" s="46"/>
      <c r="O1292" s="46"/>
      <c r="P1292" s="46"/>
      <c r="Q1292" s="46"/>
      <c r="R1292" s="46"/>
      <c r="S1292" s="46"/>
      <c r="T1292" s="46"/>
      <c r="U1292" s="46"/>
      <c r="V1292" s="46"/>
      <c r="W1292" s="46"/>
      <c r="X1292" s="11" t="str">
        <f>IF(COUNTBLANK(B1292:W1292)&gt;0,"NA",'batch classification'!J1298)</f>
        <v>NA</v>
      </c>
    </row>
    <row r="1293" spans="1:24" x14ac:dyDescent="0.25">
      <c r="A1293" s="45"/>
      <c r="B1293" s="46"/>
      <c r="C1293" s="46"/>
      <c r="D1293" s="46"/>
      <c r="E1293" s="46"/>
      <c r="F1293" s="46"/>
      <c r="G1293" s="46"/>
      <c r="H1293" s="46"/>
      <c r="I1293" s="46"/>
      <c r="J1293" s="46"/>
      <c r="K1293" s="46"/>
      <c r="L1293" s="46"/>
      <c r="M1293" s="46"/>
      <c r="N1293" s="46"/>
      <c r="O1293" s="46"/>
      <c r="P1293" s="46"/>
      <c r="Q1293" s="46"/>
      <c r="R1293" s="46"/>
      <c r="S1293" s="46"/>
      <c r="T1293" s="46"/>
      <c r="U1293" s="46"/>
      <c r="V1293" s="46"/>
      <c r="W1293" s="46"/>
      <c r="X1293" s="11" t="str">
        <f>IF(COUNTBLANK(B1293:W1293)&gt;0,"NA",'batch classification'!J1299)</f>
        <v>NA</v>
      </c>
    </row>
    <row r="1294" spans="1:24" x14ac:dyDescent="0.25">
      <c r="A1294" s="45"/>
      <c r="B1294" s="46"/>
      <c r="C1294" s="46"/>
      <c r="D1294" s="46"/>
      <c r="E1294" s="46"/>
      <c r="F1294" s="46"/>
      <c r="G1294" s="46"/>
      <c r="H1294" s="46"/>
      <c r="I1294" s="46"/>
      <c r="J1294" s="46"/>
      <c r="K1294" s="46"/>
      <c r="L1294" s="46"/>
      <c r="M1294" s="46"/>
      <c r="N1294" s="46"/>
      <c r="O1294" s="46"/>
      <c r="P1294" s="46"/>
      <c r="Q1294" s="46"/>
      <c r="R1294" s="46"/>
      <c r="S1294" s="46"/>
      <c r="T1294" s="46"/>
      <c r="U1294" s="46"/>
      <c r="V1294" s="46"/>
      <c r="W1294" s="46"/>
      <c r="X1294" s="11" t="str">
        <f>IF(COUNTBLANK(B1294:W1294)&gt;0,"NA",'batch classification'!J1300)</f>
        <v>NA</v>
      </c>
    </row>
    <row r="1295" spans="1:24" x14ac:dyDescent="0.25">
      <c r="A1295" s="45"/>
      <c r="B1295" s="46"/>
      <c r="C1295" s="46"/>
      <c r="D1295" s="46"/>
      <c r="E1295" s="46"/>
      <c r="F1295" s="46"/>
      <c r="G1295" s="46"/>
      <c r="H1295" s="46"/>
      <c r="I1295" s="46"/>
      <c r="J1295" s="46"/>
      <c r="K1295" s="46"/>
      <c r="L1295" s="46"/>
      <c r="M1295" s="46"/>
      <c r="N1295" s="46"/>
      <c r="O1295" s="46"/>
      <c r="P1295" s="46"/>
      <c r="Q1295" s="46"/>
      <c r="R1295" s="46"/>
      <c r="S1295" s="46"/>
      <c r="T1295" s="46"/>
      <c r="U1295" s="46"/>
      <c r="V1295" s="46"/>
      <c r="W1295" s="46"/>
      <c r="X1295" s="11" t="str">
        <f>IF(COUNTBLANK(B1295:W1295)&gt;0,"NA",'batch classification'!J1301)</f>
        <v>NA</v>
      </c>
    </row>
    <row r="1296" spans="1:24" x14ac:dyDescent="0.25">
      <c r="A1296" s="45"/>
      <c r="B1296" s="46"/>
      <c r="C1296" s="46"/>
      <c r="D1296" s="46"/>
      <c r="E1296" s="46"/>
      <c r="F1296" s="46"/>
      <c r="G1296" s="46"/>
      <c r="H1296" s="46"/>
      <c r="I1296" s="46"/>
      <c r="J1296" s="46"/>
      <c r="K1296" s="46"/>
      <c r="L1296" s="46"/>
      <c r="M1296" s="46"/>
      <c r="N1296" s="46"/>
      <c r="O1296" s="46"/>
      <c r="P1296" s="46"/>
      <c r="Q1296" s="46"/>
      <c r="R1296" s="46"/>
      <c r="S1296" s="46"/>
      <c r="T1296" s="46"/>
      <c r="U1296" s="46"/>
      <c r="V1296" s="46"/>
      <c r="W1296" s="46"/>
      <c r="X1296" s="11" t="str">
        <f>IF(COUNTBLANK(B1296:W1296)&gt;0,"NA",'batch classification'!J1302)</f>
        <v>NA</v>
      </c>
    </row>
    <row r="1297" spans="1:24" x14ac:dyDescent="0.25">
      <c r="A1297" s="45"/>
      <c r="B1297" s="46"/>
      <c r="C1297" s="46"/>
      <c r="D1297" s="46"/>
      <c r="E1297" s="46"/>
      <c r="F1297" s="46"/>
      <c r="G1297" s="46"/>
      <c r="H1297" s="46"/>
      <c r="I1297" s="46"/>
      <c r="J1297" s="46"/>
      <c r="K1297" s="46"/>
      <c r="L1297" s="46"/>
      <c r="M1297" s="46"/>
      <c r="N1297" s="46"/>
      <c r="O1297" s="46"/>
      <c r="P1297" s="46"/>
      <c r="Q1297" s="46"/>
      <c r="R1297" s="46"/>
      <c r="S1297" s="46"/>
      <c r="T1297" s="46"/>
      <c r="U1297" s="46"/>
      <c r="V1297" s="46"/>
      <c r="W1297" s="46"/>
      <c r="X1297" s="11" t="str">
        <f>IF(COUNTBLANK(B1297:W1297)&gt;0,"NA",'batch classification'!J1303)</f>
        <v>NA</v>
      </c>
    </row>
    <row r="1298" spans="1:24" x14ac:dyDescent="0.25">
      <c r="A1298" s="45"/>
      <c r="B1298" s="46"/>
      <c r="C1298" s="46"/>
      <c r="D1298" s="46"/>
      <c r="E1298" s="46"/>
      <c r="F1298" s="46"/>
      <c r="G1298" s="46"/>
      <c r="H1298" s="46"/>
      <c r="I1298" s="46"/>
      <c r="J1298" s="46"/>
      <c r="K1298" s="46"/>
      <c r="L1298" s="46"/>
      <c r="M1298" s="46"/>
      <c r="N1298" s="46"/>
      <c r="O1298" s="46"/>
      <c r="P1298" s="46"/>
      <c r="Q1298" s="46"/>
      <c r="R1298" s="46"/>
      <c r="S1298" s="46"/>
      <c r="T1298" s="46"/>
      <c r="U1298" s="46"/>
      <c r="V1298" s="46"/>
      <c r="W1298" s="46"/>
      <c r="X1298" s="11" t="str">
        <f>IF(COUNTBLANK(B1298:W1298)&gt;0,"NA",'batch classification'!J1304)</f>
        <v>NA</v>
      </c>
    </row>
    <row r="1299" spans="1:24" x14ac:dyDescent="0.25">
      <c r="A1299" s="45"/>
      <c r="B1299" s="46"/>
      <c r="C1299" s="46"/>
      <c r="D1299" s="46"/>
      <c r="E1299" s="46"/>
      <c r="F1299" s="46"/>
      <c r="G1299" s="46"/>
      <c r="H1299" s="46"/>
      <c r="I1299" s="46"/>
      <c r="J1299" s="46"/>
      <c r="K1299" s="46"/>
      <c r="L1299" s="46"/>
      <c r="M1299" s="46"/>
      <c r="N1299" s="46"/>
      <c r="O1299" s="46"/>
      <c r="P1299" s="46"/>
      <c r="Q1299" s="46"/>
      <c r="R1299" s="46"/>
      <c r="S1299" s="46"/>
      <c r="T1299" s="46"/>
      <c r="U1299" s="46"/>
      <c r="V1299" s="46"/>
      <c r="W1299" s="46"/>
      <c r="X1299" s="11" t="str">
        <f>IF(COUNTBLANK(B1299:W1299)&gt;0,"NA",'batch classification'!J1305)</f>
        <v>NA</v>
      </c>
    </row>
    <row r="1300" spans="1:24" x14ac:dyDescent="0.25">
      <c r="A1300" s="45"/>
      <c r="B1300" s="46"/>
      <c r="C1300" s="46"/>
      <c r="D1300" s="46"/>
      <c r="E1300" s="46"/>
      <c r="F1300" s="46"/>
      <c r="G1300" s="46"/>
      <c r="H1300" s="46"/>
      <c r="I1300" s="46"/>
      <c r="J1300" s="46"/>
      <c r="K1300" s="46"/>
      <c r="L1300" s="46"/>
      <c r="M1300" s="46"/>
      <c r="N1300" s="46"/>
      <c r="O1300" s="46"/>
      <c r="P1300" s="46"/>
      <c r="Q1300" s="46"/>
      <c r="R1300" s="46"/>
      <c r="S1300" s="46"/>
      <c r="T1300" s="46"/>
      <c r="U1300" s="46"/>
      <c r="V1300" s="46"/>
      <c r="W1300" s="46"/>
      <c r="X1300" s="11" t="str">
        <f>IF(COUNTBLANK(B1300:W1300)&gt;0,"NA",'batch classification'!J1306)</f>
        <v>NA</v>
      </c>
    </row>
    <row r="1301" spans="1:24" x14ac:dyDescent="0.25">
      <c r="A1301" s="45"/>
      <c r="B1301" s="46"/>
      <c r="C1301" s="46"/>
      <c r="D1301" s="46"/>
      <c r="E1301" s="46"/>
      <c r="F1301" s="46"/>
      <c r="G1301" s="46"/>
      <c r="H1301" s="46"/>
      <c r="I1301" s="46"/>
      <c r="J1301" s="46"/>
      <c r="K1301" s="46"/>
      <c r="L1301" s="46"/>
      <c r="M1301" s="46"/>
      <c r="N1301" s="46"/>
      <c r="O1301" s="46"/>
      <c r="P1301" s="46"/>
      <c r="Q1301" s="46"/>
      <c r="R1301" s="46"/>
      <c r="S1301" s="46"/>
      <c r="T1301" s="46"/>
      <c r="U1301" s="46"/>
      <c r="V1301" s="46"/>
      <c r="W1301" s="46"/>
      <c r="X1301" s="11" t="str">
        <f>IF(COUNTBLANK(B1301:W1301)&gt;0,"NA",'batch classification'!J1307)</f>
        <v>NA</v>
      </c>
    </row>
    <row r="1302" spans="1:24" x14ac:dyDescent="0.25">
      <c r="A1302" s="45"/>
      <c r="B1302" s="46"/>
      <c r="C1302" s="46"/>
      <c r="D1302" s="46"/>
      <c r="E1302" s="46"/>
      <c r="F1302" s="46"/>
      <c r="G1302" s="46"/>
      <c r="H1302" s="46"/>
      <c r="I1302" s="46"/>
      <c r="J1302" s="46"/>
      <c r="K1302" s="46"/>
      <c r="L1302" s="46"/>
      <c r="M1302" s="46"/>
      <c r="N1302" s="46"/>
      <c r="O1302" s="46"/>
      <c r="P1302" s="46"/>
      <c r="Q1302" s="46"/>
      <c r="R1302" s="46"/>
      <c r="S1302" s="46"/>
      <c r="T1302" s="46"/>
      <c r="U1302" s="46"/>
      <c r="V1302" s="46"/>
      <c r="W1302" s="46"/>
      <c r="X1302" s="11" t="str">
        <f>IF(COUNTBLANK(B1302:W1302)&gt;0,"NA",'batch classification'!J1308)</f>
        <v>NA</v>
      </c>
    </row>
    <row r="1303" spans="1:24" x14ac:dyDescent="0.25">
      <c r="A1303" s="45"/>
      <c r="B1303" s="46"/>
      <c r="C1303" s="46"/>
      <c r="D1303" s="46"/>
      <c r="E1303" s="46"/>
      <c r="F1303" s="46"/>
      <c r="G1303" s="46"/>
      <c r="H1303" s="46"/>
      <c r="I1303" s="46"/>
      <c r="J1303" s="46"/>
      <c r="K1303" s="46"/>
      <c r="L1303" s="46"/>
      <c r="M1303" s="46"/>
      <c r="N1303" s="46"/>
      <c r="O1303" s="46"/>
      <c r="P1303" s="46"/>
      <c r="Q1303" s="46"/>
      <c r="R1303" s="46"/>
      <c r="S1303" s="46"/>
      <c r="T1303" s="46"/>
      <c r="U1303" s="46"/>
      <c r="V1303" s="46"/>
      <c r="W1303" s="46"/>
      <c r="X1303" s="11" t="str">
        <f>IF(COUNTBLANK(B1303:W1303)&gt;0,"NA",'batch classification'!J1309)</f>
        <v>NA</v>
      </c>
    </row>
    <row r="1304" spans="1:24" x14ac:dyDescent="0.25">
      <c r="A1304" s="45"/>
      <c r="B1304" s="46"/>
      <c r="C1304" s="46"/>
      <c r="D1304" s="46"/>
      <c r="E1304" s="46"/>
      <c r="F1304" s="46"/>
      <c r="G1304" s="46"/>
      <c r="H1304" s="46"/>
      <c r="I1304" s="46"/>
      <c r="J1304" s="46"/>
      <c r="K1304" s="46"/>
      <c r="L1304" s="46"/>
      <c r="M1304" s="46"/>
      <c r="N1304" s="46"/>
      <c r="O1304" s="46"/>
      <c r="P1304" s="46"/>
      <c r="Q1304" s="46"/>
      <c r="R1304" s="46"/>
      <c r="S1304" s="46"/>
      <c r="T1304" s="46"/>
      <c r="U1304" s="46"/>
      <c r="V1304" s="46"/>
      <c r="W1304" s="46"/>
      <c r="X1304" s="11" t="str">
        <f>IF(COUNTBLANK(B1304:W1304)&gt;0,"NA",'batch classification'!J1310)</f>
        <v>NA</v>
      </c>
    </row>
    <row r="1305" spans="1:24" x14ac:dyDescent="0.25">
      <c r="A1305" s="45"/>
      <c r="B1305" s="46"/>
      <c r="C1305" s="46"/>
      <c r="D1305" s="46"/>
      <c r="E1305" s="46"/>
      <c r="F1305" s="46"/>
      <c r="G1305" s="46"/>
      <c r="H1305" s="46"/>
      <c r="I1305" s="46"/>
      <c r="J1305" s="46"/>
      <c r="K1305" s="46"/>
      <c r="L1305" s="46"/>
      <c r="M1305" s="46"/>
      <c r="N1305" s="46"/>
      <c r="O1305" s="46"/>
      <c r="P1305" s="46"/>
      <c r="Q1305" s="46"/>
      <c r="R1305" s="46"/>
      <c r="S1305" s="46"/>
      <c r="T1305" s="46"/>
      <c r="U1305" s="46"/>
      <c r="V1305" s="46"/>
      <c r="W1305" s="46"/>
      <c r="X1305" s="11" t="str">
        <f>IF(COUNTBLANK(B1305:W1305)&gt;0,"NA",'batch classification'!J1311)</f>
        <v>NA</v>
      </c>
    </row>
    <row r="1306" spans="1:24" x14ac:dyDescent="0.25">
      <c r="A1306" s="45"/>
      <c r="B1306" s="46"/>
      <c r="C1306" s="46"/>
      <c r="D1306" s="46"/>
      <c r="E1306" s="46"/>
      <c r="F1306" s="46"/>
      <c r="G1306" s="46"/>
      <c r="H1306" s="46"/>
      <c r="I1306" s="46"/>
      <c r="J1306" s="46"/>
      <c r="K1306" s="46"/>
      <c r="L1306" s="46"/>
      <c r="M1306" s="46"/>
      <c r="N1306" s="46"/>
      <c r="O1306" s="46"/>
      <c r="P1306" s="46"/>
      <c r="Q1306" s="46"/>
      <c r="R1306" s="46"/>
      <c r="S1306" s="46"/>
      <c r="T1306" s="46"/>
      <c r="U1306" s="46"/>
      <c r="V1306" s="46"/>
      <c r="W1306" s="46"/>
      <c r="X1306" s="11" t="str">
        <f>IF(COUNTBLANK(B1306:W1306)&gt;0,"NA",'batch classification'!J1312)</f>
        <v>NA</v>
      </c>
    </row>
    <row r="1307" spans="1:24" x14ac:dyDescent="0.25">
      <c r="A1307" s="45"/>
      <c r="B1307" s="46"/>
      <c r="C1307" s="46"/>
      <c r="D1307" s="46"/>
      <c r="E1307" s="46"/>
      <c r="F1307" s="46"/>
      <c r="G1307" s="46"/>
      <c r="H1307" s="46"/>
      <c r="I1307" s="46"/>
      <c r="J1307" s="46"/>
      <c r="K1307" s="46"/>
      <c r="L1307" s="46"/>
      <c r="M1307" s="46"/>
      <c r="N1307" s="46"/>
      <c r="O1307" s="46"/>
      <c r="P1307" s="46"/>
      <c r="Q1307" s="46"/>
      <c r="R1307" s="46"/>
      <c r="S1307" s="46"/>
      <c r="T1307" s="46"/>
      <c r="U1307" s="46"/>
      <c r="V1307" s="46"/>
      <c r="W1307" s="46"/>
      <c r="X1307" s="11" t="str">
        <f>IF(COUNTBLANK(B1307:W1307)&gt;0,"NA",'batch classification'!J1313)</f>
        <v>NA</v>
      </c>
    </row>
    <row r="1308" spans="1:24" x14ac:dyDescent="0.25">
      <c r="A1308" s="45"/>
      <c r="B1308" s="46"/>
      <c r="C1308" s="46"/>
      <c r="D1308" s="46"/>
      <c r="E1308" s="46"/>
      <c r="F1308" s="46"/>
      <c r="G1308" s="46"/>
      <c r="H1308" s="46"/>
      <c r="I1308" s="46"/>
      <c r="J1308" s="46"/>
      <c r="K1308" s="46"/>
      <c r="L1308" s="46"/>
      <c r="M1308" s="46"/>
      <c r="N1308" s="46"/>
      <c r="O1308" s="46"/>
      <c r="P1308" s="46"/>
      <c r="Q1308" s="46"/>
      <c r="R1308" s="46"/>
      <c r="S1308" s="46"/>
      <c r="T1308" s="46"/>
      <c r="U1308" s="46"/>
      <c r="V1308" s="46"/>
      <c r="W1308" s="46"/>
      <c r="X1308" s="11" t="str">
        <f>IF(COUNTBLANK(B1308:W1308)&gt;0,"NA",'batch classification'!J1314)</f>
        <v>NA</v>
      </c>
    </row>
    <row r="1309" spans="1:24" x14ac:dyDescent="0.25">
      <c r="A1309" s="45"/>
      <c r="B1309" s="46"/>
      <c r="C1309" s="46"/>
      <c r="D1309" s="46"/>
      <c r="E1309" s="46"/>
      <c r="F1309" s="46"/>
      <c r="G1309" s="46"/>
      <c r="H1309" s="46"/>
      <c r="I1309" s="46"/>
      <c r="J1309" s="46"/>
      <c r="K1309" s="46"/>
      <c r="L1309" s="46"/>
      <c r="M1309" s="46"/>
      <c r="N1309" s="46"/>
      <c r="O1309" s="46"/>
      <c r="P1309" s="46"/>
      <c r="Q1309" s="46"/>
      <c r="R1309" s="46"/>
      <c r="S1309" s="46"/>
      <c r="T1309" s="46"/>
      <c r="U1309" s="46"/>
      <c r="V1309" s="46"/>
      <c r="W1309" s="46"/>
      <c r="X1309" s="11" t="str">
        <f>IF(COUNTBLANK(B1309:W1309)&gt;0,"NA",'batch classification'!J1315)</f>
        <v>NA</v>
      </c>
    </row>
    <row r="1310" spans="1:24" x14ac:dyDescent="0.25">
      <c r="A1310" s="45"/>
      <c r="B1310" s="46"/>
      <c r="C1310" s="46"/>
      <c r="D1310" s="46"/>
      <c r="E1310" s="46"/>
      <c r="F1310" s="46"/>
      <c r="G1310" s="46"/>
      <c r="H1310" s="46"/>
      <c r="I1310" s="46"/>
      <c r="J1310" s="46"/>
      <c r="K1310" s="46"/>
      <c r="L1310" s="46"/>
      <c r="M1310" s="46"/>
      <c r="N1310" s="46"/>
      <c r="O1310" s="46"/>
      <c r="P1310" s="46"/>
      <c r="Q1310" s="46"/>
      <c r="R1310" s="46"/>
      <c r="S1310" s="46"/>
      <c r="T1310" s="46"/>
      <c r="U1310" s="46"/>
      <c r="V1310" s="46"/>
      <c r="W1310" s="46"/>
      <c r="X1310" s="11" t="str">
        <f>IF(COUNTBLANK(B1310:W1310)&gt;0,"NA",'batch classification'!J1316)</f>
        <v>NA</v>
      </c>
    </row>
    <row r="1311" spans="1:24" x14ac:dyDescent="0.25">
      <c r="A1311" s="45"/>
      <c r="B1311" s="46"/>
      <c r="C1311" s="46"/>
      <c r="D1311" s="46"/>
      <c r="E1311" s="46"/>
      <c r="F1311" s="46"/>
      <c r="G1311" s="46"/>
      <c r="H1311" s="46"/>
      <c r="I1311" s="46"/>
      <c r="J1311" s="46"/>
      <c r="K1311" s="46"/>
      <c r="L1311" s="46"/>
      <c r="M1311" s="46"/>
      <c r="N1311" s="46"/>
      <c r="O1311" s="46"/>
      <c r="P1311" s="46"/>
      <c r="Q1311" s="46"/>
      <c r="R1311" s="46"/>
      <c r="S1311" s="46"/>
      <c r="T1311" s="46"/>
      <c r="U1311" s="46"/>
      <c r="V1311" s="46"/>
      <c r="W1311" s="46"/>
      <c r="X1311" s="11" t="str">
        <f>IF(COUNTBLANK(B1311:W1311)&gt;0,"NA",'batch classification'!J1317)</f>
        <v>NA</v>
      </c>
    </row>
    <row r="1312" spans="1:24" x14ac:dyDescent="0.25">
      <c r="A1312" s="45"/>
      <c r="B1312" s="46"/>
      <c r="C1312" s="46"/>
      <c r="D1312" s="46"/>
      <c r="E1312" s="46"/>
      <c r="F1312" s="46"/>
      <c r="G1312" s="46"/>
      <c r="H1312" s="46"/>
      <c r="I1312" s="46"/>
      <c r="J1312" s="46"/>
      <c r="K1312" s="46"/>
      <c r="L1312" s="46"/>
      <c r="M1312" s="46"/>
      <c r="N1312" s="46"/>
      <c r="O1312" s="46"/>
      <c r="P1312" s="46"/>
      <c r="Q1312" s="46"/>
      <c r="R1312" s="46"/>
      <c r="S1312" s="46"/>
      <c r="T1312" s="46"/>
      <c r="U1312" s="46"/>
      <c r="V1312" s="46"/>
      <c r="W1312" s="46"/>
      <c r="X1312" s="11" t="str">
        <f>IF(COUNTBLANK(B1312:W1312)&gt;0,"NA",'batch classification'!J1318)</f>
        <v>NA</v>
      </c>
    </row>
    <row r="1313" spans="1:24" x14ac:dyDescent="0.25">
      <c r="A1313" s="45"/>
      <c r="B1313" s="46"/>
      <c r="C1313" s="46"/>
      <c r="D1313" s="46"/>
      <c r="E1313" s="46"/>
      <c r="F1313" s="46"/>
      <c r="G1313" s="46"/>
      <c r="H1313" s="46"/>
      <c r="I1313" s="46"/>
      <c r="J1313" s="46"/>
      <c r="K1313" s="46"/>
      <c r="L1313" s="46"/>
      <c r="M1313" s="46"/>
      <c r="N1313" s="46"/>
      <c r="O1313" s="46"/>
      <c r="P1313" s="46"/>
      <c r="Q1313" s="46"/>
      <c r="R1313" s="46"/>
      <c r="S1313" s="46"/>
      <c r="T1313" s="46"/>
      <c r="U1313" s="46"/>
      <c r="V1313" s="46"/>
      <c r="W1313" s="46"/>
      <c r="X1313" s="11" t="str">
        <f>IF(COUNTBLANK(B1313:W1313)&gt;0,"NA",'batch classification'!J1319)</f>
        <v>NA</v>
      </c>
    </row>
    <row r="1314" spans="1:24" x14ac:dyDescent="0.25">
      <c r="A1314" s="45"/>
      <c r="B1314" s="46"/>
      <c r="C1314" s="46"/>
      <c r="D1314" s="46"/>
      <c r="E1314" s="46"/>
      <c r="F1314" s="46"/>
      <c r="G1314" s="46"/>
      <c r="H1314" s="46"/>
      <c r="I1314" s="46"/>
      <c r="J1314" s="46"/>
      <c r="K1314" s="46"/>
      <c r="L1314" s="46"/>
      <c r="M1314" s="46"/>
      <c r="N1314" s="46"/>
      <c r="O1314" s="46"/>
      <c r="P1314" s="46"/>
      <c r="Q1314" s="46"/>
      <c r="R1314" s="46"/>
      <c r="S1314" s="46"/>
      <c r="T1314" s="46"/>
      <c r="U1314" s="46"/>
      <c r="V1314" s="46"/>
      <c r="W1314" s="46"/>
      <c r="X1314" s="11" t="str">
        <f>IF(COUNTBLANK(B1314:W1314)&gt;0,"NA",'batch classification'!J1320)</f>
        <v>NA</v>
      </c>
    </row>
    <row r="1315" spans="1:24" x14ac:dyDescent="0.25">
      <c r="A1315" s="45"/>
      <c r="B1315" s="46"/>
      <c r="C1315" s="46"/>
      <c r="D1315" s="46"/>
      <c r="E1315" s="46"/>
      <c r="F1315" s="46"/>
      <c r="G1315" s="46"/>
      <c r="H1315" s="46"/>
      <c r="I1315" s="46"/>
      <c r="J1315" s="46"/>
      <c r="K1315" s="46"/>
      <c r="L1315" s="46"/>
      <c r="M1315" s="46"/>
      <c r="N1315" s="46"/>
      <c r="O1315" s="46"/>
      <c r="P1315" s="46"/>
      <c r="Q1315" s="46"/>
      <c r="R1315" s="46"/>
      <c r="S1315" s="46"/>
      <c r="T1315" s="46"/>
      <c r="U1315" s="46"/>
      <c r="V1315" s="46"/>
      <c r="W1315" s="46"/>
      <c r="X1315" s="11" t="str">
        <f>IF(COUNTBLANK(B1315:W1315)&gt;0,"NA",'batch classification'!J1321)</f>
        <v>NA</v>
      </c>
    </row>
    <row r="1316" spans="1:24" x14ac:dyDescent="0.25">
      <c r="A1316" s="45"/>
      <c r="B1316" s="46"/>
      <c r="C1316" s="46"/>
      <c r="D1316" s="46"/>
      <c r="E1316" s="46"/>
      <c r="F1316" s="46"/>
      <c r="G1316" s="46"/>
      <c r="H1316" s="46"/>
      <c r="I1316" s="46"/>
      <c r="J1316" s="46"/>
      <c r="K1316" s="46"/>
      <c r="L1316" s="46"/>
      <c r="M1316" s="46"/>
      <c r="N1316" s="46"/>
      <c r="O1316" s="46"/>
      <c r="P1316" s="46"/>
      <c r="Q1316" s="46"/>
      <c r="R1316" s="46"/>
      <c r="S1316" s="46"/>
      <c r="T1316" s="46"/>
      <c r="U1316" s="46"/>
      <c r="V1316" s="46"/>
      <c r="W1316" s="46"/>
      <c r="X1316" s="11" t="str">
        <f>IF(COUNTBLANK(B1316:W1316)&gt;0,"NA",'batch classification'!J1322)</f>
        <v>NA</v>
      </c>
    </row>
    <row r="1317" spans="1:24" x14ac:dyDescent="0.25">
      <c r="A1317" s="45"/>
      <c r="B1317" s="46"/>
      <c r="C1317" s="46"/>
      <c r="D1317" s="46"/>
      <c r="E1317" s="46"/>
      <c r="F1317" s="46"/>
      <c r="G1317" s="46"/>
      <c r="H1317" s="46"/>
      <c r="I1317" s="46"/>
      <c r="J1317" s="46"/>
      <c r="K1317" s="46"/>
      <c r="L1317" s="46"/>
      <c r="M1317" s="46"/>
      <c r="N1317" s="46"/>
      <c r="O1317" s="46"/>
      <c r="P1317" s="46"/>
      <c r="Q1317" s="46"/>
      <c r="R1317" s="46"/>
      <c r="S1317" s="46"/>
      <c r="T1317" s="46"/>
      <c r="U1317" s="46"/>
      <c r="V1317" s="46"/>
      <c r="W1317" s="46"/>
      <c r="X1317" s="11" t="str">
        <f>IF(COUNTBLANK(B1317:W1317)&gt;0,"NA",'batch classification'!J1323)</f>
        <v>NA</v>
      </c>
    </row>
    <row r="1318" spans="1:24" x14ac:dyDescent="0.25">
      <c r="A1318" s="45"/>
      <c r="B1318" s="46"/>
      <c r="C1318" s="46"/>
      <c r="D1318" s="46"/>
      <c r="E1318" s="46"/>
      <c r="F1318" s="46"/>
      <c r="G1318" s="46"/>
      <c r="H1318" s="46"/>
      <c r="I1318" s="46"/>
      <c r="J1318" s="46"/>
      <c r="K1318" s="46"/>
      <c r="L1318" s="46"/>
      <c r="M1318" s="46"/>
      <c r="N1318" s="46"/>
      <c r="O1318" s="46"/>
      <c r="P1318" s="46"/>
      <c r="Q1318" s="46"/>
      <c r="R1318" s="46"/>
      <c r="S1318" s="46"/>
      <c r="T1318" s="46"/>
      <c r="U1318" s="46"/>
      <c r="V1318" s="46"/>
      <c r="W1318" s="46"/>
      <c r="X1318" s="11" t="str">
        <f>IF(COUNTBLANK(B1318:W1318)&gt;0,"NA",'batch classification'!J1324)</f>
        <v>NA</v>
      </c>
    </row>
    <row r="1319" spans="1:24" x14ac:dyDescent="0.25">
      <c r="A1319" s="45"/>
      <c r="B1319" s="46"/>
      <c r="C1319" s="46"/>
      <c r="D1319" s="46"/>
      <c r="E1319" s="46"/>
      <c r="F1319" s="46"/>
      <c r="G1319" s="46"/>
      <c r="H1319" s="46"/>
      <c r="I1319" s="46"/>
      <c r="J1319" s="46"/>
      <c r="K1319" s="46"/>
      <c r="L1319" s="46"/>
      <c r="M1319" s="46"/>
      <c r="N1319" s="46"/>
      <c r="O1319" s="46"/>
      <c r="P1319" s="46"/>
      <c r="Q1319" s="46"/>
      <c r="R1319" s="46"/>
      <c r="S1319" s="46"/>
      <c r="T1319" s="46"/>
      <c r="U1319" s="46"/>
      <c r="V1319" s="46"/>
      <c r="W1319" s="46"/>
      <c r="X1319" s="11" t="str">
        <f>IF(COUNTBLANK(B1319:W1319)&gt;0,"NA",'batch classification'!J1325)</f>
        <v>NA</v>
      </c>
    </row>
    <row r="1320" spans="1:24" x14ac:dyDescent="0.25">
      <c r="A1320" s="45"/>
      <c r="B1320" s="46"/>
      <c r="C1320" s="46"/>
      <c r="D1320" s="46"/>
      <c r="E1320" s="46"/>
      <c r="F1320" s="46"/>
      <c r="G1320" s="46"/>
      <c r="H1320" s="46"/>
      <c r="I1320" s="46"/>
      <c r="J1320" s="46"/>
      <c r="K1320" s="46"/>
      <c r="L1320" s="46"/>
      <c r="M1320" s="46"/>
      <c r="N1320" s="46"/>
      <c r="O1320" s="46"/>
      <c r="P1320" s="46"/>
      <c r="Q1320" s="46"/>
      <c r="R1320" s="46"/>
      <c r="S1320" s="46"/>
      <c r="T1320" s="46"/>
      <c r="U1320" s="46"/>
      <c r="V1320" s="46"/>
      <c r="W1320" s="46"/>
      <c r="X1320" s="11" t="str">
        <f>IF(COUNTBLANK(B1320:W1320)&gt;0,"NA",'batch classification'!J1326)</f>
        <v>NA</v>
      </c>
    </row>
    <row r="1321" spans="1:24" x14ac:dyDescent="0.25">
      <c r="A1321" s="45"/>
      <c r="B1321" s="46"/>
      <c r="C1321" s="46"/>
      <c r="D1321" s="46"/>
      <c r="E1321" s="46"/>
      <c r="F1321" s="46"/>
      <c r="G1321" s="46"/>
      <c r="H1321" s="46"/>
      <c r="I1321" s="46"/>
      <c r="J1321" s="46"/>
      <c r="K1321" s="46"/>
      <c r="L1321" s="46"/>
      <c r="M1321" s="46"/>
      <c r="N1321" s="46"/>
      <c r="O1321" s="46"/>
      <c r="P1321" s="46"/>
      <c r="Q1321" s="46"/>
      <c r="R1321" s="46"/>
      <c r="S1321" s="46"/>
      <c r="T1321" s="46"/>
      <c r="U1321" s="46"/>
      <c r="V1321" s="46"/>
      <c r="W1321" s="46"/>
      <c r="X1321" s="11" t="str">
        <f>IF(COUNTBLANK(B1321:W1321)&gt;0,"NA",'batch classification'!J1327)</f>
        <v>NA</v>
      </c>
    </row>
    <row r="1322" spans="1:24" x14ac:dyDescent="0.25">
      <c r="A1322" s="45"/>
      <c r="B1322" s="46"/>
      <c r="C1322" s="46"/>
      <c r="D1322" s="46"/>
      <c r="E1322" s="46"/>
      <c r="F1322" s="46"/>
      <c r="G1322" s="46"/>
      <c r="H1322" s="46"/>
      <c r="I1322" s="46"/>
      <c r="J1322" s="46"/>
      <c r="K1322" s="46"/>
      <c r="L1322" s="46"/>
      <c r="M1322" s="46"/>
      <c r="N1322" s="46"/>
      <c r="O1322" s="46"/>
      <c r="P1322" s="46"/>
      <c r="Q1322" s="46"/>
      <c r="R1322" s="46"/>
      <c r="S1322" s="46"/>
      <c r="T1322" s="46"/>
      <c r="U1322" s="46"/>
      <c r="V1322" s="46"/>
      <c r="W1322" s="46"/>
      <c r="X1322" s="11" t="str">
        <f>IF(COUNTBLANK(B1322:W1322)&gt;0,"NA",'batch classification'!J1328)</f>
        <v>NA</v>
      </c>
    </row>
    <row r="1323" spans="1:24" x14ac:dyDescent="0.25">
      <c r="A1323" s="45"/>
      <c r="B1323" s="46"/>
      <c r="C1323" s="46"/>
      <c r="D1323" s="46"/>
      <c r="E1323" s="46"/>
      <c r="F1323" s="46"/>
      <c r="G1323" s="46"/>
      <c r="H1323" s="46"/>
      <c r="I1323" s="46"/>
      <c r="J1323" s="46"/>
      <c r="K1323" s="46"/>
      <c r="L1323" s="46"/>
      <c r="M1323" s="46"/>
      <c r="N1323" s="46"/>
      <c r="O1323" s="46"/>
      <c r="P1323" s="46"/>
      <c r="Q1323" s="46"/>
      <c r="R1323" s="46"/>
      <c r="S1323" s="46"/>
      <c r="T1323" s="46"/>
      <c r="U1323" s="46"/>
      <c r="V1323" s="46"/>
      <c r="W1323" s="46"/>
      <c r="X1323" s="11" t="str">
        <f>IF(COUNTBLANK(B1323:W1323)&gt;0,"NA",'batch classification'!J1329)</f>
        <v>NA</v>
      </c>
    </row>
    <row r="1324" spans="1:24" x14ac:dyDescent="0.25">
      <c r="A1324" s="45"/>
      <c r="B1324" s="46"/>
      <c r="C1324" s="46"/>
      <c r="D1324" s="46"/>
      <c r="E1324" s="46"/>
      <c r="F1324" s="46"/>
      <c r="G1324" s="46"/>
      <c r="H1324" s="46"/>
      <c r="I1324" s="46"/>
      <c r="J1324" s="46"/>
      <c r="K1324" s="46"/>
      <c r="L1324" s="46"/>
      <c r="M1324" s="46"/>
      <c r="N1324" s="46"/>
      <c r="O1324" s="46"/>
      <c r="P1324" s="46"/>
      <c r="Q1324" s="46"/>
      <c r="R1324" s="46"/>
      <c r="S1324" s="46"/>
      <c r="T1324" s="46"/>
      <c r="U1324" s="46"/>
      <c r="V1324" s="46"/>
      <c r="W1324" s="46"/>
      <c r="X1324" s="11" t="str">
        <f>IF(COUNTBLANK(B1324:W1324)&gt;0,"NA",'batch classification'!J1330)</f>
        <v>NA</v>
      </c>
    </row>
    <row r="1325" spans="1:24" x14ac:dyDescent="0.25">
      <c r="A1325" s="45"/>
      <c r="B1325" s="46"/>
      <c r="C1325" s="46"/>
      <c r="D1325" s="46"/>
      <c r="E1325" s="46"/>
      <c r="F1325" s="46"/>
      <c r="G1325" s="46"/>
      <c r="H1325" s="46"/>
      <c r="I1325" s="46"/>
      <c r="J1325" s="46"/>
      <c r="K1325" s="46"/>
      <c r="L1325" s="46"/>
      <c r="M1325" s="46"/>
      <c r="N1325" s="46"/>
      <c r="O1325" s="46"/>
      <c r="P1325" s="46"/>
      <c r="Q1325" s="46"/>
      <c r="R1325" s="46"/>
      <c r="S1325" s="46"/>
      <c r="T1325" s="46"/>
      <c r="U1325" s="46"/>
      <c r="V1325" s="46"/>
      <c r="W1325" s="46"/>
      <c r="X1325" s="11" t="str">
        <f>IF(COUNTBLANK(B1325:W1325)&gt;0,"NA",'batch classification'!J1331)</f>
        <v>NA</v>
      </c>
    </row>
    <row r="1326" spans="1:24" x14ac:dyDescent="0.25">
      <c r="A1326" s="45"/>
      <c r="B1326" s="46"/>
      <c r="C1326" s="46"/>
      <c r="D1326" s="46"/>
      <c r="E1326" s="46"/>
      <c r="F1326" s="46"/>
      <c r="G1326" s="46"/>
      <c r="H1326" s="46"/>
      <c r="I1326" s="46"/>
      <c r="J1326" s="46"/>
      <c r="K1326" s="46"/>
      <c r="L1326" s="46"/>
      <c r="M1326" s="46"/>
      <c r="N1326" s="46"/>
      <c r="O1326" s="46"/>
      <c r="P1326" s="46"/>
      <c r="Q1326" s="46"/>
      <c r="R1326" s="46"/>
      <c r="S1326" s="46"/>
      <c r="T1326" s="46"/>
      <c r="U1326" s="46"/>
      <c r="V1326" s="46"/>
      <c r="W1326" s="46"/>
      <c r="X1326" s="11" t="str">
        <f>IF(COUNTBLANK(B1326:W1326)&gt;0,"NA",'batch classification'!J1332)</f>
        <v>NA</v>
      </c>
    </row>
    <row r="1327" spans="1:24" x14ac:dyDescent="0.25">
      <c r="A1327" s="45"/>
      <c r="B1327" s="46"/>
      <c r="C1327" s="46"/>
      <c r="D1327" s="46"/>
      <c r="E1327" s="46"/>
      <c r="F1327" s="46"/>
      <c r="G1327" s="46"/>
      <c r="H1327" s="46"/>
      <c r="I1327" s="46"/>
      <c r="J1327" s="46"/>
      <c r="K1327" s="46"/>
      <c r="L1327" s="46"/>
      <c r="M1327" s="46"/>
      <c r="N1327" s="46"/>
      <c r="O1327" s="46"/>
      <c r="P1327" s="46"/>
      <c r="Q1327" s="46"/>
      <c r="R1327" s="46"/>
      <c r="S1327" s="46"/>
      <c r="T1327" s="46"/>
      <c r="U1327" s="46"/>
      <c r="V1327" s="46"/>
      <c r="W1327" s="46"/>
      <c r="X1327" s="11" t="str">
        <f>IF(COUNTBLANK(B1327:W1327)&gt;0,"NA",'batch classification'!J1333)</f>
        <v>NA</v>
      </c>
    </row>
    <row r="1328" spans="1:24" x14ac:dyDescent="0.25">
      <c r="A1328" s="45"/>
      <c r="B1328" s="46"/>
      <c r="C1328" s="46"/>
      <c r="D1328" s="46"/>
      <c r="E1328" s="46"/>
      <c r="F1328" s="46"/>
      <c r="G1328" s="46"/>
      <c r="H1328" s="46"/>
      <c r="I1328" s="46"/>
      <c r="J1328" s="46"/>
      <c r="K1328" s="46"/>
      <c r="L1328" s="46"/>
      <c r="M1328" s="46"/>
      <c r="N1328" s="46"/>
      <c r="O1328" s="46"/>
      <c r="P1328" s="46"/>
      <c r="Q1328" s="46"/>
      <c r="R1328" s="46"/>
      <c r="S1328" s="46"/>
      <c r="T1328" s="46"/>
      <c r="U1328" s="46"/>
      <c r="V1328" s="46"/>
      <c r="W1328" s="46"/>
      <c r="X1328" s="11" t="str">
        <f>IF(COUNTBLANK(B1328:W1328)&gt;0,"NA",'batch classification'!J1334)</f>
        <v>NA</v>
      </c>
    </row>
    <row r="1329" spans="1:24" x14ac:dyDescent="0.25">
      <c r="A1329" s="45"/>
      <c r="B1329" s="46"/>
      <c r="C1329" s="46"/>
      <c r="D1329" s="46"/>
      <c r="E1329" s="46"/>
      <c r="F1329" s="46"/>
      <c r="G1329" s="46"/>
      <c r="H1329" s="46"/>
      <c r="I1329" s="46"/>
      <c r="J1329" s="46"/>
      <c r="K1329" s="46"/>
      <c r="L1329" s="46"/>
      <c r="M1329" s="46"/>
      <c r="N1329" s="46"/>
      <c r="O1329" s="46"/>
      <c r="P1329" s="46"/>
      <c r="Q1329" s="46"/>
      <c r="R1329" s="46"/>
      <c r="S1329" s="46"/>
      <c r="T1329" s="46"/>
      <c r="U1329" s="46"/>
      <c r="V1329" s="46"/>
      <c r="W1329" s="46"/>
      <c r="X1329" s="11" t="str">
        <f>IF(COUNTBLANK(B1329:W1329)&gt;0,"NA",'batch classification'!J1335)</f>
        <v>NA</v>
      </c>
    </row>
    <row r="1330" spans="1:24" x14ac:dyDescent="0.25">
      <c r="A1330" s="45"/>
      <c r="B1330" s="46"/>
      <c r="C1330" s="46"/>
      <c r="D1330" s="46"/>
      <c r="E1330" s="46"/>
      <c r="F1330" s="46"/>
      <c r="G1330" s="46"/>
      <c r="H1330" s="46"/>
      <c r="I1330" s="46"/>
      <c r="J1330" s="46"/>
      <c r="K1330" s="46"/>
      <c r="L1330" s="46"/>
      <c r="M1330" s="46"/>
      <c r="N1330" s="46"/>
      <c r="O1330" s="46"/>
      <c r="P1330" s="46"/>
      <c r="Q1330" s="46"/>
      <c r="R1330" s="46"/>
      <c r="S1330" s="46"/>
      <c r="T1330" s="46"/>
      <c r="U1330" s="46"/>
      <c r="V1330" s="46"/>
      <c r="W1330" s="46"/>
      <c r="X1330" s="11" t="str">
        <f>IF(COUNTBLANK(B1330:W1330)&gt;0,"NA",'batch classification'!J1336)</f>
        <v>NA</v>
      </c>
    </row>
    <row r="1331" spans="1:24" x14ac:dyDescent="0.25">
      <c r="A1331" s="45"/>
      <c r="B1331" s="46"/>
      <c r="C1331" s="46"/>
      <c r="D1331" s="46"/>
      <c r="E1331" s="46"/>
      <c r="F1331" s="46"/>
      <c r="G1331" s="46"/>
      <c r="H1331" s="46"/>
      <c r="I1331" s="46"/>
      <c r="J1331" s="46"/>
      <c r="K1331" s="46"/>
      <c r="L1331" s="46"/>
      <c r="M1331" s="46"/>
      <c r="N1331" s="46"/>
      <c r="O1331" s="46"/>
      <c r="P1331" s="46"/>
      <c r="Q1331" s="46"/>
      <c r="R1331" s="46"/>
      <c r="S1331" s="46"/>
      <c r="T1331" s="46"/>
      <c r="U1331" s="46"/>
      <c r="V1331" s="46"/>
      <c r="W1331" s="46"/>
      <c r="X1331" s="11" t="str">
        <f>IF(COUNTBLANK(B1331:W1331)&gt;0,"NA",'batch classification'!J1337)</f>
        <v>NA</v>
      </c>
    </row>
    <row r="1332" spans="1:24" x14ac:dyDescent="0.25">
      <c r="A1332" s="45"/>
      <c r="B1332" s="46"/>
      <c r="C1332" s="46"/>
      <c r="D1332" s="46"/>
      <c r="E1332" s="46"/>
      <c r="F1332" s="46"/>
      <c r="G1332" s="46"/>
      <c r="H1332" s="46"/>
      <c r="I1332" s="46"/>
      <c r="J1332" s="46"/>
      <c r="K1332" s="46"/>
      <c r="L1332" s="46"/>
      <c r="M1332" s="46"/>
      <c r="N1332" s="46"/>
      <c r="O1332" s="46"/>
      <c r="P1332" s="46"/>
      <c r="Q1332" s="46"/>
      <c r="R1332" s="46"/>
      <c r="S1332" s="46"/>
      <c r="T1332" s="46"/>
      <c r="U1332" s="46"/>
      <c r="V1332" s="46"/>
      <c r="W1332" s="46"/>
      <c r="X1332" s="11" t="str">
        <f>IF(COUNTBLANK(B1332:W1332)&gt;0,"NA",'batch classification'!J1338)</f>
        <v>NA</v>
      </c>
    </row>
    <row r="1333" spans="1:24" x14ac:dyDescent="0.25">
      <c r="A1333" s="45"/>
      <c r="B1333" s="46"/>
      <c r="C1333" s="46"/>
      <c r="D1333" s="46"/>
      <c r="E1333" s="46"/>
      <c r="F1333" s="46"/>
      <c r="G1333" s="46"/>
      <c r="H1333" s="46"/>
      <c r="I1333" s="46"/>
      <c r="J1333" s="46"/>
      <c r="K1333" s="46"/>
      <c r="L1333" s="46"/>
      <c r="M1333" s="46"/>
      <c r="N1333" s="46"/>
      <c r="O1333" s="46"/>
      <c r="P1333" s="46"/>
      <c r="Q1333" s="46"/>
      <c r="R1333" s="46"/>
      <c r="S1333" s="46"/>
      <c r="T1333" s="46"/>
      <c r="U1333" s="46"/>
      <c r="V1333" s="46"/>
      <c r="W1333" s="46"/>
      <c r="X1333" s="11" t="str">
        <f>IF(COUNTBLANK(B1333:W1333)&gt;0,"NA",'batch classification'!J1339)</f>
        <v>NA</v>
      </c>
    </row>
    <row r="1334" spans="1:24" x14ac:dyDescent="0.25">
      <c r="A1334" s="45"/>
      <c r="B1334" s="46"/>
      <c r="C1334" s="46"/>
      <c r="D1334" s="46"/>
      <c r="E1334" s="46"/>
      <c r="F1334" s="46"/>
      <c r="G1334" s="46"/>
      <c r="H1334" s="46"/>
      <c r="I1334" s="46"/>
      <c r="J1334" s="46"/>
      <c r="K1334" s="46"/>
      <c r="L1334" s="46"/>
      <c r="M1334" s="46"/>
      <c r="N1334" s="46"/>
      <c r="O1334" s="46"/>
      <c r="P1334" s="46"/>
      <c r="Q1334" s="46"/>
      <c r="R1334" s="46"/>
      <c r="S1334" s="46"/>
      <c r="T1334" s="46"/>
      <c r="U1334" s="46"/>
      <c r="V1334" s="46"/>
      <c r="W1334" s="46"/>
      <c r="X1334" s="11" t="str">
        <f>IF(COUNTBLANK(B1334:W1334)&gt;0,"NA",'batch classification'!J1340)</f>
        <v>NA</v>
      </c>
    </row>
    <row r="1335" spans="1:24" x14ac:dyDescent="0.25">
      <c r="A1335" s="45"/>
      <c r="B1335" s="46"/>
      <c r="C1335" s="46"/>
      <c r="D1335" s="46"/>
      <c r="E1335" s="46"/>
      <c r="F1335" s="46"/>
      <c r="G1335" s="46"/>
      <c r="H1335" s="46"/>
      <c r="I1335" s="46"/>
      <c r="J1335" s="46"/>
      <c r="K1335" s="46"/>
      <c r="L1335" s="46"/>
      <c r="M1335" s="46"/>
      <c r="N1335" s="46"/>
      <c r="O1335" s="46"/>
      <c r="P1335" s="46"/>
      <c r="Q1335" s="46"/>
      <c r="R1335" s="46"/>
      <c r="S1335" s="46"/>
      <c r="T1335" s="46"/>
      <c r="U1335" s="46"/>
      <c r="V1335" s="46"/>
      <c r="W1335" s="46"/>
      <c r="X1335" s="11" t="str">
        <f>IF(COUNTBLANK(B1335:W1335)&gt;0,"NA",'batch classification'!J1341)</f>
        <v>NA</v>
      </c>
    </row>
    <row r="1336" spans="1:24" x14ac:dyDescent="0.25">
      <c r="A1336" s="45"/>
      <c r="B1336" s="46"/>
      <c r="C1336" s="46"/>
      <c r="D1336" s="46"/>
      <c r="E1336" s="46"/>
      <c r="F1336" s="46"/>
      <c r="G1336" s="46"/>
      <c r="H1336" s="46"/>
      <c r="I1336" s="46"/>
      <c r="J1336" s="46"/>
      <c r="K1336" s="46"/>
      <c r="L1336" s="46"/>
      <c r="M1336" s="46"/>
      <c r="N1336" s="46"/>
      <c r="O1336" s="46"/>
      <c r="P1336" s="46"/>
      <c r="Q1336" s="46"/>
      <c r="R1336" s="46"/>
      <c r="S1336" s="46"/>
      <c r="T1336" s="46"/>
      <c r="U1336" s="46"/>
      <c r="V1336" s="46"/>
      <c r="W1336" s="46"/>
      <c r="X1336" s="11" t="str">
        <f>IF(COUNTBLANK(B1336:W1336)&gt;0,"NA",'batch classification'!J1342)</f>
        <v>NA</v>
      </c>
    </row>
    <row r="1337" spans="1:24" x14ac:dyDescent="0.25">
      <c r="A1337" s="45"/>
      <c r="B1337" s="46"/>
      <c r="C1337" s="46"/>
      <c r="D1337" s="46"/>
      <c r="E1337" s="46"/>
      <c r="F1337" s="46"/>
      <c r="G1337" s="46"/>
      <c r="H1337" s="46"/>
      <c r="I1337" s="46"/>
      <c r="J1337" s="46"/>
      <c r="K1337" s="46"/>
      <c r="L1337" s="46"/>
      <c r="M1337" s="46"/>
      <c r="N1337" s="46"/>
      <c r="O1337" s="46"/>
      <c r="P1337" s="46"/>
      <c r="Q1337" s="46"/>
      <c r="R1337" s="46"/>
      <c r="S1337" s="46"/>
      <c r="T1337" s="46"/>
      <c r="U1337" s="46"/>
      <c r="V1337" s="46"/>
      <c r="W1337" s="46"/>
      <c r="X1337" s="11" t="str">
        <f>IF(COUNTBLANK(B1337:W1337)&gt;0,"NA",'batch classification'!J1343)</f>
        <v>NA</v>
      </c>
    </row>
    <row r="1338" spans="1:24" x14ac:dyDescent="0.25">
      <c r="A1338" s="45"/>
      <c r="B1338" s="46"/>
      <c r="C1338" s="46"/>
      <c r="D1338" s="46"/>
      <c r="E1338" s="46"/>
      <c r="F1338" s="46"/>
      <c r="G1338" s="46"/>
      <c r="H1338" s="46"/>
      <c r="I1338" s="46"/>
      <c r="J1338" s="46"/>
      <c r="K1338" s="46"/>
      <c r="L1338" s="46"/>
      <c r="M1338" s="46"/>
      <c r="N1338" s="46"/>
      <c r="O1338" s="46"/>
      <c r="P1338" s="46"/>
      <c r="Q1338" s="46"/>
      <c r="R1338" s="46"/>
      <c r="S1338" s="46"/>
      <c r="T1338" s="46"/>
      <c r="U1338" s="46"/>
      <c r="V1338" s="46"/>
      <c r="W1338" s="46"/>
      <c r="X1338" s="11" t="str">
        <f>IF(COUNTBLANK(B1338:W1338)&gt;0,"NA",'batch classification'!J1344)</f>
        <v>NA</v>
      </c>
    </row>
    <row r="1339" spans="1:24" x14ac:dyDescent="0.25">
      <c r="A1339" s="45"/>
      <c r="B1339" s="46"/>
      <c r="C1339" s="46"/>
      <c r="D1339" s="46"/>
      <c r="E1339" s="46"/>
      <c r="F1339" s="46"/>
      <c r="G1339" s="46"/>
      <c r="H1339" s="46"/>
      <c r="I1339" s="46"/>
      <c r="J1339" s="46"/>
      <c r="K1339" s="46"/>
      <c r="L1339" s="46"/>
      <c r="M1339" s="46"/>
      <c r="N1339" s="46"/>
      <c r="O1339" s="46"/>
      <c r="P1339" s="46"/>
      <c r="Q1339" s="46"/>
      <c r="R1339" s="46"/>
      <c r="S1339" s="46"/>
      <c r="T1339" s="46"/>
      <c r="U1339" s="46"/>
      <c r="V1339" s="46"/>
      <c r="W1339" s="46"/>
      <c r="X1339" s="11" t="str">
        <f>IF(COUNTBLANK(B1339:W1339)&gt;0,"NA",'batch classification'!J1345)</f>
        <v>NA</v>
      </c>
    </row>
    <row r="1340" spans="1:24" x14ac:dyDescent="0.25">
      <c r="A1340" s="45"/>
      <c r="B1340" s="46"/>
      <c r="C1340" s="46"/>
      <c r="D1340" s="46"/>
      <c r="E1340" s="46"/>
      <c r="F1340" s="46"/>
      <c r="G1340" s="46"/>
      <c r="H1340" s="46"/>
      <c r="I1340" s="46"/>
      <c r="J1340" s="46"/>
      <c r="K1340" s="46"/>
      <c r="L1340" s="46"/>
      <c r="M1340" s="46"/>
      <c r="N1340" s="46"/>
      <c r="O1340" s="46"/>
      <c r="P1340" s="46"/>
      <c r="Q1340" s="46"/>
      <c r="R1340" s="46"/>
      <c r="S1340" s="46"/>
      <c r="T1340" s="46"/>
      <c r="U1340" s="46"/>
      <c r="V1340" s="46"/>
      <c r="W1340" s="46"/>
      <c r="X1340" s="11" t="str">
        <f>IF(COUNTBLANK(B1340:W1340)&gt;0,"NA",'batch classification'!J1346)</f>
        <v>NA</v>
      </c>
    </row>
    <row r="1341" spans="1:24" x14ac:dyDescent="0.25">
      <c r="A1341" s="45"/>
      <c r="B1341" s="46"/>
      <c r="C1341" s="46"/>
      <c r="D1341" s="46"/>
      <c r="E1341" s="46"/>
      <c r="F1341" s="46"/>
      <c r="G1341" s="46"/>
      <c r="H1341" s="46"/>
      <c r="I1341" s="46"/>
      <c r="J1341" s="46"/>
      <c r="K1341" s="46"/>
      <c r="L1341" s="46"/>
      <c r="M1341" s="46"/>
      <c r="N1341" s="46"/>
      <c r="O1341" s="46"/>
      <c r="P1341" s="46"/>
      <c r="Q1341" s="46"/>
      <c r="R1341" s="46"/>
      <c r="S1341" s="46"/>
      <c r="T1341" s="46"/>
      <c r="U1341" s="46"/>
      <c r="V1341" s="46"/>
      <c r="W1341" s="46"/>
      <c r="X1341" s="11" t="str">
        <f>IF(COUNTBLANK(B1341:W1341)&gt;0,"NA",'batch classification'!J1347)</f>
        <v>NA</v>
      </c>
    </row>
    <row r="1342" spans="1:24" x14ac:dyDescent="0.25">
      <c r="A1342" s="45"/>
      <c r="B1342" s="46"/>
      <c r="C1342" s="46"/>
      <c r="D1342" s="46"/>
      <c r="E1342" s="46"/>
      <c r="F1342" s="46"/>
      <c r="G1342" s="46"/>
      <c r="H1342" s="46"/>
      <c r="I1342" s="46"/>
      <c r="J1342" s="46"/>
      <c r="K1342" s="46"/>
      <c r="L1342" s="46"/>
      <c r="M1342" s="46"/>
      <c r="N1342" s="46"/>
      <c r="O1342" s="46"/>
      <c r="P1342" s="46"/>
      <c r="Q1342" s="46"/>
      <c r="R1342" s="46"/>
      <c r="S1342" s="46"/>
      <c r="T1342" s="46"/>
      <c r="U1342" s="46"/>
      <c r="V1342" s="46"/>
      <c r="W1342" s="46"/>
      <c r="X1342" s="11" t="str">
        <f>IF(COUNTBLANK(B1342:W1342)&gt;0,"NA",'batch classification'!J1348)</f>
        <v>NA</v>
      </c>
    </row>
    <row r="1343" spans="1:24" x14ac:dyDescent="0.25">
      <c r="A1343" s="45"/>
      <c r="B1343" s="46"/>
      <c r="C1343" s="46"/>
      <c r="D1343" s="46"/>
      <c r="E1343" s="46"/>
      <c r="F1343" s="46"/>
      <c r="G1343" s="46"/>
      <c r="H1343" s="46"/>
      <c r="I1343" s="46"/>
      <c r="J1343" s="46"/>
      <c r="K1343" s="46"/>
      <c r="L1343" s="46"/>
      <c r="M1343" s="46"/>
      <c r="N1343" s="46"/>
      <c r="O1343" s="46"/>
      <c r="P1343" s="46"/>
      <c r="Q1343" s="46"/>
      <c r="R1343" s="46"/>
      <c r="S1343" s="46"/>
      <c r="T1343" s="46"/>
      <c r="U1343" s="46"/>
      <c r="V1343" s="46"/>
      <c r="W1343" s="46"/>
      <c r="X1343" s="11" t="str">
        <f>IF(COUNTBLANK(B1343:W1343)&gt;0,"NA",'batch classification'!J1349)</f>
        <v>NA</v>
      </c>
    </row>
    <row r="1344" spans="1:24" x14ac:dyDescent="0.25">
      <c r="A1344" s="45"/>
      <c r="B1344" s="46"/>
      <c r="C1344" s="46"/>
      <c r="D1344" s="46"/>
      <c r="E1344" s="46"/>
      <c r="F1344" s="46"/>
      <c r="G1344" s="46"/>
      <c r="H1344" s="46"/>
      <c r="I1344" s="46"/>
      <c r="J1344" s="46"/>
      <c r="K1344" s="46"/>
      <c r="L1344" s="46"/>
      <c r="M1344" s="46"/>
      <c r="N1344" s="46"/>
      <c r="O1344" s="46"/>
      <c r="P1344" s="46"/>
      <c r="Q1344" s="46"/>
      <c r="R1344" s="46"/>
      <c r="S1344" s="46"/>
      <c r="T1344" s="46"/>
      <c r="U1344" s="46"/>
      <c r="V1344" s="46"/>
      <c r="W1344" s="46"/>
      <c r="X1344" s="11" t="str">
        <f>IF(COUNTBLANK(B1344:W1344)&gt;0,"NA",'batch classification'!J1350)</f>
        <v>NA</v>
      </c>
    </row>
    <row r="1345" spans="1:24" x14ac:dyDescent="0.25">
      <c r="A1345" s="45"/>
      <c r="B1345" s="46"/>
      <c r="C1345" s="46"/>
      <c r="D1345" s="46"/>
      <c r="E1345" s="46"/>
      <c r="F1345" s="46"/>
      <c r="G1345" s="46"/>
      <c r="H1345" s="46"/>
      <c r="I1345" s="46"/>
      <c r="J1345" s="46"/>
      <c r="K1345" s="46"/>
      <c r="L1345" s="46"/>
      <c r="M1345" s="46"/>
      <c r="N1345" s="46"/>
      <c r="O1345" s="46"/>
      <c r="P1345" s="46"/>
      <c r="Q1345" s="46"/>
      <c r="R1345" s="46"/>
      <c r="S1345" s="46"/>
      <c r="T1345" s="46"/>
      <c r="U1345" s="46"/>
      <c r="V1345" s="46"/>
      <c r="W1345" s="46"/>
      <c r="X1345" s="11" t="str">
        <f>IF(COUNTBLANK(B1345:W1345)&gt;0,"NA",'batch classification'!J1351)</f>
        <v>NA</v>
      </c>
    </row>
    <row r="1346" spans="1:24" x14ac:dyDescent="0.25">
      <c r="A1346" s="45"/>
      <c r="B1346" s="46"/>
      <c r="C1346" s="46"/>
      <c r="D1346" s="46"/>
      <c r="E1346" s="46"/>
      <c r="F1346" s="46"/>
      <c r="G1346" s="46"/>
      <c r="H1346" s="46"/>
      <c r="I1346" s="46"/>
      <c r="J1346" s="46"/>
      <c r="K1346" s="46"/>
      <c r="L1346" s="46"/>
      <c r="M1346" s="46"/>
      <c r="N1346" s="46"/>
      <c r="O1346" s="46"/>
      <c r="P1346" s="46"/>
      <c r="Q1346" s="46"/>
      <c r="R1346" s="46"/>
      <c r="S1346" s="46"/>
      <c r="T1346" s="46"/>
      <c r="U1346" s="46"/>
      <c r="V1346" s="46"/>
      <c r="W1346" s="46"/>
      <c r="X1346" s="11" t="str">
        <f>IF(COUNTBLANK(B1346:W1346)&gt;0,"NA",'batch classification'!J1352)</f>
        <v>NA</v>
      </c>
    </row>
    <row r="1347" spans="1:24" x14ac:dyDescent="0.25">
      <c r="A1347" s="45"/>
      <c r="B1347" s="46"/>
      <c r="C1347" s="46"/>
      <c r="D1347" s="46"/>
      <c r="E1347" s="46"/>
      <c r="F1347" s="46"/>
      <c r="G1347" s="46"/>
      <c r="H1347" s="46"/>
      <c r="I1347" s="46"/>
      <c r="J1347" s="46"/>
      <c r="K1347" s="46"/>
      <c r="L1347" s="46"/>
      <c r="M1347" s="46"/>
      <c r="N1347" s="46"/>
      <c r="O1347" s="46"/>
      <c r="P1347" s="46"/>
      <c r="Q1347" s="46"/>
      <c r="R1347" s="46"/>
      <c r="S1347" s="46"/>
      <c r="T1347" s="46"/>
      <c r="U1347" s="46"/>
      <c r="V1347" s="46"/>
      <c r="W1347" s="46"/>
      <c r="X1347" s="11" t="str">
        <f>IF(COUNTBLANK(B1347:W1347)&gt;0,"NA",'batch classification'!J1353)</f>
        <v>NA</v>
      </c>
    </row>
    <row r="1348" spans="1:24" x14ac:dyDescent="0.25">
      <c r="A1348" s="45"/>
      <c r="B1348" s="46"/>
      <c r="C1348" s="46"/>
      <c r="D1348" s="46"/>
      <c r="E1348" s="46"/>
      <c r="F1348" s="46"/>
      <c r="G1348" s="46"/>
      <c r="H1348" s="46"/>
      <c r="I1348" s="46"/>
      <c r="J1348" s="46"/>
      <c r="K1348" s="46"/>
      <c r="L1348" s="46"/>
      <c r="M1348" s="46"/>
      <c r="N1348" s="46"/>
      <c r="O1348" s="46"/>
      <c r="P1348" s="46"/>
      <c r="Q1348" s="46"/>
      <c r="R1348" s="46"/>
      <c r="S1348" s="46"/>
      <c r="T1348" s="46"/>
      <c r="U1348" s="46"/>
      <c r="V1348" s="46"/>
      <c r="W1348" s="46"/>
      <c r="X1348" s="11" t="str">
        <f>IF(COUNTBLANK(B1348:W1348)&gt;0,"NA",'batch classification'!J1354)</f>
        <v>NA</v>
      </c>
    </row>
    <row r="1349" spans="1:24" x14ac:dyDescent="0.25">
      <c r="A1349" s="45"/>
      <c r="B1349" s="46"/>
      <c r="C1349" s="46"/>
      <c r="D1349" s="46"/>
      <c r="E1349" s="46"/>
      <c r="F1349" s="46"/>
      <c r="G1349" s="46"/>
      <c r="H1349" s="46"/>
      <c r="I1349" s="46"/>
      <c r="J1349" s="46"/>
      <c r="K1349" s="46"/>
      <c r="L1349" s="46"/>
      <c r="M1349" s="46"/>
      <c r="N1349" s="46"/>
      <c r="O1349" s="46"/>
      <c r="P1349" s="46"/>
      <c r="Q1349" s="46"/>
      <c r="R1349" s="46"/>
      <c r="S1349" s="46"/>
      <c r="T1349" s="46"/>
      <c r="U1349" s="46"/>
      <c r="V1349" s="46"/>
      <c r="W1349" s="46"/>
      <c r="X1349" s="11" t="str">
        <f>IF(COUNTBLANK(B1349:W1349)&gt;0,"NA",'batch classification'!J1355)</f>
        <v>NA</v>
      </c>
    </row>
    <row r="1350" spans="1:24" x14ac:dyDescent="0.25">
      <c r="A1350" s="45"/>
      <c r="B1350" s="46"/>
      <c r="C1350" s="46"/>
      <c r="D1350" s="46"/>
      <c r="E1350" s="46"/>
      <c r="F1350" s="46"/>
      <c r="G1350" s="46"/>
      <c r="H1350" s="46"/>
      <c r="I1350" s="46"/>
      <c r="J1350" s="46"/>
      <c r="K1350" s="46"/>
      <c r="L1350" s="46"/>
      <c r="M1350" s="46"/>
      <c r="N1350" s="46"/>
      <c r="O1350" s="46"/>
      <c r="P1350" s="46"/>
      <c r="Q1350" s="46"/>
      <c r="R1350" s="46"/>
      <c r="S1350" s="46"/>
      <c r="T1350" s="46"/>
      <c r="U1350" s="46"/>
      <c r="V1350" s="46"/>
      <c r="W1350" s="46"/>
      <c r="X1350" s="11" t="str">
        <f>IF(COUNTBLANK(B1350:W1350)&gt;0,"NA",'batch classification'!J1356)</f>
        <v>NA</v>
      </c>
    </row>
    <row r="1351" spans="1:24" x14ac:dyDescent="0.25">
      <c r="A1351" s="45"/>
      <c r="B1351" s="46"/>
      <c r="C1351" s="46"/>
      <c r="D1351" s="46"/>
      <c r="E1351" s="46"/>
      <c r="F1351" s="46"/>
      <c r="G1351" s="46"/>
      <c r="H1351" s="46"/>
      <c r="I1351" s="46"/>
      <c r="J1351" s="46"/>
      <c r="K1351" s="46"/>
      <c r="L1351" s="46"/>
      <c r="M1351" s="46"/>
      <c r="N1351" s="46"/>
      <c r="O1351" s="46"/>
      <c r="P1351" s="46"/>
      <c r="Q1351" s="46"/>
      <c r="R1351" s="46"/>
      <c r="S1351" s="46"/>
      <c r="T1351" s="46"/>
      <c r="U1351" s="46"/>
      <c r="V1351" s="46"/>
      <c r="W1351" s="46"/>
      <c r="X1351" s="11" t="str">
        <f>IF(COUNTBLANK(B1351:W1351)&gt;0,"NA",'batch classification'!J1357)</f>
        <v>NA</v>
      </c>
    </row>
    <row r="1352" spans="1:24" x14ac:dyDescent="0.25">
      <c r="A1352" s="45"/>
      <c r="B1352" s="46"/>
      <c r="C1352" s="46"/>
      <c r="D1352" s="46"/>
      <c r="E1352" s="46"/>
      <c r="F1352" s="46"/>
      <c r="G1352" s="46"/>
      <c r="H1352" s="46"/>
      <c r="I1352" s="46"/>
      <c r="J1352" s="46"/>
      <c r="K1352" s="46"/>
      <c r="L1352" s="46"/>
      <c r="M1352" s="46"/>
      <c r="N1352" s="46"/>
      <c r="O1352" s="46"/>
      <c r="P1352" s="46"/>
      <c r="Q1352" s="46"/>
      <c r="R1352" s="46"/>
      <c r="S1352" s="46"/>
      <c r="T1352" s="46"/>
      <c r="U1352" s="46"/>
      <c r="V1352" s="46"/>
      <c r="W1352" s="46"/>
      <c r="X1352" s="11" t="str">
        <f>IF(COUNTBLANK(B1352:W1352)&gt;0,"NA",'batch classification'!J1358)</f>
        <v>NA</v>
      </c>
    </row>
    <row r="1353" spans="1:24" x14ac:dyDescent="0.25">
      <c r="A1353" s="45"/>
      <c r="B1353" s="46"/>
      <c r="C1353" s="46"/>
      <c r="D1353" s="46"/>
      <c r="E1353" s="46"/>
      <c r="F1353" s="46"/>
      <c r="G1353" s="46"/>
      <c r="H1353" s="46"/>
      <c r="I1353" s="46"/>
      <c r="J1353" s="46"/>
      <c r="K1353" s="46"/>
      <c r="L1353" s="46"/>
      <c r="M1353" s="46"/>
      <c r="N1353" s="46"/>
      <c r="O1353" s="46"/>
      <c r="P1353" s="46"/>
      <c r="Q1353" s="46"/>
      <c r="R1353" s="46"/>
      <c r="S1353" s="46"/>
      <c r="T1353" s="46"/>
      <c r="U1353" s="46"/>
      <c r="V1353" s="46"/>
      <c r="W1353" s="46"/>
      <c r="X1353" s="11" t="str">
        <f>IF(COUNTBLANK(B1353:W1353)&gt;0,"NA",'batch classification'!J1359)</f>
        <v>NA</v>
      </c>
    </row>
    <row r="1354" spans="1:24" x14ac:dyDescent="0.25">
      <c r="A1354" s="45"/>
      <c r="B1354" s="46"/>
      <c r="C1354" s="46"/>
      <c r="D1354" s="46"/>
      <c r="E1354" s="46"/>
      <c r="F1354" s="46"/>
      <c r="G1354" s="46"/>
      <c r="H1354" s="46"/>
      <c r="I1354" s="46"/>
      <c r="J1354" s="46"/>
      <c r="K1354" s="46"/>
      <c r="L1354" s="46"/>
      <c r="M1354" s="46"/>
      <c r="N1354" s="46"/>
      <c r="O1354" s="46"/>
      <c r="P1354" s="46"/>
      <c r="Q1354" s="46"/>
      <c r="R1354" s="46"/>
      <c r="S1354" s="46"/>
      <c r="T1354" s="46"/>
      <c r="U1354" s="46"/>
      <c r="V1354" s="46"/>
      <c r="W1354" s="46"/>
      <c r="X1354" s="11" t="str">
        <f>IF(COUNTBLANK(B1354:W1354)&gt;0,"NA",'batch classification'!J1360)</f>
        <v>NA</v>
      </c>
    </row>
    <row r="1355" spans="1:24" x14ac:dyDescent="0.25">
      <c r="A1355" s="45"/>
      <c r="B1355" s="46"/>
      <c r="C1355" s="46"/>
      <c r="D1355" s="46"/>
      <c r="E1355" s="46"/>
      <c r="F1355" s="46"/>
      <c r="G1355" s="46"/>
      <c r="H1355" s="46"/>
      <c r="I1355" s="46"/>
      <c r="J1355" s="46"/>
      <c r="K1355" s="46"/>
      <c r="L1355" s="46"/>
      <c r="M1355" s="46"/>
      <c r="N1355" s="46"/>
      <c r="O1355" s="46"/>
      <c r="P1355" s="46"/>
      <c r="Q1355" s="46"/>
      <c r="R1355" s="46"/>
      <c r="S1355" s="46"/>
      <c r="T1355" s="46"/>
      <c r="U1355" s="46"/>
      <c r="V1355" s="46"/>
      <c r="W1355" s="46"/>
      <c r="X1355" s="11" t="str">
        <f>IF(COUNTBLANK(B1355:W1355)&gt;0,"NA",'batch classification'!J1361)</f>
        <v>NA</v>
      </c>
    </row>
    <row r="1356" spans="1:24" x14ac:dyDescent="0.25">
      <c r="A1356" s="45"/>
      <c r="B1356" s="46"/>
      <c r="C1356" s="46"/>
      <c r="D1356" s="46"/>
      <c r="E1356" s="46"/>
      <c r="F1356" s="46"/>
      <c r="G1356" s="46"/>
      <c r="H1356" s="46"/>
      <c r="I1356" s="46"/>
      <c r="J1356" s="46"/>
      <c r="K1356" s="46"/>
      <c r="L1356" s="46"/>
      <c r="M1356" s="46"/>
      <c r="N1356" s="46"/>
      <c r="O1356" s="46"/>
      <c r="P1356" s="46"/>
      <c r="Q1356" s="46"/>
      <c r="R1356" s="46"/>
      <c r="S1356" s="46"/>
      <c r="T1356" s="46"/>
      <c r="U1356" s="46"/>
      <c r="V1356" s="46"/>
      <c r="W1356" s="46"/>
      <c r="X1356" s="11" t="str">
        <f>IF(COUNTBLANK(B1356:W1356)&gt;0,"NA",'batch classification'!J1362)</f>
        <v>NA</v>
      </c>
    </row>
    <row r="1357" spans="1:24" x14ac:dyDescent="0.25">
      <c r="A1357" s="45"/>
      <c r="B1357" s="46"/>
      <c r="C1357" s="46"/>
      <c r="D1357" s="46"/>
      <c r="E1357" s="46"/>
      <c r="F1357" s="46"/>
      <c r="G1357" s="46"/>
      <c r="H1357" s="46"/>
      <c r="I1357" s="46"/>
      <c r="J1357" s="46"/>
      <c r="K1357" s="46"/>
      <c r="L1357" s="46"/>
      <c r="M1357" s="46"/>
      <c r="N1357" s="46"/>
      <c r="O1357" s="46"/>
      <c r="P1357" s="46"/>
      <c r="Q1357" s="46"/>
      <c r="R1357" s="46"/>
      <c r="S1357" s="46"/>
      <c r="T1357" s="46"/>
      <c r="U1357" s="46"/>
      <c r="V1357" s="46"/>
      <c r="W1357" s="46"/>
      <c r="X1357" s="11" t="str">
        <f>IF(COUNTBLANK(B1357:W1357)&gt;0,"NA",'batch classification'!J1363)</f>
        <v>NA</v>
      </c>
    </row>
    <row r="1358" spans="1:24" x14ac:dyDescent="0.25">
      <c r="A1358" s="45"/>
      <c r="B1358" s="46"/>
      <c r="C1358" s="46"/>
      <c r="D1358" s="46"/>
      <c r="E1358" s="46"/>
      <c r="F1358" s="46"/>
      <c r="G1358" s="46"/>
      <c r="H1358" s="46"/>
      <c r="I1358" s="46"/>
      <c r="J1358" s="46"/>
      <c r="K1358" s="46"/>
      <c r="L1358" s="46"/>
      <c r="M1358" s="46"/>
      <c r="N1358" s="46"/>
      <c r="O1358" s="46"/>
      <c r="P1358" s="46"/>
      <c r="Q1358" s="46"/>
      <c r="R1358" s="46"/>
      <c r="S1358" s="46"/>
      <c r="T1358" s="46"/>
      <c r="U1358" s="46"/>
      <c r="V1358" s="46"/>
      <c r="W1358" s="46"/>
      <c r="X1358" s="11" t="str">
        <f>IF(COUNTBLANK(B1358:W1358)&gt;0,"NA",'batch classification'!J1364)</f>
        <v>NA</v>
      </c>
    </row>
    <row r="1359" spans="1:24" x14ac:dyDescent="0.25">
      <c r="A1359" s="45"/>
      <c r="B1359" s="46"/>
      <c r="C1359" s="46"/>
      <c r="D1359" s="46"/>
      <c r="E1359" s="46"/>
      <c r="F1359" s="46"/>
      <c r="G1359" s="46"/>
      <c r="H1359" s="46"/>
      <c r="I1359" s="46"/>
      <c r="J1359" s="46"/>
      <c r="K1359" s="46"/>
      <c r="L1359" s="46"/>
      <c r="M1359" s="46"/>
      <c r="N1359" s="46"/>
      <c r="O1359" s="46"/>
      <c r="P1359" s="46"/>
      <c r="Q1359" s="46"/>
      <c r="R1359" s="46"/>
      <c r="S1359" s="46"/>
      <c r="T1359" s="46"/>
      <c r="U1359" s="46"/>
      <c r="V1359" s="46"/>
      <c r="W1359" s="46"/>
      <c r="X1359" s="11" t="str">
        <f>IF(COUNTBLANK(B1359:W1359)&gt;0,"NA",'batch classification'!J1365)</f>
        <v>NA</v>
      </c>
    </row>
    <row r="1360" spans="1:24" x14ac:dyDescent="0.25">
      <c r="A1360" s="45"/>
      <c r="B1360" s="46"/>
      <c r="C1360" s="46"/>
      <c r="D1360" s="46"/>
      <c r="E1360" s="46"/>
      <c r="F1360" s="46"/>
      <c r="G1360" s="46"/>
      <c r="H1360" s="46"/>
      <c r="I1360" s="46"/>
      <c r="J1360" s="46"/>
      <c r="K1360" s="46"/>
      <c r="L1360" s="46"/>
      <c r="M1360" s="46"/>
      <c r="N1360" s="46"/>
      <c r="O1360" s="46"/>
      <c r="P1360" s="46"/>
      <c r="Q1360" s="46"/>
      <c r="R1360" s="46"/>
      <c r="S1360" s="46"/>
      <c r="T1360" s="46"/>
      <c r="U1360" s="46"/>
      <c r="V1360" s="46"/>
      <c r="W1360" s="46"/>
      <c r="X1360" s="11" t="str">
        <f>IF(COUNTBLANK(B1360:W1360)&gt;0,"NA",'batch classification'!J1366)</f>
        <v>NA</v>
      </c>
    </row>
    <row r="1361" spans="1:24" x14ac:dyDescent="0.25">
      <c r="A1361" s="45"/>
      <c r="B1361" s="46"/>
      <c r="C1361" s="46"/>
      <c r="D1361" s="46"/>
      <c r="E1361" s="46"/>
      <c r="F1361" s="46"/>
      <c r="G1361" s="46"/>
      <c r="H1361" s="46"/>
      <c r="I1361" s="46"/>
      <c r="J1361" s="46"/>
      <c r="K1361" s="46"/>
      <c r="L1361" s="46"/>
      <c r="M1361" s="46"/>
      <c r="N1361" s="46"/>
      <c r="O1361" s="46"/>
      <c r="P1361" s="46"/>
      <c r="Q1361" s="46"/>
      <c r="R1361" s="46"/>
      <c r="S1361" s="46"/>
      <c r="T1361" s="46"/>
      <c r="U1361" s="46"/>
      <c r="V1361" s="46"/>
      <c r="W1361" s="46"/>
      <c r="X1361" s="11" t="str">
        <f>IF(COUNTBLANK(B1361:W1361)&gt;0,"NA",'batch classification'!J1367)</f>
        <v>NA</v>
      </c>
    </row>
    <row r="1362" spans="1:24" x14ac:dyDescent="0.25">
      <c r="A1362" s="45"/>
      <c r="B1362" s="46"/>
      <c r="C1362" s="46"/>
      <c r="D1362" s="46"/>
      <c r="E1362" s="46"/>
      <c r="F1362" s="46"/>
      <c r="G1362" s="46"/>
      <c r="H1362" s="46"/>
      <c r="I1362" s="46"/>
      <c r="J1362" s="46"/>
      <c r="K1362" s="46"/>
      <c r="L1362" s="46"/>
      <c r="M1362" s="46"/>
      <c r="N1362" s="46"/>
      <c r="O1362" s="46"/>
      <c r="P1362" s="46"/>
      <c r="Q1362" s="46"/>
      <c r="R1362" s="46"/>
      <c r="S1362" s="46"/>
      <c r="T1362" s="46"/>
      <c r="U1362" s="46"/>
      <c r="V1362" s="46"/>
      <c r="W1362" s="46"/>
      <c r="X1362" s="11" t="str">
        <f>IF(COUNTBLANK(B1362:W1362)&gt;0,"NA",'batch classification'!J1368)</f>
        <v>NA</v>
      </c>
    </row>
    <row r="1363" spans="1:24" x14ac:dyDescent="0.25">
      <c r="A1363" s="45"/>
      <c r="B1363" s="46"/>
      <c r="C1363" s="46"/>
      <c r="D1363" s="46"/>
      <c r="E1363" s="46"/>
      <c r="F1363" s="46"/>
      <c r="G1363" s="46"/>
      <c r="H1363" s="46"/>
      <c r="I1363" s="46"/>
      <c r="J1363" s="46"/>
      <c r="K1363" s="46"/>
      <c r="L1363" s="46"/>
      <c r="M1363" s="46"/>
      <c r="N1363" s="46"/>
      <c r="O1363" s="46"/>
      <c r="P1363" s="46"/>
      <c r="Q1363" s="46"/>
      <c r="R1363" s="46"/>
      <c r="S1363" s="46"/>
      <c r="T1363" s="46"/>
      <c r="U1363" s="46"/>
      <c r="V1363" s="46"/>
      <c r="W1363" s="46"/>
      <c r="X1363" s="11" t="str">
        <f>IF(COUNTBLANK(B1363:W1363)&gt;0,"NA",'batch classification'!J1369)</f>
        <v>NA</v>
      </c>
    </row>
    <row r="1364" spans="1:24" x14ac:dyDescent="0.25">
      <c r="A1364" s="45"/>
      <c r="B1364" s="46"/>
      <c r="C1364" s="46"/>
      <c r="D1364" s="46"/>
      <c r="E1364" s="46"/>
      <c r="F1364" s="46"/>
      <c r="G1364" s="46"/>
      <c r="H1364" s="46"/>
      <c r="I1364" s="46"/>
      <c r="J1364" s="46"/>
      <c r="K1364" s="46"/>
      <c r="L1364" s="46"/>
      <c r="M1364" s="46"/>
      <c r="N1364" s="46"/>
      <c r="O1364" s="46"/>
      <c r="P1364" s="46"/>
      <c r="Q1364" s="46"/>
      <c r="R1364" s="46"/>
      <c r="S1364" s="46"/>
      <c r="T1364" s="46"/>
      <c r="U1364" s="46"/>
      <c r="V1364" s="46"/>
      <c r="W1364" s="46"/>
      <c r="X1364" s="11" t="str">
        <f>IF(COUNTBLANK(B1364:W1364)&gt;0,"NA",'batch classification'!J1370)</f>
        <v>NA</v>
      </c>
    </row>
    <row r="1365" spans="1:24" x14ac:dyDescent="0.25">
      <c r="A1365" s="45"/>
      <c r="B1365" s="46"/>
      <c r="C1365" s="46"/>
      <c r="D1365" s="46"/>
      <c r="E1365" s="46"/>
      <c r="F1365" s="46"/>
      <c r="G1365" s="46"/>
      <c r="H1365" s="46"/>
      <c r="I1365" s="46"/>
      <c r="J1365" s="46"/>
      <c r="K1365" s="46"/>
      <c r="L1365" s="46"/>
      <c r="M1365" s="46"/>
      <c r="N1365" s="46"/>
      <c r="O1365" s="46"/>
      <c r="P1365" s="46"/>
      <c r="Q1365" s="46"/>
      <c r="R1365" s="46"/>
      <c r="S1365" s="46"/>
      <c r="T1365" s="46"/>
      <c r="U1365" s="46"/>
      <c r="V1365" s="46"/>
      <c r="W1365" s="46"/>
      <c r="X1365" s="11" t="str">
        <f>IF(COUNTBLANK(B1365:W1365)&gt;0,"NA",'batch classification'!J1371)</f>
        <v>NA</v>
      </c>
    </row>
    <row r="1366" spans="1:24" x14ac:dyDescent="0.25">
      <c r="A1366" s="45"/>
      <c r="B1366" s="46"/>
      <c r="C1366" s="46"/>
      <c r="D1366" s="46"/>
      <c r="E1366" s="46"/>
      <c r="F1366" s="46"/>
      <c r="G1366" s="46"/>
      <c r="H1366" s="46"/>
      <c r="I1366" s="46"/>
      <c r="J1366" s="46"/>
      <c r="K1366" s="46"/>
      <c r="L1366" s="46"/>
      <c r="M1366" s="46"/>
      <c r="N1366" s="46"/>
      <c r="O1366" s="46"/>
      <c r="P1366" s="46"/>
      <c r="Q1366" s="46"/>
      <c r="R1366" s="46"/>
      <c r="S1366" s="46"/>
      <c r="T1366" s="46"/>
      <c r="U1366" s="46"/>
      <c r="V1366" s="46"/>
      <c r="W1366" s="46"/>
      <c r="X1366" s="11" t="str">
        <f>IF(COUNTBLANK(B1366:W1366)&gt;0,"NA",'batch classification'!J1372)</f>
        <v>NA</v>
      </c>
    </row>
    <row r="1367" spans="1:24" x14ac:dyDescent="0.25">
      <c r="A1367" s="45"/>
      <c r="B1367" s="46"/>
      <c r="C1367" s="46"/>
      <c r="D1367" s="46"/>
      <c r="E1367" s="46"/>
      <c r="F1367" s="46"/>
      <c r="G1367" s="46"/>
      <c r="H1367" s="46"/>
      <c r="I1367" s="46"/>
      <c r="J1367" s="46"/>
      <c r="K1367" s="46"/>
      <c r="L1367" s="46"/>
      <c r="M1367" s="46"/>
      <c r="N1367" s="46"/>
      <c r="O1367" s="46"/>
      <c r="P1367" s="46"/>
      <c r="Q1367" s="46"/>
      <c r="R1367" s="46"/>
      <c r="S1367" s="46"/>
      <c r="T1367" s="46"/>
      <c r="U1367" s="46"/>
      <c r="V1367" s="46"/>
      <c r="W1367" s="46"/>
      <c r="X1367" s="11" t="str">
        <f>IF(COUNTBLANK(B1367:W1367)&gt;0,"NA",'batch classification'!J1373)</f>
        <v>NA</v>
      </c>
    </row>
    <row r="1368" spans="1:24" x14ac:dyDescent="0.25">
      <c r="A1368" s="45"/>
      <c r="B1368" s="46"/>
      <c r="C1368" s="46"/>
      <c r="D1368" s="46"/>
      <c r="E1368" s="46"/>
      <c r="F1368" s="46"/>
      <c r="G1368" s="46"/>
      <c r="H1368" s="46"/>
      <c r="I1368" s="46"/>
      <c r="J1368" s="46"/>
      <c r="K1368" s="46"/>
      <c r="L1368" s="46"/>
      <c r="M1368" s="46"/>
      <c r="N1368" s="46"/>
      <c r="O1368" s="46"/>
      <c r="P1368" s="46"/>
      <c r="Q1368" s="46"/>
      <c r="R1368" s="46"/>
      <c r="S1368" s="46"/>
      <c r="T1368" s="46"/>
      <c r="U1368" s="46"/>
      <c r="V1368" s="46"/>
      <c r="W1368" s="46"/>
      <c r="X1368" s="11" t="str">
        <f>IF(COUNTBLANK(B1368:W1368)&gt;0,"NA",'batch classification'!J1374)</f>
        <v>NA</v>
      </c>
    </row>
    <row r="1369" spans="1:24" x14ac:dyDescent="0.25">
      <c r="A1369" s="45"/>
      <c r="B1369" s="46"/>
      <c r="C1369" s="46"/>
      <c r="D1369" s="46"/>
      <c r="E1369" s="46"/>
      <c r="F1369" s="46"/>
      <c r="G1369" s="46"/>
      <c r="H1369" s="46"/>
      <c r="I1369" s="46"/>
      <c r="J1369" s="46"/>
      <c r="K1369" s="46"/>
      <c r="L1369" s="46"/>
      <c r="M1369" s="46"/>
      <c r="N1369" s="46"/>
      <c r="O1369" s="46"/>
      <c r="P1369" s="46"/>
      <c r="Q1369" s="46"/>
      <c r="R1369" s="46"/>
      <c r="S1369" s="46"/>
      <c r="T1369" s="46"/>
      <c r="U1369" s="46"/>
      <c r="V1369" s="46"/>
      <c r="W1369" s="46"/>
      <c r="X1369" s="11" t="str">
        <f>IF(COUNTBLANK(B1369:W1369)&gt;0,"NA",'batch classification'!J1375)</f>
        <v>NA</v>
      </c>
    </row>
    <row r="1370" spans="1:24" x14ac:dyDescent="0.25">
      <c r="A1370" s="45"/>
      <c r="B1370" s="46"/>
      <c r="C1370" s="46"/>
      <c r="D1370" s="46"/>
      <c r="E1370" s="46"/>
      <c r="F1370" s="46"/>
      <c r="G1370" s="46"/>
      <c r="H1370" s="46"/>
      <c r="I1370" s="46"/>
      <c r="J1370" s="46"/>
      <c r="K1370" s="46"/>
      <c r="L1370" s="46"/>
      <c r="M1370" s="46"/>
      <c r="N1370" s="46"/>
      <c r="O1370" s="46"/>
      <c r="P1370" s="46"/>
      <c r="Q1370" s="46"/>
      <c r="R1370" s="46"/>
      <c r="S1370" s="46"/>
      <c r="T1370" s="46"/>
      <c r="U1370" s="46"/>
      <c r="V1370" s="46"/>
      <c r="W1370" s="46"/>
      <c r="X1370" s="11" t="str">
        <f>IF(COUNTBLANK(B1370:W1370)&gt;0,"NA",'batch classification'!J1376)</f>
        <v>NA</v>
      </c>
    </row>
    <row r="1371" spans="1:24" x14ac:dyDescent="0.25">
      <c r="A1371" s="45"/>
      <c r="B1371" s="46"/>
      <c r="C1371" s="46"/>
      <c r="D1371" s="46"/>
      <c r="E1371" s="46"/>
      <c r="F1371" s="46"/>
      <c r="G1371" s="46"/>
      <c r="H1371" s="46"/>
      <c r="I1371" s="46"/>
      <c r="J1371" s="46"/>
      <c r="K1371" s="46"/>
      <c r="L1371" s="46"/>
      <c r="M1371" s="46"/>
      <c r="N1371" s="46"/>
      <c r="O1371" s="46"/>
      <c r="P1371" s="46"/>
      <c r="Q1371" s="46"/>
      <c r="R1371" s="46"/>
      <c r="S1371" s="46"/>
      <c r="T1371" s="46"/>
      <c r="U1371" s="46"/>
      <c r="V1371" s="46"/>
      <c r="W1371" s="46"/>
      <c r="X1371" s="11" t="str">
        <f>IF(COUNTBLANK(B1371:W1371)&gt;0,"NA",'batch classification'!J1377)</f>
        <v>NA</v>
      </c>
    </row>
    <row r="1372" spans="1:24" x14ac:dyDescent="0.25">
      <c r="A1372" s="45"/>
      <c r="B1372" s="46"/>
      <c r="C1372" s="46"/>
      <c r="D1372" s="46"/>
      <c r="E1372" s="46"/>
      <c r="F1372" s="46"/>
      <c r="G1372" s="46"/>
      <c r="H1372" s="46"/>
      <c r="I1372" s="46"/>
      <c r="J1372" s="46"/>
      <c r="K1372" s="46"/>
      <c r="L1372" s="46"/>
      <c r="M1372" s="46"/>
      <c r="N1372" s="46"/>
      <c r="O1372" s="46"/>
      <c r="P1372" s="46"/>
      <c r="Q1372" s="46"/>
      <c r="R1372" s="46"/>
      <c r="S1372" s="46"/>
      <c r="T1372" s="46"/>
      <c r="U1372" s="46"/>
      <c r="V1372" s="46"/>
      <c r="W1372" s="46"/>
      <c r="X1372" s="11" t="str">
        <f>IF(COUNTBLANK(B1372:W1372)&gt;0,"NA",'batch classification'!J1378)</f>
        <v>NA</v>
      </c>
    </row>
    <row r="1373" spans="1:24" x14ac:dyDescent="0.25">
      <c r="A1373" s="45"/>
      <c r="B1373" s="46"/>
      <c r="C1373" s="46"/>
      <c r="D1373" s="46"/>
      <c r="E1373" s="46"/>
      <c r="F1373" s="46"/>
      <c r="G1373" s="46"/>
      <c r="H1373" s="46"/>
      <c r="I1373" s="46"/>
      <c r="J1373" s="46"/>
      <c r="K1373" s="46"/>
      <c r="L1373" s="46"/>
      <c r="M1373" s="46"/>
      <c r="N1373" s="46"/>
      <c r="O1373" s="46"/>
      <c r="P1373" s="46"/>
      <c r="Q1373" s="46"/>
      <c r="R1373" s="46"/>
      <c r="S1373" s="46"/>
      <c r="T1373" s="46"/>
      <c r="U1373" s="46"/>
      <c r="V1373" s="46"/>
      <c r="W1373" s="46"/>
      <c r="X1373" s="11" t="str">
        <f>IF(COUNTBLANK(B1373:W1373)&gt;0,"NA",'batch classification'!J1379)</f>
        <v>NA</v>
      </c>
    </row>
    <row r="1374" spans="1:24" x14ac:dyDescent="0.25">
      <c r="A1374" s="45"/>
      <c r="B1374" s="46"/>
      <c r="C1374" s="46"/>
      <c r="D1374" s="46"/>
      <c r="E1374" s="46"/>
      <c r="F1374" s="46"/>
      <c r="G1374" s="46"/>
      <c r="H1374" s="46"/>
      <c r="I1374" s="46"/>
      <c r="J1374" s="46"/>
      <c r="K1374" s="46"/>
      <c r="L1374" s="46"/>
      <c r="M1374" s="46"/>
      <c r="N1374" s="46"/>
      <c r="O1374" s="46"/>
      <c r="P1374" s="46"/>
      <c r="Q1374" s="46"/>
      <c r="R1374" s="46"/>
      <c r="S1374" s="46"/>
      <c r="T1374" s="46"/>
      <c r="U1374" s="46"/>
      <c r="V1374" s="46"/>
      <c r="W1374" s="46"/>
      <c r="X1374" s="11" t="str">
        <f>IF(COUNTBLANK(B1374:W1374)&gt;0,"NA",'batch classification'!J1380)</f>
        <v>NA</v>
      </c>
    </row>
    <row r="1375" spans="1:24" x14ac:dyDescent="0.25">
      <c r="A1375" s="45"/>
      <c r="B1375" s="46"/>
      <c r="C1375" s="46"/>
      <c r="D1375" s="46"/>
      <c r="E1375" s="46"/>
      <c r="F1375" s="46"/>
      <c r="G1375" s="46"/>
      <c r="H1375" s="46"/>
      <c r="I1375" s="46"/>
      <c r="J1375" s="46"/>
      <c r="K1375" s="46"/>
      <c r="L1375" s="46"/>
      <c r="M1375" s="46"/>
      <c r="N1375" s="46"/>
      <c r="O1375" s="46"/>
      <c r="P1375" s="46"/>
      <c r="Q1375" s="46"/>
      <c r="R1375" s="46"/>
      <c r="S1375" s="46"/>
      <c r="T1375" s="46"/>
      <c r="U1375" s="46"/>
      <c r="V1375" s="46"/>
      <c r="W1375" s="46"/>
      <c r="X1375" s="11" t="str">
        <f>IF(COUNTBLANK(B1375:W1375)&gt;0,"NA",'batch classification'!J1381)</f>
        <v>NA</v>
      </c>
    </row>
    <row r="1376" spans="1:24" x14ac:dyDescent="0.25">
      <c r="A1376" s="45"/>
      <c r="B1376" s="46"/>
      <c r="C1376" s="46"/>
      <c r="D1376" s="46"/>
      <c r="E1376" s="46"/>
      <c r="F1376" s="46"/>
      <c r="G1376" s="46"/>
      <c r="H1376" s="46"/>
      <c r="I1376" s="46"/>
      <c r="J1376" s="46"/>
      <c r="K1376" s="46"/>
      <c r="L1376" s="46"/>
      <c r="M1376" s="46"/>
      <c r="N1376" s="46"/>
      <c r="O1376" s="46"/>
      <c r="P1376" s="46"/>
      <c r="Q1376" s="46"/>
      <c r="R1376" s="46"/>
      <c r="S1376" s="46"/>
      <c r="T1376" s="46"/>
      <c r="U1376" s="46"/>
      <c r="V1376" s="46"/>
      <c r="W1376" s="46"/>
      <c r="X1376" s="11" t="str">
        <f>IF(COUNTBLANK(B1376:W1376)&gt;0,"NA",'batch classification'!J1382)</f>
        <v>NA</v>
      </c>
    </row>
    <row r="1377" spans="1:24" x14ac:dyDescent="0.25">
      <c r="A1377" s="45"/>
      <c r="B1377" s="46"/>
      <c r="C1377" s="46"/>
      <c r="D1377" s="46"/>
      <c r="E1377" s="46"/>
      <c r="F1377" s="46"/>
      <c r="G1377" s="46"/>
      <c r="H1377" s="46"/>
      <c r="I1377" s="46"/>
      <c r="J1377" s="46"/>
      <c r="K1377" s="46"/>
      <c r="L1377" s="46"/>
      <c r="M1377" s="46"/>
      <c r="N1377" s="46"/>
      <c r="O1377" s="46"/>
      <c r="P1377" s="46"/>
      <c r="Q1377" s="46"/>
      <c r="R1377" s="46"/>
      <c r="S1377" s="46"/>
      <c r="T1377" s="46"/>
      <c r="U1377" s="46"/>
      <c r="V1377" s="46"/>
      <c r="W1377" s="46"/>
      <c r="X1377" s="11" t="str">
        <f>IF(COUNTBLANK(B1377:W1377)&gt;0,"NA",'batch classification'!J1383)</f>
        <v>NA</v>
      </c>
    </row>
    <row r="1378" spans="1:24" x14ac:dyDescent="0.25">
      <c r="A1378" s="45"/>
      <c r="B1378" s="46"/>
      <c r="C1378" s="46"/>
      <c r="D1378" s="46"/>
      <c r="E1378" s="46"/>
      <c r="F1378" s="46"/>
      <c r="G1378" s="46"/>
      <c r="H1378" s="46"/>
      <c r="I1378" s="46"/>
      <c r="J1378" s="46"/>
      <c r="K1378" s="46"/>
      <c r="L1378" s="46"/>
      <c r="M1378" s="46"/>
      <c r="N1378" s="46"/>
      <c r="O1378" s="46"/>
      <c r="P1378" s="46"/>
      <c r="Q1378" s="46"/>
      <c r="R1378" s="46"/>
      <c r="S1378" s="46"/>
      <c r="T1378" s="46"/>
      <c r="U1378" s="46"/>
      <c r="V1378" s="46"/>
      <c r="W1378" s="46"/>
      <c r="X1378" s="11" t="str">
        <f>IF(COUNTBLANK(B1378:W1378)&gt;0,"NA",'batch classification'!J1384)</f>
        <v>NA</v>
      </c>
    </row>
    <row r="1379" spans="1:24" x14ac:dyDescent="0.25">
      <c r="A1379" s="45"/>
      <c r="B1379" s="46"/>
      <c r="C1379" s="46"/>
      <c r="D1379" s="46"/>
      <c r="E1379" s="46"/>
      <c r="F1379" s="46"/>
      <c r="G1379" s="46"/>
      <c r="H1379" s="46"/>
      <c r="I1379" s="46"/>
      <c r="J1379" s="46"/>
      <c r="K1379" s="46"/>
      <c r="L1379" s="46"/>
      <c r="M1379" s="46"/>
      <c r="N1379" s="46"/>
      <c r="O1379" s="46"/>
      <c r="P1379" s="46"/>
      <c r="Q1379" s="46"/>
      <c r="R1379" s="46"/>
      <c r="S1379" s="46"/>
      <c r="T1379" s="46"/>
      <c r="U1379" s="46"/>
      <c r="V1379" s="46"/>
      <c r="W1379" s="46"/>
      <c r="X1379" s="11" t="str">
        <f>IF(COUNTBLANK(B1379:W1379)&gt;0,"NA",'batch classification'!J1385)</f>
        <v>NA</v>
      </c>
    </row>
    <row r="1380" spans="1:24" x14ac:dyDescent="0.25">
      <c r="A1380" s="45"/>
      <c r="B1380" s="46"/>
      <c r="C1380" s="46"/>
      <c r="D1380" s="46"/>
      <c r="E1380" s="46"/>
      <c r="F1380" s="46"/>
      <c r="G1380" s="46"/>
      <c r="H1380" s="46"/>
      <c r="I1380" s="46"/>
      <c r="J1380" s="46"/>
      <c r="K1380" s="46"/>
      <c r="L1380" s="46"/>
      <c r="M1380" s="46"/>
      <c r="N1380" s="46"/>
      <c r="O1380" s="46"/>
      <c r="P1380" s="46"/>
      <c r="Q1380" s="46"/>
      <c r="R1380" s="46"/>
      <c r="S1380" s="46"/>
      <c r="T1380" s="46"/>
      <c r="U1380" s="46"/>
      <c r="V1380" s="46"/>
      <c r="W1380" s="46"/>
      <c r="X1380" s="11" t="str">
        <f>IF(COUNTBLANK(B1380:W1380)&gt;0,"NA",'batch classification'!J1386)</f>
        <v>NA</v>
      </c>
    </row>
    <row r="1381" spans="1:24" x14ac:dyDescent="0.25">
      <c r="A1381" s="45"/>
      <c r="B1381" s="46"/>
      <c r="C1381" s="46"/>
      <c r="D1381" s="46"/>
      <c r="E1381" s="46"/>
      <c r="F1381" s="46"/>
      <c r="G1381" s="46"/>
      <c r="H1381" s="46"/>
      <c r="I1381" s="46"/>
      <c r="J1381" s="46"/>
      <c r="K1381" s="46"/>
      <c r="L1381" s="46"/>
      <c r="M1381" s="46"/>
      <c r="N1381" s="46"/>
      <c r="O1381" s="46"/>
      <c r="P1381" s="46"/>
      <c r="Q1381" s="46"/>
      <c r="R1381" s="46"/>
      <c r="S1381" s="46"/>
      <c r="T1381" s="46"/>
      <c r="U1381" s="46"/>
      <c r="V1381" s="46"/>
      <c r="W1381" s="46"/>
      <c r="X1381" s="11" t="str">
        <f>IF(COUNTBLANK(B1381:W1381)&gt;0,"NA",'batch classification'!J1387)</f>
        <v>NA</v>
      </c>
    </row>
    <row r="1382" spans="1:24" x14ac:dyDescent="0.25">
      <c r="A1382" s="45"/>
      <c r="B1382" s="46"/>
      <c r="C1382" s="46"/>
      <c r="D1382" s="46"/>
      <c r="E1382" s="46"/>
      <c r="F1382" s="46"/>
      <c r="G1382" s="46"/>
      <c r="H1382" s="46"/>
      <c r="I1382" s="46"/>
      <c r="J1382" s="46"/>
      <c r="K1382" s="46"/>
      <c r="L1382" s="46"/>
      <c r="M1382" s="46"/>
      <c r="N1382" s="46"/>
      <c r="O1382" s="46"/>
      <c r="P1382" s="46"/>
      <c r="Q1382" s="46"/>
      <c r="R1382" s="46"/>
      <c r="S1382" s="46"/>
      <c r="T1382" s="46"/>
      <c r="U1382" s="46"/>
      <c r="V1382" s="46"/>
      <c r="W1382" s="46"/>
      <c r="X1382" s="11" t="str">
        <f>IF(COUNTBLANK(B1382:W1382)&gt;0,"NA",'batch classification'!J1388)</f>
        <v>NA</v>
      </c>
    </row>
    <row r="1383" spans="1:24" x14ac:dyDescent="0.25">
      <c r="A1383" s="45"/>
      <c r="B1383" s="46"/>
      <c r="C1383" s="46"/>
      <c r="D1383" s="46"/>
      <c r="E1383" s="46"/>
      <c r="F1383" s="46"/>
      <c r="G1383" s="46"/>
      <c r="H1383" s="46"/>
      <c r="I1383" s="46"/>
      <c r="J1383" s="46"/>
      <c r="K1383" s="46"/>
      <c r="L1383" s="46"/>
      <c r="M1383" s="46"/>
      <c r="N1383" s="46"/>
      <c r="O1383" s="46"/>
      <c r="P1383" s="46"/>
      <c r="Q1383" s="46"/>
      <c r="R1383" s="46"/>
      <c r="S1383" s="46"/>
      <c r="T1383" s="46"/>
      <c r="U1383" s="46"/>
      <c r="V1383" s="46"/>
      <c r="W1383" s="46"/>
      <c r="X1383" s="11" t="str">
        <f>IF(COUNTBLANK(B1383:W1383)&gt;0,"NA",'batch classification'!J1389)</f>
        <v>NA</v>
      </c>
    </row>
    <row r="1384" spans="1:24" x14ac:dyDescent="0.25">
      <c r="A1384" s="45"/>
      <c r="B1384" s="46"/>
      <c r="C1384" s="46"/>
      <c r="D1384" s="46"/>
      <c r="E1384" s="46"/>
      <c r="F1384" s="46"/>
      <c r="G1384" s="46"/>
      <c r="H1384" s="46"/>
      <c r="I1384" s="46"/>
      <c r="J1384" s="46"/>
      <c r="K1384" s="46"/>
      <c r="L1384" s="46"/>
      <c r="M1384" s="46"/>
      <c r="N1384" s="46"/>
      <c r="O1384" s="46"/>
      <c r="P1384" s="46"/>
      <c r="Q1384" s="46"/>
      <c r="R1384" s="46"/>
      <c r="S1384" s="46"/>
      <c r="T1384" s="46"/>
      <c r="U1384" s="46"/>
      <c r="V1384" s="46"/>
      <c r="W1384" s="46"/>
      <c r="X1384" s="11" t="str">
        <f>IF(COUNTBLANK(B1384:W1384)&gt;0,"NA",'batch classification'!J1390)</f>
        <v>NA</v>
      </c>
    </row>
    <row r="1385" spans="1:24" x14ac:dyDescent="0.25">
      <c r="A1385" s="45"/>
      <c r="B1385" s="46"/>
      <c r="C1385" s="46"/>
      <c r="D1385" s="46"/>
      <c r="E1385" s="46"/>
      <c r="F1385" s="46"/>
      <c r="G1385" s="46"/>
      <c r="H1385" s="46"/>
      <c r="I1385" s="46"/>
      <c r="J1385" s="46"/>
      <c r="K1385" s="46"/>
      <c r="L1385" s="46"/>
      <c r="M1385" s="46"/>
      <c r="N1385" s="46"/>
      <c r="O1385" s="46"/>
      <c r="P1385" s="46"/>
      <c r="Q1385" s="46"/>
      <c r="R1385" s="46"/>
      <c r="S1385" s="46"/>
      <c r="T1385" s="46"/>
      <c r="U1385" s="46"/>
      <c r="V1385" s="46"/>
      <c r="W1385" s="46"/>
      <c r="X1385" s="11" t="str">
        <f>IF(COUNTBLANK(B1385:W1385)&gt;0,"NA",'batch classification'!J1391)</f>
        <v>NA</v>
      </c>
    </row>
    <row r="1386" spans="1:24" x14ac:dyDescent="0.25">
      <c r="A1386" s="45"/>
      <c r="B1386" s="46"/>
      <c r="C1386" s="46"/>
      <c r="D1386" s="46"/>
      <c r="E1386" s="46"/>
      <c r="F1386" s="46"/>
      <c r="G1386" s="46"/>
      <c r="H1386" s="46"/>
      <c r="I1386" s="46"/>
      <c r="J1386" s="46"/>
      <c r="K1386" s="46"/>
      <c r="L1386" s="46"/>
      <c r="M1386" s="46"/>
      <c r="N1386" s="46"/>
      <c r="O1386" s="46"/>
      <c r="P1386" s="46"/>
      <c r="Q1386" s="46"/>
      <c r="R1386" s="46"/>
      <c r="S1386" s="46"/>
      <c r="T1386" s="46"/>
      <c r="U1386" s="46"/>
      <c r="V1386" s="46"/>
      <c r="W1386" s="46"/>
      <c r="X1386" s="11" t="str">
        <f>IF(COUNTBLANK(B1386:W1386)&gt;0,"NA",'batch classification'!J1392)</f>
        <v>NA</v>
      </c>
    </row>
    <row r="1387" spans="1:24" x14ac:dyDescent="0.25">
      <c r="A1387" s="45"/>
      <c r="B1387" s="46"/>
      <c r="C1387" s="46"/>
      <c r="D1387" s="46"/>
      <c r="E1387" s="46"/>
      <c r="F1387" s="46"/>
      <c r="G1387" s="46"/>
      <c r="H1387" s="46"/>
      <c r="I1387" s="46"/>
      <c r="J1387" s="46"/>
      <c r="K1387" s="46"/>
      <c r="L1387" s="46"/>
      <c r="M1387" s="46"/>
      <c r="N1387" s="46"/>
      <c r="O1387" s="46"/>
      <c r="P1387" s="46"/>
      <c r="Q1387" s="46"/>
      <c r="R1387" s="46"/>
      <c r="S1387" s="46"/>
      <c r="T1387" s="46"/>
      <c r="U1387" s="46"/>
      <c r="V1387" s="46"/>
      <c r="W1387" s="46"/>
      <c r="X1387" s="11" t="str">
        <f>IF(COUNTBLANK(B1387:W1387)&gt;0,"NA",'batch classification'!J1393)</f>
        <v>NA</v>
      </c>
    </row>
    <row r="1388" spans="1:24" x14ac:dyDescent="0.25">
      <c r="A1388" s="45"/>
      <c r="B1388" s="46"/>
      <c r="C1388" s="46"/>
      <c r="D1388" s="46"/>
      <c r="E1388" s="46"/>
      <c r="F1388" s="46"/>
      <c r="G1388" s="46"/>
      <c r="H1388" s="46"/>
      <c r="I1388" s="46"/>
      <c r="J1388" s="46"/>
      <c r="K1388" s="46"/>
      <c r="L1388" s="46"/>
      <c r="M1388" s="46"/>
      <c r="N1388" s="46"/>
      <c r="O1388" s="46"/>
      <c r="P1388" s="46"/>
      <c r="Q1388" s="46"/>
      <c r="R1388" s="46"/>
      <c r="S1388" s="46"/>
      <c r="T1388" s="46"/>
      <c r="U1388" s="46"/>
      <c r="V1388" s="46"/>
      <c r="W1388" s="46"/>
      <c r="X1388" s="11" t="str">
        <f>IF(COUNTBLANK(B1388:W1388)&gt;0,"NA",'batch classification'!J1394)</f>
        <v>NA</v>
      </c>
    </row>
    <row r="1389" spans="1:24" x14ac:dyDescent="0.25">
      <c r="A1389" s="45"/>
      <c r="B1389" s="46"/>
      <c r="C1389" s="46"/>
      <c r="D1389" s="46"/>
      <c r="E1389" s="46"/>
      <c r="F1389" s="46"/>
      <c r="G1389" s="46"/>
      <c r="H1389" s="46"/>
      <c r="I1389" s="46"/>
      <c r="J1389" s="46"/>
      <c r="K1389" s="46"/>
      <c r="L1389" s="46"/>
      <c r="M1389" s="46"/>
      <c r="N1389" s="46"/>
      <c r="O1389" s="46"/>
      <c r="P1389" s="46"/>
      <c r="Q1389" s="46"/>
      <c r="R1389" s="46"/>
      <c r="S1389" s="46"/>
      <c r="T1389" s="46"/>
      <c r="U1389" s="46"/>
      <c r="V1389" s="46"/>
      <c r="W1389" s="46"/>
      <c r="X1389" s="11" t="str">
        <f>IF(COUNTBLANK(B1389:W1389)&gt;0,"NA",'batch classification'!J1395)</f>
        <v>NA</v>
      </c>
    </row>
    <row r="1390" spans="1:24" x14ac:dyDescent="0.25">
      <c r="A1390" s="45"/>
      <c r="B1390" s="46"/>
      <c r="C1390" s="46"/>
      <c r="D1390" s="46"/>
      <c r="E1390" s="46"/>
      <c r="F1390" s="46"/>
      <c r="G1390" s="46"/>
      <c r="H1390" s="46"/>
      <c r="I1390" s="46"/>
      <c r="J1390" s="46"/>
      <c r="K1390" s="46"/>
      <c r="L1390" s="46"/>
      <c r="M1390" s="46"/>
      <c r="N1390" s="46"/>
      <c r="O1390" s="46"/>
      <c r="P1390" s="46"/>
      <c r="Q1390" s="46"/>
      <c r="R1390" s="46"/>
      <c r="S1390" s="46"/>
      <c r="T1390" s="46"/>
      <c r="U1390" s="46"/>
      <c r="V1390" s="46"/>
      <c r="W1390" s="46"/>
      <c r="X1390" s="11" t="str">
        <f>IF(COUNTBLANK(B1390:W1390)&gt;0,"NA",'batch classification'!J1396)</f>
        <v>NA</v>
      </c>
    </row>
    <row r="1391" spans="1:24" x14ac:dyDescent="0.25">
      <c r="A1391" s="45"/>
      <c r="B1391" s="46"/>
      <c r="C1391" s="46"/>
      <c r="D1391" s="46"/>
      <c r="E1391" s="46"/>
      <c r="F1391" s="46"/>
      <c r="G1391" s="46"/>
      <c r="H1391" s="46"/>
      <c r="I1391" s="46"/>
      <c r="J1391" s="46"/>
      <c r="K1391" s="46"/>
      <c r="L1391" s="46"/>
      <c r="M1391" s="46"/>
      <c r="N1391" s="46"/>
      <c r="O1391" s="46"/>
      <c r="P1391" s="46"/>
      <c r="Q1391" s="46"/>
      <c r="R1391" s="46"/>
      <c r="S1391" s="46"/>
      <c r="T1391" s="46"/>
      <c r="U1391" s="46"/>
      <c r="V1391" s="46"/>
      <c r="W1391" s="46"/>
      <c r="X1391" s="11" t="str">
        <f>IF(COUNTBLANK(B1391:W1391)&gt;0,"NA",'batch classification'!J1397)</f>
        <v>NA</v>
      </c>
    </row>
    <row r="1392" spans="1:24" x14ac:dyDescent="0.25">
      <c r="A1392" s="45"/>
      <c r="B1392" s="46"/>
      <c r="C1392" s="46"/>
      <c r="D1392" s="46"/>
      <c r="E1392" s="46"/>
      <c r="F1392" s="46"/>
      <c r="G1392" s="46"/>
      <c r="H1392" s="46"/>
      <c r="I1392" s="46"/>
      <c r="J1392" s="46"/>
      <c r="K1392" s="46"/>
      <c r="L1392" s="46"/>
      <c r="M1392" s="46"/>
      <c r="N1392" s="46"/>
      <c r="O1392" s="46"/>
      <c r="P1392" s="46"/>
      <c r="Q1392" s="46"/>
      <c r="R1392" s="46"/>
      <c r="S1392" s="46"/>
      <c r="T1392" s="46"/>
      <c r="U1392" s="46"/>
      <c r="V1392" s="46"/>
      <c r="W1392" s="46"/>
      <c r="X1392" s="11" t="str">
        <f>IF(COUNTBLANK(B1392:W1392)&gt;0,"NA",'batch classification'!J1398)</f>
        <v>NA</v>
      </c>
    </row>
    <row r="1393" spans="1:24" x14ac:dyDescent="0.25">
      <c r="A1393" s="45"/>
      <c r="B1393" s="46"/>
      <c r="C1393" s="46"/>
      <c r="D1393" s="46"/>
      <c r="E1393" s="46"/>
      <c r="F1393" s="46"/>
      <c r="G1393" s="46"/>
      <c r="H1393" s="46"/>
      <c r="I1393" s="46"/>
      <c r="J1393" s="46"/>
      <c r="K1393" s="46"/>
      <c r="L1393" s="46"/>
      <c r="M1393" s="46"/>
      <c r="N1393" s="46"/>
      <c r="O1393" s="46"/>
      <c r="P1393" s="46"/>
      <c r="Q1393" s="46"/>
      <c r="R1393" s="46"/>
      <c r="S1393" s="46"/>
      <c r="T1393" s="46"/>
      <c r="U1393" s="46"/>
      <c r="V1393" s="46"/>
      <c r="W1393" s="46"/>
      <c r="X1393" s="11" t="str">
        <f>IF(COUNTBLANK(B1393:W1393)&gt;0,"NA",'batch classification'!J1399)</f>
        <v>NA</v>
      </c>
    </row>
    <row r="1394" spans="1:24" x14ac:dyDescent="0.25">
      <c r="A1394" s="45"/>
      <c r="B1394" s="46"/>
      <c r="C1394" s="46"/>
      <c r="D1394" s="46"/>
      <c r="E1394" s="46"/>
      <c r="F1394" s="46"/>
      <c r="G1394" s="46"/>
      <c r="H1394" s="46"/>
      <c r="I1394" s="46"/>
      <c r="J1394" s="46"/>
      <c r="K1394" s="46"/>
      <c r="L1394" s="46"/>
      <c r="M1394" s="46"/>
      <c r="N1394" s="46"/>
      <c r="O1394" s="46"/>
      <c r="P1394" s="46"/>
      <c r="Q1394" s="46"/>
      <c r="R1394" s="46"/>
      <c r="S1394" s="46"/>
      <c r="T1394" s="46"/>
      <c r="U1394" s="46"/>
      <c r="V1394" s="46"/>
      <c r="W1394" s="46"/>
      <c r="X1394" s="11" t="str">
        <f>IF(COUNTBLANK(B1394:W1394)&gt;0,"NA",'batch classification'!J1400)</f>
        <v>NA</v>
      </c>
    </row>
    <row r="1395" spans="1:24" x14ac:dyDescent="0.25">
      <c r="A1395" s="45"/>
      <c r="B1395" s="46"/>
      <c r="C1395" s="46"/>
      <c r="D1395" s="46"/>
      <c r="E1395" s="46"/>
      <c r="F1395" s="46"/>
      <c r="G1395" s="46"/>
      <c r="H1395" s="46"/>
      <c r="I1395" s="46"/>
      <c r="J1395" s="46"/>
      <c r="K1395" s="46"/>
      <c r="L1395" s="46"/>
      <c r="M1395" s="46"/>
      <c r="N1395" s="46"/>
      <c r="O1395" s="46"/>
      <c r="P1395" s="46"/>
      <c r="Q1395" s="46"/>
      <c r="R1395" s="46"/>
      <c r="S1395" s="46"/>
      <c r="T1395" s="46"/>
      <c r="U1395" s="46"/>
      <c r="V1395" s="46"/>
      <c r="W1395" s="46"/>
      <c r="X1395" s="11" t="str">
        <f>IF(COUNTBLANK(B1395:W1395)&gt;0,"NA",'batch classification'!J1401)</f>
        <v>NA</v>
      </c>
    </row>
    <row r="1396" spans="1:24" x14ac:dyDescent="0.25">
      <c r="A1396" s="45"/>
      <c r="B1396" s="46"/>
      <c r="C1396" s="46"/>
      <c r="D1396" s="46"/>
      <c r="E1396" s="46"/>
      <c r="F1396" s="46"/>
      <c r="G1396" s="46"/>
      <c r="H1396" s="46"/>
      <c r="I1396" s="46"/>
      <c r="J1396" s="46"/>
      <c r="K1396" s="46"/>
      <c r="L1396" s="46"/>
      <c r="M1396" s="46"/>
      <c r="N1396" s="46"/>
      <c r="O1396" s="46"/>
      <c r="P1396" s="46"/>
      <c r="Q1396" s="46"/>
      <c r="R1396" s="46"/>
      <c r="S1396" s="46"/>
      <c r="T1396" s="46"/>
      <c r="U1396" s="46"/>
      <c r="V1396" s="46"/>
      <c r="W1396" s="46"/>
      <c r="X1396" s="11" t="str">
        <f>IF(COUNTBLANK(B1396:W1396)&gt;0,"NA",'batch classification'!J1402)</f>
        <v>NA</v>
      </c>
    </row>
    <row r="1397" spans="1:24" x14ac:dyDescent="0.25">
      <c r="A1397" s="45"/>
      <c r="B1397" s="46"/>
      <c r="C1397" s="46"/>
      <c r="D1397" s="46"/>
      <c r="E1397" s="46"/>
      <c r="F1397" s="46"/>
      <c r="G1397" s="46"/>
      <c r="H1397" s="46"/>
      <c r="I1397" s="46"/>
      <c r="J1397" s="46"/>
      <c r="K1397" s="46"/>
      <c r="L1397" s="46"/>
      <c r="M1397" s="46"/>
      <c r="N1397" s="46"/>
      <c r="O1397" s="46"/>
      <c r="P1397" s="46"/>
      <c r="Q1397" s="46"/>
      <c r="R1397" s="46"/>
      <c r="S1397" s="46"/>
      <c r="T1397" s="46"/>
      <c r="U1397" s="46"/>
      <c r="V1397" s="46"/>
      <c r="W1397" s="46"/>
      <c r="X1397" s="11" t="str">
        <f>IF(COUNTBLANK(B1397:W1397)&gt;0,"NA",'batch classification'!J1403)</f>
        <v>NA</v>
      </c>
    </row>
    <row r="1398" spans="1:24" x14ac:dyDescent="0.25">
      <c r="A1398" s="45"/>
      <c r="B1398" s="46"/>
      <c r="C1398" s="46"/>
      <c r="D1398" s="46"/>
      <c r="E1398" s="46"/>
      <c r="F1398" s="46"/>
      <c r="G1398" s="46"/>
      <c r="H1398" s="46"/>
      <c r="I1398" s="46"/>
      <c r="J1398" s="46"/>
      <c r="K1398" s="46"/>
      <c r="L1398" s="46"/>
      <c r="M1398" s="46"/>
      <c r="N1398" s="46"/>
      <c r="O1398" s="46"/>
      <c r="P1398" s="46"/>
      <c r="Q1398" s="46"/>
      <c r="R1398" s="46"/>
      <c r="S1398" s="46"/>
      <c r="T1398" s="46"/>
      <c r="U1398" s="46"/>
      <c r="V1398" s="46"/>
      <c r="W1398" s="46"/>
      <c r="X1398" s="11" t="str">
        <f>IF(COUNTBLANK(B1398:W1398)&gt;0,"NA",'batch classification'!J1404)</f>
        <v>NA</v>
      </c>
    </row>
    <row r="1399" spans="1:24" x14ac:dyDescent="0.25">
      <c r="A1399" s="45"/>
      <c r="B1399" s="46"/>
      <c r="C1399" s="46"/>
      <c r="D1399" s="46"/>
      <c r="E1399" s="46"/>
      <c r="F1399" s="46"/>
      <c r="G1399" s="46"/>
      <c r="H1399" s="46"/>
      <c r="I1399" s="46"/>
      <c r="J1399" s="46"/>
      <c r="K1399" s="46"/>
      <c r="L1399" s="46"/>
      <c r="M1399" s="46"/>
      <c r="N1399" s="46"/>
      <c r="O1399" s="46"/>
      <c r="P1399" s="46"/>
      <c r="Q1399" s="46"/>
      <c r="R1399" s="46"/>
      <c r="S1399" s="46"/>
      <c r="T1399" s="46"/>
      <c r="U1399" s="46"/>
      <c r="V1399" s="46"/>
      <c r="W1399" s="46"/>
      <c r="X1399" s="11" t="str">
        <f>IF(COUNTBLANK(B1399:W1399)&gt;0,"NA",'batch classification'!J1405)</f>
        <v>NA</v>
      </c>
    </row>
    <row r="1400" spans="1:24" x14ac:dyDescent="0.25">
      <c r="A1400" s="45"/>
      <c r="B1400" s="46"/>
      <c r="C1400" s="46"/>
      <c r="D1400" s="46"/>
      <c r="E1400" s="46"/>
      <c r="F1400" s="46"/>
      <c r="G1400" s="46"/>
      <c r="H1400" s="46"/>
      <c r="I1400" s="46"/>
      <c r="J1400" s="46"/>
      <c r="K1400" s="46"/>
      <c r="L1400" s="46"/>
      <c r="M1400" s="46"/>
      <c r="N1400" s="46"/>
      <c r="O1400" s="46"/>
      <c r="P1400" s="46"/>
      <c r="Q1400" s="46"/>
      <c r="R1400" s="46"/>
      <c r="S1400" s="46"/>
      <c r="T1400" s="46"/>
      <c r="U1400" s="46"/>
      <c r="V1400" s="46"/>
      <c r="W1400" s="46"/>
      <c r="X1400" s="11" t="str">
        <f>IF(COUNTBLANK(B1400:W1400)&gt;0,"NA",'batch classification'!J1406)</f>
        <v>NA</v>
      </c>
    </row>
    <row r="1401" spans="1:24" x14ac:dyDescent="0.25">
      <c r="A1401" s="45"/>
      <c r="B1401" s="46"/>
      <c r="C1401" s="46"/>
      <c r="D1401" s="46"/>
      <c r="E1401" s="46"/>
      <c r="F1401" s="46"/>
      <c r="G1401" s="46"/>
      <c r="H1401" s="46"/>
      <c r="I1401" s="46"/>
      <c r="J1401" s="46"/>
      <c r="K1401" s="46"/>
      <c r="L1401" s="46"/>
      <c r="M1401" s="46"/>
      <c r="N1401" s="46"/>
      <c r="O1401" s="46"/>
      <c r="P1401" s="46"/>
      <c r="Q1401" s="46"/>
      <c r="R1401" s="46"/>
      <c r="S1401" s="46"/>
      <c r="T1401" s="46"/>
      <c r="U1401" s="46"/>
      <c r="V1401" s="46"/>
      <c r="W1401" s="46"/>
      <c r="X1401" s="11" t="str">
        <f>IF(COUNTBLANK(B1401:W1401)&gt;0,"NA",'batch classification'!J1407)</f>
        <v>NA</v>
      </c>
    </row>
    <row r="1402" spans="1:24" x14ac:dyDescent="0.25">
      <c r="A1402" s="45"/>
      <c r="B1402" s="46"/>
      <c r="C1402" s="46"/>
      <c r="D1402" s="46"/>
      <c r="E1402" s="46"/>
      <c r="F1402" s="46"/>
      <c r="G1402" s="46"/>
      <c r="H1402" s="46"/>
      <c r="I1402" s="46"/>
      <c r="J1402" s="46"/>
      <c r="K1402" s="46"/>
      <c r="L1402" s="46"/>
      <c r="M1402" s="46"/>
      <c r="N1402" s="46"/>
      <c r="O1402" s="46"/>
      <c r="P1402" s="46"/>
      <c r="Q1402" s="46"/>
      <c r="R1402" s="46"/>
      <c r="S1402" s="46"/>
      <c r="T1402" s="46"/>
      <c r="U1402" s="46"/>
      <c r="V1402" s="46"/>
      <c r="W1402" s="46"/>
      <c r="X1402" s="11" t="str">
        <f>IF(COUNTBLANK(B1402:W1402)&gt;0,"NA",'batch classification'!J1408)</f>
        <v>NA</v>
      </c>
    </row>
    <row r="1403" spans="1:24" x14ac:dyDescent="0.25">
      <c r="A1403" s="45"/>
      <c r="B1403" s="46"/>
      <c r="C1403" s="46"/>
      <c r="D1403" s="46"/>
      <c r="E1403" s="46"/>
      <c r="F1403" s="46"/>
      <c r="G1403" s="46"/>
      <c r="H1403" s="46"/>
      <c r="I1403" s="46"/>
      <c r="J1403" s="46"/>
      <c r="K1403" s="46"/>
      <c r="L1403" s="46"/>
      <c r="M1403" s="46"/>
      <c r="N1403" s="46"/>
      <c r="O1403" s="46"/>
      <c r="P1403" s="46"/>
      <c r="Q1403" s="46"/>
      <c r="R1403" s="46"/>
      <c r="S1403" s="46"/>
      <c r="T1403" s="46"/>
      <c r="U1403" s="46"/>
      <c r="V1403" s="46"/>
      <c r="W1403" s="46"/>
      <c r="X1403" s="11" t="str">
        <f>IF(COUNTBLANK(B1403:W1403)&gt;0,"NA",'batch classification'!J1409)</f>
        <v>NA</v>
      </c>
    </row>
    <row r="1404" spans="1:24" x14ac:dyDescent="0.25">
      <c r="A1404" s="45"/>
      <c r="B1404" s="46"/>
      <c r="C1404" s="46"/>
      <c r="D1404" s="46"/>
      <c r="E1404" s="46"/>
      <c r="F1404" s="46"/>
      <c r="G1404" s="46"/>
      <c r="H1404" s="46"/>
      <c r="I1404" s="46"/>
      <c r="J1404" s="46"/>
      <c r="K1404" s="46"/>
      <c r="L1404" s="46"/>
      <c r="M1404" s="46"/>
      <c r="N1404" s="46"/>
      <c r="O1404" s="46"/>
      <c r="P1404" s="46"/>
      <c r="Q1404" s="46"/>
      <c r="R1404" s="46"/>
      <c r="S1404" s="46"/>
      <c r="T1404" s="46"/>
      <c r="U1404" s="46"/>
      <c r="V1404" s="46"/>
      <c r="W1404" s="46"/>
      <c r="X1404" s="11" t="str">
        <f>IF(COUNTBLANK(B1404:W1404)&gt;0,"NA",'batch classification'!J1410)</f>
        <v>NA</v>
      </c>
    </row>
    <row r="1405" spans="1:24" x14ac:dyDescent="0.25">
      <c r="A1405" s="45"/>
      <c r="B1405" s="46"/>
      <c r="C1405" s="46"/>
      <c r="D1405" s="46"/>
      <c r="E1405" s="46"/>
      <c r="F1405" s="46"/>
      <c r="G1405" s="46"/>
      <c r="H1405" s="46"/>
      <c r="I1405" s="46"/>
      <c r="J1405" s="46"/>
      <c r="K1405" s="46"/>
      <c r="L1405" s="46"/>
      <c r="M1405" s="46"/>
      <c r="N1405" s="46"/>
      <c r="O1405" s="46"/>
      <c r="P1405" s="46"/>
      <c r="Q1405" s="46"/>
      <c r="R1405" s="46"/>
      <c r="S1405" s="46"/>
      <c r="T1405" s="46"/>
      <c r="U1405" s="46"/>
      <c r="V1405" s="46"/>
      <c r="W1405" s="46"/>
      <c r="X1405" s="11" t="str">
        <f>IF(COUNTBLANK(B1405:W1405)&gt;0,"NA",'batch classification'!J1411)</f>
        <v>NA</v>
      </c>
    </row>
    <row r="1406" spans="1:24" x14ac:dyDescent="0.25">
      <c r="A1406" s="45"/>
      <c r="B1406" s="46"/>
      <c r="C1406" s="46"/>
      <c r="D1406" s="46"/>
      <c r="E1406" s="46"/>
      <c r="F1406" s="46"/>
      <c r="G1406" s="46"/>
      <c r="H1406" s="46"/>
      <c r="I1406" s="46"/>
      <c r="J1406" s="46"/>
      <c r="K1406" s="46"/>
      <c r="L1406" s="46"/>
      <c r="M1406" s="46"/>
      <c r="N1406" s="46"/>
      <c r="O1406" s="46"/>
      <c r="P1406" s="46"/>
      <c r="Q1406" s="46"/>
      <c r="R1406" s="46"/>
      <c r="S1406" s="46"/>
      <c r="T1406" s="46"/>
      <c r="U1406" s="46"/>
      <c r="V1406" s="46"/>
      <c r="W1406" s="46"/>
      <c r="X1406" s="11" t="str">
        <f>IF(COUNTBLANK(B1406:W1406)&gt;0,"NA",'batch classification'!J1412)</f>
        <v>NA</v>
      </c>
    </row>
    <row r="1407" spans="1:24" x14ac:dyDescent="0.25">
      <c r="A1407" s="45"/>
      <c r="B1407" s="46"/>
      <c r="C1407" s="46"/>
      <c r="D1407" s="46"/>
      <c r="E1407" s="46"/>
      <c r="F1407" s="46"/>
      <c r="G1407" s="46"/>
      <c r="H1407" s="46"/>
      <c r="I1407" s="46"/>
      <c r="J1407" s="46"/>
      <c r="K1407" s="46"/>
      <c r="L1407" s="46"/>
      <c r="M1407" s="46"/>
      <c r="N1407" s="46"/>
      <c r="O1407" s="46"/>
      <c r="P1407" s="46"/>
      <c r="Q1407" s="46"/>
      <c r="R1407" s="46"/>
      <c r="S1407" s="46"/>
      <c r="T1407" s="46"/>
      <c r="U1407" s="46"/>
      <c r="V1407" s="46"/>
      <c r="W1407" s="46"/>
      <c r="X1407" s="11" t="str">
        <f>IF(COUNTBLANK(B1407:W1407)&gt;0,"NA",'batch classification'!J1413)</f>
        <v>NA</v>
      </c>
    </row>
    <row r="1408" spans="1:24" x14ac:dyDescent="0.25">
      <c r="A1408" s="45"/>
      <c r="B1408" s="46"/>
      <c r="C1408" s="46"/>
      <c r="D1408" s="46"/>
      <c r="E1408" s="46"/>
      <c r="F1408" s="46"/>
      <c r="G1408" s="46"/>
      <c r="H1408" s="46"/>
      <c r="I1408" s="46"/>
      <c r="J1408" s="46"/>
      <c r="K1408" s="46"/>
      <c r="L1408" s="46"/>
      <c r="M1408" s="46"/>
      <c r="N1408" s="46"/>
      <c r="O1408" s="46"/>
      <c r="P1408" s="46"/>
      <c r="Q1408" s="46"/>
      <c r="R1408" s="46"/>
      <c r="S1408" s="46"/>
      <c r="T1408" s="46"/>
      <c r="U1408" s="46"/>
      <c r="V1408" s="46"/>
      <c r="W1408" s="46"/>
      <c r="X1408" s="11" t="str">
        <f>IF(COUNTBLANK(B1408:W1408)&gt;0,"NA",'batch classification'!J1414)</f>
        <v>NA</v>
      </c>
    </row>
    <row r="1409" spans="1:24" x14ac:dyDescent="0.25">
      <c r="A1409" s="45"/>
      <c r="B1409" s="46"/>
      <c r="C1409" s="46"/>
      <c r="D1409" s="46"/>
      <c r="E1409" s="46"/>
      <c r="F1409" s="46"/>
      <c r="G1409" s="46"/>
      <c r="H1409" s="46"/>
      <c r="I1409" s="46"/>
      <c r="J1409" s="46"/>
      <c r="K1409" s="46"/>
      <c r="L1409" s="46"/>
      <c r="M1409" s="46"/>
      <c r="N1409" s="46"/>
      <c r="O1409" s="46"/>
      <c r="P1409" s="46"/>
      <c r="Q1409" s="46"/>
      <c r="R1409" s="46"/>
      <c r="S1409" s="46"/>
      <c r="T1409" s="46"/>
      <c r="U1409" s="46"/>
      <c r="V1409" s="46"/>
      <c r="W1409" s="46"/>
      <c r="X1409" s="11" t="str">
        <f>IF(COUNTBLANK(B1409:W1409)&gt;0,"NA",'batch classification'!J1415)</f>
        <v>NA</v>
      </c>
    </row>
    <row r="1410" spans="1:24" x14ac:dyDescent="0.25">
      <c r="A1410" s="45"/>
      <c r="B1410" s="46"/>
      <c r="C1410" s="46"/>
      <c r="D1410" s="46"/>
      <c r="E1410" s="46"/>
      <c r="F1410" s="46"/>
      <c r="G1410" s="46"/>
      <c r="H1410" s="46"/>
      <c r="I1410" s="46"/>
      <c r="J1410" s="46"/>
      <c r="K1410" s="46"/>
      <c r="L1410" s="46"/>
      <c r="M1410" s="46"/>
      <c r="N1410" s="46"/>
      <c r="O1410" s="46"/>
      <c r="P1410" s="46"/>
      <c r="Q1410" s="46"/>
      <c r="R1410" s="46"/>
      <c r="S1410" s="46"/>
      <c r="T1410" s="46"/>
      <c r="U1410" s="46"/>
      <c r="V1410" s="46"/>
      <c r="W1410" s="46"/>
      <c r="X1410" s="11" t="str">
        <f>IF(COUNTBLANK(B1410:W1410)&gt;0,"NA",'batch classification'!J1416)</f>
        <v>NA</v>
      </c>
    </row>
    <row r="1411" spans="1:24" x14ac:dyDescent="0.25">
      <c r="A1411" s="45"/>
      <c r="B1411" s="46"/>
      <c r="C1411" s="46"/>
      <c r="D1411" s="46"/>
      <c r="E1411" s="46"/>
      <c r="F1411" s="46"/>
      <c r="G1411" s="46"/>
      <c r="H1411" s="46"/>
      <c r="I1411" s="46"/>
      <c r="J1411" s="46"/>
      <c r="K1411" s="46"/>
      <c r="L1411" s="46"/>
      <c r="M1411" s="46"/>
      <c r="N1411" s="46"/>
      <c r="O1411" s="46"/>
      <c r="P1411" s="46"/>
      <c r="Q1411" s="46"/>
      <c r="R1411" s="46"/>
      <c r="S1411" s="46"/>
      <c r="T1411" s="46"/>
      <c r="U1411" s="46"/>
      <c r="V1411" s="46"/>
      <c r="W1411" s="46"/>
      <c r="X1411" s="11" t="str">
        <f>IF(COUNTBLANK(B1411:W1411)&gt;0,"NA",'batch classification'!J1417)</f>
        <v>NA</v>
      </c>
    </row>
    <row r="1412" spans="1:24" x14ac:dyDescent="0.25">
      <c r="A1412" s="45"/>
      <c r="B1412" s="46"/>
      <c r="C1412" s="46"/>
      <c r="D1412" s="46"/>
      <c r="E1412" s="46"/>
      <c r="F1412" s="46"/>
      <c r="G1412" s="46"/>
      <c r="H1412" s="46"/>
      <c r="I1412" s="46"/>
      <c r="J1412" s="46"/>
      <c r="K1412" s="46"/>
      <c r="L1412" s="46"/>
      <c r="M1412" s="46"/>
      <c r="N1412" s="46"/>
      <c r="O1412" s="46"/>
      <c r="P1412" s="46"/>
      <c r="Q1412" s="46"/>
      <c r="R1412" s="46"/>
      <c r="S1412" s="46"/>
      <c r="T1412" s="46"/>
      <c r="U1412" s="46"/>
      <c r="V1412" s="46"/>
      <c r="W1412" s="46"/>
      <c r="X1412" s="11" t="str">
        <f>IF(COUNTBLANK(B1412:W1412)&gt;0,"NA",'batch classification'!J1418)</f>
        <v>NA</v>
      </c>
    </row>
    <row r="1413" spans="1:24" x14ac:dyDescent="0.25">
      <c r="A1413" s="45"/>
      <c r="B1413" s="46"/>
      <c r="C1413" s="46"/>
      <c r="D1413" s="46"/>
      <c r="E1413" s="46"/>
      <c r="F1413" s="46"/>
      <c r="G1413" s="46"/>
      <c r="H1413" s="46"/>
      <c r="I1413" s="46"/>
      <c r="J1413" s="46"/>
      <c r="K1413" s="46"/>
      <c r="L1413" s="46"/>
      <c r="M1413" s="46"/>
      <c r="N1413" s="46"/>
      <c r="O1413" s="46"/>
      <c r="P1413" s="46"/>
      <c r="Q1413" s="46"/>
      <c r="R1413" s="46"/>
      <c r="S1413" s="46"/>
      <c r="T1413" s="46"/>
      <c r="U1413" s="46"/>
      <c r="V1413" s="46"/>
      <c r="W1413" s="46"/>
      <c r="X1413" s="11" t="str">
        <f>IF(COUNTBLANK(B1413:W1413)&gt;0,"NA",'batch classification'!J1419)</f>
        <v>NA</v>
      </c>
    </row>
    <row r="1414" spans="1:24" x14ac:dyDescent="0.25">
      <c r="A1414" s="45"/>
      <c r="B1414" s="46"/>
      <c r="C1414" s="46"/>
      <c r="D1414" s="46"/>
      <c r="E1414" s="46"/>
      <c r="F1414" s="46"/>
      <c r="G1414" s="46"/>
      <c r="H1414" s="46"/>
      <c r="I1414" s="46"/>
      <c r="J1414" s="46"/>
      <c r="K1414" s="46"/>
      <c r="L1414" s="46"/>
      <c r="M1414" s="46"/>
      <c r="N1414" s="46"/>
      <c r="O1414" s="46"/>
      <c r="P1414" s="46"/>
      <c r="Q1414" s="46"/>
      <c r="R1414" s="46"/>
      <c r="S1414" s="46"/>
      <c r="T1414" s="46"/>
      <c r="U1414" s="46"/>
      <c r="V1414" s="46"/>
      <c r="W1414" s="46"/>
      <c r="X1414" s="11" t="str">
        <f>IF(COUNTBLANK(B1414:W1414)&gt;0,"NA",'batch classification'!J1420)</f>
        <v>NA</v>
      </c>
    </row>
    <row r="1415" spans="1:24" x14ac:dyDescent="0.25">
      <c r="A1415" s="45"/>
      <c r="B1415" s="46"/>
      <c r="C1415" s="46"/>
      <c r="D1415" s="46"/>
      <c r="E1415" s="46"/>
      <c r="F1415" s="46"/>
      <c r="G1415" s="46"/>
      <c r="H1415" s="46"/>
      <c r="I1415" s="46"/>
      <c r="J1415" s="46"/>
      <c r="K1415" s="46"/>
      <c r="L1415" s="46"/>
      <c r="M1415" s="46"/>
      <c r="N1415" s="46"/>
      <c r="O1415" s="46"/>
      <c r="P1415" s="46"/>
      <c r="Q1415" s="46"/>
      <c r="R1415" s="46"/>
      <c r="S1415" s="46"/>
      <c r="T1415" s="46"/>
      <c r="U1415" s="46"/>
      <c r="V1415" s="46"/>
      <c r="W1415" s="46"/>
      <c r="X1415" s="11" t="str">
        <f>IF(COUNTBLANK(B1415:W1415)&gt;0,"NA",'batch classification'!J1421)</f>
        <v>NA</v>
      </c>
    </row>
    <row r="1416" spans="1:24" x14ac:dyDescent="0.25">
      <c r="A1416" s="45"/>
      <c r="B1416" s="46"/>
      <c r="C1416" s="46"/>
      <c r="D1416" s="46"/>
      <c r="E1416" s="46"/>
      <c r="F1416" s="46"/>
      <c r="G1416" s="46"/>
      <c r="H1416" s="46"/>
      <c r="I1416" s="46"/>
      <c r="J1416" s="46"/>
      <c r="K1416" s="46"/>
      <c r="L1416" s="46"/>
      <c r="M1416" s="46"/>
      <c r="N1416" s="46"/>
      <c r="O1416" s="46"/>
      <c r="P1416" s="46"/>
      <c r="Q1416" s="46"/>
      <c r="R1416" s="46"/>
      <c r="S1416" s="46"/>
      <c r="T1416" s="46"/>
      <c r="U1416" s="46"/>
      <c r="V1416" s="46"/>
      <c r="W1416" s="46"/>
      <c r="X1416" s="11" t="str">
        <f>IF(COUNTBLANK(B1416:W1416)&gt;0,"NA",'batch classification'!J1422)</f>
        <v>NA</v>
      </c>
    </row>
    <row r="1417" spans="1:24" x14ac:dyDescent="0.25">
      <c r="A1417" s="45"/>
      <c r="B1417" s="46"/>
      <c r="C1417" s="46"/>
      <c r="D1417" s="46"/>
      <c r="E1417" s="46"/>
      <c r="F1417" s="46"/>
      <c r="G1417" s="46"/>
      <c r="H1417" s="46"/>
      <c r="I1417" s="46"/>
      <c r="J1417" s="46"/>
      <c r="K1417" s="46"/>
      <c r="L1417" s="46"/>
      <c r="M1417" s="46"/>
      <c r="N1417" s="46"/>
      <c r="O1417" s="46"/>
      <c r="P1417" s="46"/>
      <c r="Q1417" s="46"/>
      <c r="R1417" s="46"/>
      <c r="S1417" s="46"/>
      <c r="T1417" s="46"/>
      <c r="U1417" s="46"/>
      <c r="V1417" s="46"/>
      <c r="W1417" s="46"/>
      <c r="X1417" s="11" t="str">
        <f>IF(COUNTBLANK(B1417:W1417)&gt;0,"NA",'batch classification'!J1423)</f>
        <v>NA</v>
      </c>
    </row>
    <row r="1418" spans="1:24" x14ac:dyDescent="0.25">
      <c r="A1418" s="45"/>
      <c r="B1418" s="46"/>
      <c r="C1418" s="46"/>
      <c r="D1418" s="46"/>
      <c r="E1418" s="46"/>
      <c r="F1418" s="46"/>
      <c r="G1418" s="46"/>
      <c r="H1418" s="46"/>
      <c r="I1418" s="46"/>
      <c r="J1418" s="46"/>
      <c r="K1418" s="46"/>
      <c r="L1418" s="46"/>
      <c r="M1418" s="46"/>
      <c r="N1418" s="46"/>
      <c r="O1418" s="46"/>
      <c r="P1418" s="46"/>
      <c r="Q1418" s="46"/>
      <c r="R1418" s="46"/>
      <c r="S1418" s="46"/>
      <c r="T1418" s="46"/>
      <c r="U1418" s="46"/>
      <c r="V1418" s="46"/>
      <c r="W1418" s="46"/>
      <c r="X1418" s="11" t="str">
        <f>IF(COUNTBLANK(B1418:W1418)&gt;0,"NA",'batch classification'!J1424)</f>
        <v>NA</v>
      </c>
    </row>
    <row r="1419" spans="1:24" x14ac:dyDescent="0.25">
      <c r="A1419" s="45"/>
      <c r="B1419" s="46"/>
      <c r="C1419" s="46"/>
      <c r="D1419" s="46"/>
      <c r="E1419" s="46"/>
      <c r="F1419" s="46"/>
      <c r="G1419" s="46"/>
      <c r="H1419" s="46"/>
      <c r="I1419" s="46"/>
      <c r="J1419" s="46"/>
      <c r="K1419" s="46"/>
      <c r="L1419" s="46"/>
      <c r="M1419" s="46"/>
      <c r="N1419" s="46"/>
      <c r="O1419" s="46"/>
      <c r="P1419" s="46"/>
      <c r="Q1419" s="46"/>
      <c r="R1419" s="46"/>
      <c r="S1419" s="46"/>
      <c r="T1419" s="46"/>
      <c r="U1419" s="46"/>
      <c r="V1419" s="46"/>
      <c r="W1419" s="46"/>
      <c r="X1419" s="11" t="str">
        <f>IF(COUNTBLANK(B1419:W1419)&gt;0,"NA",'batch classification'!J1425)</f>
        <v>NA</v>
      </c>
    </row>
    <row r="1420" spans="1:24" x14ac:dyDescent="0.25">
      <c r="A1420" s="45"/>
      <c r="B1420" s="46"/>
      <c r="C1420" s="46"/>
      <c r="D1420" s="46"/>
      <c r="E1420" s="46"/>
      <c r="F1420" s="46"/>
      <c r="G1420" s="46"/>
      <c r="H1420" s="46"/>
      <c r="I1420" s="46"/>
      <c r="J1420" s="46"/>
      <c r="K1420" s="46"/>
      <c r="L1420" s="46"/>
      <c r="M1420" s="46"/>
      <c r="N1420" s="46"/>
      <c r="O1420" s="46"/>
      <c r="P1420" s="46"/>
      <c r="Q1420" s="46"/>
      <c r="R1420" s="46"/>
      <c r="S1420" s="46"/>
      <c r="T1420" s="46"/>
      <c r="U1420" s="46"/>
      <c r="V1420" s="46"/>
      <c r="W1420" s="46"/>
      <c r="X1420" s="11" t="str">
        <f>IF(COUNTBLANK(B1420:W1420)&gt;0,"NA",'batch classification'!J1426)</f>
        <v>NA</v>
      </c>
    </row>
    <row r="1421" spans="1:24" x14ac:dyDescent="0.25">
      <c r="A1421" s="45"/>
      <c r="B1421" s="46"/>
      <c r="C1421" s="46"/>
      <c r="D1421" s="46"/>
      <c r="E1421" s="46"/>
      <c r="F1421" s="46"/>
      <c r="G1421" s="46"/>
      <c r="H1421" s="46"/>
      <c r="I1421" s="46"/>
      <c r="J1421" s="46"/>
      <c r="K1421" s="46"/>
      <c r="L1421" s="46"/>
      <c r="M1421" s="46"/>
      <c r="N1421" s="46"/>
      <c r="O1421" s="46"/>
      <c r="P1421" s="46"/>
      <c r="Q1421" s="46"/>
      <c r="R1421" s="46"/>
      <c r="S1421" s="46"/>
      <c r="T1421" s="46"/>
      <c r="U1421" s="46"/>
      <c r="V1421" s="46"/>
      <c r="W1421" s="46"/>
      <c r="X1421" s="11" t="str">
        <f>IF(COUNTBLANK(B1421:W1421)&gt;0,"NA",'batch classification'!J1427)</f>
        <v>NA</v>
      </c>
    </row>
    <row r="1422" spans="1:24" x14ac:dyDescent="0.25">
      <c r="A1422" s="45"/>
      <c r="B1422" s="46"/>
      <c r="C1422" s="46"/>
      <c r="D1422" s="46"/>
      <c r="E1422" s="46"/>
      <c r="F1422" s="46"/>
      <c r="G1422" s="46"/>
      <c r="H1422" s="46"/>
      <c r="I1422" s="46"/>
      <c r="J1422" s="46"/>
      <c r="K1422" s="46"/>
      <c r="L1422" s="46"/>
      <c r="M1422" s="46"/>
      <c r="N1422" s="46"/>
      <c r="O1422" s="46"/>
      <c r="P1422" s="46"/>
      <c r="Q1422" s="46"/>
      <c r="R1422" s="46"/>
      <c r="S1422" s="46"/>
      <c r="T1422" s="46"/>
      <c r="U1422" s="46"/>
      <c r="V1422" s="46"/>
      <c r="W1422" s="46"/>
      <c r="X1422" s="11" t="str">
        <f>IF(COUNTBLANK(B1422:W1422)&gt;0,"NA",'batch classification'!J1428)</f>
        <v>NA</v>
      </c>
    </row>
    <row r="1423" spans="1:24" x14ac:dyDescent="0.25">
      <c r="A1423" s="45"/>
      <c r="B1423" s="46"/>
      <c r="C1423" s="46"/>
      <c r="D1423" s="46"/>
      <c r="E1423" s="46"/>
      <c r="F1423" s="46"/>
      <c r="G1423" s="46"/>
      <c r="H1423" s="46"/>
      <c r="I1423" s="46"/>
      <c r="J1423" s="46"/>
      <c r="K1423" s="46"/>
      <c r="L1423" s="46"/>
      <c r="M1423" s="46"/>
      <c r="N1423" s="46"/>
      <c r="O1423" s="46"/>
      <c r="P1423" s="46"/>
      <c r="Q1423" s="46"/>
      <c r="R1423" s="46"/>
      <c r="S1423" s="46"/>
      <c r="T1423" s="46"/>
      <c r="U1423" s="46"/>
      <c r="V1423" s="46"/>
      <c r="W1423" s="46"/>
      <c r="X1423" s="11" t="str">
        <f>IF(COUNTBLANK(B1423:W1423)&gt;0,"NA",'batch classification'!J1429)</f>
        <v>NA</v>
      </c>
    </row>
    <row r="1424" spans="1:24" x14ac:dyDescent="0.25">
      <c r="A1424" s="45"/>
      <c r="B1424" s="46"/>
      <c r="C1424" s="46"/>
      <c r="D1424" s="46"/>
      <c r="E1424" s="46"/>
      <c r="F1424" s="46"/>
      <c r="G1424" s="46"/>
      <c r="H1424" s="46"/>
      <c r="I1424" s="46"/>
      <c r="J1424" s="46"/>
      <c r="K1424" s="46"/>
      <c r="L1424" s="46"/>
      <c r="M1424" s="46"/>
      <c r="N1424" s="46"/>
      <c r="O1424" s="46"/>
      <c r="P1424" s="46"/>
      <c r="Q1424" s="46"/>
      <c r="R1424" s="46"/>
      <c r="S1424" s="46"/>
      <c r="T1424" s="46"/>
      <c r="U1424" s="46"/>
      <c r="V1424" s="46"/>
      <c r="W1424" s="46"/>
      <c r="X1424" s="11" t="str">
        <f>IF(COUNTBLANK(B1424:W1424)&gt;0,"NA",'batch classification'!J1430)</f>
        <v>NA</v>
      </c>
    </row>
    <row r="1425" spans="1:24" x14ac:dyDescent="0.25">
      <c r="A1425" s="45"/>
      <c r="B1425" s="46"/>
      <c r="C1425" s="46"/>
      <c r="D1425" s="46"/>
      <c r="E1425" s="46"/>
      <c r="F1425" s="46"/>
      <c r="G1425" s="46"/>
      <c r="H1425" s="46"/>
      <c r="I1425" s="46"/>
      <c r="J1425" s="46"/>
      <c r="K1425" s="46"/>
      <c r="L1425" s="46"/>
      <c r="M1425" s="46"/>
      <c r="N1425" s="46"/>
      <c r="O1425" s="46"/>
      <c r="P1425" s="46"/>
      <c r="Q1425" s="46"/>
      <c r="R1425" s="46"/>
      <c r="S1425" s="46"/>
      <c r="T1425" s="46"/>
      <c r="U1425" s="46"/>
      <c r="V1425" s="46"/>
      <c r="W1425" s="46"/>
      <c r="X1425" s="11" t="str">
        <f>IF(COUNTBLANK(B1425:W1425)&gt;0,"NA",'batch classification'!J1431)</f>
        <v>NA</v>
      </c>
    </row>
    <row r="1426" spans="1:24" x14ac:dyDescent="0.25">
      <c r="A1426" s="45"/>
      <c r="B1426" s="46"/>
      <c r="C1426" s="46"/>
      <c r="D1426" s="46"/>
      <c r="E1426" s="46"/>
      <c r="F1426" s="46"/>
      <c r="G1426" s="46"/>
      <c r="H1426" s="46"/>
      <c r="I1426" s="46"/>
      <c r="J1426" s="46"/>
      <c r="K1426" s="46"/>
      <c r="L1426" s="46"/>
      <c r="M1426" s="46"/>
      <c r="N1426" s="46"/>
      <c r="O1426" s="46"/>
      <c r="P1426" s="46"/>
      <c r="Q1426" s="46"/>
      <c r="R1426" s="46"/>
      <c r="S1426" s="46"/>
      <c r="T1426" s="46"/>
      <c r="U1426" s="46"/>
      <c r="V1426" s="46"/>
      <c r="W1426" s="46"/>
      <c r="X1426" s="11" t="str">
        <f>IF(COUNTBLANK(B1426:W1426)&gt;0,"NA",'batch classification'!J1432)</f>
        <v>NA</v>
      </c>
    </row>
    <row r="1427" spans="1:24" x14ac:dyDescent="0.25">
      <c r="A1427" s="45"/>
      <c r="B1427" s="46"/>
      <c r="C1427" s="46"/>
      <c r="D1427" s="46"/>
      <c r="E1427" s="46"/>
      <c r="F1427" s="46"/>
      <c r="G1427" s="46"/>
      <c r="H1427" s="46"/>
      <c r="I1427" s="46"/>
      <c r="J1427" s="46"/>
      <c r="K1427" s="46"/>
      <c r="L1427" s="46"/>
      <c r="M1427" s="46"/>
      <c r="N1427" s="46"/>
      <c r="O1427" s="46"/>
      <c r="P1427" s="46"/>
      <c r="Q1427" s="46"/>
      <c r="R1427" s="46"/>
      <c r="S1427" s="46"/>
      <c r="T1427" s="46"/>
      <c r="U1427" s="46"/>
      <c r="V1427" s="46"/>
      <c r="W1427" s="46"/>
      <c r="X1427" s="11" t="str">
        <f>IF(COUNTBLANK(B1427:W1427)&gt;0,"NA",'batch classification'!J1433)</f>
        <v>NA</v>
      </c>
    </row>
    <row r="1428" spans="1:24" x14ac:dyDescent="0.25">
      <c r="A1428" s="45"/>
      <c r="B1428" s="46"/>
      <c r="C1428" s="46"/>
      <c r="D1428" s="46"/>
      <c r="E1428" s="46"/>
      <c r="F1428" s="46"/>
      <c r="G1428" s="46"/>
      <c r="H1428" s="46"/>
      <c r="I1428" s="46"/>
      <c r="J1428" s="46"/>
      <c r="K1428" s="46"/>
      <c r="L1428" s="46"/>
      <c r="M1428" s="46"/>
      <c r="N1428" s="46"/>
      <c r="O1428" s="46"/>
      <c r="P1428" s="46"/>
      <c r="Q1428" s="46"/>
      <c r="R1428" s="46"/>
      <c r="S1428" s="46"/>
      <c r="T1428" s="46"/>
      <c r="U1428" s="46"/>
      <c r="V1428" s="46"/>
      <c r="W1428" s="46"/>
      <c r="X1428" s="11" t="str">
        <f>IF(COUNTBLANK(B1428:W1428)&gt;0,"NA",'batch classification'!J1434)</f>
        <v>NA</v>
      </c>
    </row>
    <row r="1429" spans="1:24" x14ac:dyDescent="0.25">
      <c r="A1429" s="45"/>
      <c r="B1429" s="46"/>
      <c r="C1429" s="46"/>
      <c r="D1429" s="46"/>
      <c r="E1429" s="46"/>
      <c r="F1429" s="46"/>
      <c r="G1429" s="46"/>
      <c r="H1429" s="46"/>
      <c r="I1429" s="46"/>
      <c r="J1429" s="46"/>
      <c r="K1429" s="46"/>
      <c r="L1429" s="46"/>
      <c r="M1429" s="46"/>
      <c r="N1429" s="46"/>
      <c r="O1429" s="46"/>
      <c r="P1429" s="46"/>
      <c r="Q1429" s="46"/>
      <c r="R1429" s="46"/>
      <c r="S1429" s="46"/>
      <c r="T1429" s="46"/>
      <c r="U1429" s="46"/>
      <c r="V1429" s="46"/>
      <c r="W1429" s="46"/>
      <c r="X1429" s="11" t="str">
        <f>IF(COUNTBLANK(B1429:W1429)&gt;0,"NA",'batch classification'!J1435)</f>
        <v>NA</v>
      </c>
    </row>
    <row r="1430" spans="1:24" x14ac:dyDescent="0.25">
      <c r="A1430" s="45"/>
      <c r="B1430" s="46"/>
      <c r="C1430" s="46"/>
      <c r="D1430" s="46"/>
      <c r="E1430" s="46"/>
      <c r="F1430" s="46"/>
      <c r="G1430" s="46"/>
      <c r="H1430" s="46"/>
      <c r="I1430" s="46"/>
      <c r="J1430" s="46"/>
      <c r="K1430" s="46"/>
      <c r="L1430" s="46"/>
      <c r="M1430" s="46"/>
      <c r="N1430" s="46"/>
      <c r="O1430" s="46"/>
      <c r="P1430" s="46"/>
      <c r="Q1430" s="46"/>
      <c r="R1430" s="46"/>
      <c r="S1430" s="46"/>
      <c r="T1430" s="46"/>
      <c r="U1430" s="46"/>
      <c r="V1430" s="46"/>
      <c r="W1430" s="46"/>
      <c r="X1430" s="11" t="str">
        <f>IF(COUNTBLANK(B1430:W1430)&gt;0,"NA",'batch classification'!J1436)</f>
        <v>NA</v>
      </c>
    </row>
    <row r="1431" spans="1:24" x14ac:dyDescent="0.25">
      <c r="A1431" s="45"/>
      <c r="B1431" s="46"/>
      <c r="C1431" s="46"/>
      <c r="D1431" s="46"/>
      <c r="E1431" s="46"/>
      <c r="F1431" s="46"/>
      <c r="G1431" s="46"/>
      <c r="H1431" s="46"/>
      <c r="I1431" s="46"/>
      <c r="J1431" s="46"/>
      <c r="K1431" s="46"/>
      <c r="L1431" s="46"/>
      <c r="M1431" s="46"/>
      <c r="N1431" s="46"/>
      <c r="O1431" s="46"/>
      <c r="P1431" s="46"/>
      <c r="Q1431" s="46"/>
      <c r="R1431" s="46"/>
      <c r="S1431" s="46"/>
      <c r="T1431" s="46"/>
      <c r="U1431" s="46"/>
      <c r="V1431" s="46"/>
      <c r="W1431" s="46"/>
      <c r="X1431" s="11" t="str">
        <f>IF(COUNTBLANK(B1431:W1431)&gt;0,"NA",'batch classification'!J1437)</f>
        <v>NA</v>
      </c>
    </row>
    <row r="1432" spans="1:24" x14ac:dyDescent="0.25">
      <c r="A1432" s="45"/>
      <c r="B1432" s="46"/>
      <c r="C1432" s="46"/>
      <c r="D1432" s="46"/>
      <c r="E1432" s="46"/>
      <c r="F1432" s="46"/>
      <c r="G1432" s="46"/>
      <c r="H1432" s="46"/>
      <c r="I1432" s="46"/>
      <c r="J1432" s="46"/>
      <c r="K1432" s="46"/>
      <c r="L1432" s="46"/>
      <c r="M1432" s="46"/>
      <c r="N1432" s="46"/>
      <c r="O1432" s="46"/>
      <c r="P1432" s="46"/>
      <c r="Q1432" s="46"/>
      <c r="R1432" s="46"/>
      <c r="S1432" s="46"/>
      <c r="T1432" s="46"/>
      <c r="U1432" s="46"/>
      <c r="V1432" s="46"/>
      <c r="W1432" s="46"/>
      <c r="X1432" s="11" t="str">
        <f>IF(COUNTBLANK(B1432:W1432)&gt;0,"NA",'batch classification'!J1438)</f>
        <v>NA</v>
      </c>
    </row>
    <row r="1433" spans="1:24" x14ac:dyDescent="0.25">
      <c r="A1433" s="45"/>
      <c r="B1433" s="46"/>
      <c r="C1433" s="46"/>
      <c r="D1433" s="46"/>
      <c r="E1433" s="46"/>
      <c r="F1433" s="46"/>
      <c r="G1433" s="46"/>
      <c r="H1433" s="46"/>
      <c r="I1433" s="46"/>
      <c r="J1433" s="46"/>
      <c r="K1433" s="46"/>
      <c r="L1433" s="46"/>
      <c r="M1433" s="46"/>
      <c r="N1433" s="46"/>
      <c r="O1433" s="46"/>
      <c r="P1433" s="46"/>
      <c r="Q1433" s="46"/>
      <c r="R1433" s="46"/>
      <c r="S1433" s="46"/>
      <c r="T1433" s="46"/>
      <c r="U1433" s="46"/>
      <c r="V1433" s="46"/>
      <c r="W1433" s="46"/>
      <c r="X1433" s="11" t="str">
        <f>IF(COUNTBLANK(B1433:W1433)&gt;0,"NA",'batch classification'!J1439)</f>
        <v>NA</v>
      </c>
    </row>
    <row r="1434" spans="1:24" x14ac:dyDescent="0.25">
      <c r="A1434" s="45"/>
      <c r="B1434" s="46"/>
      <c r="C1434" s="46"/>
      <c r="D1434" s="46"/>
      <c r="E1434" s="46"/>
      <c r="F1434" s="46"/>
      <c r="G1434" s="46"/>
      <c r="H1434" s="46"/>
      <c r="I1434" s="46"/>
      <c r="J1434" s="46"/>
      <c r="K1434" s="46"/>
      <c r="L1434" s="46"/>
      <c r="M1434" s="46"/>
      <c r="N1434" s="46"/>
      <c r="O1434" s="46"/>
      <c r="P1434" s="46"/>
      <c r="Q1434" s="46"/>
      <c r="R1434" s="46"/>
      <c r="S1434" s="46"/>
      <c r="T1434" s="46"/>
      <c r="U1434" s="46"/>
      <c r="V1434" s="46"/>
      <c r="W1434" s="46"/>
      <c r="X1434" s="11" t="str">
        <f>IF(COUNTBLANK(B1434:W1434)&gt;0,"NA",'batch classification'!J1440)</f>
        <v>NA</v>
      </c>
    </row>
    <row r="1435" spans="1:24" x14ac:dyDescent="0.25">
      <c r="A1435" s="45"/>
      <c r="B1435" s="46"/>
      <c r="C1435" s="46"/>
      <c r="D1435" s="46"/>
      <c r="E1435" s="46"/>
      <c r="F1435" s="46"/>
      <c r="G1435" s="46"/>
      <c r="H1435" s="46"/>
      <c r="I1435" s="46"/>
      <c r="J1435" s="46"/>
      <c r="K1435" s="46"/>
      <c r="L1435" s="46"/>
      <c r="M1435" s="46"/>
      <c r="N1435" s="46"/>
      <c r="O1435" s="46"/>
      <c r="P1435" s="46"/>
      <c r="Q1435" s="46"/>
      <c r="R1435" s="46"/>
      <c r="S1435" s="46"/>
      <c r="T1435" s="46"/>
      <c r="U1435" s="46"/>
      <c r="V1435" s="46"/>
      <c r="W1435" s="46"/>
      <c r="X1435" s="11" t="str">
        <f>IF(COUNTBLANK(B1435:W1435)&gt;0,"NA",'batch classification'!J1441)</f>
        <v>NA</v>
      </c>
    </row>
    <row r="1436" spans="1:24" x14ac:dyDescent="0.25">
      <c r="A1436" s="45"/>
      <c r="B1436" s="46"/>
      <c r="C1436" s="46"/>
      <c r="D1436" s="46"/>
      <c r="E1436" s="46"/>
      <c r="F1436" s="46"/>
      <c r="G1436" s="46"/>
      <c r="H1436" s="46"/>
      <c r="I1436" s="46"/>
      <c r="J1436" s="46"/>
      <c r="K1436" s="46"/>
      <c r="L1436" s="46"/>
      <c r="M1436" s="46"/>
      <c r="N1436" s="46"/>
      <c r="O1436" s="46"/>
      <c r="P1436" s="46"/>
      <c r="Q1436" s="46"/>
      <c r="R1436" s="46"/>
      <c r="S1436" s="46"/>
      <c r="T1436" s="46"/>
      <c r="U1436" s="46"/>
      <c r="V1436" s="46"/>
      <c r="W1436" s="46"/>
      <c r="X1436" s="11" t="str">
        <f>IF(COUNTBLANK(B1436:W1436)&gt;0,"NA",'batch classification'!J1442)</f>
        <v>NA</v>
      </c>
    </row>
    <row r="1437" spans="1:24" x14ac:dyDescent="0.25">
      <c r="A1437" s="45"/>
      <c r="B1437" s="46"/>
      <c r="C1437" s="46"/>
      <c r="D1437" s="46"/>
      <c r="E1437" s="46"/>
      <c r="F1437" s="46"/>
      <c r="G1437" s="46"/>
      <c r="H1437" s="46"/>
      <c r="I1437" s="46"/>
      <c r="J1437" s="46"/>
      <c r="K1437" s="46"/>
      <c r="L1437" s="46"/>
      <c r="M1437" s="46"/>
      <c r="N1437" s="46"/>
      <c r="O1437" s="46"/>
      <c r="P1437" s="46"/>
      <c r="Q1437" s="46"/>
      <c r="R1437" s="46"/>
      <c r="S1437" s="46"/>
      <c r="T1437" s="46"/>
      <c r="U1437" s="46"/>
      <c r="V1437" s="46"/>
      <c r="W1437" s="46"/>
      <c r="X1437" s="11" t="str">
        <f>IF(COUNTBLANK(B1437:W1437)&gt;0,"NA",'batch classification'!J1443)</f>
        <v>NA</v>
      </c>
    </row>
    <row r="1438" spans="1:24" x14ac:dyDescent="0.25">
      <c r="A1438" s="45"/>
      <c r="B1438" s="46"/>
      <c r="C1438" s="46"/>
      <c r="D1438" s="46"/>
      <c r="E1438" s="46"/>
      <c r="F1438" s="46"/>
      <c r="G1438" s="46"/>
      <c r="H1438" s="46"/>
      <c r="I1438" s="46"/>
      <c r="J1438" s="46"/>
      <c r="K1438" s="46"/>
      <c r="L1438" s="46"/>
      <c r="M1438" s="46"/>
      <c r="N1438" s="46"/>
      <c r="O1438" s="46"/>
      <c r="P1438" s="46"/>
      <c r="Q1438" s="46"/>
      <c r="R1438" s="46"/>
      <c r="S1438" s="46"/>
      <c r="T1438" s="46"/>
      <c r="U1438" s="46"/>
      <c r="V1438" s="46"/>
      <c r="W1438" s="46"/>
      <c r="X1438" s="11" t="str">
        <f>IF(COUNTBLANK(B1438:W1438)&gt;0,"NA",'batch classification'!J1444)</f>
        <v>NA</v>
      </c>
    </row>
    <row r="1439" spans="1:24" x14ac:dyDescent="0.25">
      <c r="A1439" s="45"/>
      <c r="B1439" s="46"/>
      <c r="C1439" s="46"/>
      <c r="D1439" s="46"/>
      <c r="E1439" s="46"/>
      <c r="F1439" s="46"/>
      <c r="G1439" s="46"/>
      <c r="H1439" s="46"/>
      <c r="I1439" s="46"/>
      <c r="J1439" s="46"/>
      <c r="K1439" s="46"/>
      <c r="L1439" s="46"/>
      <c r="M1439" s="46"/>
      <c r="N1439" s="46"/>
      <c r="O1439" s="46"/>
      <c r="P1439" s="46"/>
      <c r="Q1439" s="46"/>
      <c r="R1439" s="46"/>
      <c r="S1439" s="46"/>
      <c r="T1439" s="46"/>
      <c r="U1439" s="46"/>
      <c r="V1439" s="46"/>
      <c r="W1439" s="46"/>
      <c r="X1439" s="11" t="str">
        <f>IF(COUNTBLANK(B1439:W1439)&gt;0,"NA",'batch classification'!J1445)</f>
        <v>NA</v>
      </c>
    </row>
    <row r="1440" spans="1:24" x14ac:dyDescent="0.25">
      <c r="A1440" s="45"/>
      <c r="B1440" s="46"/>
      <c r="C1440" s="46"/>
      <c r="D1440" s="46"/>
      <c r="E1440" s="46"/>
      <c r="F1440" s="46"/>
      <c r="G1440" s="46"/>
      <c r="H1440" s="46"/>
      <c r="I1440" s="46"/>
      <c r="J1440" s="46"/>
      <c r="K1440" s="46"/>
      <c r="L1440" s="46"/>
      <c r="M1440" s="46"/>
      <c r="N1440" s="46"/>
      <c r="O1440" s="46"/>
      <c r="P1440" s="46"/>
      <c r="Q1440" s="46"/>
      <c r="R1440" s="46"/>
      <c r="S1440" s="46"/>
      <c r="T1440" s="46"/>
      <c r="U1440" s="46"/>
      <c r="V1440" s="46"/>
      <c r="W1440" s="46"/>
      <c r="X1440" s="11" t="str">
        <f>IF(COUNTBLANK(B1440:W1440)&gt;0,"NA",'batch classification'!J1446)</f>
        <v>NA</v>
      </c>
    </row>
    <row r="1441" spans="1:24" x14ac:dyDescent="0.25">
      <c r="A1441" s="45"/>
      <c r="B1441" s="46"/>
      <c r="C1441" s="46"/>
      <c r="D1441" s="46"/>
      <c r="E1441" s="46"/>
      <c r="F1441" s="46"/>
      <c r="G1441" s="46"/>
      <c r="H1441" s="46"/>
      <c r="I1441" s="46"/>
      <c r="J1441" s="46"/>
      <c r="K1441" s="46"/>
      <c r="L1441" s="46"/>
      <c r="M1441" s="46"/>
      <c r="N1441" s="46"/>
      <c r="O1441" s="46"/>
      <c r="P1441" s="46"/>
      <c r="Q1441" s="46"/>
      <c r="R1441" s="46"/>
      <c r="S1441" s="46"/>
      <c r="T1441" s="46"/>
      <c r="U1441" s="46"/>
      <c r="V1441" s="46"/>
      <c r="W1441" s="46"/>
      <c r="X1441" s="11" t="str">
        <f>IF(COUNTBLANK(B1441:W1441)&gt;0,"NA",'batch classification'!J1447)</f>
        <v>NA</v>
      </c>
    </row>
    <row r="1442" spans="1:24" x14ac:dyDescent="0.25">
      <c r="A1442" s="45"/>
      <c r="B1442" s="46"/>
      <c r="C1442" s="46"/>
      <c r="D1442" s="46"/>
      <c r="E1442" s="46"/>
      <c r="F1442" s="46"/>
      <c r="G1442" s="46"/>
      <c r="H1442" s="46"/>
      <c r="I1442" s="46"/>
      <c r="J1442" s="46"/>
      <c r="K1442" s="46"/>
      <c r="L1442" s="46"/>
      <c r="M1442" s="46"/>
      <c r="N1442" s="46"/>
      <c r="O1442" s="46"/>
      <c r="P1442" s="46"/>
      <c r="Q1442" s="46"/>
      <c r="R1442" s="46"/>
      <c r="S1442" s="46"/>
      <c r="T1442" s="46"/>
      <c r="U1442" s="46"/>
      <c r="V1442" s="46"/>
      <c r="W1442" s="46"/>
      <c r="X1442" s="11" t="str">
        <f>IF(COUNTBLANK(B1442:W1442)&gt;0,"NA",'batch classification'!J1448)</f>
        <v>NA</v>
      </c>
    </row>
    <row r="1443" spans="1:24" x14ac:dyDescent="0.25">
      <c r="A1443" s="45"/>
      <c r="B1443" s="46"/>
      <c r="C1443" s="46"/>
      <c r="D1443" s="46"/>
      <c r="E1443" s="46"/>
      <c r="F1443" s="46"/>
      <c r="G1443" s="46"/>
      <c r="H1443" s="46"/>
      <c r="I1443" s="46"/>
      <c r="J1443" s="46"/>
      <c r="K1443" s="46"/>
      <c r="L1443" s="46"/>
      <c r="M1443" s="46"/>
      <c r="N1443" s="46"/>
      <c r="O1443" s="46"/>
      <c r="P1443" s="46"/>
      <c r="Q1443" s="46"/>
      <c r="R1443" s="46"/>
      <c r="S1443" s="46"/>
      <c r="T1443" s="46"/>
      <c r="U1443" s="46"/>
      <c r="V1443" s="46"/>
      <c r="W1443" s="46"/>
      <c r="X1443" s="11" t="str">
        <f>IF(COUNTBLANK(B1443:W1443)&gt;0,"NA",'batch classification'!J1449)</f>
        <v>NA</v>
      </c>
    </row>
    <row r="1444" spans="1:24" x14ac:dyDescent="0.25">
      <c r="A1444" s="45"/>
      <c r="B1444" s="46"/>
      <c r="C1444" s="46"/>
      <c r="D1444" s="46"/>
      <c r="E1444" s="46"/>
      <c r="F1444" s="46"/>
      <c r="G1444" s="46"/>
      <c r="H1444" s="46"/>
      <c r="I1444" s="46"/>
      <c r="J1444" s="46"/>
      <c r="K1444" s="46"/>
      <c r="L1444" s="46"/>
      <c r="M1444" s="46"/>
      <c r="N1444" s="46"/>
      <c r="O1444" s="46"/>
      <c r="P1444" s="46"/>
      <c r="Q1444" s="46"/>
      <c r="R1444" s="46"/>
      <c r="S1444" s="46"/>
      <c r="T1444" s="46"/>
      <c r="U1444" s="46"/>
      <c r="V1444" s="46"/>
      <c r="W1444" s="46"/>
      <c r="X1444" s="11" t="str">
        <f>IF(COUNTBLANK(B1444:W1444)&gt;0,"NA",'batch classification'!J1450)</f>
        <v>NA</v>
      </c>
    </row>
    <row r="1445" spans="1:24" x14ac:dyDescent="0.25">
      <c r="A1445" s="45"/>
      <c r="B1445" s="46"/>
      <c r="C1445" s="46"/>
      <c r="D1445" s="46"/>
      <c r="E1445" s="46"/>
      <c r="F1445" s="46"/>
      <c r="G1445" s="46"/>
      <c r="H1445" s="46"/>
      <c r="I1445" s="46"/>
      <c r="J1445" s="46"/>
      <c r="K1445" s="46"/>
      <c r="L1445" s="46"/>
      <c r="M1445" s="46"/>
      <c r="N1445" s="46"/>
      <c r="O1445" s="46"/>
      <c r="P1445" s="46"/>
      <c r="Q1445" s="46"/>
      <c r="R1445" s="46"/>
      <c r="S1445" s="46"/>
      <c r="T1445" s="46"/>
      <c r="U1445" s="46"/>
      <c r="V1445" s="46"/>
      <c r="W1445" s="46"/>
      <c r="X1445" s="11" t="str">
        <f>IF(COUNTBLANK(B1445:W1445)&gt;0,"NA",'batch classification'!J1451)</f>
        <v>NA</v>
      </c>
    </row>
    <row r="1446" spans="1:24" x14ac:dyDescent="0.25">
      <c r="A1446" s="45"/>
      <c r="B1446" s="46"/>
      <c r="C1446" s="46"/>
      <c r="D1446" s="46"/>
      <c r="E1446" s="46"/>
      <c r="F1446" s="46"/>
      <c r="G1446" s="46"/>
      <c r="H1446" s="46"/>
      <c r="I1446" s="46"/>
      <c r="J1446" s="46"/>
      <c r="K1446" s="46"/>
      <c r="L1446" s="46"/>
      <c r="M1446" s="46"/>
      <c r="N1446" s="46"/>
      <c r="O1446" s="46"/>
      <c r="P1446" s="46"/>
      <c r="Q1446" s="46"/>
      <c r="R1446" s="46"/>
      <c r="S1446" s="46"/>
      <c r="T1446" s="46"/>
      <c r="U1446" s="46"/>
      <c r="V1446" s="46"/>
      <c r="W1446" s="46"/>
      <c r="X1446" s="11" t="str">
        <f>IF(COUNTBLANK(B1446:W1446)&gt;0,"NA",'batch classification'!J1452)</f>
        <v>NA</v>
      </c>
    </row>
    <row r="1447" spans="1:24" x14ac:dyDescent="0.25">
      <c r="A1447" s="45"/>
      <c r="B1447" s="46"/>
      <c r="C1447" s="46"/>
      <c r="D1447" s="46"/>
      <c r="E1447" s="46"/>
      <c r="F1447" s="46"/>
      <c r="G1447" s="46"/>
      <c r="H1447" s="46"/>
      <c r="I1447" s="46"/>
      <c r="J1447" s="46"/>
      <c r="K1447" s="46"/>
      <c r="L1447" s="46"/>
      <c r="M1447" s="46"/>
      <c r="N1447" s="46"/>
      <c r="O1447" s="46"/>
      <c r="P1447" s="46"/>
      <c r="Q1447" s="46"/>
      <c r="R1447" s="46"/>
      <c r="S1447" s="46"/>
      <c r="T1447" s="46"/>
      <c r="U1447" s="46"/>
      <c r="V1447" s="46"/>
      <c r="W1447" s="46"/>
      <c r="X1447" s="11" t="str">
        <f>IF(COUNTBLANK(B1447:W1447)&gt;0,"NA",'batch classification'!J1453)</f>
        <v>NA</v>
      </c>
    </row>
    <row r="1448" spans="1:24" x14ac:dyDescent="0.25">
      <c r="A1448" s="45"/>
      <c r="B1448" s="46"/>
      <c r="C1448" s="46"/>
      <c r="D1448" s="46"/>
      <c r="E1448" s="46"/>
      <c r="F1448" s="46"/>
      <c r="G1448" s="46"/>
      <c r="H1448" s="46"/>
      <c r="I1448" s="46"/>
      <c r="J1448" s="46"/>
      <c r="K1448" s="46"/>
      <c r="L1448" s="46"/>
      <c r="M1448" s="46"/>
      <c r="N1448" s="46"/>
      <c r="O1448" s="46"/>
      <c r="P1448" s="46"/>
      <c r="Q1448" s="46"/>
      <c r="R1448" s="46"/>
      <c r="S1448" s="46"/>
      <c r="T1448" s="46"/>
      <c r="U1448" s="46"/>
      <c r="V1448" s="46"/>
      <c r="W1448" s="46"/>
      <c r="X1448" s="11" t="str">
        <f>IF(COUNTBLANK(B1448:W1448)&gt;0,"NA",'batch classification'!J1454)</f>
        <v>NA</v>
      </c>
    </row>
    <row r="1449" spans="1:24" x14ac:dyDescent="0.25">
      <c r="A1449" s="45"/>
      <c r="B1449" s="46"/>
      <c r="C1449" s="46"/>
      <c r="D1449" s="46"/>
      <c r="E1449" s="46"/>
      <c r="F1449" s="46"/>
      <c r="G1449" s="46"/>
      <c r="H1449" s="46"/>
      <c r="I1449" s="46"/>
      <c r="J1449" s="46"/>
      <c r="K1449" s="46"/>
      <c r="L1449" s="46"/>
      <c r="M1449" s="46"/>
      <c r="N1449" s="46"/>
      <c r="O1449" s="46"/>
      <c r="P1449" s="46"/>
      <c r="Q1449" s="46"/>
      <c r="R1449" s="46"/>
      <c r="S1449" s="46"/>
      <c r="T1449" s="46"/>
      <c r="U1449" s="46"/>
      <c r="V1449" s="46"/>
      <c r="W1449" s="46"/>
      <c r="X1449" s="11" t="str">
        <f>IF(COUNTBLANK(B1449:W1449)&gt;0,"NA",'batch classification'!J1455)</f>
        <v>NA</v>
      </c>
    </row>
    <row r="1450" spans="1:24" x14ac:dyDescent="0.25">
      <c r="A1450" s="45"/>
      <c r="B1450" s="46"/>
      <c r="C1450" s="46"/>
      <c r="D1450" s="46"/>
      <c r="E1450" s="46"/>
      <c r="F1450" s="46"/>
      <c r="G1450" s="46"/>
      <c r="H1450" s="46"/>
      <c r="I1450" s="46"/>
      <c r="J1450" s="46"/>
      <c r="K1450" s="46"/>
      <c r="L1450" s="46"/>
      <c r="M1450" s="46"/>
      <c r="N1450" s="46"/>
      <c r="O1450" s="46"/>
      <c r="P1450" s="46"/>
      <c r="Q1450" s="46"/>
      <c r="R1450" s="46"/>
      <c r="S1450" s="46"/>
      <c r="T1450" s="46"/>
      <c r="U1450" s="46"/>
      <c r="V1450" s="46"/>
      <c r="W1450" s="46"/>
      <c r="X1450" s="11" t="str">
        <f>IF(COUNTBLANK(B1450:W1450)&gt;0,"NA",'batch classification'!J1456)</f>
        <v>NA</v>
      </c>
    </row>
    <row r="1451" spans="1:24" x14ac:dyDescent="0.25">
      <c r="A1451" s="45"/>
      <c r="B1451" s="46"/>
      <c r="C1451" s="46"/>
      <c r="D1451" s="46"/>
      <c r="E1451" s="46"/>
      <c r="F1451" s="46"/>
      <c r="G1451" s="46"/>
      <c r="H1451" s="46"/>
      <c r="I1451" s="46"/>
      <c r="J1451" s="46"/>
      <c r="K1451" s="46"/>
      <c r="L1451" s="46"/>
      <c r="M1451" s="46"/>
      <c r="N1451" s="46"/>
      <c r="O1451" s="46"/>
      <c r="P1451" s="46"/>
      <c r="Q1451" s="46"/>
      <c r="R1451" s="46"/>
      <c r="S1451" s="46"/>
      <c r="T1451" s="46"/>
      <c r="U1451" s="46"/>
      <c r="V1451" s="46"/>
      <c r="W1451" s="46"/>
      <c r="X1451" s="11" t="str">
        <f>IF(COUNTBLANK(B1451:W1451)&gt;0,"NA",'batch classification'!J1457)</f>
        <v>NA</v>
      </c>
    </row>
    <row r="1452" spans="1:24" x14ac:dyDescent="0.25">
      <c r="A1452" s="45"/>
      <c r="B1452" s="46"/>
      <c r="C1452" s="46"/>
      <c r="D1452" s="46"/>
      <c r="E1452" s="46"/>
      <c r="F1452" s="46"/>
      <c r="G1452" s="46"/>
      <c r="H1452" s="46"/>
      <c r="I1452" s="46"/>
      <c r="J1452" s="46"/>
      <c r="K1452" s="46"/>
      <c r="L1452" s="46"/>
      <c r="M1452" s="46"/>
      <c r="N1452" s="46"/>
      <c r="O1452" s="46"/>
      <c r="P1452" s="46"/>
      <c r="Q1452" s="46"/>
      <c r="R1452" s="46"/>
      <c r="S1452" s="46"/>
      <c r="T1452" s="46"/>
      <c r="U1452" s="46"/>
      <c r="V1452" s="46"/>
      <c r="W1452" s="46"/>
      <c r="X1452" s="11" t="str">
        <f>IF(COUNTBLANK(B1452:W1452)&gt;0,"NA",'batch classification'!J1458)</f>
        <v>NA</v>
      </c>
    </row>
    <row r="1453" spans="1:24" x14ac:dyDescent="0.25">
      <c r="A1453" s="45"/>
      <c r="B1453" s="46"/>
      <c r="C1453" s="46"/>
      <c r="D1453" s="46"/>
      <c r="E1453" s="46"/>
      <c r="F1453" s="46"/>
      <c r="G1453" s="46"/>
      <c r="H1453" s="46"/>
      <c r="I1453" s="46"/>
      <c r="J1453" s="46"/>
      <c r="K1453" s="46"/>
      <c r="L1453" s="46"/>
      <c r="M1453" s="46"/>
      <c r="N1453" s="46"/>
      <c r="O1453" s="46"/>
      <c r="P1453" s="46"/>
      <c r="Q1453" s="46"/>
      <c r="R1453" s="46"/>
      <c r="S1453" s="46"/>
      <c r="T1453" s="46"/>
      <c r="U1453" s="46"/>
      <c r="V1453" s="46"/>
      <c r="W1453" s="46"/>
      <c r="X1453" s="11" t="str">
        <f>IF(COUNTBLANK(B1453:W1453)&gt;0,"NA",'batch classification'!J1459)</f>
        <v>NA</v>
      </c>
    </row>
    <row r="1454" spans="1:24" x14ac:dyDescent="0.25">
      <c r="A1454" s="45"/>
      <c r="B1454" s="46"/>
      <c r="C1454" s="46"/>
      <c r="D1454" s="46"/>
      <c r="E1454" s="46"/>
      <c r="F1454" s="46"/>
      <c r="G1454" s="46"/>
      <c r="H1454" s="46"/>
      <c r="I1454" s="46"/>
      <c r="J1454" s="46"/>
      <c r="K1454" s="46"/>
      <c r="L1454" s="46"/>
      <c r="M1454" s="46"/>
      <c r="N1454" s="46"/>
      <c r="O1454" s="46"/>
      <c r="P1454" s="46"/>
      <c r="Q1454" s="46"/>
      <c r="R1454" s="46"/>
      <c r="S1454" s="46"/>
      <c r="T1454" s="46"/>
      <c r="U1454" s="46"/>
      <c r="V1454" s="46"/>
      <c r="W1454" s="46"/>
      <c r="X1454" s="11" t="str">
        <f>IF(COUNTBLANK(B1454:W1454)&gt;0,"NA",'batch classification'!J1460)</f>
        <v>NA</v>
      </c>
    </row>
    <row r="1455" spans="1:24" x14ac:dyDescent="0.25">
      <c r="A1455" s="45"/>
      <c r="B1455" s="46"/>
      <c r="C1455" s="46"/>
      <c r="D1455" s="46"/>
      <c r="E1455" s="46"/>
      <c r="F1455" s="46"/>
      <c r="G1455" s="46"/>
      <c r="H1455" s="46"/>
      <c r="I1455" s="46"/>
      <c r="J1455" s="46"/>
      <c r="K1455" s="46"/>
      <c r="L1455" s="46"/>
      <c r="M1455" s="46"/>
      <c r="N1455" s="46"/>
      <c r="O1455" s="46"/>
      <c r="P1455" s="46"/>
      <c r="Q1455" s="46"/>
      <c r="R1455" s="46"/>
      <c r="S1455" s="46"/>
      <c r="T1455" s="46"/>
      <c r="U1455" s="46"/>
      <c r="V1455" s="46"/>
      <c r="W1455" s="46"/>
      <c r="X1455" s="11" t="str">
        <f>IF(COUNTBLANK(B1455:W1455)&gt;0,"NA",'batch classification'!J1461)</f>
        <v>NA</v>
      </c>
    </row>
    <row r="1456" spans="1:24" x14ac:dyDescent="0.25">
      <c r="A1456" s="45"/>
      <c r="B1456" s="46"/>
      <c r="C1456" s="46"/>
      <c r="D1456" s="46"/>
      <c r="E1456" s="46"/>
      <c r="F1456" s="46"/>
      <c r="G1456" s="46"/>
      <c r="H1456" s="46"/>
      <c r="I1456" s="46"/>
      <c r="J1456" s="46"/>
      <c r="K1456" s="46"/>
      <c r="L1456" s="46"/>
      <c r="M1456" s="46"/>
      <c r="N1456" s="46"/>
      <c r="O1456" s="46"/>
      <c r="P1456" s="46"/>
      <c r="Q1456" s="46"/>
      <c r="R1456" s="46"/>
      <c r="S1456" s="46"/>
      <c r="T1456" s="46"/>
      <c r="U1456" s="46"/>
      <c r="V1456" s="46"/>
      <c r="W1456" s="46"/>
      <c r="X1456" s="11" t="str">
        <f>IF(COUNTBLANK(B1456:W1456)&gt;0,"NA",'batch classification'!J1462)</f>
        <v>NA</v>
      </c>
    </row>
    <row r="1457" spans="1:24" x14ac:dyDescent="0.25">
      <c r="A1457" s="45"/>
      <c r="B1457" s="46"/>
      <c r="C1457" s="46"/>
      <c r="D1457" s="46"/>
      <c r="E1457" s="46"/>
      <c r="F1457" s="46"/>
      <c r="G1457" s="46"/>
      <c r="H1457" s="46"/>
      <c r="I1457" s="46"/>
      <c r="J1457" s="46"/>
      <c r="K1457" s="46"/>
      <c r="L1457" s="46"/>
      <c r="M1457" s="46"/>
      <c r="N1457" s="46"/>
      <c r="O1457" s="46"/>
      <c r="P1457" s="46"/>
      <c r="Q1457" s="46"/>
      <c r="R1457" s="46"/>
      <c r="S1457" s="46"/>
      <c r="T1457" s="46"/>
      <c r="U1457" s="46"/>
      <c r="V1457" s="46"/>
      <c r="W1457" s="46"/>
      <c r="X1457" s="11" t="str">
        <f>IF(COUNTBLANK(B1457:W1457)&gt;0,"NA",'batch classification'!J1463)</f>
        <v>NA</v>
      </c>
    </row>
    <row r="1458" spans="1:24" x14ac:dyDescent="0.25">
      <c r="A1458" s="45"/>
      <c r="B1458" s="46"/>
      <c r="C1458" s="46"/>
      <c r="D1458" s="46"/>
      <c r="E1458" s="46"/>
      <c r="F1458" s="46"/>
      <c r="G1458" s="46"/>
      <c r="H1458" s="46"/>
      <c r="I1458" s="46"/>
      <c r="J1458" s="46"/>
      <c r="K1458" s="46"/>
      <c r="L1458" s="46"/>
      <c r="M1458" s="46"/>
      <c r="N1458" s="46"/>
      <c r="O1458" s="46"/>
      <c r="P1458" s="46"/>
      <c r="Q1458" s="46"/>
      <c r="R1458" s="46"/>
      <c r="S1458" s="46"/>
      <c r="T1458" s="46"/>
      <c r="U1458" s="46"/>
      <c r="V1458" s="46"/>
      <c r="W1458" s="46"/>
      <c r="X1458" s="11" t="str">
        <f>IF(COUNTBLANK(B1458:W1458)&gt;0,"NA",'batch classification'!J1464)</f>
        <v>NA</v>
      </c>
    </row>
    <row r="1459" spans="1:24" x14ac:dyDescent="0.25">
      <c r="A1459" s="45"/>
      <c r="B1459" s="46"/>
      <c r="C1459" s="46"/>
      <c r="D1459" s="46"/>
      <c r="E1459" s="46"/>
      <c r="F1459" s="46"/>
      <c r="G1459" s="46"/>
      <c r="H1459" s="46"/>
      <c r="I1459" s="46"/>
      <c r="J1459" s="46"/>
      <c r="K1459" s="46"/>
      <c r="L1459" s="46"/>
      <c r="M1459" s="46"/>
      <c r="N1459" s="46"/>
      <c r="O1459" s="46"/>
      <c r="P1459" s="46"/>
      <c r="Q1459" s="46"/>
      <c r="R1459" s="46"/>
      <c r="S1459" s="46"/>
      <c r="T1459" s="46"/>
      <c r="U1459" s="46"/>
      <c r="V1459" s="46"/>
      <c r="W1459" s="46"/>
      <c r="X1459" s="11" t="str">
        <f>IF(COUNTBLANK(B1459:W1459)&gt;0,"NA",'batch classification'!J1465)</f>
        <v>NA</v>
      </c>
    </row>
    <row r="1460" spans="1:24" x14ac:dyDescent="0.25">
      <c r="A1460" s="45"/>
      <c r="B1460" s="46"/>
      <c r="C1460" s="46"/>
      <c r="D1460" s="46"/>
      <c r="E1460" s="46"/>
      <c r="F1460" s="46"/>
      <c r="G1460" s="46"/>
      <c r="H1460" s="46"/>
      <c r="I1460" s="46"/>
      <c r="J1460" s="46"/>
      <c r="K1460" s="46"/>
      <c r="L1460" s="46"/>
      <c r="M1460" s="46"/>
      <c r="N1460" s="46"/>
      <c r="O1460" s="46"/>
      <c r="P1460" s="46"/>
      <c r="Q1460" s="46"/>
      <c r="R1460" s="46"/>
      <c r="S1460" s="46"/>
      <c r="T1460" s="46"/>
      <c r="U1460" s="46"/>
      <c r="V1460" s="46"/>
      <c r="W1460" s="46"/>
      <c r="X1460" s="11" t="str">
        <f>IF(COUNTBLANK(B1460:W1460)&gt;0,"NA",'batch classification'!J1466)</f>
        <v>NA</v>
      </c>
    </row>
    <row r="1461" spans="1:24" x14ac:dyDescent="0.25">
      <c r="A1461" s="45"/>
      <c r="B1461" s="46"/>
      <c r="C1461" s="46"/>
      <c r="D1461" s="46"/>
      <c r="E1461" s="46"/>
      <c r="F1461" s="46"/>
      <c r="G1461" s="46"/>
      <c r="H1461" s="46"/>
      <c r="I1461" s="46"/>
      <c r="J1461" s="46"/>
      <c r="K1461" s="46"/>
      <c r="L1461" s="46"/>
      <c r="M1461" s="46"/>
      <c r="N1461" s="46"/>
      <c r="O1461" s="46"/>
      <c r="P1461" s="46"/>
      <c r="Q1461" s="46"/>
      <c r="R1461" s="46"/>
      <c r="S1461" s="46"/>
      <c r="T1461" s="46"/>
      <c r="U1461" s="46"/>
      <c r="V1461" s="46"/>
      <c r="W1461" s="46"/>
      <c r="X1461" s="11" t="str">
        <f>IF(COUNTBLANK(B1461:W1461)&gt;0,"NA",'batch classification'!J1467)</f>
        <v>NA</v>
      </c>
    </row>
    <row r="1462" spans="1:24" x14ac:dyDescent="0.25">
      <c r="A1462" s="45"/>
      <c r="B1462" s="46"/>
      <c r="C1462" s="46"/>
      <c r="D1462" s="46"/>
      <c r="E1462" s="46"/>
      <c r="F1462" s="46"/>
      <c r="G1462" s="46"/>
      <c r="H1462" s="46"/>
      <c r="I1462" s="46"/>
      <c r="J1462" s="46"/>
      <c r="K1462" s="46"/>
      <c r="L1462" s="46"/>
      <c r="M1462" s="46"/>
      <c r="N1462" s="46"/>
      <c r="O1462" s="46"/>
      <c r="P1462" s="46"/>
      <c r="Q1462" s="46"/>
      <c r="R1462" s="46"/>
      <c r="S1462" s="46"/>
      <c r="T1462" s="46"/>
      <c r="U1462" s="46"/>
      <c r="V1462" s="46"/>
      <c r="W1462" s="46"/>
      <c r="X1462" s="11" t="str">
        <f>IF(COUNTBLANK(B1462:W1462)&gt;0,"NA",'batch classification'!J1468)</f>
        <v>NA</v>
      </c>
    </row>
    <row r="1463" spans="1:24" x14ac:dyDescent="0.25">
      <c r="A1463" s="45"/>
      <c r="B1463" s="46"/>
      <c r="C1463" s="46"/>
      <c r="D1463" s="46"/>
      <c r="E1463" s="46"/>
      <c r="F1463" s="46"/>
      <c r="G1463" s="46"/>
      <c r="H1463" s="46"/>
      <c r="I1463" s="46"/>
      <c r="J1463" s="46"/>
      <c r="K1463" s="46"/>
      <c r="L1463" s="46"/>
      <c r="M1463" s="46"/>
      <c r="N1463" s="46"/>
      <c r="O1463" s="46"/>
      <c r="P1463" s="46"/>
      <c r="Q1463" s="46"/>
      <c r="R1463" s="46"/>
      <c r="S1463" s="46"/>
      <c r="T1463" s="46"/>
      <c r="U1463" s="46"/>
      <c r="V1463" s="46"/>
      <c r="W1463" s="46"/>
      <c r="X1463" s="11" t="str">
        <f>IF(COUNTBLANK(B1463:W1463)&gt;0,"NA",'batch classification'!J1469)</f>
        <v>NA</v>
      </c>
    </row>
    <row r="1464" spans="1:24" x14ac:dyDescent="0.25">
      <c r="A1464" s="45"/>
      <c r="B1464" s="46"/>
      <c r="C1464" s="46"/>
      <c r="D1464" s="46"/>
      <c r="E1464" s="46"/>
      <c r="F1464" s="46"/>
      <c r="G1464" s="46"/>
      <c r="H1464" s="46"/>
      <c r="I1464" s="46"/>
      <c r="J1464" s="46"/>
      <c r="K1464" s="46"/>
      <c r="L1464" s="46"/>
      <c r="M1464" s="46"/>
      <c r="N1464" s="46"/>
      <c r="O1464" s="46"/>
      <c r="P1464" s="46"/>
      <c r="Q1464" s="46"/>
      <c r="R1464" s="46"/>
      <c r="S1464" s="46"/>
      <c r="T1464" s="46"/>
      <c r="U1464" s="46"/>
      <c r="V1464" s="46"/>
      <c r="W1464" s="46"/>
      <c r="X1464" s="11" t="str">
        <f>IF(COUNTBLANK(B1464:W1464)&gt;0,"NA",'batch classification'!J1470)</f>
        <v>NA</v>
      </c>
    </row>
    <row r="1465" spans="1:24" x14ac:dyDescent="0.25">
      <c r="A1465" s="45"/>
      <c r="B1465" s="46"/>
      <c r="C1465" s="46"/>
      <c r="D1465" s="46"/>
      <c r="E1465" s="46"/>
      <c r="F1465" s="46"/>
      <c r="G1465" s="46"/>
      <c r="H1465" s="46"/>
      <c r="I1465" s="46"/>
      <c r="J1465" s="46"/>
      <c r="K1465" s="46"/>
      <c r="L1465" s="46"/>
      <c r="M1465" s="46"/>
      <c r="N1465" s="46"/>
      <c r="O1465" s="46"/>
      <c r="P1465" s="46"/>
      <c r="Q1465" s="46"/>
      <c r="R1465" s="46"/>
      <c r="S1465" s="46"/>
      <c r="T1465" s="46"/>
      <c r="U1465" s="46"/>
      <c r="V1465" s="46"/>
      <c r="W1465" s="46"/>
      <c r="X1465" s="11" t="str">
        <f>IF(COUNTBLANK(B1465:W1465)&gt;0,"NA",'batch classification'!J1471)</f>
        <v>NA</v>
      </c>
    </row>
    <row r="1466" spans="1:24" x14ac:dyDescent="0.25">
      <c r="A1466" s="45"/>
      <c r="B1466" s="46"/>
      <c r="C1466" s="46"/>
      <c r="D1466" s="46"/>
      <c r="E1466" s="46"/>
      <c r="F1466" s="46"/>
      <c r="G1466" s="46"/>
      <c r="H1466" s="46"/>
      <c r="I1466" s="46"/>
      <c r="J1466" s="46"/>
      <c r="K1466" s="46"/>
      <c r="L1466" s="46"/>
      <c r="M1466" s="46"/>
      <c r="N1466" s="46"/>
      <c r="O1466" s="46"/>
      <c r="P1466" s="46"/>
      <c r="Q1466" s="46"/>
      <c r="R1466" s="46"/>
      <c r="S1466" s="46"/>
      <c r="T1466" s="46"/>
      <c r="U1466" s="46"/>
      <c r="V1466" s="46"/>
      <c r="W1466" s="46"/>
      <c r="X1466" s="11" t="str">
        <f>IF(COUNTBLANK(B1466:W1466)&gt;0,"NA",'batch classification'!J1472)</f>
        <v>NA</v>
      </c>
    </row>
    <row r="1467" spans="1:24" x14ac:dyDescent="0.25">
      <c r="A1467" s="45"/>
      <c r="B1467" s="46"/>
      <c r="C1467" s="46"/>
      <c r="D1467" s="46"/>
      <c r="E1467" s="46"/>
      <c r="F1467" s="46"/>
      <c r="G1467" s="46"/>
      <c r="H1467" s="46"/>
      <c r="I1467" s="46"/>
      <c r="J1467" s="46"/>
      <c r="K1467" s="46"/>
      <c r="L1467" s="46"/>
      <c r="M1467" s="46"/>
      <c r="N1467" s="46"/>
      <c r="O1467" s="46"/>
      <c r="P1467" s="46"/>
      <c r="Q1467" s="46"/>
      <c r="R1467" s="46"/>
      <c r="S1467" s="46"/>
      <c r="T1467" s="46"/>
      <c r="U1467" s="46"/>
      <c r="V1467" s="46"/>
      <c r="W1467" s="46"/>
      <c r="X1467" s="11" t="str">
        <f>IF(COUNTBLANK(B1467:W1467)&gt;0,"NA",'batch classification'!J1473)</f>
        <v>NA</v>
      </c>
    </row>
    <row r="1468" spans="1:24" x14ac:dyDescent="0.25">
      <c r="A1468" s="45"/>
      <c r="B1468" s="46"/>
      <c r="C1468" s="46"/>
      <c r="D1468" s="46"/>
      <c r="E1468" s="46"/>
      <c r="F1468" s="46"/>
      <c r="G1468" s="46"/>
      <c r="H1468" s="46"/>
      <c r="I1468" s="46"/>
      <c r="J1468" s="46"/>
      <c r="K1468" s="46"/>
      <c r="L1468" s="46"/>
      <c r="M1468" s="46"/>
      <c r="N1468" s="46"/>
      <c r="O1468" s="46"/>
      <c r="P1468" s="46"/>
      <c r="Q1468" s="46"/>
      <c r="R1468" s="46"/>
      <c r="S1468" s="46"/>
      <c r="T1468" s="46"/>
      <c r="U1468" s="46"/>
      <c r="V1468" s="46"/>
      <c r="W1468" s="46"/>
      <c r="X1468" s="11" t="str">
        <f>IF(COUNTBLANK(B1468:W1468)&gt;0,"NA",'batch classification'!J1474)</f>
        <v>NA</v>
      </c>
    </row>
    <row r="1469" spans="1:24" x14ac:dyDescent="0.25">
      <c r="A1469" s="45"/>
      <c r="B1469" s="46"/>
      <c r="C1469" s="46"/>
      <c r="D1469" s="46"/>
      <c r="E1469" s="46"/>
      <c r="F1469" s="46"/>
      <c r="G1469" s="46"/>
      <c r="H1469" s="46"/>
      <c r="I1469" s="46"/>
      <c r="J1469" s="46"/>
      <c r="K1469" s="46"/>
      <c r="L1469" s="46"/>
      <c r="M1469" s="46"/>
      <c r="N1469" s="46"/>
      <c r="O1469" s="46"/>
      <c r="P1469" s="46"/>
      <c r="Q1469" s="46"/>
      <c r="R1469" s="46"/>
      <c r="S1469" s="46"/>
      <c r="T1469" s="46"/>
      <c r="U1469" s="46"/>
      <c r="V1469" s="46"/>
      <c r="W1469" s="46"/>
      <c r="X1469" s="11" t="str">
        <f>IF(COUNTBLANK(B1469:W1469)&gt;0,"NA",'batch classification'!J1475)</f>
        <v>NA</v>
      </c>
    </row>
    <row r="1470" spans="1:24" x14ac:dyDescent="0.25">
      <c r="A1470" s="45"/>
      <c r="B1470" s="46"/>
      <c r="C1470" s="46"/>
      <c r="D1470" s="46"/>
      <c r="E1470" s="46"/>
      <c r="F1470" s="46"/>
      <c r="G1470" s="46"/>
      <c r="H1470" s="46"/>
      <c r="I1470" s="46"/>
      <c r="J1470" s="46"/>
      <c r="K1470" s="46"/>
      <c r="L1470" s="46"/>
      <c r="M1470" s="46"/>
      <c r="N1470" s="46"/>
      <c r="O1470" s="46"/>
      <c r="P1470" s="46"/>
      <c r="Q1470" s="46"/>
      <c r="R1470" s="46"/>
      <c r="S1470" s="46"/>
      <c r="T1470" s="46"/>
      <c r="U1470" s="46"/>
      <c r="V1470" s="46"/>
      <c r="W1470" s="46"/>
      <c r="X1470" s="11" t="str">
        <f>IF(COUNTBLANK(B1470:W1470)&gt;0,"NA",'batch classification'!J1476)</f>
        <v>NA</v>
      </c>
    </row>
    <row r="1471" spans="1:24" x14ac:dyDescent="0.25">
      <c r="A1471" s="45"/>
      <c r="B1471" s="46"/>
      <c r="C1471" s="46"/>
      <c r="D1471" s="46"/>
      <c r="E1471" s="46"/>
      <c r="F1471" s="46"/>
      <c r="G1471" s="46"/>
      <c r="H1471" s="46"/>
      <c r="I1471" s="46"/>
      <c r="J1471" s="46"/>
      <c r="K1471" s="46"/>
      <c r="L1471" s="46"/>
      <c r="M1471" s="46"/>
      <c r="N1471" s="46"/>
      <c r="O1471" s="46"/>
      <c r="P1471" s="46"/>
      <c r="Q1471" s="46"/>
      <c r="R1471" s="46"/>
      <c r="S1471" s="46"/>
      <c r="T1471" s="46"/>
      <c r="U1471" s="46"/>
      <c r="V1471" s="46"/>
      <c r="W1471" s="46"/>
      <c r="X1471" s="11" t="str">
        <f>IF(COUNTBLANK(B1471:W1471)&gt;0,"NA",'batch classification'!J1477)</f>
        <v>NA</v>
      </c>
    </row>
    <row r="1472" spans="1:24" x14ac:dyDescent="0.25">
      <c r="A1472" s="45"/>
      <c r="B1472" s="46"/>
      <c r="C1472" s="46"/>
      <c r="D1472" s="46"/>
      <c r="E1472" s="46"/>
      <c r="F1472" s="46"/>
      <c r="G1472" s="46"/>
      <c r="H1472" s="46"/>
      <c r="I1472" s="46"/>
      <c r="J1472" s="46"/>
      <c r="K1472" s="46"/>
      <c r="L1472" s="46"/>
      <c r="M1472" s="46"/>
      <c r="N1472" s="46"/>
      <c r="O1472" s="46"/>
      <c r="P1472" s="46"/>
      <c r="Q1472" s="46"/>
      <c r="R1472" s="46"/>
      <c r="S1472" s="46"/>
      <c r="T1472" s="46"/>
      <c r="U1472" s="46"/>
      <c r="V1472" s="46"/>
      <c r="W1472" s="46"/>
      <c r="X1472" s="11" t="str">
        <f>IF(COUNTBLANK(B1472:W1472)&gt;0,"NA",'batch classification'!J1478)</f>
        <v>NA</v>
      </c>
    </row>
    <row r="1473" spans="1:24" x14ac:dyDescent="0.25">
      <c r="A1473" s="45"/>
      <c r="B1473" s="46"/>
      <c r="C1473" s="46"/>
      <c r="D1473" s="46"/>
      <c r="E1473" s="46"/>
      <c r="F1473" s="46"/>
      <c r="G1473" s="46"/>
      <c r="H1473" s="46"/>
      <c r="I1473" s="46"/>
      <c r="J1473" s="46"/>
      <c r="K1473" s="46"/>
      <c r="L1473" s="46"/>
      <c r="M1473" s="46"/>
      <c r="N1473" s="46"/>
      <c r="O1473" s="46"/>
      <c r="P1473" s="46"/>
      <c r="Q1473" s="46"/>
      <c r="R1473" s="46"/>
      <c r="S1473" s="46"/>
      <c r="T1473" s="46"/>
      <c r="U1473" s="46"/>
      <c r="V1473" s="46"/>
      <c r="W1473" s="46"/>
      <c r="X1473" s="11" t="str">
        <f>IF(COUNTBLANK(B1473:W1473)&gt;0,"NA",'batch classification'!J1479)</f>
        <v>NA</v>
      </c>
    </row>
    <row r="1474" spans="1:24" x14ac:dyDescent="0.25">
      <c r="A1474" s="45"/>
      <c r="B1474" s="46"/>
      <c r="C1474" s="46"/>
      <c r="D1474" s="46"/>
      <c r="E1474" s="46"/>
      <c r="F1474" s="46"/>
      <c r="G1474" s="46"/>
      <c r="H1474" s="46"/>
      <c r="I1474" s="46"/>
      <c r="J1474" s="46"/>
      <c r="K1474" s="46"/>
      <c r="L1474" s="46"/>
      <c r="M1474" s="46"/>
      <c r="N1474" s="46"/>
      <c r="O1474" s="46"/>
      <c r="P1474" s="46"/>
      <c r="Q1474" s="46"/>
      <c r="R1474" s="46"/>
      <c r="S1474" s="46"/>
      <c r="T1474" s="46"/>
      <c r="U1474" s="46"/>
      <c r="V1474" s="46"/>
      <c r="W1474" s="46"/>
      <c r="X1474" s="11" t="str">
        <f>IF(COUNTBLANK(B1474:W1474)&gt;0,"NA",'batch classification'!J1480)</f>
        <v>NA</v>
      </c>
    </row>
    <row r="1475" spans="1:24" x14ac:dyDescent="0.25">
      <c r="A1475" s="45"/>
      <c r="B1475" s="46"/>
      <c r="C1475" s="46"/>
      <c r="D1475" s="46"/>
      <c r="E1475" s="46"/>
      <c r="F1475" s="46"/>
      <c r="G1475" s="46"/>
      <c r="H1475" s="46"/>
      <c r="I1475" s="46"/>
      <c r="J1475" s="46"/>
      <c r="K1475" s="46"/>
      <c r="L1475" s="46"/>
      <c r="M1475" s="46"/>
      <c r="N1475" s="46"/>
      <c r="O1475" s="46"/>
      <c r="P1475" s="46"/>
      <c r="Q1475" s="46"/>
      <c r="R1475" s="46"/>
      <c r="S1475" s="46"/>
      <c r="T1475" s="46"/>
      <c r="U1475" s="46"/>
      <c r="V1475" s="46"/>
      <c r="W1475" s="46"/>
      <c r="X1475" s="11" t="str">
        <f>IF(COUNTBLANK(B1475:W1475)&gt;0,"NA",'batch classification'!J1481)</f>
        <v>NA</v>
      </c>
    </row>
    <row r="1476" spans="1:24" x14ac:dyDescent="0.25">
      <c r="A1476" s="45"/>
      <c r="B1476" s="46"/>
      <c r="C1476" s="46"/>
      <c r="D1476" s="46"/>
      <c r="E1476" s="46"/>
      <c r="F1476" s="46"/>
      <c r="G1476" s="46"/>
      <c r="H1476" s="46"/>
      <c r="I1476" s="46"/>
      <c r="J1476" s="46"/>
      <c r="K1476" s="46"/>
      <c r="L1476" s="46"/>
      <c r="M1476" s="46"/>
      <c r="N1476" s="46"/>
      <c r="O1476" s="46"/>
      <c r="P1476" s="46"/>
      <c r="Q1476" s="46"/>
      <c r="R1476" s="46"/>
      <c r="S1476" s="46"/>
      <c r="T1476" s="46"/>
      <c r="U1476" s="46"/>
      <c r="V1476" s="46"/>
      <c r="W1476" s="46"/>
      <c r="X1476" s="11" t="str">
        <f>IF(COUNTBLANK(B1476:W1476)&gt;0,"NA",'batch classification'!J1482)</f>
        <v>NA</v>
      </c>
    </row>
    <row r="1477" spans="1:24" x14ac:dyDescent="0.25">
      <c r="A1477" s="45"/>
      <c r="B1477" s="46"/>
      <c r="C1477" s="46"/>
      <c r="D1477" s="46"/>
      <c r="E1477" s="46"/>
      <c r="F1477" s="46"/>
      <c r="G1477" s="46"/>
      <c r="H1477" s="46"/>
      <c r="I1477" s="46"/>
      <c r="J1477" s="46"/>
      <c r="K1477" s="46"/>
      <c r="L1477" s="46"/>
      <c r="M1477" s="46"/>
      <c r="N1477" s="46"/>
      <c r="O1477" s="46"/>
      <c r="P1477" s="46"/>
      <c r="Q1477" s="46"/>
      <c r="R1477" s="46"/>
      <c r="S1477" s="46"/>
      <c r="T1477" s="46"/>
      <c r="U1477" s="46"/>
      <c r="V1477" s="46"/>
      <c r="W1477" s="46"/>
      <c r="X1477" s="11" t="str">
        <f>IF(COUNTBLANK(B1477:W1477)&gt;0,"NA",'batch classification'!J1483)</f>
        <v>NA</v>
      </c>
    </row>
    <row r="1478" spans="1:24" x14ac:dyDescent="0.25">
      <c r="A1478" s="45"/>
      <c r="B1478" s="46"/>
      <c r="C1478" s="46"/>
      <c r="D1478" s="46"/>
      <c r="E1478" s="46"/>
      <c r="F1478" s="46"/>
      <c r="G1478" s="46"/>
      <c r="H1478" s="46"/>
      <c r="I1478" s="46"/>
      <c r="J1478" s="46"/>
      <c r="K1478" s="46"/>
      <c r="L1478" s="46"/>
      <c r="M1478" s="46"/>
      <c r="N1478" s="46"/>
      <c r="O1478" s="46"/>
      <c r="P1478" s="46"/>
      <c r="Q1478" s="46"/>
      <c r="R1478" s="46"/>
      <c r="S1478" s="46"/>
      <c r="T1478" s="46"/>
      <c r="U1478" s="46"/>
      <c r="V1478" s="46"/>
      <c r="W1478" s="46"/>
      <c r="X1478" s="11" t="str">
        <f>IF(COUNTBLANK(B1478:W1478)&gt;0,"NA",'batch classification'!J1484)</f>
        <v>NA</v>
      </c>
    </row>
    <row r="1479" spans="1:24" x14ac:dyDescent="0.25">
      <c r="A1479" s="45"/>
      <c r="B1479" s="46"/>
      <c r="C1479" s="46"/>
      <c r="D1479" s="46"/>
      <c r="E1479" s="46"/>
      <c r="F1479" s="46"/>
      <c r="G1479" s="46"/>
      <c r="H1479" s="46"/>
      <c r="I1479" s="46"/>
      <c r="J1479" s="46"/>
      <c r="K1479" s="46"/>
      <c r="L1479" s="46"/>
      <c r="M1479" s="46"/>
      <c r="N1479" s="46"/>
      <c r="O1479" s="46"/>
      <c r="P1479" s="46"/>
      <c r="Q1479" s="46"/>
      <c r="R1479" s="46"/>
      <c r="S1479" s="46"/>
      <c r="T1479" s="46"/>
      <c r="U1479" s="46"/>
      <c r="V1479" s="46"/>
      <c r="W1479" s="46"/>
      <c r="X1479" s="11" t="str">
        <f>IF(COUNTBLANK(B1479:W1479)&gt;0,"NA",'batch classification'!J1485)</f>
        <v>NA</v>
      </c>
    </row>
    <row r="1480" spans="1:24" x14ac:dyDescent="0.25">
      <c r="A1480" s="45"/>
      <c r="B1480" s="46"/>
      <c r="C1480" s="46"/>
      <c r="D1480" s="46"/>
      <c r="E1480" s="46"/>
      <c r="F1480" s="46"/>
      <c r="G1480" s="46"/>
      <c r="H1480" s="46"/>
      <c r="I1480" s="46"/>
      <c r="J1480" s="46"/>
      <c r="K1480" s="46"/>
      <c r="L1480" s="46"/>
      <c r="M1480" s="46"/>
      <c r="N1480" s="46"/>
      <c r="O1480" s="46"/>
      <c r="P1480" s="46"/>
      <c r="Q1480" s="46"/>
      <c r="R1480" s="46"/>
      <c r="S1480" s="46"/>
      <c r="T1480" s="46"/>
      <c r="U1480" s="46"/>
      <c r="V1480" s="46"/>
      <c r="W1480" s="46"/>
      <c r="X1480" s="11" t="str">
        <f>IF(COUNTBLANK(B1480:W1480)&gt;0,"NA",'batch classification'!J1486)</f>
        <v>NA</v>
      </c>
    </row>
    <row r="1481" spans="1:24" x14ac:dyDescent="0.25">
      <c r="A1481" s="45"/>
      <c r="B1481" s="46"/>
      <c r="C1481" s="46"/>
      <c r="D1481" s="46"/>
      <c r="E1481" s="46"/>
      <c r="F1481" s="46"/>
      <c r="G1481" s="46"/>
      <c r="H1481" s="46"/>
      <c r="I1481" s="46"/>
      <c r="J1481" s="46"/>
      <c r="K1481" s="46"/>
      <c r="L1481" s="46"/>
      <c r="M1481" s="46"/>
      <c r="N1481" s="46"/>
      <c r="O1481" s="46"/>
      <c r="P1481" s="46"/>
      <c r="Q1481" s="46"/>
      <c r="R1481" s="46"/>
      <c r="S1481" s="46"/>
      <c r="T1481" s="46"/>
      <c r="U1481" s="46"/>
      <c r="V1481" s="46"/>
      <c r="W1481" s="46"/>
      <c r="X1481" s="11" t="str">
        <f>IF(COUNTBLANK(B1481:W1481)&gt;0,"NA",'batch classification'!J1487)</f>
        <v>NA</v>
      </c>
    </row>
    <row r="1482" spans="1:24" x14ac:dyDescent="0.25">
      <c r="A1482" s="45"/>
      <c r="B1482" s="46"/>
      <c r="C1482" s="46"/>
      <c r="D1482" s="46"/>
      <c r="E1482" s="46"/>
      <c r="F1482" s="46"/>
      <c r="G1482" s="46"/>
      <c r="H1482" s="46"/>
      <c r="I1482" s="46"/>
      <c r="J1482" s="46"/>
      <c r="K1482" s="46"/>
      <c r="L1482" s="46"/>
      <c r="M1482" s="46"/>
      <c r="N1482" s="46"/>
      <c r="O1482" s="46"/>
      <c r="P1482" s="46"/>
      <c r="Q1482" s="46"/>
      <c r="R1482" s="46"/>
      <c r="S1482" s="46"/>
      <c r="T1482" s="46"/>
      <c r="U1482" s="46"/>
      <c r="V1482" s="46"/>
      <c r="W1482" s="46"/>
      <c r="X1482" s="11" t="str">
        <f>IF(COUNTBLANK(B1482:W1482)&gt;0,"NA",'batch classification'!J1488)</f>
        <v>NA</v>
      </c>
    </row>
    <row r="1483" spans="1:24" x14ac:dyDescent="0.25">
      <c r="A1483" s="45"/>
      <c r="B1483" s="46"/>
      <c r="C1483" s="46"/>
      <c r="D1483" s="46"/>
      <c r="E1483" s="46"/>
      <c r="F1483" s="46"/>
      <c r="G1483" s="46"/>
      <c r="H1483" s="46"/>
      <c r="I1483" s="46"/>
      <c r="J1483" s="46"/>
      <c r="K1483" s="46"/>
      <c r="L1483" s="46"/>
      <c r="M1483" s="46"/>
      <c r="N1483" s="46"/>
      <c r="O1483" s="46"/>
      <c r="P1483" s="46"/>
      <c r="Q1483" s="46"/>
      <c r="R1483" s="46"/>
      <c r="S1483" s="46"/>
      <c r="T1483" s="46"/>
      <c r="U1483" s="46"/>
      <c r="V1483" s="46"/>
      <c r="W1483" s="46"/>
      <c r="X1483" s="11" t="str">
        <f>IF(COUNTBLANK(B1483:W1483)&gt;0,"NA",'batch classification'!J1489)</f>
        <v>NA</v>
      </c>
    </row>
    <row r="1484" spans="1:24" x14ac:dyDescent="0.25">
      <c r="A1484" s="45"/>
      <c r="B1484" s="46"/>
      <c r="C1484" s="46"/>
      <c r="D1484" s="46"/>
      <c r="E1484" s="46"/>
      <c r="F1484" s="46"/>
      <c r="G1484" s="46"/>
      <c r="H1484" s="46"/>
      <c r="I1484" s="46"/>
      <c r="J1484" s="46"/>
      <c r="K1484" s="46"/>
      <c r="L1484" s="46"/>
      <c r="M1484" s="46"/>
      <c r="N1484" s="46"/>
      <c r="O1484" s="46"/>
      <c r="P1484" s="46"/>
      <c r="Q1484" s="46"/>
      <c r="R1484" s="46"/>
      <c r="S1484" s="46"/>
      <c r="T1484" s="46"/>
      <c r="U1484" s="46"/>
      <c r="V1484" s="46"/>
      <c r="W1484" s="46"/>
      <c r="X1484" s="11" t="str">
        <f>IF(COUNTBLANK(B1484:W1484)&gt;0,"NA",'batch classification'!J1490)</f>
        <v>NA</v>
      </c>
    </row>
    <row r="1485" spans="1:24" x14ac:dyDescent="0.25">
      <c r="A1485" s="45"/>
      <c r="B1485" s="46"/>
      <c r="C1485" s="46"/>
      <c r="D1485" s="46"/>
      <c r="E1485" s="46"/>
      <c r="F1485" s="46"/>
      <c r="G1485" s="46"/>
      <c r="H1485" s="46"/>
      <c r="I1485" s="46"/>
      <c r="J1485" s="46"/>
      <c r="K1485" s="46"/>
      <c r="L1485" s="46"/>
      <c r="M1485" s="46"/>
      <c r="N1485" s="46"/>
      <c r="O1485" s="46"/>
      <c r="P1485" s="46"/>
      <c r="Q1485" s="46"/>
      <c r="R1485" s="46"/>
      <c r="S1485" s="46"/>
      <c r="T1485" s="46"/>
      <c r="U1485" s="46"/>
      <c r="V1485" s="46"/>
      <c r="W1485" s="46"/>
      <c r="X1485" s="11" t="str">
        <f>IF(COUNTBLANK(B1485:W1485)&gt;0,"NA",'batch classification'!J1491)</f>
        <v>NA</v>
      </c>
    </row>
    <row r="1486" spans="1:24" x14ac:dyDescent="0.25">
      <c r="A1486" s="45"/>
      <c r="B1486" s="46"/>
      <c r="C1486" s="46"/>
      <c r="D1486" s="46"/>
      <c r="E1486" s="46"/>
      <c r="F1486" s="46"/>
      <c r="G1486" s="46"/>
      <c r="H1486" s="46"/>
      <c r="I1486" s="46"/>
      <c r="J1486" s="46"/>
      <c r="K1486" s="46"/>
      <c r="L1486" s="46"/>
      <c r="M1486" s="46"/>
      <c r="N1486" s="46"/>
      <c r="O1486" s="46"/>
      <c r="P1486" s="46"/>
      <c r="Q1486" s="46"/>
      <c r="R1486" s="46"/>
      <c r="S1486" s="46"/>
      <c r="T1486" s="46"/>
      <c r="U1486" s="46"/>
      <c r="V1486" s="46"/>
      <c r="W1486" s="46"/>
      <c r="X1486" s="11" t="str">
        <f>IF(COUNTBLANK(B1486:W1486)&gt;0,"NA",'batch classification'!J1492)</f>
        <v>NA</v>
      </c>
    </row>
    <row r="1487" spans="1:24" x14ac:dyDescent="0.25">
      <c r="A1487" s="45"/>
      <c r="B1487" s="46"/>
      <c r="C1487" s="46"/>
      <c r="D1487" s="46"/>
      <c r="E1487" s="46"/>
      <c r="F1487" s="46"/>
      <c r="G1487" s="46"/>
      <c r="H1487" s="46"/>
      <c r="I1487" s="46"/>
      <c r="J1487" s="46"/>
      <c r="K1487" s="46"/>
      <c r="L1487" s="46"/>
      <c r="M1487" s="46"/>
      <c r="N1487" s="46"/>
      <c r="O1487" s="46"/>
      <c r="P1487" s="46"/>
      <c r="Q1487" s="46"/>
      <c r="R1487" s="46"/>
      <c r="S1487" s="46"/>
      <c r="T1487" s="46"/>
      <c r="U1487" s="46"/>
      <c r="V1487" s="46"/>
      <c r="W1487" s="46"/>
      <c r="X1487" s="11" t="str">
        <f>IF(COUNTBLANK(B1487:W1487)&gt;0,"NA",'batch classification'!J1493)</f>
        <v>NA</v>
      </c>
    </row>
    <row r="1488" spans="1:24" x14ac:dyDescent="0.25">
      <c r="A1488" s="45"/>
      <c r="B1488" s="46"/>
      <c r="C1488" s="46"/>
      <c r="D1488" s="46"/>
      <c r="E1488" s="46"/>
      <c r="F1488" s="46"/>
      <c r="G1488" s="46"/>
      <c r="H1488" s="46"/>
      <c r="I1488" s="46"/>
      <c r="J1488" s="46"/>
      <c r="K1488" s="46"/>
      <c r="L1488" s="46"/>
      <c r="M1488" s="46"/>
      <c r="N1488" s="46"/>
      <c r="O1488" s="46"/>
      <c r="P1488" s="46"/>
      <c r="Q1488" s="46"/>
      <c r="R1488" s="46"/>
      <c r="S1488" s="46"/>
      <c r="T1488" s="46"/>
      <c r="U1488" s="46"/>
      <c r="V1488" s="46"/>
      <c r="W1488" s="46"/>
      <c r="X1488" s="11" t="str">
        <f>IF(COUNTBLANK(B1488:W1488)&gt;0,"NA",'batch classification'!J1494)</f>
        <v>NA</v>
      </c>
    </row>
    <row r="1489" spans="1:24" x14ac:dyDescent="0.25">
      <c r="A1489" s="45"/>
      <c r="B1489" s="46"/>
      <c r="C1489" s="46"/>
      <c r="D1489" s="46"/>
      <c r="E1489" s="46"/>
      <c r="F1489" s="46"/>
      <c r="G1489" s="46"/>
      <c r="H1489" s="46"/>
      <c r="I1489" s="46"/>
      <c r="J1489" s="46"/>
      <c r="K1489" s="46"/>
      <c r="L1489" s="46"/>
      <c r="M1489" s="46"/>
      <c r="N1489" s="46"/>
      <c r="O1489" s="46"/>
      <c r="P1489" s="46"/>
      <c r="Q1489" s="46"/>
      <c r="R1489" s="46"/>
      <c r="S1489" s="46"/>
      <c r="T1489" s="46"/>
      <c r="U1489" s="46"/>
      <c r="V1489" s="46"/>
      <c r="W1489" s="46"/>
      <c r="X1489" s="11" t="str">
        <f>IF(COUNTBLANK(B1489:W1489)&gt;0,"NA",'batch classification'!J1495)</f>
        <v>NA</v>
      </c>
    </row>
    <row r="1490" spans="1:24" x14ac:dyDescent="0.25">
      <c r="A1490" s="45"/>
      <c r="B1490" s="46"/>
      <c r="C1490" s="46"/>
      <c r="D1490" s="46"/>
      <c r="E1490" s="46"/>
      <c r="F1490" s="46"/>
      <c r="G1490" s="46"/>
      <c r="H1490" s="46"/>
      <c r="I1490" s="46"/>
      <c r="J1490" s="46"/>
      <c r="K1490" s="46"/>
      <c r="L1490" s="46"/>
      <c r="M1490" s="46"/>
      <c r="N1490" s="46"/>
      <c r="O1490" s="46"/>
      <c r="P1490" s="46"/>
      <c r="Q1490" s="46"/>
      <c r="R1490" s="46"/>
      <c r="S1490" s="46"/>
      <c r="T1490" s="46"/>
      <c r="U1490" s="46"/>
      <c r="V1490" s="46"/>
      <c r="W1490" s="46"/>
      <c r="X1490" s="11" t="str">
        <f>IF(COUNTBLANK(B1490:W1490)&gt;0,"NA",'batch classification'!J1496)</f>
        <v>NA</v>
      </c>
    </row>
    <row r="1491" spans="1:24" x14ac:dyDescent="0.25">
      <c r="A1491" s="45"/>
      <c r="B1491" s="46"/>
      <c r="C1491" s="46"/>
      <c r="D1491" s="46"/>
      <c r="E1491" s="46"/>
      <c r="F1491" s="46"/>
      <c r="G1491" s="46"/>
      <c r="H1491" s="46"/>
      <c r="I1491" s="46"/>
      <c r="J1491" s="46"/>
      <c r="K1491" s="46"/>
      <c r="L1491" s="46"/>
      <c r="M1491" s="46"/>
      <c r="N1491" s="46"/>
      <c r="O1491" s="46"/>
      <c r="P1491" s="46"/>
      <c r="Q1491" s="46"/>
      <c r="R1491" s="46"/>
      <c r="S1491" s="46"/>
      <c r="T1491" s="46"/>
      <c r="U1491" s="46"/>
      <c r="V1491" s="46"/>
      <c r="W1491" s="46"/>
      <c r="X1491" s="11" t="str">
        <f>IF(COUNTBLANK(B1491:W1491)&gt;0,"NA",'batch classification'!J1497)</f>
        <v>NA</v>
      </c>
    </row>
    <row r="1492" spans="1:24" x14ac:dyDescent="0.25">
      <c r="A1492" s="45"/>
      <c r="B1492" s="46"/>
      <c r="C1492" s="46"/>
      <c r="D1492" s="46"/>
      <c r="E1492" s="46"/>
      <c r="F1492" s="46"/>
      <c r="G1492" s="46"/>
      <c r="H1492" s="46"/>
      <c r="I1492" s="46"/>
      <c r="J1492" s="46"/>
      <c r="K1492" s="46"/>
      <c r="L1492" s="46"/>
      <c r="M1492" s="46"/>
      <c r="N1492" s="46"/>
      <c r="O1492" s="46"/>
      <c r="P1492" s="46"/>
      <c r="Q1492" s="46"/>
      <c r="R1492" s="46"/>
      <c r="S1492" s="46"/>
      <c r="T1492" s="46"/>
      <c r="U1492" s="46"/>
      <c r="V1492" s="46"/>
      <c r="W1492" s="46"/>
      <c r="X1492" s="11" t="str">
        <f>IF(COUNTBLANK(B1492:W1492)&gt;0,"NA",'batch classification'!J1498)</f>
        <v>NA</v>
      </c>
    </row>
    <row r="1493" spans="1:24" x14ac:dyDescent="0.25">
      <c r="A1493" s="45"/>
      <c r="B1493" s="46"/>
      <c r="C1493" s="46"/>
      <c r="D1493" s="46"/>
      <c r="E1493" s="46"/>
      <c r="F1493" s="46"/>
      <c r="G1493" s="46"/>
      <c r="H1493" s="46"/>
      <c r="I1493" s="46"/>
      <c r="J1493" s="46"/>
      <c r="K1493" s="46"/>
      <c r="L1493" s="46"/>
      <c r="M1493" s="46"/>
      <c r="N1493" s="46"/>
      <c r="O1493" s="46"/>
      <c r="P1493" s="46"/>
      <c r="Q1493" s="46"/>
      <c r="R1493" s="46"/>
      <c r="S1493" s="46"/>
      <c r="T1493" s="46"/>
      <c r="U1493" s="46"/>
      <c r="V1493" s="46"/>
      <c r="W1493" s="46"/>
      <c r="X1493" s="11" t="str">
        <f>IF(COUNTBLANK(B1493:W1493)&gt;0,"NA",'batch classification'!J1499)</f>
        <v>NA</v>
      </c>
    </row>
    <row r="1494" spans="1:24" x14ac:dyDescent="0.25">
      <c r="A1494" s="45"/>
      <c r="B1494" s="46"/>
      <c r="C1494" s="46"/>
      <c r="D1494" s="46"/>
      <c r="E1494" s="46"/>
      <c r="F1494" s="46"/>
      <c r="G1494" s="46"/>
      <c r="H1494" s="46"/>
      <c r="I1494" s="46"/>
      <c r="J1494" s="46"/>
      <c r="K1494" s="46"/>
      <c r="L1494" s="46"/>
      <c r="M1494" s="46"/>
      <c r="N1494" s="46"/>
      <c r="O1494" s="46"/>
      <c r="P1494" s="46"/>
      <c r="Q1494" s="46"/>
      <c r="R1494" s="46"/>
      <c r="S1494" s="46"/>
      <c r="T1494" s="46"/>
      <c r="U1494" s="46"/>
      <c r="V1494" s="46"/>
      <c r="W1494" s="46"/>
      <c r="X1494" s="11" t="str">
        <f>IF(COUNTBLANK(B1494:W1494)&gt;0,"NA",'batch classification'!J1500)</f>
        <v>NA</v>
      </c>
    </row>
    <row r="1495" spans="1:24" x14ac:dyDescent="0.25">
      <c r="A1495" s="45"/>
      <c r="B1495" s="46"/>
      <c r="C1495" s="46"/>
      <c r="D1495" s="46"/>
      <c r="E1495" s="46"/>
      <c r="F1495" s="46"/>
      <c r="G1495" s="46"/>
      <c r="H1495" s="46"/>
      <c r="I1495" s="46"/>
      <c r="J1495" s="46"/>
      <c r="K1495" s="46"/>
      <c r="L1495" s="46"/>
      <c r="M1495" s="46"/>
      <c r="N1495" s="46"/>
      <c r="O1495" s="46"/>
      <c r="P1495" s="46"/>
      <c r="Q1495" s="46"/>
      <c r="R1495" s="46"/>
      <c r="S1495" s="46"/>
      <c r="T1495" s="46"/>
      <c r="U1495" s="46"/>
      <c r="V1495" s="46"/>
      <c r="W1495" s="46"/>
      <c r="X1495" s="11" t="str">
        <f>IF(COUNTBLANK(B1495:W1495)&gt;0,"NA",'batch classification'!J1501)</f>
        <v>NA</v>
      </c>
    </row>
    <row r="1496" spans="1:24" x14ac:dyDescent="0.25">
      <c r="A1496" s="45"/>
      <c r="B1496" s="46"/>
      <c r="C1496" s="46"/>
      <c r="D1496" s="46"/>
      <c r="E1496" s="46"/>
      <c r="F1496" s="46"/>
      <c r="G1496" s="46"/>
      <c r="H1496" s="46"/>
      <c r="I1496" s="46"/>
      <c r="J1496" s="46"/>
      <c r="K1496" s="46"/>
      <c r="L1496" s="46"/>
      <c r="M1496" s="46"/>
      <c r="N1496" s="46"/>
      <c r="O1496" s="46"/>
      <c r="P1496" s="46"/>
      <c r="Q1496" s="46"/>
      <c r="R1496" s="46"/>
      <c r="S1496" s="46"/>
      <c r="T1496" s="46"/>
      <c r="U1496" s="46"/>
      <c r="V1496" s="46"/>
      <c r="W1496" s="46"/>
      <c r="X1496" s="11" t="str">
        <f>IF(COUNTBLANK(B1496:W1496)&gt;0,"NA",'batch classification'!J1502)</f>
        <v>NA</v>
      </c>
    </row>
    <row r="1497" spans="1:24" x14ac:dyDescent="0.25">
      <c r="A1497" s="45"/>
      <c r="B1497" s="46"/>
      <c r="C1497" s="46"/>
      <c r="D1497" s="46"/>
      <c r="E1497" s="46"/>
      <c r="F1497" s="46"/>
      <c r="G1497" s="46"/>
      <c r="H1497" s="46"/>
      <c r="I1497" s="46"/>
      <c r="J1497" s="46"/>
      <c r="K1497" s="46"/>
      <c r="L1497" s="46"/>
      <c r="M1497" s="46"/>
      <c r="N1497" s="46"/>
      <c r="O1497" s="46"/>
      <c r="P1497" s="46"/>
      <c r="Q1497" s="46"/>
      <c r="R1497" s="46"/>
      <c r="S1497" s="46"/>
      <c r="T1497" s="46"/>
      <c r="U1497" s="46"/>
      <c r="V1497" s="46"/>
      <c r="W1497" s="46"/>
      <c r="X1497" s="11" t="str">
        <f>IF(COUNTBLANK(B1497:W1497)&gt;0,"NA",'batch classification'!J1503)</f>
        <v>NA</v>
      </c>
    </row>
    <row r="1498" spans="1:24" x14ac:dyDescent="0.25">
      <c r="A1498" s="45"/>
      <c r="B1498" s="46"/>
      <c r="C1498" s="46"/>
      <c r="D1498" s="46"/>
      <c r="E1498" s="46"/>
      <c r="F1498" s="46"/>
      <c r="G1498" s="46"/>
      <c r="H1498" s="46"/>
      <c r="I1498" s="46"/>
      <c r="J1498" s="46"/>
      <c r="K1498" s="46"/>
      <c r="L1498" s="46"/>
      <c r="M1498" s="46"/>
      <c r="N1498" s="46"/>
      <c r="O1498" s="46"/>
      <c r="P1498" s="46"/>
      <c r="Q1498" s="46"/>
      <c r="R1498" s="46"/>
      <c r="S1498" s="46"/>
      <c r="T1498" s="46"/>
      <c r="U1498" s="46"/>
      <c r="V1498" s="46"/>
      <c r="W1498" s="46"/>
      <c r="X1498" s="11" t="str">
        <f>IF(COUNTBLANK(B1498:W1498)&gt;0,"NA",'batch classification'!J1504)</f>
        <v>NA</v>
      </c>
    </row>
    <row r="1499" spans="1:24" x14ac:dyDescent="0.25">
      <c r="A1499" s="45"/>
      <c r="B1499" s="46"/>
      <c r="C1499" s="46"/>
      <c r="D1499" s="46"/>
      <c r="E1499" s="46"/>
      <c r="F1499" s="46"/>
      <c r="G1499" s="46"/>
      <c r="H1499" s="46"/>
      <c r="I1499" s="46"/>
      <c r="J1499" s="46"/>
      <c r="K1499" s="46"/>
      <c r="L1499" s="46"/>
      <c r="M1499" s="46"/>
      <c r="N1499" s="46"/>
      <c r="O1499" s="46"/>
      <c r="P1499" s="46"/>
      <c r="Q1499" s="46"/>
      <c r="R1499" s="46"/>
      <c r="S1499" s="46"/>
      <c r="T1499" s="46"/>
      <c r="U1499" s="46"/>
      <c r="V1499" s="46"/>
      <c r="W1499" s="46"/>
      <c r="X1499" s="11" t="str">
        <f>IF(COUNTBLANK(B1499:W1499)&gt;0,"NA",'batch classification'!J1505)</f>
        <v>NA</v>
      </c>
    </row>
    <row r="1500" spans="1:24" x14ac:dyDescent="0.25">
      <c r="A1500" s="45"/>
      <c r="B1500" s="46"/>
      <c r="C1500" s="46"/>
      <c r="D1500" s="46"/>
      <c r="E1500" s="46"/>
      <c r="F1500" s="46"/>
      <c r="G1500" s="46"/>
      <c r="H1500" s="46"/>
      <c r="I1500" s="46"/>
      <c r="J1500" s="46"/>
      <c r="K1500" s="46"/>
      <c r="L1500" s="46"/>
      <c r="M1500" s="46"/>
      <c r="N1500" s="46"/>
      <c r="O1500" s="46"/>
      <c r="P1500" s="46"/>
      <c r="Q1500" s="46"/>
      <c r="R1500" s="46"/>
      <c r="S1500" s="46"/>
      <c r="T1500" s="46"/>
      <c r="U1500" s="46"/>
      <c r="V1500" s="46"/>
      <c r="W1500" s="46"/>
      <c r="X1500" s="11" t="str">
        <f>IF(COUNTBLANK(B1500:W1500)&gt;0,"NA",'batch classification'!J1506)</f>
        <v>NA</v>
      </c>
    </row>
    <row r="1501" spans="1:24" x14ac:dyDescent="0.25">
      <c r="A1501" s="45"/>
      <c r="B1501" s="46"/>
      <c r="C1501" s="46"/>
      <c r="D1501" s="46"/>
      <c r="E1501" s="46"/>
      <c r="F1501" s="46"/>
      <c r="G1501" s="46"/>
      <c r="H1501" s="46"/>
      <c r="I1501" s="46"/>
      <c r="J1501" s="46"/>
      <c r="K1501" s="46"/>
      <c r="L1501" s="46"/>
      <c r="M1501" s="46"/>
      <c r="N1501" s="46"/>
      <c r="O1501" s="46"/>
      <c r="P1501" s="46"/>
      <c r="Q1501" s="46"/>
      <c r="R1501" s="46"/>
      <c r="S1501" s="46"/>
      <c r="T1501" s="46"/>
      <c r="U1501" s="46"/>
      <c r="V1501" s="46"/>
      <c r="W1501" s="46"/>
      <c r="X1501" s="11" t="str">
        <f>IF(COUNTBLANK(B1501:W1501)&gt;0,"NA",'batch classification'!J1507)</f>
        <v>NA</v>
      </c>
    </row>
    <row r="1502" spans="1:24" x14ac:dyDescent="0.25">
      <c r="A1502" s="45"/>
      <c r="B1502" s="46"/>
      <c r="C1502" s="46"/>
      <c r="D1502" s="46"/>
      <c r="E1502" s="46"/>
      <c r="F1502" s="46"/>
      <c r="G1502" s="46"/>
      <c r="H1502" s="46"/>
      <c r="I1502" s="46"/>
      <c r="J1502" s="46"/>
      <c r="K1502" s="46"/>
      <c r="L1502" s="46"/>
      <c r="M1502" s="46"/>
      <c r="N1502" s="46"/>
      <c r="O1502" s="46"/>
      <c r="P1502" s="46"/>
      <c r="Q1502" s="46"/>
      <c r="R1502" s="46"/>
      <c r="S1502" s="46"/>
      <c r="T1502" s="46"/>
      <c r="U1502" s="46"/>
      <c r="V1502" s="46"/>
      <c r="W1502" s="46"/>
      <c r="X1502" s="11" t="str">
        <f>IF(COUNTBLANK(B1502:W1502)&gt;0,"NA",'batch classification'!J1508)</f>
        <v>NA</v>
      </c>
    </row>
    <row r="1503" spans="1:24" x14ac:dyDescent="0.25">
      <c r="A1503" s="45"/>
      <c r="B1503" s="46"/>
      <c r="C1503" s="46"/>
      <c r="D1503" s="46"/>
      <c r="E1503" s="46"/>
      <c r="F1503" s="46"/>
      <c r="G1503" s="46"/>
      <c r="H1503" s="46"/>
      <c r="I1503" s="46"/>
      <c r="J1503" s="46"/>
      <c r="K1503" s="46"/>
      <c r="L1503" s="46"/>
      <c r="M1503" s="46"/>
      <c r="N1503" s="46"/>
      <c r="O1503" s="46"/>
      <c r="P1503" s="46"/>
      <c r="Q1503" s="46"/>
      <c r="R1503" s="46"/>
      <c r="S1503" s="46"/>
      <c r="T1503" s="46"/>
      <c r="U1503" s="46"/>
      <c r="V1503" s="46"/>
      <c r="W1503" s="46"/>
      <c r="X1503" s="11" t="str">
        <f>IF(COUNTBLANK(B1503:W1503)&gt;0,"NA",'batch classification'!J1509)</f>
        <v>NA</v>
      </c>
    </row>
    <row r="1504" spans="1:24" x14ac:dyDescent="0.25">
      <c r="A1504" s="45"/>
      <c r="B1504" s="46"/>
      <c r="C1504" s="46"/>
      <c r="D1504" s="46"/>
      <c r="E1504" s="46"/>
      <c r="F1504" s="46"/>
      <c r="G1504" s="46"/>
      <c r="H1504" s="46"/>
      <c r="I1504" s="46"/>
      <c r="J1504" s="46"/>
      <c r="K1504" s="46"/>
      <c r="L1504" s="46"/>
      <c r="M1504" s="46"/>
      <c r="N1504" s="46"/>
      <c r="O1504" s="46"/>
      <c r="P1504" s="46"/>
      <c r="Q1504" s="46"/>
      <c r="R1504" s="46"/>
      <c r="S1504" s="46"/>
      <c r="T1504" s="46"/>
      <c r="U1504" s="46"/>
      <c r="V1504" s="46"/>
      <c r="W1504" s="46"/>
      <c r="X1504" s="11" t="str">
        <f>IF(COUNTBLANK(B1504:W1504)&gt;0,"NA",'batch classification'!J1510)</f>
        <v>NA</v>
      </c>
    </row>
    <row r="1505" spans="1:24" x14ac:dyDescent="0.25">
      <c r="A1505" s="45"/>
      <c r="B1505" s="46"/>
      <c r="C1505" s="46"/>
      <c r="D1505" s="46"/>
      <c r="E1505" s="46"/>
      <c r="F1505" s="46"/>
      <c r="G1505" s="46"/>
      <c r="H1505" s="46"/>
      <c r="I1505" s="46"/>
      <c r="J1505" s="46"/>
      <c r="K1505" s="46"/>
      <c r="L1505" s="46"/>
      <c r="M1505" s="46"/>
      <c r="N1505" s="46"/>
      <c r="O1505" s="46"/>
      <c r="P1505" s="46"/>
      <c r="Q1505" s="46"/>
      <c r="R1505" s="46"/>
      <c r="S1505" s="46"/>
      <c r="T1505" s="46"/>
      <c r="U1505" s="46"/>
      <c r="V1505" s="46"/>
      <c r="W1505" s="46"/>
      <c r="X1505" s="11" t="str">
        <f>IF(COUNTBLANK(B1505:W1505)&gt;0,"NA",'batch classification'!J1511)</f>
        <v>NA</v>
      </c>
    </row>
    <row r="1506" spans="1:24" x14ac:dyDescent="0.25">
      <c r="A1506" s="45"/>
      <c r="B1506" s="46"/>
      <c r="C1506" s="46"/>
      <c r="D1506" s="46"/>
      <c r="E1506" s="46"/>
      <c r="F1506" s="46"/>
      <c r="G1506" s="46"/>
      <c r="H1506" s="46"/>
      <c r="I1506" s="46"/>
      <c r="J1506" s="46"/>
      <c r="K1506" s="46"/>
      <c r="L1506" s="46"/>
      <c r="M1506" s="46"/>
      <c r="N1506" s="46"/>
      <c r="O1506" s="46"/>
      <c r="P1506" s="46"/>
      <c r="Q1506" s="46"/>
      <c r="R1506" s="46"/>
      <c r="S1506" s="46"/>
      <c r="T1506" s="46"/>
      <c r="U1506" s="46"/>
      <c r="V1506" s="46"/>
      <c r="W1506" s="46"/>
      <c r="X1506" s="11" t="str">
        <f>IF(COUNTBLANK(B1506:W1506)&gt;0,"NA",'batch classification'!J1512)</f>
        <v>NA</v>
      </c>
    </row>
    <row r="1507" spans="1:24" x14ac:dyDescent="0.25">
      <c r="A1507" s="45"/>
      <c r="B1507" s="46"/>
      <c r="C1507" s="46"/>
      <c r="D1507" s="46"/>
      <c r="E1507" s="46"/>
      <c r="F1507" s="46"/>
      <c r="G1507" s="46"/>
      <c r="H1507" s="46"/>
      <c r="I1507" s="46"/>
      <c r="J1507" s="46"/>
      <c r="K1507" s="46"/>
      <c r="L1507" s="46"/>
      <c r="M1507" s="46"/>
      <c r="N1507" s="46"/>
      <c r="O1507" s="46"/>
      <c r="P1507" s="46"/>
      <c r="Q1507" s="46"/>
      <c r="R1507" s="46"/>
      <c r="S1507" s="46"/>
      <c r="T1507" s="46"/>
      <c r="U1507" s="46"/>
      <c r="V1507" s="46"/>
      <c r="W1507" s="46"/>
      <c r="X1507" s="11" t="str">
        <f>IF(COUNTBLANK(B1507:W1507)&gt;0,"NA",'batch classification'!J1513)</f>
        <v>NA</v>
      </c>
    </row>
    <row r="1508" spans="1:24" x14ac:dyDescent="0.25">
      <c r="A1508" s="45"/>
      <c r="B1508" s="46"/>
      <c r="C1508" s="46"/>
      <c r="D1508" s="46"/>
      <c r="E1508" s="46"/>
      <c r="F1508" s="46"/>
      <c r="G1508" s="46"/>
      <c r="H1508" s="46"/>
      <c r="I1508" s="46"/>
      <c r="J1508" s="46"/>
      <c r="K1508" s="46"/>
      <c r="L1508" s="46"/>
      <c r="M1508" s="46"/>
      <c r="N1508" s="46"/>
      <c r="O1508" s="46"/>
      <c r="P1508" s="46"/>
      <c r="Q1508" s="46"/>
      <c r="R1508" s="46"/>
      <c r="S1508" s="46"/>
      <c r="T1508" s="46"/>
      <c r="U1508" s="46"/>
      <c r="V1508" s="46"/>
      <c r="W1508" s="46"/>
      <c r="X1508" s="11" t="str">
        <f>IF(COUNTBLANK(B1508:W1508)&gt;0,"NA",'batch classification'!J1514)</f>
        <v>NA</v>
      </c>
    </row>
    <row r="1509" spans="1:24" x14ac:dyDescent="0.25">
      <c r="A1509" s="45"/>
      <c r="B1509" s="46"/>
      <c r="C1509" s="46"/>
      <c r="D1509" s="46"/>
      <c r="E1509" s="46"/>
      <c r="F1509" s="46"/>
      <c r="G1509" s="46"/>
      <c r="H1509" s="46"/>
      <c r="I1509" s="46"/>
      <c r="J1509" s="46"/>
      <c r="K1509" s="46"/>
      <c r="L1509" s="46"/>
      <c r="M1509" s="46"/>
      <c r="N1509" s="46"/>
      <c r="O1509" s="46"/>
      <c r="P1509" s="46"/>
      <c r="Q1509" s="46"/>
      <c r="R1509" s="46"/>
      <c r="S1509" s="46"/>
      <c r="T1509" s="46"/>
      <c r="U1509" s="46"/>
      <c r="V1509" s="46"/>
      <c r="W1509" s="46"/>
      <c r="X1509" s="11" t="str">
        <f>IF(COUNTBLANK(B1509:W1509)&gt;0,"NA",'batch classification'!J1515)</f>
        <v>NA</v>
      </c>
    </row>
    <row r="1510" spans="1:24" x14ac:dyDescent="0.25">
      <c r="A1510" s="45"/>
      <c r="B1510" s="46"/>
      <c r="C1510" s="46"/>
      <c r="D1510" s="46"/>
      <c r="E1510" s="46"/>
      <c r="F1510" s="46"/>
      <c r="G1510" s="46"/>
      <c r="H1510" s="46"/>
      <c r="I1510" s="46"/>
      <c r="J1510" s="46"/>
      <c r="K1510" s="46"/>
      <c r="L1510" s="46"/>
      <c r="M1510" s="46"/>
      <c r="N1510" s="46"/>
      <c r="O1510" s="46"/>
      <c r="P1510" s="46"/>
      <c r="Q1510" s="46"/>
      <c r="R1510" s="46"/>
      <c r="S1510" s="46"/>
      <c r="T1510" s="46"/>
      <c r="U1510" s="46"/>
      <c r="V1510" s="46"/>
      <c r="W1510" s="46"/>
      <c r="X1510" s="11" t="str">
        <f>IF(COUNTBLANK(B1510:W1510)&gt;0,"NA",'batch classification'!J1516)</f>
        <v>NA</v>
      </c>
    </row>
    <row r="1511" spans="1:24" x14ac:dyDescent="0.25">
      <c r="A1511" s="45"/>
      <c r="B1511" s="46"/>
      <c r="C1511" s="46"/>
      <c r="D1511" s="46"/>
      <c r="E1511" s="46"/>
      <c r="F1511" s="46"/>
      <c r="G1511" s="46"/>
      <c r="H1511" s="46"/>
      <c r="I1511" s="46"/>
      <c r="J1511" s="46"/>
      <c r="K1511" s="46"/>
      <c r="L1511" s="46"/>
      <c r="M1511" s="46"/>
      <c r="N1511" s="46"/>
      <c r="O1511" s="46"/>
      <c r="P1511" s="46"/>
      <c r="Q1511" s="46"/>
      <c r="R1511" s="46"/>
      <c r="S1511" s="46"/>
      <c r="T1511" s="46"/>
      <c r="U1511" s="46"/>
      <c r="V1511" s="46"/>
      <c r="W1511" s="46"/>
      <c r="X1511" s="11" t="str">
        <f>IF(COUNTBLANK(B1511:W1511)&gt;0,"NA",'batch classification'!J1517)</f>
        <v>NA</v>
      </c>
    </row>
    <row r="1512" spans="1:24" x14ac:dyDescent="0.25">
      <c r="A1512" s="45"/>
      <c r="B1512" s="46"/>
      <c r="C1512" s="46"/>
      <c r="D1512" s="46"/>
      <c r="E1512" s="46"/>
      <c r="F1512" s="46"/>
      <c r="G1512" s="46"/>
      <c r="H1512" s="46"/>
      <c r="I1512" s="46"/>
      <c r="J1512" s="46"/>
      <c r="K1512" s="46"/>
      <c r="L1512" s="46"/>
      <c r="M1512" s="46"/>
      <c r="N1512" s="46"/>
      <c r="O1512" s="46"/>
      <c r="P1512" s="46"/>
      <c r="Q1512" s="46"/>
      <c r="R1512" s="46"/>
      <c r="S1512" s="46"/>
      <c r="T1512" s="46"/>
      <c r="U1512" s="46"/>
      <c r="V1512" s="46"/>
      <c r="W1512" s="46"/>
      <c r="X1512" s="11" t="str">
        <f>IF(COUNTBLANK(B1512:W1512)&gt;0,"NA",'batch classification'!J1518)</f>
        <v>NA</v>
      </c>
    </row>
    <row r="1513" spans="1:24" x14ac:dyDescent="0.25">
      <c r="A1513" s="45"/>
      <c r="B1513" s="46"/>
      <c r="C1513" s="46"/>
      <c r="D1513" s="46"/>
      <c r="E1513" s="46"/>
      <c r="F1513" s="46"/>
      <c r="G1513" s="46"/>
      <c r="H1513" s="46"/>
      <c r="I1513" s="46"/>
      <c r="J1513" s="46"/>
      <c r="K1513" s="46"/>
      <c r="L1513" s="46"/>
      <c r="M1513" s="46"/>
      <c r="N1513" s="46"/>
      <c r="O1513" s="46"/>
      <c r="P1513" s="46"/>
      <c r="Q1513" s="46"/>
      <c r="R1513" s="46"/>
      <c r="S1513" s="46"/>
      <c r="T1513" s="46"/>
      <c r="U1513" s="46"/>
      <c r="V1513" s="46"/>
      <c r="W1513" s="46"/>
      <c r="X1513" s="11" t="str">
        <f>IF(COUNTBLANK(B1513:W1513)&gt;0,"NA",'batch classification'!J1519)</f>
        <v>NA</v>
      </c>
    </row>
    <row r="1514" spans="1:24" x14ac:dyDescent="0.25">
      <c r="A1514" s="45"/>
      <c r="B1514" s="46"/>
      <c r="C1514" s="46"/>
      <c r="D1514" s="46"/>
      <c r="E1514" s="46"/>
      <c r="F1514" s="46"/>
      <c r="G1514" s="46"/>
      <c r="H1514" s="46"/>
      <c r="I1514" s="46"/>
      <c r="J1514" s="46"/>
      <c r="K1514" s="46"/>
      <c r="L1514" s="46"/>
      <c r="M1514" s="46"/>
      <c r="N1514" s="46"/>
      <c r="O1514" s="46"/>
      <c r="P1514" s="46"/>
      <c r="Q1514" s="46"/>
      <c r="R1514" s="46"/>
      <c r="S1514" s="46"/>
      <c r="T1514" s="46"/>
      <c r="U1514" s="46"/>
      <c r="V1514" s="46"/>
      <c r="W1514" s="46"/>
      <c r="X1514" s="11" t="str">
        <f>IF(COUNTBLANK(B1514:W1514)&gt;0,"NA",'batch classification'!J1520)</f>
        <v>NA</v>
      </c>
    </row>
    <row r="1515" spans="1:24" x14ac:dyDescent="0.25">
      <c r="A1515" s="45"/>
      <c r="B1515" s="46"/>
      <c r="C1515" s="46"/>
      <c r="D1515" s="46"/>
      <c r="E1515" s="46"/>
      <c r="F1515" s="46"/>
      <c r="G1515" s="46"/>
      <c r="H1515" s="46"/>
      <c r="I1515" s="46"/>
      <c r="J1515" s="46"/>
      <c r="K1515" s="46"/>
      <c r="L1515" s="46"/>
      <c r="M1515" s="46"/>
      <c r="N1515" s="46"/>
      <c r="O1515" s="46"/>
      <c r="P1515" s="46"/>
      <c r="Q1515" s="46"/>
      <c r="R1515" s="46"/>
      <c r="S1515" s="46"/>
      <c r="T1515" s="46"/>
      <c r="U1515" s="46"/>
      <c r="V1515" s="46"/>
      <c r="W1515" s="46"/>
      <c r="X1515" s="11" t="str">
        <f>IF(COUNTBLANK(B1515:W1515)&gt;0,"NA",'batch classification'!J1521)</f>
        <v>NA</v>
      </c>
    </row>
    <row r="1516" spans="1:24" x14ac:dyDescent="0.25">
      <c r="A1516" s="45"/>
      <c r="B1516" s="46"/>
      <c r="C1516" s="46"/>
      <c r="D1516" s="46"/>
      <c r="E1516" s="46"/>
      <c r="F1516" s="46"/>
      <c r="G1516" s="46"/>
      <c r="H1516" s="46"/>
      <c r="I1516" s="46"/>
      <c r="J1516" s="46"/>
      <c r="K1516" s="46"/>
      <c r="L1516" s="46"/>
      <c r="M1516" s="46"/>
      <c r="N1516" s="46"/>
      <c r="O1516" s="46"/>
      <c r="P1516" s="46"/>
      <c r="Q1516" s="46"/>
      <c r="R1516" s="46"/>
      <c r="S1516" s="46"/>
      <c r="T1516" s="46"/>
      <c r="U1516" s="46"/>
      <c r="V1516" s="46"/>
      <c r="W1516" s="46"/>
      <c r="X1516" s="11" t="str">
        <f>IF(COUNTBLANK(B1516:W1516)&gt;0,"NA",'batch classification'!J1522)</f>
        <v>NA</v>
      </c>
    </row>
    <row r="1517" spans="1:24" x14ac:dyDescent="0.25">
      <c r="A1517" s="45"/>
      <c r="B1517" s="46"/>
      <c r="C1517" s="46"/>
      <c r="D1517" s="46"/>
      <c r="E1517" s="46"/>
      <c r="F1517" s="46"/>
      <c r="G1517" s="46"/>
      <c r="H1517" s="46"/>
      <c r="I1517" s="46"/>
      <c r="J1517" s="46"/>
      <c r="K1517" s="46"/>
      <c r="L1517" s="46"/>
      <c r="M1517" s="46"/>
      <c r="N1517" s="46"/>
      <c r="O1517" s="46"/>
      <c r="P1517" s="46"/>
      <c r="Q1517" s="46"/>
      <c r="R1517" s="46"/>
      <c r="S1517" s="46"/>
      <c r="T1517" s="46"/>
      <c r="U1517" s="46"/>
      <c r="V1517" s="46"/>
      <c r="W1517" s="46"/>
      <c r="X1517" s="11" t="str">
        <f>IF(COUNTBLANK(B1517:W1517)&gt;0,"NA",'batch classification'!J1523)</f>
        <v>NA</v>
      </c>
    </row>
    <row r="1518" spans="1:24" x14ac:dyDescent="0.25">
      <c r="A1518" s="45"/>
      <c r="B1518" s="46"/>
      <c r="C1518" s="46"/>
      <c r="D1518" s="46"/>
      <c r="E1518" s="46"/>
      <c r="F1518" s="46"/>
      <c r="G1518" s="46"/>
      <c r="H1518" s="46"/>
      <c r="I1518" s="46"/>
      <c r="J1518" s="46"/>
      <c r="K1518" s="46"/>
      <c r="L1518" s="46"/>
      <c r="M1518" s="46"/>
      <c r="N1518" s="46"/>
      <c r="O1518" s="46"/>
      <c r="P1518" s="46"/>
      <c r="Q1518" s="46"/>
      <c r="R1518" s="46"/>
      <c r="S1518" s="46"/>
      <c r="T1518" s="46"/>
      <c r="U1518" s="46"/>
      <c r="V1518" s="46"/>
      <c r="W1518" s="46"/>
      <c r="X1518" s="11" t="str">
        <f>IF(COUNTBLANK(B1518:W1518)&gt;0,"NA",'batch classification'!J1524)</f>
        <v>NA</v>
      </c>
    </row>
    <row r="1519" spans="1:24" x14ac:dyDescent="0.25">
      <c r="A1519" s="45"/>
      <c r="B1519" s="46"/>
      <c r="C1519" s="46"/>
      <c r="D1519" s="46"/>
      <c r="E1519" s="46"/>
      <c r="F1519" s="46"/>
      <c r="G1519" s="46"/>
      <c r="H1519" s="46"/>
      <c r="I1519" s="46"/>
      <c r="J1519" s="46"/>
      <c r="K1519" s="46"/>
      <c r="L1519" s="46"/>
      <c r="M1519" s="46"/>
      <c r="N1519" s="46"/>
      <c r="O1519" s="46"/>
      <c r="P1519" s="46"/>
      <c r="Q1519" s="46"/>
      <c r="R1519" s="46"/>
      <c r="S1519" s="46"/>
      <c r="T1519" s="46"/>
      <c r="U1519" s="46"/>
      <c r="V1519" s="46"/>
      <c r="W1519" s="46"/>
      <c r="X1519" s="11" t="str">
        <f>IF(COUNTBLANK(B1519:W1519)&gt;0,"NA",'batch classification'!J1525)</f>
        <v>NA</v>
      </c>
    </row>
    <row r="1520" spans="1:24" x14ac:dyDescent="0.25">
      <c r="A1520" s="45"/>
      <c r="B1520" s="46"/>
      <c r="C1520" s="46"/>
      <c r="D1520" s="46"/>
      <c r="E1520" s="46"/>
      <c r="F1520" s="46"/>
      <c r="G1520" s="46"/>
      <c r="H1520" s="46"/>
      <c r="I1520" s="46"/>
      <c r="J1520" s="46"/>
      <c r="K1520" s="46"/>
      <c r="L1520" s="46"/>
      <c r="M1520" s="46"/>
      <c r="N1520" s="46"/>
      <c r="O1520" s="46"/>
      <c r="P1520" s="46"/>
      <c r="Q1520" s="46"/>
      <c r="R1520" s="46"/>
      <c r="S1520" s="46"/>
      <c r="T1520" s="46"/>
      <c r="U1520" s="46"/>
      <c r="V1520" s="46"/>
      <c r="W1520" s="46"/>
      <c r="X1520" s="11" t="str">
        <f>IF(COUNTBLANK(B1520:W1520)&gt;0,"NA",'batch classification'!J1526)</f>
        <v>NA</v>
      </c>
    </row>
    <row r="1521" spans="1:24" x14ac:dyDescent="0.25">
      <c r="A1521" s="45"/>
      <c r="B1521" s="46"/>
      <c r="C1521" s="46"/>
      <c r="D1521" s="46"/>
      <c r="E1521" s="46"/>
      <c r="F1521" s="46"/>
      <c r="G1521" s="46"/>
      <c r="H1521" s="46"/>
      <c r="I1521" s="46"/>
      <c r="J1521" s="46"/>
      <c r="K1521" s="46"/>
      <c r="L1521" s="46"/>
      <c r="M1521" s="46"/>
      <c r="N1521" s="46"/>
      <c r="O1521" s="46"/>
      <c r="P1521" s="46"/>
      <c r="Q1521" s="46"/>
      <c r="R1521" s="46"/>
      <c r="S1521" s="46"/>
      <c r="T1521" s="46"/>
      <c r="U1521" s="46"/>
      <c r="V1521" s="46"/>
      <c r="W1521" s="46"/>
      <c r="X1521" s="11" t="str">
        <f>IF(COUNTBLANK(B1521:W1521)&gt;0,"NA",'batch classification'!J1527)</f>
        <v>NA</v>
      </c>
    </row>
    <row r="1522" spans="1:24" x14ac:dyDescent="0.25">
      <c r="A1522" s="45"/>
      <c r="B1522" s="46"/>
      <c r="C1522" s="46"/>
      <c r="D1522" s="46"/>
      <c r="E1522" s="46"/>
      <c r="F1522" s="46"/>
      <c r="G1522" s="46"/>
      <c r="H1522" s="46"/>
      <c r="I1522" s="46"/>
      <c r="J1522" s="46"/>
      <c r="K1522" s="46"/>
      <c r="L1522" s="46"/>
      <c r="M1522" s="46"/>
      <c r="N1522" s="46"/>
      <c r="O1522" s="46"/>
      <c r="P1522" s="46"/>
      <c r="Q1522" s="46"/>
      <c r="R1522" s="46"/>
      <c r="S1522" s="46"/>
      <c r="T1522" s="46"/>
      <c r="U1522" s="46"/>
      <c r="V1522" s="46"/>
      <c r="W1522" s="46"/>
      <c r="X1522" s="11" t="str">
        <f>IF(COUNTBLANK(B1522:W1522)&gt;0,"NA",'batch classification'!J1528)</f>
        <v>NA</v>
      </c>
    </row>
    <row r="1523" spans="1:24" x14ac:dyDescent="0.25">
      <c r="A1523" s="45"/>
      <c r="B1523" s="46"/>
      <c r="C1523" s="46"/>
      <c r="D1523" s="46"/>
      <c r="E1523" s="46"/>
      <c r="F1523" s="46"/>
      <c r="G1523" s="46"/>
      <c r="H1523" s="46"/>
      <c r="I1523" s="46"/>
      <c r="J1523" s="46"/>
      <c r="K1523" s="46"/>
      <c r="L1523" s="46"/>
      <c r="M1523" s="46"/>
      <c r="N1523" s="46"/>
      <c r="O1523" s="46"/>
      <c r="P1523" s="46"/>
      <c r="Q1523" s="46"/>
      <c r="R1523" s="46"/>
      <c r="S1523" s="46"/>
      <c r="T1523" s="46"/>
      <c r="U1523" s="46"/>
      <c r="V1523" s="46"/>
      <c r="W1523" s="46"/>
      <c r="X1523" s="11" t="str">
        <f>IF(COUNTBLANK(B1523:W1523)&gt;0,"NA",'batch classification'!J1529)</f>
        <v>NA</v>
      </c>
    </row>
    <row r="1524" spans="1:24" x14ac:dyDescent="0.25">
      <c r="A1524" s="45"/>
      <c r="B1524" s="46"/>
      <c r="C1524" s="46"/>
      <c r="D1524" s="46"/>
      <c r="E1524" s="46"/>
      <c r="F1524" s="46"/>
      <c r="G1524" s="46"/>
      <c r="H1524" s="46"/>
      <c r="I1524" s="46"/>
      <c r="J1524" s="46"/>
      <c r="K1524" s="46"/>
      <c r="L1524" s="46"/>
      <c r="M1524" s="46"/>
      <c r="N1524" s="46"/>
      <c r="O1524" s="46"/>
      <c r="P1524" s="46"/>
      <c r="Q1524" s="46"/>
      <c r="R1524" s="46"/>
      <c r="S1524" s="46"/>
      <c r="T1524" s="46"/>
      <c r="U1524" s="46"/>
      <c r="V1524" s="46"/>
      <c r="W1524" s="46"/>
      <c r="X1524" s="11" t="str">
        <f>IF(COUNTBLANK(B1524:W1524)&gt;0,"NA",'batch classification'!J1530)</f>
        <v>NA</v>
      </c>
    </row>
    <row r="1525" spans="1:24" x14ac:dyDescent="0.25">
      <c r="A1525" s="45"/>
      <c r="B1525" s="46"/>
      <c r="C1525" s="46"/>
      <c r="D1525" s="46"/>
      <c r="E1525" s="46"/>
      <c r="F1525" s="46"/>
      <c r="G1525" s="46"/>
      <c r="H1525" s="46"/>
      <c r="I1525" s="46"/>
      <c r="J1525" s="46"/>
      <c r="K1525" s="46"/>
      <c r="L1525" s="46"/>
      <c r="M1525" s="46"/>
      <c r="N1525" s="46"/>
      <c r="O1525" s="46"/>
      <c r="P1525" s="46"/>
      <c r="Q1525" s="46"/>
      <c r="R1525" s="46"/>
      <c r="S1525" s="46"/>
      <c r="T1525" s="46"/>
      <c r="U1525" s="46"/>
      <c r="V1525" s="46"/>
      <c r="W1525" s="46"/>
      <c r="X1525" s="11" t="str">
        <f>IF(COUNTBLANK(B1525:W1525)&gt;0,"NA",'batch classification'!J1531)</f>
        <v>NA</v>
      </c>
    </row>
    <row r="1526" spans="1:24" x14ac:dyDescent="0.25">
      <c r="A1526" s="45"/>
      <c r="B1526" s="46"/>
      <c r="C1526" s="46"/>
      <c r="D1526" s="46"/>
      <c r="E1526" s="46"/>
      <c r="F1526" s="46"/>
      <c r="G1526" s="46"/>
      <c r="H1526" s="46"/>
      <c r="I1526" s="46"/>
      <c r="J1526" s="46"/>
      <c r="K1526" s="46"/>
      <c r="L1526" s="46"/>
      <c r="M1526" s="46"/>
      <c r="N1526" s="46"/>
      <c r="O1526" s="46"/>
      <c r="P1526" s="46"/>
      <c r="Q1526" s="46"/>
      <c r="R1526" s="46"/>
      <c r="S1526" s="46"/>
      <c r="T1526" s="46"/>
      <c r="U1526" s="46"/>
      <c r="V1526" s="46"/>
      <c r="W1526" s="46"/>
      <c r="X1526" s="11" t="str">
        <f>IF(COUNTBLANK(B1526:W1526)&gt;0,"NA",'batch classification'!J1532)</f>
        <v>NA</v>
      </c>
    </row>
    <row r="1527" spans="1:24" x14ac:dyDescent="0.25">
      <c r="A1527" s="45"/>
      <c r="B1527" s="46"/>
      <c r="C1527" s="46"/>
      <c r="D1527" s="46"/>
      <c r="E1527" s="46"/>
      <c r="F1527" s="46"/>
      <c r="G1527" s="46"/>
      <c r="H1527" s="46"/>
      <c r="I1527" s="46"/>
      <c r="J1527" s="46"/>
      <c r="K1527" s="46"/>
      <c r="L1527" s="46"/>
      <c r="M1527" s="46"/>
      <c r="N1527" s="46"/>
      <c r="O1527" s="46"/>
      <c r="P1527" s="46"/>
      <c r="Q1527" s="46"/>
      <c r="R1527" s="46"/>
      <c r="S1527" s="46"/>
      <c r="T1527" s="46"/>
      <c r="U1527" s="46"/>
      <c r="V1527" s="46"/>
      <c r="W1527" s="46"/>
      <c r="X1527" s="11" t="str">
        <f>IF(COUNTBLANK(B1527:W1527)&gt;0,"NA",'batch classification'!J1533)</f>
        <v>NA</v>
      </c>
    </row>
    <row r="1528" spans="1:24" x14ac:dyDescent="0.25">
      <c r="A1528" s="45"/>
      <c r="B1528" s="46"/>
      <c r="C1528" s="46"/>
      <c r="D1528" s="46"/>
      <c r="E1528" s="46"/>
      <c r="F1528" s="46"/>
      <c r="G1528" s="46"/>
      <c r="H1528" s="46"/>
      <c r="I1528" s="46"/>
      <c r="J1528" s="46"/>
      <c r="K1528" s="46"/>
      <c r="L1528" s="46"/>
      <c r="M1528" s="46"/>
      <c r="N1528" s="46"/>
      <c r="O1528" s="46"/>
      <c r="P1528" s="46"/>
      <c r="Q1528" s="46"/>
      <c r="R1528" s="46"/>
      <c r="S1528" s="46"/>
      <c r="T1528" s="46"/>
      <c r="U1528" s="46"/>
      <c r="V1528" s="46"/>
      <c r="W1528" s="46"/>
      <c r="X1528" s="11" t="str">
        <f>IF(COUNTBLANK(B1528:W1528)&gt;0,"NA",'batch classification'!J1534)</f>
        <v>NA</v>
      </c>
    </row>
    <row r="1529" spans="1:24" x14ac:dyDescent="0.25">
      <c r="A1529" s="45"/>
      <c r="B1529" s="46"/>
      <c r="C1529" s="46"/>
      <c r="D1529" s="46"/>
      <c r="E1529" s="46"/>
      <c r="F1529" s="46"/>
      <c r="G1529" s="46"/>
      <c r="H1529" s="46"/>
      <c r="I1529" s="46"/>
      <c r="J1529" s="46"/>
      <c r="K1529" s="46"/>
      <c r="L1529" s="46"/>
      <c r="M1529" s="46"/>
      <c r="N1529" s="46"/>
      <c r="O1529" s="46"/>
      <c r="P1529" s="46"/>
      <c r="Q1529" s="46"/>
      <c r="R1529" s="46"/>
      <c r="S1529" s="46"/>
      <c r="T1529" s="46"/>
      <c r="U1529" s="46"/>
      <c r="V1529" s="46"/>
      <c r="W1529" s="46"/>
      <c r="X1529" s="11" t="str">
        <f>IF(COUNTBLANK(B1529:W1529)&gt;0,"NA",'batch classification'!J1535)</f>
        <v>NA</v>
      </c>
    </row>
    <row r="1530" spans="1:24" x14ac:dyDescent="0.25">
      <c r="A1530" s="45"/>
      <c r="B1530" s="46"/>
      <c r="C1530" s="46"/>
      <c r="D1530" s="46"/>
      <c r="E1530" s="46"/>
      <c r="F1530" s="46"/>
      <c r="G1530" s="46"/>
      <c r="H1530" s="46"/>
      <c r="I1530" s="46"/>
      <c r="J1530" s="46"/>
      <c r="K1530" s="46"/>
      <c r="L1530" s="46"/>
      <c r="M1530" s="46"/>
      <c r="N1530" s="46"/>
      <c r="O1530" s="46"/>
      <c r="P1530" s="46"/>
      <c r="Q1530" s="46"/>
      <c r="R1530" s="46"/>
      <c r="S1530" s="46"/>
      <c r="T1530" s="46"/>
      <c r="U1530" s="46"/>
      <c r="V1530" s="46"/>
      <c r="W1530" s="46"/>
      <c r="X1530" s="11" t="str">
        <f>IF(COUNTBLANK(B1530:W1530)&gt;0,"NA",'batch classification'!J1536)</f>
        <v>NA</v>
      </c>
    </row>
    <row r="1531" spans="1:24" x14ac:dyDescent="0.25">
      <c r="A1531" s="45"/>
      <c r="B1531" s="46"/>
      <c r="C1531" s="46"/>
      <c r="D1531" s="46"/>
      <c r="E1531" s="46"/>
      <c r="F1531" s="46"/>
      <c r="G1531" s="46"/>
      <c r="H1531" s="46"/>
      <c r="I1531" s="46"/>
      <c r="J1531" s="46"/>
      <c r="K1531" s="46"/>
      <c r="L1531" s="46"/>
      <c r="M1531" s="46"/>
      <c r="N1531" s="46"/>
      <c r="O1531" s="46"/>
      <c r="P1531" s="46"/>
      <c r="Q1531" s="46"/>
      <c r="R1531" s="46"/>
      <c r="S1531" s="46"/>
      <c r="T1531" s="46"/>
      <c r="U1531" s="46"/>
      <c r="V1531" s="46"/>
      <c r="W1531" s="46"/>
      <c r="X1531" s="11" t="str">
        <f>IF(COUNTBLANK(B1531:W1531)&gt;0,"NA",'batch classification'!J1537)</f>
        <v>NA</v>
      </c>
    </row>
    <row r="1532" spans="1:24" x14ac:dyDescent="0.25">
      <c r="A1532" s="45"/>
      <c r="B1532" s="46"/>
      <c r="C1532" s="46"/>
      <c r="D1532" s="46"/>
      <c r="E1532" s="46"/>
      <c r="F1532" s="46"/>
      <c r="G1532" s="46"/>
      <c r="H1532" s="46"/>
      <c r="I1532" s="46"/>
      <c r="J1532" s="46"/>
      <c r="K1532" s="46"/>
      <c r="L1532" s="46"/>
      <c r="M1532" s="46"/>
      <c r="N1532" s="46"/>
      <c r="O1532" s="46"/>
      <c r="P1532" s="46"/>
      <c r="Q1532" s="46"/>
      <c r="R1532" s="46"/>
      <c r="S1532" s="46"/>
      <c r="T1532" s="46"/>
      <c r="U1532" s="46"/>
      <c r="V1532" s="46"/>
      <c r="W1532" s="46"/>
      <c r="X1532" s="11" t="str">
        <f>IF(COUNTBLANK(B1532:W1532)&gt;0,"NA",'batch classification'!J1538)</f>
        <v>NA</v>
      </c>
    </row>
    <row r="1533" spans="1:24" x14ac:dyDescent="0.25">
      <c r="A1533" s="45"/>
      <c r="B1533" s="46"/>
      <c r="C1533" s="46"/>
      <c r="D1533" s="46"/>
      <c r="E1533" s="46"/>
      <c r="F1533" s="46"/>
      <c r="G1533" s="46"/>
      <c r="H1533" s="46"/>
      <c r="I1533" s="46"/>
      <c r="J1533" s="46"/>
      <c r="K1533" s="46"/>
      <c r="L1533" s="46"/>
      <c r="M1533" s="46"/>
      <c r="N1533" s="46"/>
      <c r="O1533" s="46"/>
      <c r="P1533" s="46"/>
      <c r="Q1533" s="46"/>
      <c r="R1533" s="46"/>
      <c r="S1533" s="46"/>
      <c r="T1533" s="46"/>
      <c r="U1533" s="46"/>
      <c r="V1533" s="46"/>
      <c r="W1533" s="46"/>
      <c r="X1533" s="11" t="str">
        <f>IF(COUNTBLANK(B1533:W1533)&gt;0,"NA",'batch classification'!J1539)</f>
        <v>NA</v>
      </c>
    </row>
    <row r="1534" spans="1:24" x14ac:dyDescent="0.25">
      <c r="A1534" s="45"/>
      <c r="B1534" s="46"/>
      <c r="C1534" s="46"/>
      <c r="D1534" s="46"/>
      <c r="E1534" s="46"/>
      <c r="F1534" s="46"/>
      <c r="G1534" s="46"/>
      <c r="H1534" s="46"/>
      <c r="I1534" s="46"/>
      <c r="J1534" s="46"/>
      <c r="K1534" s="46"/>
      <c r="L1534" s="46"/>
      <c r="M1534" s="46"/>
      <c r="N1534" s="46"/>
      <c r="O1534" s="46"/>
      <c r="P1534" s="46"/>
      <c r="Q1534" s="46"/>
      <c r="R1534" s="46"/>
      <c r="S1534" s="46"/>
      <c r="T1534" s="46"/>
      <c r="U1534" s="46"/>
      <c r="V1534" s="46"/>
      <c r="W1534" s="46"/>
      <c r="X1534" s="11" t="str">
        <f>IF(COUNTBLANK(B1534:W1534)&gt;0,"NA",'batch classification'!J1540)</f>
        <v>NA</v>
      </c>
    </row>
    <row r="1535" spans="1:24" x14ac:dyDescent="0.25">
      <c r="A1535" s="45"/>
      <c r="B1535" s="46"/>
      <c r="C1535" s="46"/>
      <c r="D1535" s="46"/>
      <c r="E1535" s="46"/>
      <c r="F1535" s="46"/>
      <c r="G1535" s="46"/>
      <c r="H1535" s="46"/>
      <c r="I1535" s="46"/>
      <c r="J1535" s="46"/>
      <c r="K1535" s="46"/>
      <c r="L1535" s="46"/>
      <c r="M1535" s="46"/>
      <c r="N1535" s="46"/>
      <c r="O1535" s="46"/>
      <c r="P1535" s="46"/>
      <c r="Q1535" s="46"/>
      <c r="R1535" s="46"/>
      <c r="S1535" s="46"/>
      <c r="T1535" s="46"/>
      <c r="U1535" s="46"/>
      <c r="V1535" s="46"/>
      <c r="W1535" s="46"/>
      <c r="X1535" s="11" t="str">
        <f>IF(COUNTBLANK(B1535:W1535)&gt;0,"NA",'batch classification'!J1541)</f>
        <v>NA</v>
      </c>
    </row>
    <row r="1536" spans="1:24" x14ac:dyDescent="0.25">
      <c r="A1536" s="45"/>
      <c r="B1536" s="46"/>
      <c r="C1536" s="46"/>
      <c r="D1536" s="46"/>
      <c r="E1536" s="46"/>
      <c r="F1536" s="46"/>
      <c r="G1536" s="46"/>
      <c r="H1536" s="46"/>
      <c r="I1536" s="46"/>
      <c r="J1536" s="46"/>
      <c r="K1536" s="46"/>
      <c r="L1536" s="46"/>
      <c r="M1536" s="46"/>
      <c r="N1536" s="46"/>
      <c r="O1536" s="46"/>
      <c r="P1536" s="46"/>
      <c r="Q1536" s="46"/>
      <c r="R1536" s="46"/>
      <c r="S1536" s="46"/>
      <c r="T1536" s="46"/>
      <c r="U1536" s="46"/>
      <c r="V1536" s="46"/>
      <c r="W1536" s="46"/>
      <c r="X1536" s="11" t="str">
        <f>IF(COUNTBLANK(B1536:W1536)&gt;0,"NA",'batch classification'!J1542)</f>
        <v>NA</v>
      </c>
    </row>
    <row r="1537" spans="1:24" x14ac:dyDescent="0.25">
      <c r="A1537" s="45"/>
      <c r="B1537" s="46"/>
      <c r="C1537" s="46"/>
      <c r="D1537" s="46"/>
      <c r="E1537" s="46"/>
      <c r="F1537" s="46"/>
      <c r="G1537" s="46"/>
      <c r="H1537" s="46"/>
      <c r="I1537" s="46"/>
      <c r="J1537" s="46"/>
      <c r="K1537" s="46"/>
      <c r="L1537" s="46"/>
      <c r="M1537" s="46"/>
      <c r="N1537" s="46"/>
      <c r="O1537" s="46"/>
      <c r="P1537" s="46"/>
      <c r="Q1537" s="46"/>
      <c r="R1537" s="46"/>
      <c r="S1537" s="46"/>
      <c r="T1537" s="46"/>
      <c r="U1537" s="46"/>
      <c r="V1537" s="46"/>
      <c r="W1537" s="46"/>
      <c r="X1537" s="11" t="str">
        <f>IF(COUNTBLANK(B1537:W1537)&gt;0,"NA",'batch classification'!J1543)</f>
        <v>NA</v>
      </c>
    </row>
    <row r="1538" spans="1:24" x14ac:dyDescent="0.25">
      <c r="A1538" s="45"/>
      <c r="B1538" s="46"/>
      <c r="C1538" s="46"/>
      <c r="D1538" s="46"/>
      <c r="E1538" s="46"/>
      <c r="F1538" s="46"/>
      <c r="G1538" s="46"/>
      <c r="H1538" s="46"/>
      <c r="I1538" s="46"/>
      <c r="J1538" s="46"/>
      <c r="K1538" s="46"/>
      <c r="L1538" s="46"/>
      <c r="M1538" s="46"/>
      <c r="N1538" s="46"/>
      <c r="O1538" s="46"/>
      <c r="P1538" s="46"/>
      <c r="Q1538" s="46"/>
      <c r="R1538" s="46"/>
      <c r="S1538" s="46"/>
      <c r="T1538" s="46"/>
      <c r="U1538" s="46"/>
      <c r="V1538" s="46"/>
      <c r="W1538" s="46"/>
      <c r="X1538" s="11" t="str">
        <f>IF(COUNTBLANK(B1538:W1538)&gt;0,"NA",'batch classification'!J1544)</f>
        <v>NA</v>
      </c>
    </row>
    <row r="1539" spans="1:24" x14ac:dyDescent="0.25">
      <c r="A1539" s="45"/>
      <c r="B1539" s="46"/>
      <c r="C1539" s="46"/>
      <c r="D1539" s="46"/>
      <c r="E1539" s="46"/>
      <c r="F1539" s="46"/>
      <c r="G1539" s="46"/>
      <c r="H1539" s="46"/>
      <c r="I1539" s="46"/>
      <c r="J1539" s="46"/>
      <c r="K1539" s="46"/>
      <c r="L1539" s="46"/>
      <c r="M1539" s="46"/>
      <c r="N1539" s="46"/>
      <c r="O1539" s="46"/>
      <c r="P1539" s="46"/>
      <c r="Q1539" s="46"/>
      <c r="R1539" s="46"/>
      <c r="S1539" s="46"/>
      <c r="T1539" s="46"/>
      <c r="U1539" s="46"/>
      <c r="V1539" s="46"/>
      <c r="W1539" s="46"/>
      <c r="X1539" s="11" t="str">
        <f>IF(COUNTBLANK(B1539:W1539)&gt;0,"NA",'batch classification'!J1545)</f>
        <v>NA</v>
      </c>
    </row>
    <row r="1540" spans="1:24" x14ac:dyDescent="0.25">
      <c r="A1540" s="45"/>
      <c r="B1540" s="46"/>
      <c r="C1540" s="46"/>
      <c r="D1540" s="46"/>
      <c r="E1540" s="46"/>
      <c r="F1540" s="46"/>
      <c r="G1540" s="46"/>
      <c r="H1540" s="46"/>
      <c r="I1540" s="46"/>
      <c r="J1540" s="46"/>
      <c r="K1540" s="46"/>
      <c r="L1540" s="46"/>
      <c r="M1540" s="46"/>
      <c r="N1540" s="46"/>
      <c r="O1540" s="46"/>
      <c r="P1540" s="46"/>
      <c r="Q1540" s="46"/>
      <c r="R1540" s="46"/>
      <c r="S1540" s="46"/>
      <c r="T1540" s="46"/>
      <c r="U1540" s="46"/>
      <c r="V1540" s="46"/>
      <c r="W1540" s="46"/>
      <c r="X1540" s="11" t="str">
        <f>IF(COUNTBLANK(B1540:W1540)&gt;0,"NA",'batch classification'!J1546)</f>
        <v>NA</v>
      </c>
    </row>
    <row r="1541" spans="1:24" x14ac:dyDescent="0.25">
      <c r="A1541" s="45"/>
      <c r="B1541" s="46"/>
      <c r="C1541" s="46"/>
      <c r="D1541" s="46"/>
      <c r="E1541" s="46"/>
      <c r="F1541" s="46"/>
      <c r="G1541" s="46"/>
      <c r="H1541" s="46"/>
      <c r="I1541" s="46"/>
      <c r="J1541" s="46"/>
      <c r="K1541" s="46"/>
      <c r="L1541" s="46"/>
      <c r="M1541" s="46"/>
      <c r="N1541" s="46"/>
      <c r="O1541" s="46"/>
      <c r="P1541" s="46"/>
      <c r="Q1541" s="46"/>
      <c r="R1541" s="46"/>
      <c r="S1541" s="46"/>
      <c r="T1541" s="46"/>
      <c r="U1541" s="46"/>
      <c r="V1541" s="46"/>
      <c r="W1541" s="46"/>
      <c r="X1541" s="11" t="str">
        <f>IF(COUNTBLANK(B1541:W1541)&gt;0,"NA",'batch classification'!J1547)</f>
        <v>NA</v>
      </c>
    </row>
    <row r="1542" spans="1:24" x14ac:dyDescent="0.25">
      <c r="A1542" s="45"/>
      <c r="B1542" s="46"/>
      <c r="C1542" s="46"/>
      <c r="D1542" s="46"/>
      <c r="E1542" s="46"/>
      <c r="F1542" s="46"/>
      <c r="G1542" s="46"/>
      <c r="H1542" s="46"/>
      <c r="I1542" s="46"/>
      <c r="J1542" s="46"/>
      <c r="K1542" s="46"/>
      <c r="L1542" s="46"/>
      <c r="M1542" s="46"/>
      <c r="N1542" s="46"/>
      <c r="O1542" s="46"/>
      <c r="P1542" s="46"/>
      <c r="Q1542" s="46"/>
      <c r="R1542" s="46"/>
      <c r="S1542" s="46"/>
      <c r="T1542" s="46"/>
      <c r="U1542" s="46"/>
      <c r="V1542" s="46"/>
      <c r="W1542" s="46"/>
      <c r="X1542" s="11" t="str">
        <f>IF(COUNTBLANK(B1542:W1542)&gt;0,"NA",'batch classification'!J1548)</f>
        <v>NA</v>
      </c>
    </row>
    <row r="1543" spans="1:24" x14ac:dyDescent="0.25">
      <c r="A1543" s="45"/>
      <c r="B1543" s="46"/>
      <c r="C1543" s="46"/>
      <c r="D1543" s="46"/>
      <c r="E1543" s="46"/>
      <c r="F1543" s="46"/>
      <c r="G1543" s="46"/>
      <c r="H1543" s="46"/>
      <c r="I1543" s="46"/>
      <c r="J1543" s="46"/>
      <c r="K1543" s="46"/>
      <c r="L1543" s="46"/>
      <c r="M1543" s="46"/>
      <c r="N1543" s="46"/>
      <c r="O1543" s="46"/>
      <c r="P1543" s="46"/>
      <c r="Q1543" s="46"/>
      <c r="R1543" s="46"/>
      <c r="S1543" s="46"/>
      <c r="T1543" s="46"/>
      <c r="U1543" s="46"/>
      <c r="V1543" s="46"/>
      <c r="W1543" s="46"/>
      <c r="X1543" s="11" t="str">
        <f>IF(COUNTBLANK(B1543:W1543)&gt;0,"NA",'batch classification'!J1549)</f>
        <v>NA</v>
      </c>
    </row>
    <row r="1544" spans="1:24" x14ac:dyDescent="0.25">
      <c r="A1544" s="45"/>
      <c r="B1544" s="46"/>
      <c r="C1544" s="46"/>
      <c r="D1544" s="46"/>
      <c r="E1544" s="46"/>
      <c r="F1544" s="46"/>
      <c r="G1544" s="46"/>
      <c r="H1544" s="46"/>
      <c r="I1544" s="46"/>
      <c r="J1544" s="46"/>
      <c r="K1544" s="46"/>
      <c r="L1544" s="46"/>
      <c r="M1544" s="46"/>
      <c r="N1544" s="46"/>
      <c r="O1544" s="46"/>
      <c r="P1544" s="46"/>
      <c r="Q1544" s="46"/>
      <c r="R1544" s="46"/>
      <c r="S1544" s="46"/>
      <c r="T1544" s="46"/>
      <c r="U1544" s="46"/>
      <c r="V1544" s="46"/>
      <c r="W1544" s="46"/>
      <c r="X1544" s="11" t="str">
        <f>IF(COUNTBLANK(B1544:W1544)&gt;0,"NA",'batch classification'!J1550)</f>
        <v>NA</v>
      </c>
    </row>
    <row r="1545" spans="1:24" x14ac:dyDescent="0.25">
      <c r="A1545" s="45"/>
      <c r="B1545" s="46"/>
      <c r="C1545" s="46"/>
      <c r="D1545" s="46"/>
      <c r="E1545" s="46"/>
      <c r="F1545" s="46"/>
      <c r="G1545" s="46"/>
      <c r="H1545" s="46"/>
      <c r="I1545" s="46"/>
      <c r="J1545" s="46"/>
      <c r="K1545" s="46"/>
      <c r="L1545" s="46"/>
      <c r="M1545" s="46"/>
      <c r="N1545" s="46"/>
      <c r="O1545" s="46"/>
      <c r="P1545" s="46"/>
      <c r="Q1545" s="46"/>
      <c r="R1545" s="46"/>
      <c r="S1545" s="46"/>
      <c r="T1545" s="46"/>
      <c r="U1545" s="46"/>
      <c r="V1545" s="46"/>
      <c r="W1545" s="46"/>
      <c r="X1545" s="11" t="str">
        <f>IF(COUNTBLANK(B1545:W1545)&gt;0,"NA",'batch classification'!J1551)</f>
        <v>NA</v>
      </c>
    </row>
    <row r="1546" spans="1:24" x14ac:dyDescent="0.25">
      <c r="A1546" s="45"/>
      <c r="B1546" s="46"/>
      <c r="C1546" s="46"/>
      <c r="D1546" s="46"/>
      <c r="E1546" s="46"/>
      <c r="F1546" s="46"/>
      <c r="G1546" s="46"/>
      <c r="H1546" s="46"/>
      <c r="I1546" s="46"/>
      <c r="J1546" s="46"/>
      <c r="K1546" s="46"/>
      <c r="L1546" s="46"/>
      <c r="M1546" s="46"/>
      <c r="N1546" s="46"/>
      <c r="O1546" s="46"/>
      <c r="P1546" s="46"/>
      <c r="Q1546" s="46"/>
      <c r="R1546" s="46"/>
      <c r="S1546" s="46"/>
      <c r="T1546" s="46"/>
      <c r="U1546" s="46"/>
      <c r="V1546" s="46"/>
      <c r="W1546" s="46"/>
      <c r="X1546" s="11" t="str">
        <f>IF(COUNTBLANK(B1546:W1546)&gt;0,"NA",'batch classification'!J1552)</f>
        <v>NA</v>
      </c>
    </row>
    <row r="1547" spans="1:24" x14ac:dyDescent="0.25">
      <c r="A1547" s="45"/>
      <c r="B1547" s="46"/>
      <c r="C1547" s="46"/>
      <c r="D1547" s="46"/>
      <c r="E1547" s="46"/>
      <c r="F1547" s="46"/>
      <c r="G1547" s="46"/>
      <c r="H1547" s="46"/>
      <c r="I1547" s="46"/>
      <c r="J1547" s="46"/>
      <c r="K1547" s="46"/>
      <c r="L1547" s="46"/>
      <c r="M1547" s="46"/>
      <c r="N1547" s="46"/>
      <c r="O1547" s="46"/>
      <c r="P1547" s="46"/>
      <c r="Q1547" s="46"/>
      <c r="R1547" s="46"/>
      <c r="S1547" s="46"/>
      <c r="T1547" s="46"/>
      <c r="U1547" s="46"/>
      <c r="V1547" s="46"/>
      <c r="W1547" s="46"/>
      <c r="X1547" s="11" t="str">
        <f>IF(COUNTBLANK(B1547:W1547)&gt;0,"NA",'batch classification'!J1553)</f>
        <v>NA</v>
      </c>
    </row>
    <row r="1548" spans="1:24" x14ac:dyDescent="0.25">
      <c r="A1548" s="45"/>
      <c r="B1548" s="46"/>
      <c r="C1548" s="46"/>
      <c r="D1548" s="46"/>
      <c r="E1548" s="46"/>
      <c r="F1548" s="46"/>
      <c r="G1548" s="46"/>
      <c r="H1548" s="46"/>
      <c r="I1548" s="46"/>
      <c r="J1548" s="46"/>
      <c r="K1548" s="46"/>
      <c r="L1548" s="46"/>
      <c r="M1548" s="46"/>
      <c r="N1548" s="46"/>
      <c r="O1548" s="46"/>
      <c r="P1548" s="46"/>
      <c r="Q1548" s="46"/>
      <c r="R1548" s="46"/>
      <c r="S1548" s="46"/>
      <c r="T1548" s="46"/>
      <c r="U1548" s="46"/>
      <c r="V1548" s="46"/>
      <c r="W1548" s="46"/>
      <c r="X1548" s="11" t="str">
        <f>IF(COUNTBLANK(B1548:W1548)&gt;0,"NA",'batch classification'!J1554)</f>
        <v>NA</v>
      </c>
    </row>
    <row r="1549" spans="1:24" x14ac:dyDescent="0.25">
      <c r="A1549" s="45"/>
      <c r="B1549" s="46"/>
      <c r="C1549" s="46"/>
      <c r="D1549" s="46"/>
      <c r="E1549" s="46"/>
      <c r="F1549" s="46"/>
      <c r="G1549" s="46"/>
      <c r="H1549" s="46"/>
      <c r="I1549" s="46"/>
      <c r="J1549" s="46"/>
      <c r="K1549" s="46"/>
      <c r="L1549" s="46"/>
      <c r="M1549" s="46"/>
      <c r="N1549" s="46"/>
      <c r="O1549" s="46"/>
      <c r="P1549" s="46"/>
      <c r="Q1549" s="46"/>
      <c r="R1549" s="46"/>
      <c r="S1549" s="46"/>
      <c r="T1549" s="46"/>
      <c r="U1549" s="46"/>
      <c r="V1549" s="46"/>
      <c r="W1549" s="46"/>
      <c r="X1549" s="11" t="str">
        <f>IF(COUNTBLANK(B1549:W1549)&gt;0,"NA",'batch classification'!J1555)</f>
        <v>NA</v>
      </c>
    </row>
    <row r="1550" spans="1:24" x14ac:dyDescent="0.25">
      <c r="A1550" s="45"/>
      <c r="B1550" s="46"/>
      <c r="C1550" s="46"/>
      <c r="D1550" s="46"/>
      <c r="E1550" s="46"/>
      <c r="F1550" s="46"/>
      <c r="G1550" s="46"/>
      <c r="H1550" s="46"/>
      <c r="I1550" s="46"/>
      <c r="J1550" s="46"/>
      <c r="K1550" s="46"/>
      <c r="L1550" s="46"/>
      <c r="M1550" s="46"/>
      <c r="N1550" s="46"/>
      <c r="O1550" s="46"/>
      <c r="P1550" s="46"/>
      <c r="Q1550" s="46"/>
      <c r="R1550" s="46"/>
      <c r="S1550" s="46"/>
      <c r="T1550" s="46"/>
      <c r="U1550" s="46"/>
      <c r="V1550" s="46"/>
      <c r="W1550" s="46"/>
      <c r="X1550" s="11" t="str">
        <f>IF(COUNTBLANK(B1550:W1550)&gt;0,"NA",'batch classification'!J1556)</f>
        <v>NA</v>
      </c>
    </row>
    <row r="1551" spans="1:24" x14ac:dyDescent="0.25">
      <c r="A1551" s="45"/>
      <c r="B1551" s="46"/>
      <c r="C1551" s="46"/>
      <c r="D1551" s="46"/>
      <c r="E1551" s="46"/>
      <c r="F1551" s="46"/>
      <c r="G1551" s="46"/>
      <c r="H1551" s="46"/>
      <c r="I1551" s="46"/>
      <c r="J1551" s="46"/>
      <c r="K1551" s="46"/>
      <c r="L1551" s="46"/>
      <c r="M1551" s="46"/>
      <c r="N1551" s="46"/>
      <c r="O1551" s="46"/>
      <c r="P1551" s="46"/>
      <c r="Q1551" s="46"/>
      <c r="R1551" s="46"/>
      <c r="S1551" s="46"/>
      <c r="T1551" s="46"/>
      <c r="U1551" s="46"/>
      <c r="V1551" s="46"/>
      <c r="W1551" s="46"/>
      <c r="X1551" s="11" t="str">
        <f>IF(COUNTBLANK(B1551:W1551)&gt;0,"NA",'batch classification'!J1557)</f>
        <v>NA</v>
      </c>
    </row>
    <row r="1552" spans="1:24" x14ac:dyDescent="0.25">
      <c r="A1552" s="45"/>
      <c r="B1552" s="46"/>
      <c r="C1552" s="46"/>
      <c r="D1552" s="46"/>
      <c r="E1552" s="46"/>
      <c r="F1552" s="46"/>
      <c r="G1552" s="46"/>
      <c r="H1552" s="46"/>
      <c r="I1552" s="46"/>
      <c r="J1552" s="46"/>
      <c r="K1552" s="46"/>
      <c r="L1552" s="46"/>
      <c r="M1552" s="46"/>
      <c r="N1552" s="46"/>
      <c r="O1552" s="46"/>
      <c r="P1552" s="46"/>
      <c r="Q1552" s="46"/>
      <c r="R1552" s="46"/>
      <c r="S1552" s="46"/>
      <c r="T1552" s="46"/>
      <c r="U1552" s="46"/>
      <c r="V1552" s="46"/>
      <c r="W1552" s="46"/>
      <c r="X1552" s="11" t="str">
        <f>IF(COUNTBLANK(B1552:W1552)&gt;0,"NA",'batch classification'!J1558)</f>
        <v>NA</v>
      </c>
    </row>
    <row r="1553" spans="1:24" x14ac:dyDescent="0.25">
      <c r="A1553" s="45"/>
      <c r="B1553" s="46"/>
      <c r="C1553" s="46"/>
      <c r="D1553" s="46"/>
      <c r="E1553" s="46"/>
      <c r="F1553" s="46"/>
      <c r="G1553" s="46"/>
      <c r="H1553" s="46"/>
      <c r="I1553" s="46"/>
      <c r="J1553" s="46"/>
      <c r="K1553" s="46"/>
      <c r="L1553" s="46"/>
      <c r="M1553" s="46"/>
      <c r="N1553" s="46"/>
      <c r="O1553" s="46"/>
      <c r="P1553" s="46"/>
      <c r="Q1553" s="46"/>
      <c r="R1553" s="46"/>
      <c r="S1553" s="46"/>
      <c r="T1553" s="46"/>
      <c r="U1553" s="46"/>
      <c r="V1553" s="46"/>
      <c r="W1553" s="46"/>
      <c r="X1553" s="11" t="str">
        <f>IF(COUNTBLANK(B1553:W1553)&gt;0,"NA",'batch classification'!J1559)</f>
        <v>NA</v>
      </c>
    </row>
    <row r="1554" spans="1:24" x14ac:dyDescent="0.25">
      <c r="A1554" s="45"/>
      <c r="B1554" s="46"/>
      <c r="C1554" s="46"/>
      <c r="D1554" s="46"/>
      <c r="E1554" s="46"/>
      <c r="F1554" s="46"/>
      <c r="G1554" s="46"/>
      <c r="H1554" s="46"/>
      <c r="I1554" s="46"/>
      <c r="J1554" s="46"/>
      <c r="K1554" s="46"/>
      <c r="L1554" s="46"/>
      <c r="M1554" s="46"/>
      <c r="N1554" s="46"/>
      <c r="O1554" s="46"/>
      <c r="P1554" s="46"/>
      <c r="Q1554" s="46"/>
      <c r="R1554" s="46"/>
      <c r="S1554" s="46"/>
      <c r="T1554" s="46"/>
      <c r="U1554" s="46"/>
      <c r="V1554" s="46"/>
      <c r="W1554" s="46"/>
      <c r="X1554" s="11" t="str">
        <f>IF(COUNTBLANK(B1554:W1554)&gt;0,"NA",'batch classification'!J1560)</f>
        <v>NA</v>
      </c>
    </row>
    <row r="1555" spans="1:24" x14ac:dyDescent="0.25">
      <c r="A1555" s="45"/>
      <c r="B1555" s="46"/>
      <c r="C1555" s="46"/>
      <c r="D1555" s="46"/>
      <c r="E1555" s="46"/>
      <c r="F1555" s="46"/>
      <c r="G1555" s="46"/>
      <c r="H1555" s="46"/>
      <c r="I1555" s="46"/>
      <c r="J1555" s="46"/>
      <c r="K1555" s="46"/>
      <c r="L1555" s="46"/>
      <c r="M1555" s="46"/>
      <c r="N1555" s="46"/>
      <c r="O1555" s="46"/>
      <c r="P1555" s="46"/>
      <c r="Q1555" s="46"/>
      <c r="R1555" s="46"/>
      <c r="S1555" s="46"/>
      <c r="T1555" s="46"/>
      <c r="U1555" s="46"/>
      <c r="V1555" s="46"/>
      <c r="W1555" s="46"/>
      <c r="X1555" s="11" t="str">
        <f>IF(COUNTBLANK(B1555:W1555)&gt;0,"NA",'batch classification'!J1561)</f>
        <v>NA</v>
      </c>
    </row>
    <row r="1556" spans="1:24" x14ac:dyDescent="0.25">
      <c r="A1556" s="45"/>
      <c r="B1556" s="46"/>
      <c r="C1556" s="46"/>
      <c r="D1556" s="46"/>
      <c r="E1556" s="46"/>
      <c r="F1556" s="46"/>
      <c r="G1556" s="46"/>
      <c r="H1556" s="46"/>
      <c r="I1556" s="46"/>
      <c r="J1556" s="46"/>
      <c r="K1556" s="46"/>
      <c r="L1556" s="46"/>
      <c r="M1556" s="46"/>
      <c r="N1556" s="46"/>
      <c r="O1556" s="46"/>
      <c r="P1556" s="46"/>
      <c r="Q1556" s="46"/>
      <c r="R1556" s="46"/>
      <c r="S1556" s="46"/>
      <c r="T1556" s="46"/>
      <c r="U1556" s="46"/>
      <c r="V1556" s="46"/>
      <c r="W1556" s="46"/>
      <c r="X1556" s="11" t="str">
        <f>IF(COUNTBLANK(B1556:W1556)&gt;0,"NA",'batch classification'!J1562)</f>
        <v>NA</v>
      </c>
    </row>
    <row r="1557" spans="1:24" x14ac:dyDescent="0.25">
      <c r="A1557" s="45"/>
      <c r="B1557" s="46"/>
      <c r="C1557" s="46"/>
      <c r="D1557" s="46"/>
      <c r="E1557" s="46"/>
      <c r="F1557" s="46"/>
      <c r="G1557" s="46"/>
      <c r="H1557" s="46"/>
      <c r="I1557" s="46"/>
      <c r="J1557" s="46"/>
      <c r="K1557" s="46"/>
      <c r="L1557" s="46"/>
      <c r="M1557" s="46"/>
      <c r="N1557" s="46"/>
      <c r="O1557" s="46"/>
      <c r="P1557" s="46"/>
      <c r="Q1557" s="46"/>
      <c r="R1557" s="46"/>
      <c r="S1557" s="46"/>
      <c r="T1557" s="46"/>
      <c r="U1557" s="46"/>
      <c r="V1557" s="46"/>
      <c r="W1557" s="46"/>
      <c r="X1557" s="11" t="str">
        <f>IF(COUNTBLANK(B1557:W1557)&gt;0,"NA",'batch classification'!J1563)</f>
        <v>NA</v>
      </c>
    </row>
    <row r="1558" spans="1:24" x14ac:dyDescent="0.25">
      <c r="A1558" s="45"/>
      <c r="B1558" s="46"/>
      <c r="C1558" s="46"/>
      <c r="D1558" s="46"/>
      <c r="E1558" s="46"/>
      <c r="F1558" s="46"/>
      <c r="G1558" s="46"/>
      <c r="H1558" s="46"/>
      <c r="I1558" s="46"/>
      <c r="J1558" s="46"/>
      <c r="K1558" s="46"/>
      <c r="L1558" s="46"/>
      <c r="M1558" s="46"/>
      <c r="N1558" s="46"/>
      <c r="O1558" s="46"/>
      <c r="P1558" s="46"/>
      <c r="Q1558" s="46"/>
      <c r="R1558" s="46"/>
      <c r="S1558" s="46"/>
      <c r="T1558" s="46"/>
      <c r="U1558" s="46"/>
      <c r="V1558" s="46"/>
      <c r="W1558" s="46"/>
      <c r="X1558" s="11" t="str">
        <f>IF(COUNTBLANK(B1558:W1558)&gt;0,"NA",'batch classification'!J1564)</f>
        <v>NA</v>
      </c>
    </row>
    <row r="1559" spans="1:24" x14ac:dyDescent="0.25">
      <c r="A1559" s="45"/>
      <c r="B1559" s="46"/>
      <c r="C1559" s="46"/>
      <c r="D1559" s="46"/>
      <c r="E1559" s="46"/>
      <c r="F1559" s="46"/>
      <c r="G1559" s="46"/>
      <c r="H1559" s="46"/>
      <c r="I1559" s="46"/>
      <c r="J1559" s="46"/>
      <c r="K1559" s="46"/>
      <c r="L1559" s="46"/>
      <c r="M1559" s="46"/>
      <c r="N1559" s="46"/>
      <c r="O1559" s="46"/>
      <c r="P1559" s="46"/>
      <c r="Q1559" s="46"/>
      <c r="R1559" s="46"/>
      <c r="S1559" s="46"/>
      <c r="T1559" s="46"/>
      <c r="U1559" s="46"/>
      <c r="V1559" s="46"/>
      <c r="W1559" s="46"/>
      <c r="X1559" s="11" t="str">
        <f>IF(COUNTBLANK(B1559:W1559)&gt;0,"NA",'batch classification'!J1565)</f>
        <v>NA</v>
      </c>
    </row>
    <row r="1560" spans="1:24" x14ac:dyDescent="0.25">
      <c r="A1560" s="45"/>
      <c r="B1560" s="46"/>
      <c r="C1560" s="46"/>
      <c r="D1560" s="46"/>
      <c r="E1560" s="46"/>
      <c r="F1560" s="46"/>
      <c r="G1560" s="46"/>
      <c r="H1560" s="46"/>
      <c r="I1560" s="46"/>
      <c r="J1560" s="46"/>
      <c r="K1560" s="46"/>
      <c r="L1560" s="46"/>
      <c r="M1560" s="46"/>
      <c r="N1560" s="46"/>
      <c r="O1560" s="46"/>
      <c r="P1560" s="46"/>
      <c r="Q1560" s="46"/>
      <c r="R1560" s="46"/>
      <c r="S1560" s="46"/>
      <c r="T1560" s="46"/>
      <c r="U1560" s="46"/>
      <c r="V1560" s="46"/>
      <c r="W1560" s="46"/>
      <c r="X1560" s="11" t="str">
        <f>IF(COUNTBLANK(B1560:W1560)&gt;0,"NA",'batch classification'!J1566)</f>
        <v>NA</v>
      </c>
    </row>
    <row r="1561" spans="1:24" x14ac:dyDescent="0.25">
      <c r="A1561" s="45"/>
      <c r="B1561" s="46"/>
      <c r="C1561" s="46"/>
      <c r="D1561" s="46"/>
      <c r="E1561" s="46"/>
      <c r="F1561" s="46"/>
      <c r="G1561" s="46"/>
      <c r="H1561" s="46"/>
      <c r="I1561" s="46"/>
      <c r="J1561" s="46"/>
      <c r="K1561" s="46"/>
      <c r="L1561" s="46"/>
      <c r="M1561" s="46"/>
      <c r="N1561" s="46"/>
      <c r="O1561" s="46"/>
      <c r="P1561" s="46"/>
      <c r="Q1561" s="46"/>
      <c r="R1561" s="46"/>
      <c r="S1561" s="46"/>
      <c r="T1561" s="46"/>
      <c r="U1561" s="46"/>
      <c r="V1561" s="46"/>
      <c r="W1561" s="46"/>
      <c r="X1561" s="11" t="str">
        <f>IF(COUNTBLANK(B1561:W1561)&gt;0,"NA",'batch classification'!J1567)</f>
        <v>NA</v>
      </c>
    </row>
    <row r="1562" spans="1:24" x14ac:dyDescent="0.25">
      <c r="A1562" s="45"/>
      <c r="B1562" s="46"/>
      <c r="C1562" s="46"/>
      <c r="D1562" s="46"/>
      <c r="E1562" s="46"/>
      <c r="F1562" s="46"/>
      <c r="G1562" s="46"/>
      <c r="H1562" s="46"/>
      <c r="I1562" s="46"/>
      <c r="J1562" s="46"/>
      <c r="K1562" s="46"/>
      <c r="L1562" s="46"/>
      <c r="M1562" s="46"/>
      <c r="N1562" s="46"/>
      <c r="O1562" s="46"/>
      <c r="P1562" s="46"/>
      <c r="Q1562" s="46"/>
      <c r="R1562" s="46"/>
      <c r="S1562" s="46"/>
      <c r="T1562" s="46"/>
      <c r="U1562" s="46"/>
      <c r="V1562" s="46"/>
      <c r="W1562" s="46"/>
      <c r="X1562" s="11" t="str">
        <f>IF(COUNTBLANK(B1562:W1562)&gt;0,"NA",'batch classification'!J1568)</f>
        <v>NA</v>
      </c>
    </row>
    <row r="1563" spans="1:24" x14ac:dyDescent="0.25">
      <c r="A1563" s="45"/>
      <c r="B1563" s="46"/>
      <c r="C1563" s="46"/>
      <c r="D1563" s="46"/>
      <c r="E1563" s="46"/>
      <c r="F1563" s="46"/>
      <c r="G1563" s="46"/>
      <c r="H1563" s="46"/>
      <c r="I1563" s="46"/>
      <c r="J1563" s="46"/>
      <c r="K1563" s="46"/>
      <c r="L1563" s="46"/>
      <c r="M1563" s="46"/>
      <c r="N1563" s="46"/>
      <c r="O1563" s="46"/>
      <c r="P1563" s="46"/>
      <c r="Q1563" s="46"/>
      <c r="R1563" s="46"/>
      <c r="S1563" s="46"/>
      <c r="T1563" s="46"/>
      <c r="U1563" s="46"/>
      <c r="V1563" s="46"/>
      <c r="W1563" s="46"/>
      <c r="X1563" s="11" t="str">
        <f>IF(COUNTBLANK(B1563:W1563)&gt;0,"NA",'batch classification'!J1569)</f>
        <v>NA</v>
      </c>
    </row>
    <row r="1564" spans="1:24" x14ac:dyDescent="0.25">
      <c r="A1564" s="45"/>
      <c r="B1564" s="46"/>
      <c r="C1564" s="46"/>
      <c r="D1564" s="46"/>
      <c r="E1564" s="46"/>
      <c r="F1564" s="46"/>
      <c r="G1564" s="46"/>
      <c r="H1564" s="46"/>
      <c r="I1564" s="46"/>
      <c r="J1564" s="46"/>
      <c r="K1564" s="46"/>
      <c r="L1564" s="46"/>
      <c r="M1564" s="46"/>
      <c r="N1564" s="46"/>
      <c r="O1564" s="46"/>
      <c r="P1564" s="46"/>
      <c r="Q1564" s="46"/>
      <c r="R1564" s="46"/>
      <c r="S1564" s="46"/>
      <c r="T1564" s="46"/>
      <c r="U1564" s="46"/>
      <c r="V1564" s="46"/>
      <c r="W1564" s="46"/>
      <c r="X1564" s="11" t="str">
        <f>IF(COUNTBLANK(B1564:W1564)&gt;0,"NA",'batch classification'!J1570)</f>
        <v>NA</v>
      </c>
    </row>
    <row r="1565" spans="1:24" x14ac:dyDescent="0.25">
      <c r="A1565" s="45"/>
      <c r="B1565" s="46"/>
      <c r="C1565" s="46"/>
      <c r="D1565" s="46"/>
      <c r="E1565" s="46"/>
      <c r="F1565" s="46"/>
      <c r="G1565" s="46"/>
      <c r="H1565" s="46"/>
      <c r="I1565" s="46"/>
      <c r="J1565" s="46"/>
      <c r="K1565" s="46"/>
      <c r="L1565" s="46"/>
      <c r="M1565" s="46"/>
      <c r="N1565" s="46"/>
      <c r="O1565" s="46"/>
      <c r="P1565" s="46"/>
      <c r="Q1565" s="46"/>
      <c r="R1565" s="46"/>
      <c r="S1565" s="46"/>
      <c r="T1565" s="46"/>
      <c r="U1565" s="46"/>
      <c r="V1565" s="46"/>
      <c r="W1565" s="46"/>
      <c r="X1565" s="11" t="str">
        <f>IF(COUNTBLANK(B1565:W1565)&gt;0,"NA",'batch classification'!J1571)</f>
        <v>NA</v>
      </c>
    </row>
    <row r="1566" spans="1:24" x14ac:dyDescent="0.25">
      <c r="A1566" s="45"/>
      <c r="B1566" s="46"/>
      <c r="C1566" s="46"/>
      <c r="D1566" s="46"/>
      <c r="E1566" s="46"/>
      <c r="F1566" s="46"/>
      <c r="G1566" s="46"/>
      <c r="H1566" s="46"/>
      <c r="I1566" s="46"/>
      <c r="J1566" s="46"/>
      <c r="K1566" s="46"/>
      <c r="L1566" s="46"/>
      <c r="M1566" s="46"/>
      <c r="N1566" s="46"/>
      <c r="O1566" s="46"/>
      <c r="P1566" s="46"/>
      <c r="Q1566" s="46"/>
      <c r="R1566" s="46"/>
      <c r="S1566" s="46"/>
      <c r="T1566" s="46"/>
      <c r="U1566" s="46"/>
      <c r="V1566" s="46"/>
      <c r="W1566" s="46"/>
      <c r="X1566" s="11" t="str">
        <f>IF(COUNTBLANK(B1566:W1566)&gt;0,"NA",'batch classification'!J1572)</f>
        <v>NA</v>
      </c>
    </row>
    <row r="1567" spans="1:24" x14ac:dyDescent="0.25">
      <c r="A1567" s="45"/>
      <c r="B1567" s="46"/>
      <c r="C1567" s="46"/>
      <c r="D1567" s="46"/>
      <c r="E1567" s="46"/>
      <c r="F1567" s="46"/>
      <c r="G1567" s="46"/>
      <c r="H1567" s="46"/>
      <c r="I1567" s="46"/>
      <c r="J1567" s="46"/>
      <c r="K1567" s="46"/>
      <c r="L1567" s="46"/>
      <c r="M1567" s="46"/>
      <c r="N1567" s="46"/>
      <c r="O1567" s="46"/>
      <c r="P1567" s="46"/>
      <c r="Q1567" s="46"/>
      <c r="R1567" s="46"/>
      <c r="S1567" s="46"/>
      <c r="T1567" s="46"/>
      <c r="U1567" s="46"/>
      <c r="V1567" s="46"/>
      <c r="W1567" s="46"/>
      <c r="X1567" s="11" t="str">
        <f>IF(COUNTBLANK(B1567:W1567)&gt;0,"NA",'batch classification'!J1573)</f>
        <v>NA</v>
      </c>
    </row>
    <row r="1568" spans="1:24" x14ac:dyDescent="0.25">
      <c r="A1568" s="45"/>
      <c r="B1568" s="46"/>
      <c r="C1568" s="46"/>
      <c r="D1568" s="46"/>
      <c r="E1568" s="46"/>
      <c r="F1568" s="46"/>
      <c r="G1568" s="46"/>
      <c r="H1568" s="46"/>
      <c r="I1568" s="46"/>
      <c r="J1568" s="46"/>
      <c r="K1568" s="46"/>
      <c r="L1568" s="46"/>
      <c r="M1568" s="46"/>
      <c r="N1568" s="46"/>
      <c r="O1568" s="46"/>
      <c r="P1568" s="46"/>
      <c r="Q1568" s="46"/>
      <c r="R1568" s="46"/>
      <c r="S1568" s="46"/>
      <c r="T1568" s="46"/>
      <c r="U1568" s="46"/>
      <c r="V1568" s="46"/>
      <c r="W1568" s="46"/>
      <c r="X1568" s="11" t="str">
        <f>IF(COUNTBLANK(B1568:W1568)&gt;0,"NA",'batch classification'!J1574)</f>
        <v>NA</v>
      </c>
    </row>
    <row r="1569" spans="1:24" x14ac:dyDescent="0.25">
      <c r="A1569" s="45"/>
      <c r="B1569" s="46"/>
      <c r="C1569" s="46"/>
      <c r="D1569" s="46"/>
      <c r="E1569" s="46"/>
      <c r="F1569" s="46"/>
      <c r="G1569" s="46"/>
      <c r="H1569" s="46"/>
      <c r="I1569" s="46"/>
      <c r="J1569" s="46"/>
      <c r="K1569" s="46"/>
      <c r="L1569" s="46"/>
      <c r="M1569" s="46"/>
      <c r="N1569" s="46"/>
      <c r="O1569" s="46"/>
      <c r="P1569" s="46"/>
      <c r="Q1569" s="46"/>
      <c r="R1569" s="46"/>
      <c r="S1569" s="46"/>
      <c r="T1569" s="46"/>
      <c r="U1569" s="46"/>
      <c r="V1569" s="46"/>
      <c r="W1569" s="46"/>
      <c r="X1569" s="11" t="str">
        <f>IF(COUNTBLANK(B1569:W1569)&gt;0,"NA",'batch classification'!J1575)</f>
        <v>NA</v>
      </c>
    </row>
    <row r="1570" spans="1:24" x14ac:dyDescent="0.25">
      <c r="A1570" s="45"/>
      <c r="B1570" s="46"/>
      <c r="C1570" s="46"/>
      <c r="D1570" s="46"/>
      <c r="E1570" s="46"/>
      <c r="F1570" s="46"/>
      <c r="G1570" s="46"/>
      <c r="H1570" s="46"/>
      <c r="I1570" s="46"/>
      <c r="J1570" s="46"/>
      <c r="K1570" s="46"/>
      <c r="L1570" s="46"/>
      <c r="M1570" s="46"/>
      <c r="N1570" s="46"/>
      <c r="O1570" s="46"/>
      <c r="P1570" s="46"/>
      <c r="Q1570" s="46"/>
      <c r="R1570" s="46"/>
      <c r="S1570" s="46"/>
      <c r="T1570" s="46"/>
      <c r="U1570" s="46"/>
      <c r="V1570" s="46"/>
      <c r="W1570" s="46"/>
      <c r="X1570" s="11" t="str">
        <f>IF(COUNTBLANK(B1570:W1570)&gt;0,"NA",'batch classification'!J1576)</f>
        <v>NA</v>
      </c>
    </row>
    <row r="1571" spans="1:24" x14ac:dyDescent="0.25">
      <c r="A1571" s="45"/>
      <c r="B1571" s="46"/>
      <c r="C1571" s="46"/>
      <c r="D1571" s="46"/>
      <c r="E1571" s="46"/>
      <c r="F1571" s="46"/>
      <c r="G1571" s="46"/>
      <c r="H1571" s="46"/>
      <c r="I1571" s="46"/>
      <c r="J1571" s="46"/>
      <c r="K1571" s="46"/>
      <c r="L1571" s="46"/>
      <c r="M1571" s="46"/>
      <c r="N1571" s="46"/>
      <c r="O1571" s="46"/>
      <c r="P1571" s="46"/>
      <c r="Q1571" s="46"/>
      <c r="R1571" s="46"/>
      <c r="S1571" s="46"/>
      <c r="T1571" s="46"/>
      <c r="U1571" s="46"/>
      <c r="V1571" s="46"/>
      <c r="W1571" s="46"/>
      <c r="X1571" s="11" t="str">
        <f>IF(COUNTBLANK(B1571:W1571)&gt;0,"NA",'batch classification'!J1577)</f>
        <v>NA</v>
      </c>
    </row>
    <row r="1572" spans="1:24" x14ac:dyDescent="0.25">
      <c r="A1572" s="45"/>
      <c r="B1572" s="46"/>
      <c r="C1572" s="46"/>
      <c r="D1572" s="46"/>
      <c r="E1572" s="46"/>
      <c r="F1572" s="46"/>
      <c r="G1572" s="46"/>
      <c r="H1572" s="46"/>
      <c r="I1572" s="46"/>
      <c r="J1572" s="46"/>
      <c r="K1572" s="46"/>
      <c r="L1572" s="46"/>
      <c r="M1572" s="46"/>
      <c r="N1572" s="46"/>
      <c r="O1572" s="46"/>
      <c r="P1572" s="46"/>
      <c r="Q1572" s="46"/>
      <c r="R1572" s="46"/>
      <c r="S1572" s="46"/>
      <c r="T1572" s="46"/>
      <c r="U1572" s="46"/>
      <c r="V1572" s="46"/>
      <c r="W1572" s="46"/>
      <c r="X1572" s="11" t="str">
        <f>IF(COUNTBLANK(B1572:W1572)&gt;0,"NA",'batch classification'!J1578)</f>
        <v>NA</v>
      </c>
    </row>
    <row r="1573" spans="1:24" x14ac:dyDescent="0.25">
      <c r="A1573" s="45"/>
      <c r="B1573" s="46"/>
      <c r="C1573" s="46"/>
      <c r="D1573" s="46"/>
      <c r="E1573" s="46"/>
      <c r="F1573" s="46"/>
      <c r="G1573" s="46"/>
      <c r="H1573" s="46"/>
      <c r="I1573" s="46"/>
      <c r="J1573" s="46"/>
      <c r="K1573" s="46"/>
      <c r="L1573" s="46"/>
      <c r="M1573" s="46"/>
      <c r="N1573" s="46"/>
      <c r="O1573" s="46"/>
      <c r="P1573" s="46"/>
      <c r="Q1573" s="46"/>
      <c r="R1573" s="46"/>
      <c r="S1573" s="46"/>
      <c r="T1573" s="46"/>
      <c r="U1573" s="46"/>
      <c r="V1573" s="46"/>
      <c r="W1573" s="46"/>
      <c r="X1573" s="11" t="str">
        <f>IF(COUNTBLANK(B1573:W1573)&gt;0,"NA",'batch classification'!J1579)</f>
        <v>NA</v>
      </c>
    </row>
    <row r="1574" spans="1:24" x14ac:dyDescent="0.25">
      <c r="A1574" s="45"/>
      <c r="B1574" s="46"/>
      <c r="C1574" s="46"/>
      <c r="D1574" s="46"/>
      <c r="E1574" s="46"/>
      <c r="F1574" s="46"/>
      <c r="G1574" s="46"/>
      <c r="H1574" s="46"/>
      <c r="I1574" s="46"/>
      <c r="J1574" s="46"/>
      <c r="K1574" s="46"/>
      <c r="L1574" s="46"/>
      <c r="M1574" s="46"/>
      <c r="N1574" s="46"/>
      <c r="O1574" s="46"/>
      <c r="P1574" s="46"/>
      <c r="Q1574" s="46"/>
      <c r="R1574" s="46"/>
      <c r="S1574" s="46"/>
      <c r="T1574" s="46"/>
      <c r="U1574" s="46"/>
      <c r="V1574" s="46"/>
      <c r="W1574" s="46"/>
      <c r="X1574" s="11" t="str">
        <f>IF(COUNTBLANK(B1574:W1574)&gt;0,"NA",'batch classification'!J1580)</f>
        <v>NA</v>
      </c>
    </row>
    <row r="1575" spans="1:24" x14ac:dyDescent="0.25">
      <c r="A1575" s="45"/>
      <c r="B1575" s="46"/>
      <c r="C1575" s="46"/>
      <c r="D1575" s="46"/>
      <c r="E1575" s="46"/>
      <c r="F1575" s="46"/>
      <c r="G1575" s="46"/>
      <c r="H1575" s="46"/>
      <c r="I1575" s="46"/>
      <c r="J1575" s="46"/>
      <c r="K1575" s="46"/>
      <c r="L1575" s="46"/>
      <c r="M1575" s="46"/>
      <c r="N1575" s="46"/>
      <c r="O1575" s="46"/>
      <c r="P1575" s="46"/>
      <c r="Q1575" s="46"/>
      <c r="R1575" s="46"/>
      <c r="S1575" s="46"/>
      <c r="T1575" s="46"/>
      <c r="U1575" s="46"/>
      <c r="V1575" s="46"/>
      <c r="W1575" s="46"/>
      <c r="X1575" s="11" t="str">
        <f>IF(COUNTBLANK(B1575:W1575)&gt;0,"NA",'batch classification'!J1581)</f>
        <v>NA</v>
      </c>
    </row>
    <row r="1576" spans="1:24" x14ac:dyDescent="0.25">
      <c r="A1576" s="45"/>
      <c r="B1576" s="46"/>
      <c r="C1576" s="46"/>
      <c r="D1576" s="46"/>
      <c r="E1576" s="46"/>
      <c r="F1576" s="46"/>
      <c r="G1576" s="46"/>
      <c r="H1576" s="46"/>
      <c r="I1576" s="46"/>
      <c r="J1576" s="46"/>
      <c r="K1576" s="46"/>
      <c r="L1576" s="46"/>
      <c r="M1576" s="46"/>
      <c r="N1576" s="46"/>
      <c r="O1576" s="46"/>
      <c r="P1576" s="46"/>
      <c r="Q1576" s="46"/>
      <c r="R1576" s="46"/>
      <c r="S1576" s="46"/>
      <c r="T1576" s="46"/>
      <c r="U1576" s="46"/>
      <c r="V1576" s="46"/>
      <c r="W1576" s="46"/>
      <c r="X1576" s="11" t="str">
        <f>IF(COUNTBLANK(B1576:W1576)&gt;0,"NA",'batch classification'!J1582)</f>
        <v>NA</v>
      </c>
    </row>
    <row r="1577" spans="1:24" x14ac:dyDescent="0.25">
      <c r="A1577" s="45"/>
      <c r="B1577" s="46"/>
      <c r="C1577" s="46"/>
      <c r="D1577" s="46"/>
      <c r="E1577" s="46"/>
      <c r="F1577" s="46"/>
      <c r="G1577" s="46"/>
      <c r="H1577" s="46"/>
      <c r="I1577" s="46"/>
      <c r="J1577" s="46"/>
      <c r="K1577" s="46"/>
      <c r="L1577" s="46"/>
      <c r="M1577" s="46"/>
      <c r="N1577" s="46"/>
      <c r="O1577" s="46"/>
      <c r="P1577" s="46"/>
      <c r="Q1577" s="46"/>
      <c r="R1577" s="46"/>
      <c r="S1577" s="46"/>
      <c r="T1577" s="46"/>
      <c r="U1577" s="46"/>
      <c r="V1577" s="46"/>
      <c r="W1577" s="46"/>
      <c r="X1577" s="11" t="str">
        <f>IF(COUNTBLANK(B1577:W1577)&gt;0,"NA",'batch classification'!J1583)</f>
        <v>NA</v>
      </c>
    </row>
    <row r="1578" spans="1:24" x14ac:dyDescent="0.25">
      <c r="A1578" s="45"/>
      <c r="B1578" s="46"/>
      <c r="C1578" s="46"/>
      <c r="D1578" s="46"/>
      <c r="E1578" s="46"/>
      <c r="F1578" s="46"/>
      <c r="G1578" s="46"/>
      <c r="H1578" s="46"/>
      <c r="I1578" s="46"/>
      <c r="J1578" s="46"/>
      <c r="K1578" s="46"/>
      <c r="L1578" s="46"/>
      <c r="M1578" s="46"/>
      <c r="N1578" s="46"/>
      <c r="O1578" s="46"/>
      <c r="P1578" s="46"/>
      <c r="Q1578" s="46"/>
      <c r="R1578" s="46"/>
      <c r="S1578" s="46"/>
      <c r="T1578" s="46"/>
      <c r="U1578" s="46"/>
      <c r="V1578" s="46"/>
      <c r="W1578" s="46"/>
      <c r="X1578" s="11" t="str">
        <f>IF(COUNTBLANK(B1578:W1578)&gt;0,"NA",'batch classification'!J1584)</f>
        <v>NA</v>
      </c>
    </row>
    <row r="1579" spans="1:24" x14ac:dyDescent="0.25">
      <c r="A1579" s="45"/>
      <c r="B1579" s="46"/>
      <c r="C1579" s="46"/>
      <c r="D1579" s="46"/>
      <c r="E1579" s="46"/>
      <c r="F1579" s="46"/>
      <c r="G1579" s="46"/>
      <c r="H1579" s="46"/>
      <c r="I1579" s="46"/>
      <c r="J1579" s="46"/>
      <c r="K1579" s="46"/>
      <c r="L1579" s="46"/>
      <c r="M1579" s="46"/>
      <c r="N1579" s="46"/>
      <c r="O1579" s="46"/>
      <c r="P1579" s="46"/>
      <c r="Q1579" s="46"/>
      <c r="R1579" s="46"/>
      <c r="S1579" s="46"/>
      <c r="T1579" s="46"/>
      <c r="U1579" s="46"/>
      <c r="V1579" s="46"/>
      <c r="W1579" s="46"/>
      <c r="X1579" s="11" t="str">
        <f>IF(COUNTBLANK(B1579:W1579)&gt;0,"NA",'batch classification'!J1585)</f>
        <v>NA</v>
      </c>
    </row>
    <row r="1580" spans="1:24" x14ac:dyDescent="0.25">
      <c r="A1580" s="45"/>
      <c r="B1580" s="46"/>
      <c r="C1580" s="46"/>
      <c r="D1580" s="46"/>
      <c r="E1580" s="46"/>
      <c r="F1580" s="46"/>
      <c r="G1580" s="46"/>
      <c r="H1580" s="46"/>
      <c r="I1580" s="46"/>
      <c r="J1580" s="46"/>
      <c r="K1580" s="46"/>
      <c r="L1580" s="46"/>
      <c r="M1580" s="46"/>
      <c r="N1580" s="46"/>
      <c r="O1580" s="46"/>
      <c r="P1580" s="46"/>
      <c r="Q1580" s="46"/>
      <c r="R1580" s="46"/>
      <c r="S1580" s="46"/>
      <c r="T1580" s="46"/>
      <c r="U1580" s="46"/>
      <c r="V1580" s="46"/>
      <c r="W1580" s="46"/>
      <c r="X1580" s="11" t="str">
        <f>IF(COUNTBLANK(B1580:W1580)&gt;0,"NA",'batch classification'!J1586)</f>
        <v>NA</v>
      </c>
    </row>
    <row r="1581" spans="1:24" x14ac:dyDescent="0.25">
      <c r="A1581" s="45"/>
      <c r="B1581" s="46"/>
      <c r="C1581" s="46"/>
      <c r="D1581" s="46"/>
      <c r="E1581" s="46"/>
      <c r="F1581" s="46"/>
      <c r="G1581" s="46"/>
      <c r="H1581" s="46"/>
      <c r="I1581" s="46"/>
      <c r="J1581" s="46"/>
      <c r="K1581" s="46"/>
      <c r="L1581" s="46"/>
      <c r="M1581" s="46"/>
      <c r="N1581" s="46"/>
      <c r="O1581" s="46"/>
      <c r="P1581" s="46"/>
      <c r="Q1581" s="46"/>
      <c r="R1581" s="46"/>
      <c r="S1581" s="46"/>
      <c r="T1581" s="46"/>
      <c r="U1581" s="46"/>
      <c r="V1581" s="46"/>
      <c r="W1581" s="46"/>
      <c r="X1581" s="11" t="str">
        <f>IF(COUNTBLANK(B1581:W1581)&gt;0,"NA",'batch classification'!J1587)</f>
        <v>NA</v>
      </c>
    </row>
    <row r="1582" spans="1:24" x14ac:dyDescent="0.25">
      <c r="A1582" s="45"/>
      <c r="B1582" s="46"/>
      <c r="C1582" s="46"/>
      <c r="D1582" s="46"/>
      <c r="E1582" s="46"/>
      <c r="F1582" s="46"/>
      <c r="G1582" s="46"/>
      <c r="H1582" s="46"/>
      <c r="I1582" s="46"/>
      <c r="J1582" s="46"/>
      <c r="K1582" s="46"/>
      <c r="L1582" s="46"/>
      <c r="M1582" s="46"/>
      <c r="N1582" s="46"/>
      <c r="O1582" s="46"/>
      <c r="P1582" s="46"/>
      <c r="Q1582" s="46"/>
      <c r="R1582" s="46"/>
      <c r="S1582" s="46"/>
      <c r="T1582" s="46"/>
      <c r="U1582" s="46"/>
      <c r="V1582" s="46"/>
      <c r="W1582" s="46"/>
      <c r="X1582" s="11" t="str">
        <f>IF(COUNTBLANK(B1582:W1582)&gt;0,"NA",'batch classification'!J1588)</f>
        <v>NA</v>
      </c>
    </row>
    <row r="1583" spans="1:24" x14ac:dyDescent="0.25">
      <c r="A1583" s="45"/>
      <c r="B1583" s="46"/>
      <c r="C1583" s="46"/>
      <c r="D1583" s="46"/>
      <c r="E1583" s="46"/>
      <c r="F1583" s="46"/>
      <c r="G1583" s="46"/>
      <c r="H1583" s="46"/>
      <c r="I1583" s="46"/>
      <c r="J1583" s="46"/>
      <c r="K1583" s="46"/>
      <c r="L1583" s="46"/>
      <c r="M1583" s="46"/>
      <c r="N1583" s="46"/>
      <c r="O1583" s="46"/>
      <c r="P1583" s="46"/>
      <c r="Q1583" s="46"/>
      <c r="R1583" s="46"/>
      <c r="S1583" s="46"/>
      <c r="T1583" s="46"/>
      <c r="U1583" s="46"/>
      <c r="V1583" s="46"/>
      <c r="W1583" s="46"/>
      <c r="X1583" s="11" t="str">
        <f>IF(COUNTBLANK(B1583:W1583)&gt;0,"NA",'batch classification'!J1589)</f>
        <v>NA</v>
      </c>
    </row>
    <row r="1584" spans="1:24" x14ac:dyDescent="0.25">
      <c r="A1584" s="45"/>
      <c r="B1584" s="46"/>
      <c r="C1584" s="46"/>
      <c r="D1584" s="46"/>
      <c r="E1584" s="46"/>
      <c r="F1584" s="46"/>
      <c r="G1584" s="46"/>
      <c r="H1584" s="46"/>
      <c r="I1584" s="46"/>
      <c r="J1584" s="46"/>
      <c r="K1584" s="46"/>
      <c r="L1584" s="46"/>
      <c r="M1584" s="46"/>
      <c r="N1584" s="46"/>
      <c r="O1584" s="46"/>
      <c r="P1584" s="46"/>
      <c r="Q1584" s="46"/>
      <c r="R1584" s="46"/>
      <c r="S1584" s="46"/>
      <c r="T1584" s="46"/>
      <c r="U1584" s="46"/>
      <c r="V1584" s="46"/>
      <c r="W1584" s="46"/>
      <c r="X1584" s="11" t="str">
        <f>IF(COUNTBLANK(B1584:W1584)&gt;0,"NA",'batch classification'!J1590)</f>
        <v>NA</v>
      </c>
    </row>
    <row r="1585" spans="1:24" x14ac:dyDescent="0.25">
      <c r="A1585" s="45"/>
      <c r="B1585" s="46"/>
      <c r="C1585" s="46"/>
      <c r="D1585" s="46"/>
      <c r="E1585" s="46"/>
      <c r="F1585" s="46"/>
      <c r="G1585" s="46"/>
      <c r="H1585" s="46"/>
      <c r="I1585" s="46"/>
      <c r="J1585" s="46"/>
      <c r="K1585" s="46"/>
      <c r="L1585" s="46"/>
      <c r="M1585" s="46"/>
      <c r="N1585" s="46"/>
      <c r="O1585" s="46"/>
      <c r="P1585" s="46"/>
      <c r="Q1585" s="46"/>
      <c r="R1585" s="46"/>
      <c r="S1585" s="46"/>
      <c r="T1585" s="46"/>
      <c r="U1585" s="46"/>
      <c r="V1585" s="46"/>
      <c r="W1585" s="46"/>
      <c r="X1585" s="11" t="str">
        <f>IF(COUNTBLANK(B1585:W1585)&gt;0,"NA",'batch classification'!J1591)</f>
        <v>NA</v>
      </c>
    </row>
    <row r="1586" spans="1:24" x14ac:dyDescent="0.25">
      <c r="A1586" s="45"/>
      <c r="B1586" s="46"/>
      <c r="C1586" s="46"/>
      <c r="D1586" s="46"/>
      <c r="E1586" s="46"/>
      <c r="F1586" s="46"/>
      <c r="G1586" s="46"/>
      <c r="H1586" s="46"/>
      <c r="I1586" s="46"/>
      <c r="J1586" s="46"/>
      <c r="K1586" s="46"/>
      <c r="L1586" s="46"/>
      <c r="M1586" s="46"/>
      <c r="N1586" s="46"/>
      <c r="O1586" s="46"/>
      <c r="P1586" s="46"/>
      <c r="Q1586" s="46"/>
      <c r="R1586" s="46"/>
      <c r="S1586" s="46"/>
      <c r="T1586" s="46"/>
      <c r="U1586" s="46"/>
      <c r="V1586" s="46"/>
      <c r="W1586" s="46"/>
      <c r="X1586" s="11" t="str">
        <f>IF(COUNTBLANK(B1586:W1586)&gt;0,"NA",'batch classification'!J1592)</f>
        <v>NA</v>
      </c>
    </row>
    <row r="1587" spans="1:24" x14ac:dyDescent="0.25">
      <c r="A1587" s="45"/>
      <c r="B1587" s="46"/>
      <c r="C1587" s="46"/>
      <c r="D1587" s="46"/>
      <c r="E1587" s="46"/>
      <c r="F1587" s="46"/>
      <c r="G1587" s="46"/>
      <c r="H1587" s="46"/>
      <c r="I1587" s="46"/>
      <c r="J1587" s="46"/>
      <c r="K1587" s="46"/>
      <c r="L1587" s="46"/>
      <c r="M1587" s="46"/>
      <c r="N1587" s="46"/>
      <c r="O1587" s="46"/>
      <c r="P1587" s="46"/>
      <c r="Q1587" s="46"/>
      <c r="R1587" s="46"/>
      <c r="S1587" s="46"/>
      <c r="T1587" s="46"/>
      <c r="U1587" s="46"/>
      <c r="V1587" s="46"/>
      <c r="W1587" s="46"/>
      <c r="X1587" s="11" t="str">
        <f>IF(COUNTBLANK(B1587:W1587)&gt;0,"NA",'batch classification'!J1593)</f>
        <v>NA</v>
      </c>
    </row>
    <row r="1588" spans="1:24" x14ac:dyDescent="0.25">
      <c r="A1588" s="45"/>
      <c r="B1588" s="46"/>
      <c r="C1588" s="46"/>
      <c r="D1588" s="46"/>
      <c r="E1588" s="46"/>
      <c r="F1588" s="46"/>
      <c r="G1588" s="46"/>
      <c r="H1588" s="46"/>
      <c r="I1588" s="46"/>
      <c r="J1588" s="46"/>
      <c r="K1588" s="46"/>
      <c r="L1588" s="46"/>
      <c r="M1588" s="46"/>
      <c r="N1588" s="46"/>
      <c r="O1588" s="46"/>
      <c r="P1588" s="46"/>
      <c r="Q1588" s="46"/>
      <c r="R1588" s="46"/>
      <c r="S1588" s="46"/>
      <c r="T1588" s="46"/>
      <c r="U1588" s="46"/>
      <c r="V1588" s="46"/>
      <c r="W1588" s="46"/>
      <c r="X1588" s="11" t="str">
        <f>IF(COUNTBLANK(B1588:W1588)&gt;0,"NA",'batch classification'!J1594)</f>
        <v>NA</v>
      </c>
    </row>
    <row r="1589" spans="1:24" x14ac:dyDescent="0.25">
      <c r="A1589" s="45"/>
      <c r="B1589" s="46"/>
      <c r="C1589" s="46"/>
      <c r="D1589" s="46"/>
      <c r="E1589" s="46"/>
      <c r="F1589" s="46"/>
      <c r="G1589" s="46"/>
      <c r="H1589" s="46"/>
      <c r="I1589" s="46"/>
      <c r="J1589" s="46"/>
      <c r="K1589" s="46"/>
      <c r="L1589" s="46"/>
      <c r="M1589" s="46"/>
      <c r="N1589" s="46"/>
      <c r="O1589" s="46"/>
      <c r="P1589" s="46"/>
      <c r="Q1589" s="46"/>
      <c r="R1589" s="46"/>
      <c r="S1589" s="46"/>
      <c r="T1589" s="46"/>
      <c r="U1589" s="46"/>
      <c r="V1589" s="46"/>
      <c r="W1589" s="46"/>
      <c r="X1589" s="11" t="str">
        <f>IF(COUNTBLANK(B1589:W1589)&gt;0,"NA",'batch classification'!J1595)</f>
        <v>NA</v>
      </c>
    </row>
    <row r="1590" spans="1:24" x14ac:dyDescent="0.25">
      <c r="A1590" s="45"/>
      <c r="B1590" s="46"/>
      <c r="C1590" s="46"/>
      <c r="D1590" s="46"/>
      <c r="E1590" s="46"/>
      <c r="F1590" s="46"/>
      <c r="G1590" s="46"/>
      <c r="H1590" s="46"/>
      <c r="I1590" s="46"/>
      <c r="J1590" s="46"/>
      <c r="K1590" s="46"/>
      <c r="L1590" s="46"/>
      <c r="M1590" s="46"/>
      <c r="N1590" s="46"/>
      <c r="O1590" s="46"/>
      <c r="P1590" s="46"/>
      <c r="Q1590" s="46"/>
      <c r="R1590" s="46"/>
      <c r="S1590" s="46"/>
      <c r="T1590" s="46"/>
      <c r="U1590" s="46"/>
      <c r="V1590" s="46"/>
      <c r="W1590" s="46"/>
      <c r="X1590" s="11" t="str">
        <f>IF(COUNTBLANK(B1590:W1590)&gt;0,"NA",'batch classification'!J1596)</f>
        <v>NA</v>
      </c>
    </row>
    <row r="1591" spans="1:24" x14ac:dyDescent="0.25">
      <c r="A1591" s="45"/>
      <c r="B1591" s="46"/>
      <c r="C1591" s="46"/>
      <c r="D1591" s="46"/>
      <c r="E1591" s="46"/>
      <c r="F1591" s="46"/>
      <c r="G1591" s="46"/>
      <c r="H1591" s="46"/>
      <c r="I1591" s="46"/>
      <c r="J1591" s="46"/>
      <c r="K1591" s="46"/>
      <c r="L1591" s="46"/>
      <c r="M1591" s="46"/>
      <c r="N1591" s="46"/>
      <c r="O1591" s="46"/>
      <c r="P1591" s="46"/>
      <c r="Q1591" s="46"/>
      <c r="R1591" s="46"/>
      <c r="S1591" s="46"/>
      <c r="T1591" s="46"/>
      <c r="U1591" s="46"/>
      <c r="V1591" s="46"/>
      <c r="W1591" s="46"/>
      <c r="X1591" s="11" t="str">
        <f>IF(COUNTBLANK(B1591:W1591)&gt;0,"NA",'batch classification'!J1597)</f>
        <v>NA</v>
      </c>
    </row>
    <row r="1592" spans="1:24" x14ac:dyDescent="0.25">
      <c r="A1592" s="45"/>
      <c r="B1592" s="46"/>
      <c r="C1592" s="46"/>
      <c r="D1592" s="46"/>
      <c r="E1592" s="46"/>
      <c r="F1592" s="46"/>
      <c r="G1592" s="46"/>
      <c r="H1592" s="46"/>
      <c r="I1592" s="46"/>
      <c r="J1592" s="46"/>
      <c r="K1592" s="46"/>
      <c r="L1592" s="46"/>
      <c r="M1592" s="46"/>
      <c r="N1592" s="46"/>
      <c r="O1592" s="46"/>
      <c r="P1592" s="46"/>
      <c r="Q1592" s="46"/>
      <c r="R1592" s="46"/>
      <c r="S1592" s="46"/>
      <c r="T1592" s="46"/>
      <c r="U1592" s="46"/>
      <c r="V1592" s="46"/>
      <c r="W1592" s="46"/>
      <c r="X1592" s="11" t="str">
        <f>IF(COUNTBLANK(B1592:W1592)&gt;0,"NA",'batch classification'!J1598)</f>
        <v>NA</v>
      </c>
    </row>
    <row r="1593" spans="1:24" x14ac:dyDescent="0.25">
      <c r="A1593" s="45"/>
      <c r="B1593" s="46"/>
      <c r="C1593" s="46"/>
      <c r="D1593" s="46"/>
      <c r="E1593" s="46"/>
      <c r="F1593" s="46"/>
      <c r="G1593" s="46"/>
      <c r="H1593" s="46"/>
      <c r="I1593" s="46"/>
      <c r="J1593" s="46"/>
      <c r="K1593" s="46"/>
      <c r="L1593" s="46"/>
      <c r="M1593" s="46"/>
      <c r="N1593" s="46"/>
      <c r="O1593" s="46"/>
      <c r="P1593" s="46"/>
      <c r="Q1593" s="46"/>
      <c r="R1593" s="46"/>
      <c r="S1593" s="46"/>
      <c r="T1593" s="46"/>
      <c r="U1593" s="46"/>
      <c r="V1593" s="46"/>
      <c r="W1593" s="46"/>
      <c r="X1593" s="11" t="str">
        <f>IF(COUNTBLANK(B1593:W1593)&gt;0,"NA",'batch classification'!J1599)</f>
        <v>NA</v>
      </c>
    </row>
    <row r="1594" spans="1:24" x14ac:dyDescent="0.25">
      <c r="A1594" s="45"/>
      <c r="B1594" s="46"/>
      <c r="C1594" s="46"/>
      <c r="D1594" s="46"/>
      <c r="E1594" s="46"/>
      <c r="F1594" s="46"/>
      <c r="G1594" s="46"/>
      <c r="H1594" s="46"/>
      <c r="I1594" s="46"/>
      <c r="J1594" s="46"/>
      <c r="K1594" s="46"/>
      <c r="L1594" s="46"/>
      <c r="M1594" s="46"/>
      <c r="N1594" s="46"/>
      <c r="O1594" s="46"/>
      <c r="P1594" s="46"/>
      <c r="Q1594" s="46"/>
      <c r="R1594" s="46"/>
      <c r="S1594" s="46"/>
      <c r="T1594" s="46"/>
      <c r="U1594" s="46"/>
      <c r="V1594" s="46"/>
      <c r="W1594" s="46"/>
      <c r="X1594" s="11" t="str">
        <f>IF(COUNTBLANK(B1594:W1594)&gt;0,"NA",'batch classification'!J1600)</f>
        <v>NA</v>
      </c>
    </row>
    <row r="1595" spans="1:24" x14ac:dyDescent="0.25">
      <c r="A1595" s="45"/>
      <c r="B1595" s="46"/>
      <c r="C1595" s="46"/>
      <c r="D1595" s="46"/>
      <c r="E1595" s="46"/>
      <c r="F1595" s="46"/>
      <c r="G1595" s="46"/>
      <c r="H1595" s="46"/>
      <c r="I1595" s="46"/>
      <c r="J1595" s="46"/>
      <c r="K1595" s="46"/>
      <c r="L1595" s="46"/>
      <c r="M1595" s="46"/>
      <c r="N1595" s="46"/>
      <c r="O1595" s="46"/>
      <c r="P1595" s="46"/>
      <c r="Q1595" s="46"/>
      <c r="R1595" s="46"/>
      <c r="S1595" s="46"/>
      <c r="T1595" s="46"/>
      <c r="U1595" s="46"/>
      <c r="V1595" s="46"/>
      <c r="W1595" s="46"/>
      <c r="X1595" s="11" t="str">
        <f>IF(COUNTBLANK(B1595:W1595)&gt;0,"NA",'batch classification'!J1601)</f>
        <v>NA</v>
      </c>
    </row>
    <row r="1596" spans="1:24" x14ac:dyDescent="0.25">
      <c r="A1596" s="45"/>
      <c r="B1596" s="46"/>
      <c r="C1596" s="46"/>
      <c r="D1596" s="46"/>
      <c r="E1596" s="46"/>
      <c r="F1596" s="46"/>
      <c r="G1596" s="46"/>
      <c r="H1596" s="46"/>
      <c r="I1596" s="46"/>
      <c r="J1596" s="46"/>
      <c r="K1596" s="46"/>
      <c r="L1596" s="46"/>
      <c r="M1596" s="46"/>
      <c r="N1596" s="46"/>
      <c r="O1596" s="46"/>
      <c r="P1596" s="46"/>
      <c r="Q1596" s="46"/>
      <c r="R1596" s="46"/>
      <c r="S1596" s="46"/>
      <c r="T1596" s="46"/>
      <c r="U1596" s="46"/>
      <c r="V1596" s="46"/>
      <c r="W1596" s="46"/>
      <c r="X1596" s="11" t="str">
        <f>IF(COUNTBLANK(B1596:W1596)&gt;0,"NA",'batch classification'!J1602)</f>
        <v>NA</v>
      </c>
    </row>
    <row r="1597" spans="1:24" x14ac:dyDescent="0.25">
      <c r="A1597" s="45"/>
      <c r="B1597" s="46"/>
      <c r="C1597" s="46"/>
      <c r="D1597" s="46"/>
      <c r="E1597" s="46"/>
      <c r="F1597" s="46"/>
      <c r="G1597" s="46"/>
      <c r="H1597" s="46"/>
      <c r="I1597" s="46"/>
      <c r="J1597" s="46"/>
      <c r="K1597" s="46"/>
      <c r="L1597" s="46"/>
      <c r="M1597" s="46"/>
      <c r="N1597" s="46"/>
      <c r="O1597" s="46"/>
      <c r="P1597" s="46"/>
      <c r="Q1597" s="46"/>
      <c r="R1597" s="46"/>
      <c r="S1597" s="46"/>
      <c r="T1597" s="46"/>
      <c r="U1597" s="46"/>
      <c r="V1597" s="46"/>
      <c r="W1597" s="46"/>
      <c r="X1597" s="11" t="str">
        <f>IF(COUNTBLANK(B1597:W1597)&gt;0,"NA",'batch classification'!J1603)</f>
        <v>NA</v>
      </c>
    </row>
    <row r="1598" spans="1:24" x14ac:dyDescent="0.25">
      <c r="A1598" s="45"/>
      <c r="B1598" s="46"/>
      <c r="C1598" s="46"/>
      <c r="D1598" s="46"/>
      <c r="E1598" s="46"/>
      <c r="F1598" s="46"/>
      <c r="G1598" s="46"/>
      <c r="H1598" s="46"/>
      <c r="I1598" s="46"/>
      <c r="J1598" s="46"/>
      <c r="K1598" s="46"/>
      <c r="L1598" s="46"/>
      <c r="M1598" s="46"/>
      <c r="N1598" s="46"/>
      <c r="O1598" s="46"/>
      <c r="P1598" s="46"/>
      <c r="Q1598" s="46"/>
      <c r="R1598" s="46"/>
      <c r="S1598" s="46"/>
      <c r="T1598" s="46"/>
      <c r="U1598" s="46"/>
      <c r="V1598" s="46"/>
      <c r="W1598" s="46"/>
      <c r="X1598" s="11" t="str">
        <f>IF(COUNTBLANK(B1598:W1598)&gt;0,"NA",'batch classification'!J1604)</f>
        <v>NA</v>
      </c>
    </row>
    <row r="1599" spans="1:24" x14ac:dyDescent="0.25">
      <c r="A1599" s="45"/>
      <c r="B1599" s="46"/>
      <c r="C1599" s="46"/>
      <c r="D1599" s="46"/>
      <c r="E1599" s="46"/>
      <c r="F1599" s="46"/>
      <c r="G1599" s="46"/>
      <c r="H1599" s="46"/>
      <c r="I1599" s="46"/>
      <c r="J1599" s="46"/>
      <c r="K1599" s="46"/>
      <c r="L1599" s="46"/>
      <c r="M1599" s="46"/>
      <c r="N1599" s="46"/>
      <c r="O1599" s="46"/>
      <c r="P1599" s="46"/>
      <c r="Q1599" s="46"/>
      <c r="R1599" s="46"/>
      <c r="S1599" s="46"/>
      <c r="T1599" s="46"/>
      <c r="U1599" s="46"/>
      <c r="V1599" s="46"/>
      <c r="W1599" s="46"/>
      <c r="X1599" s="11" t="str">
        <f>IF(COUNTBLANK(B1599:W1599)&gt;0,"NA",'batch classification'!J1605)</f>
        <v>NA</v>
      </c>
    </row>
    <row r="1600" spans="1:24" x14ac:dyDescent="0.25">
      <c r="A1600" s="45"/>
      <c r="B1600" s="46"/>
      <c r="C1600" s="46"/>
      <c r="D1600" s="46"/>
      <c r="E1600" s="46"/>
      <c r="F1600" s="46"/>
      <c r="G1600" s="46"/>
      <c r="H1600" s="46"/>
      <c r="I1600" s="46"/>
      <c r="J1600" s="46"/>
      <c r="K1600" s="46"/>
      <c r="L1600" s="46"/>
      <c r="M1600" s="46"/>
      <c r="N1600" s="46"/>
      <c r="O1600" s="46"/>
      <c r="P1600" s="46"/>
      <c r="Q1600" s="46"/>
      <c r="R1600" s="46"/>
      <c r="S1600" s="46"/>
      <c r="T1600" s="46"/>
      <c r="U1600" s="46"/>
      <c r="V1600" s="46"/>
      <c r="W1600" s="46"/>
      <c r="X1600" s="11" t="str">
        <f>IF(COUNTBLANK(B1600:W1600)&gt;0,"NA",'batch classification'!J1606)</f>
        <v>NA</v>
      </c>
    </row>
    <row r="1601" spans="1:24" x14ac:dyDescent="0.25">
      <c r="A1601" s="45"/>
      <c r="B1601" s="46"/>
      <c r="C1601" s="46"/>
      <c r="D1601" s="46"/>
      <c r="E1601" s="46"/>
      <c r="F1601" s="46"/>
      <c r="G1601" s="46"/>
      <c r="H1601" s="46"/>
      <c r="I1601" s="46"/>
      <c r="J1601" s="46"/>
      <c r="K1601" s="46"/>
      <c r="L1601" s="46"/>
      <c r="M1601" s="46"/>
      <c r="N1601" s="46"/>
      <c r="O1601" s="46"/>
      <c r="P1601" s="46"/>
      <c r="Q1601" s="46"/>
      <c r="R1601" s="46"/>
      <c r="S1601" s="46"/>
      <c r="T1601" s="46"/>
      <c r="U1601" s="46"/>
      <c r="V1601" s="46"/>
      <c r="W1601" s="46"/>
      <c r="X1601" s="11" t="str">
        <f>IF(COUNTBLANK(B1601:W1601)&gt;0,"NA",'batch classification'!J1607)</f>
        <v>NA</v>
      </c>
    </row>
    <row r="1602" spans="1:24" x14ac:dyDescent="0.25">
      <c r="A1602" s="45"/>
      <c r="B1602" s="46"/>
      <c r="C1602" s="46"/>
      <c r="D1602" s="46"/>
      <c r="E1602" s="46"/>
      <c r="F1602" s="46"/>
      <c r="G1602" s="46"/>
      <c r="H1602" s="46"/>
      <c r="I1602" s="46"/>
      <c r="J1602" s="46"/>
      <c r="K1602" s="46"/>
      <c r="L1602" s="46"/>
      <c r="M1602" s="46"/>
      <c r="N1602" s="46"/>
      <c r="O1602" s="46"/>
      <c r="P1602" s="46"/>
      <c r="Q1602" s="46"/>
      <c r="R1602" s="46"/>
      <c r="S1602" s="46"/>
      <c r="T1602" s="46"/>
      <c r="U1602" s="46"/>
      <c r="V1602" s="46"/>
      <c r="W1602" s="46"/>
      <c r="X1602" s="11" t="str">
        <f>IF(COUNTBLANK(B1602:W1602)&gt;0,"NA",'batch classification'!J1608)</f>
        <v>NA</v>
      </c>
    </row>
    <row r="1603" spans="1:24" x14ac:dyDescent="0.25">
      <c r="A1603" s="45"/>
      <c r="B1603" s="46"/>
      <c r="C1603" s="46"/>
      <c r="D1603" s="46"/>
      <c r="E1603" s="46"/>
      <c r="F1603" s="46"/>
      <c r="G1603" s="46"/>
      <c r="H1603" s="46"/>
      <c r="I1603" s="46"/>
      <c r="J1603" s="46"/>
      <c r="K1603" s="46"/>
      <c r="L1603" s="46"/>
      <c r="M1603" s="46"/>
      <c r="N1603" s="46"/>
      <c r="O1603" s="46"/>
      <c r="P1603" s="46"/>
      <c r="Q1603" s="46"/>
      <c r="R1603" s="46"/>
      <c r="S1603" s="46"/>
      <c r="T1603" s="46"/>
      <c r="U1603" s="46"/>
      <c r="V1603" s="46"/>
      <c r="W1603" s="46"/>
      <c r="X1603" s="11" t="str">
        <f>IF(COUNTBLANK(B1603:W1603)&gt;0,"NA",'batch classification'!J1609)</f>
        <v>NA</v>
      </c>
    </row>
    <row r="1604" spans="1:24" x14ac:dyDescent="0.25">
      <c r="A1604" s="45"/>
      <c r="B1604" s="46"/>
      <c r="C1604" s="46"/>
      <c r="D1604" s="46"/>
      <c r="E1604" s="46"/>
      <c r="F1604" s="46"/>
      <c r="G1604" s="46"/>
      <c r="H1604" s="46"/>
      <c r="I1604" s="46"/>
      <c r="J1604" s="46"/>
      <c r="K1604" s="46"/>
      <c r="L1604" s="46"/>
      <c r="M1604" s="46"/>
      <c r="N1604" s="46"/>
      <c r="O1604" s="46"/>
      <c r="P1604" s="46"/>
      <c r="Q1604" s="46"/>
      <c r="R1604" s="46"/>
      <c r="S1604" s="46"/>
      <c r="T1604" s="46"/>
      <c r="U1604" s="46"/>
      <c r="V1604" s="46"/>
      <c r="W1604" s="46"/>
      <c r="X1604" s="11" t="str">
        <f>IF(COUNTBLANK(B1604:W1604)&gt;0,"NA",'batch classification'!J1610)</f>
        <v>NA</v>
      </c>
    </row>
    <row r="1605" spans="1:24" x14ac:dyDescent="0.25">
      <c r="A1605" s="45"/>
      <c r="B1605" s="46"/>
      <c r="C1605" s="46"/>
      <c r="D1605" s="46"/>
      <c r="E1605" s="46"/>
      <c r="F1605" s="46"/>
      <c r="G1605" s="46"/>
      <c r="H1605" s="46"/>
      <c r="I1605" s="46"/>
      <c r="J1605" s="46"/>
      <c r="K1605" s="46"/>
      <c r="L1605" s="46"/>
      <c r="M1605" s="46"/>
      <c r="N1605" s="46"/>
      <c r="O1605" s="46"/>
      <c r="P1605" s="46"/>
      <c r="Q1605" s="46"/>
      <c r="R1605" s="46"/>
      <c r="S1605" s="46"/>
      <c r="T1605" s="46"/>
      <c r="U1605" s="46"/>
      <c r="V1605" s="46"/>
      <c r="W1605" s="46"/>
      <c r="X1605" s="11" t="str">
        <f>IF(COUNTBLANK(B1605:W1605)&gt;0,"NA",'batch classification'!J1611)</f>
        <v>NA</v>
      </c>
    </row>
    <row r="1606" spans="1:24" x14ac:dyDescent="0.25">
      <c r="A1606" s="45"/>
      <c r="B1606" s="46"/>
      <c r="C1606" s="46"/>
      <c r="D1606" s="46"/>
      <c r="E1606" s="46"/>
      <c r="F1606" s="46"/>
      <c r="G1606" s="46"/>
      <c r="H1606" s="46"/>
      <c r="I1606" s="46"/>
      <c r="J1606" s="46"/>
      <c r="K1606" s="46"/>
      <c r="L1606" s="46"/>
      <c r="M1606" s="46"/>
      <c r="N1606" s="46"/>
      <c r="O1606" s="46"/>
      <c r="P1606" s="46"/>
      <c r="Q1606" s="46"/>
      <c r="R1606" s="46"/>
      <c r="S1606" s="46"/>
      <c r="T1606" s="46"/>
      <c r="U1606" s="46"/>
      <c r="V1606" s="46"/>
      <c r="W1606" s="46"/>
      <c r="X1606" s="11" t="str">
        <f>IF(COUNTBLANK(B1606:W1606)&gt;0,"NA",'batch classification'!J1612)</f>
        <v>NA</v>
      </c>
    </row>
    <row r="1607" spans="1:24" x14ac:dyDescent="0.25">
      <c r="A1607" s="45"/>
      <c r="B1607" s="46"/>
      <c r="C1607" s="46"/>
      <c r="D1607" s="46"/>
      <c r="E1607" s="46"/>
      <c r="F1607" s="46"/>
      <c r="G1607" s="46"/>
      <c r="H1607" s="46"/>
      <c r="I1607" s="46"/>
      <c r="J1607" s="46"/>
      <c r="K1607" s="46"/>
      <c r="L1607" s="46"/>
      <c r="M1607" s="46"/>
      <c r="N1607" s="46"/>
      <c r="O1607" s="46"/>
      <c r="P1607" s="46"/>
      <c r="Q1607" s="46"/>
      <c r="R1607" s="46"/>
      <c r="S1607" s="46"/>
      <c r="T1607" s="46"/>
      <c r="U1607" s="46"/>
      <c r="V1607" s="46"/>
      <c r="W1607" s="46"/>
      <c r="X1607" s="11" t="str">
        <f>IF(COUNTBLANK(B1607:W1607)&gt;0,"NA",'batch classification'!J1613)</f>
        <v>NA</v>
      </c>
    </row>
    <row r="1608" spans="1:24" x14ac:dyDescent="0.25">
      <c r="A1608" s="45"/>
      <c r="B1608" s="46"/>
      <c r="C1608" s="46"/>
      <c r="D1608" s="46"/>
      <c r="E1608" s="46"/>
      <c r="F1608" s="46"/>
      <c r="G1608" s="46"/>
      <c r="H1608" s="46"/>
      <c r="I1608" s="46"/>
      <c r="J1608" s="46"/>
      <c r="K1608" s="46"/>
      <c r="L1608" s="46"/>
      <c r="M1608" s="46"/>
      <c r="N1608" s="46"/>
      <c r="O1608" s="46"/>
      <c r="P1608" s="46"/>
      <c r="Q1608" s="46"/>
      <c r="R1608" s="46"/>
      <c r="S1608" s="46"/>
      <c r="T1608" s="46"/>
      <c r="U1608" s="46"/>
      <c r="V1608" s="46"/>
      <c r="W1608" s="46"/>
      <c r="X1608" s="11" t="str">
        <f>IF(COUNTBLANK(B1608:W1608)&gt;0,"NA",'batch classification'!J1614)</f>
        <v>NA</v>
      </c>
    </row>
    <row r="1609" spans="1:24" x14ac:dyDescent="0.25">
      <c r="A1609" s="45"/>
      <c r="B1609" s="46"/>
      <c r="C1609" s="46"/>
      <c r="D1609" s="46"/>
      <c r="E1609" s="46"/>
      <c r="F1609" s="46"/>
      <c r="G1609" s="46"/>
      <c r="H1609" s="46"/>
      <c r="I1609" s="46"/>
      <c r="J1609" s="46"/>
      <c r="K1609" s="46"/>
      <c r="L1609" s="46"/>
      <c r="M1609" s="46"/>
      <c r="N1609" s="46"/>
      <c r="O1609" s="46"/>
      <c r="P1609" s="46"/>
      <c r="Q1609" s="46"/>
      <c r="R1609" s="46"/>
      <c r="S1609" s="46"/>
      <c r="T1609" s="46"/>
      <c r="U1609" s="46"/>
      <c r="V1609" s="46"/>
      <c r="W1609" s="46"/>
      <c r="X1609" s="11" t="str">
        <f>IF(COUNTBLANK(B1609:W1609)&gt;0,"NA",'batch classification'!J1615)</f>
        <v>NA</v>
      </c>
    </row>
    <row r="1610" spans="1:24" x14ac:dyDescent="0.25">
      <c r="A1610" s="45"/>
      <c r="B1610" s="46"/>
      <c r="C1610" s="46"/>
      <c r="D1610" s="46"/>
      <c r="E1610" s="46"/>
      <c r="F1610" s="46"/>
      <c r="G1610" s="46"/>
      <c r="H1610" s="46"/>
      <c r="I1610" s="46"/>
      <c r="J1610" s="46"/>
      <c r="K1610" s="46"/>
      <c r="L1610" s="46"/>
      <c r="M1610" s="46"/>
      <c r="N1610" s="46"/>
      <c r="O1610" s="46"/>
      <c r="P1610" s="46"/>
      <c r="Q1610" s="46"/>
      <c r="R1610" s="46"/>
      <c r="S1610" s="46"/>
      <c r="T1610" s="46"/>
      <c r="U1610" s="46"/>
      <c r="V1610" s="46"/>
      <c r="W1610" s="46"/>
      <c r="X1610" s="11" t="str">
        <f>IF(COUNTBLANK(B1610:W1610)&gt;0,"NA",'batch classification'!J1616)</f>
        <v>NA</v>
      </c>
    </row>
    <row r="1611" spans="1:24" x14ac:dyDescent="0.25">
      <c r="A1611" s="45"/>
      <c r="B1611" s="46"/>
      <c r="C1611" s="46"/>
      <c r="D1611" s="46"/>
      <c r="E1611" s="46"/>
      <c r="F1611" s="46"/>
      <c r="G1611" s="46"/>
      <c r="H1611" s="46"/>
      <c r="I1611" s="46"/>
      <c r="J1611" s="46"/>
      <c r="K1611" s="46"/>
      <c r="L1611" s="46"/>
      <c r="M1611" s="46"/>
      <c r="N1611" s="46"/>
      <c r="O1611" s="46"/>
      <c r="P1611" s="46"/>
      <c r="Q1611" s="46"/>
      <c r="R1611" s="46"/>
      <c r="S1611" s="46"/>
      <c r="T1611" s="46"/>
      <c r="U1611" s="46"/>
      <c r="V1611" s="46"/>
      <c r="W1611" s="46"/>
      <c r="X1611" s="11" t="str">
        <f>IF(COUNTBLANK(B1611:W1611)&gt;0,"NA",'batch classification'!J1617)</f>
        <v>NA</v>
      </c>
    </row>
    <row r="1612" spans="1:24" x14ac:dyDescent="0.25">
      <c r="A1612" s="45"/>
      <c r="B1612" s="46"/>
      <c r="C1612" s="46"/>
      <c r="D1612" s="46"/>
      <c r="E1612" s="46"/>
      <c r="F1612" s="46"/>
      <c r="G1612" s="46"/>
      <c r="H1612" s="46"/>
      <c r="I1612" s="46"/>
      <c r="J1612" s="46"/>
      <c r="K1612" s="46"/>
      <c r="L1612" s="46"/>
      <c r="M1612" s="46"/>
      <c r="N1612" s="46"/>
      <c r="O1612" s="46"/>
      <c r="P1612" s="46"/>
      <c r="Q1612" s="46"/>
      <c r="R1612" s="46"/>
      <c r="S1612" s="46"/>
      <c r="T1612" s="46"/>
      <c r="U1612" s="46"/>
      <c r="V1612" s="46"/>
      <c r="W1612" s="46"/>
      <c r="X1612" s="11" t="str">
        <f>IF(COUNTBLANK(B1612:W1612)&gt;0,"NA",'batch classification'!J1618)</f>
        <v>NA</v>
      </c>
    </row>
    <row r="1613" spans="1:24" x14ac:dyDescent="0.25">
      <c r="A1613" s="45"/>
      <c r="B1613" s="46"/>
      <c r="C1613" s="46"/>
      <c r="D1613" s="46"/>
      <c r="E1613" s="46"/>
      <c r="F1613" s="46"/>
      <c r="G1613" s="46"/>
      <c r="H1613" s="46"/>
      <c r="I1613" s="46"/>
      <c r="J1613" s="46"/>
      <c r="K1613" s="46"/>
      <c r="L1613" s="46"/>
      <c r="M1613" s="46"/>
      <c r="N1613" s="46"/>
      <c r="O1613" s="46"/>
      <c r="P1613" s="46"/>
      <c r="Q1613" s="46"/>
      <c r="R1613" s="46"/>
      <c r="S1613" s="46"/>
      <c r="T1613" s="46"/>
      <c r="U1613" s="46"/>
      <c r="V1613" s="46"/>
      <c r="W1613" s="46"/>
      <c r="X1613" s="11" t="str">
        <f>IF(COUNTBLANK(B1613:W1613)&gt;0,"NA",'batch classification'!J1619)</f>
        <v>NA</v>
      </c>
    </row>
    <row r="1614" spans="1:24" x14ac:dyDescent="0.25">
      <c r="A1614" s="45"/>
      <c r="B1614" s="46"/>
      <c r="C1614" s="46"/>
      <c r="D1614" s="46"/>
      <c r="E1614" s="46"/>
      <c r="F1614" s="46"/>
      <c r="G1614" s="46"/>
      <c r="H1614" s="46"/>
      <c r="I1614" s="46"/>
      <c r="J1614" s="46"/>
      <c r="K1614" s="46"/>
      <c r="L1614" s="46"/>
      <c r="M1614" s="46"/>
      <c r="N1614" s="46"/>
      <c r="O1614" s="46"/>
      <c r="P1614" s="46"/>
      <c r="Q1614" s="46"/>
      <c r="R1614" s="46"/>
      <c r="S1614" s="46"/>
      <c r="T1614" s="46"/>
      <c r="U1614" s="46"/>
      <c r="V1614" s="46"/>
      <c r="W1614" s="46"/>
      <c r="X1614" s="11" t="str">
        <f>IF(COUNTBLANK(B1614:W1614)&gt;0,"NA",'batch classification'!J1620)</f>
        <v>NA</v>
      </c>
    </row>
    <row r="1615" spans="1:24" x14ac:dyDescent="0.25">
      <c r="A1615" s="45"/>
      <c r="B1615" s="46"/>
      <c r="C1615" s="46"/>
      <c r="D1615" s="46"/>
      <c r="E1615" s="46"/>
      <c r="F1615" s="46"/>
      <c r="G1615" s="46"/>
      <c r="H1615" s="46"/>
      <c r="I1615" s="46"/>
      <c r="J1615" s="46"/>
      <c r="K1615" s="46"/>
      <c r="L1615" s="46"/>
      <c r="M1615" s="46"/>
      <c r="N1615" s="46"/>
      <c r="O1615" s="46"/>
      <c r="P1615" s="46"/>
      <c r="Q1615" s="46"/>
      <c r="R1615" s="46"/>
      <c r="S1615" s="46"/>
      <c r="T1615" s="46"/>
      <c r="U1615" s="46"/>
      <c r="V1615" s="46"/>
      <c r="W1615" s="46"/>
      <c r="X1615" s="11" t="str">
        <f>IF(COUNTBLANK(B1615:W1615)&gt;0,"NA",'batch classification'!J1621)</f>
        <v>NA</v>
      </c>
    </row>
    <row r="1616" spans="1:24" x14ac:dyDescent="0.25">
      <c r="A1616" s="45"/>
      <c r="B1616" s="46"/>
      <c r="C1616" s="46"/>
      <c r="D1616" s="46"/>
      <c r="E1616" s="46"/>
      <c r="F1616" s="46"/>
      <c r="G1616" s="46"/>
      <c r="H1616" s="46"/>
      <c r="I1616" s="46"/>
      <c r="J1616" s="46"/>
      <c r="K1616" s="46"/>
      <c r="L1616" s="46"/>
      <c r="M1616" s="46"/>
      <c r="N1616" s="46"/>
      <c r="O1616" s="46"/>
      <c r="P1616" s="46"/>
      <c r="Q1616" s="46"/>
      <c r="R1616" s="46"/>
      <c r="S1616" s="46"/>
      <c r="T1616" s="46"/>
      <c r="U1616" s="46"/>
      <c r="V1616" s="46"/>
      <c r="W1616" s="46"/>
      <c r="X1616" s="11" t="str">
        <f>IF(COUNTBLANK(B1616:W1616)&gt;0,"NA",'batch classification'!J1622)</f>
        <v>NA</v>
      </c>
    </row>
    <row r="1617" spans="1:24" x14ac:dyDescent="0.25">
      <c r="A1617" s="45"/>
      <c r="B1617" s="46"/>
      <c r="C1617" s="46"/>
      <c r="D1617" s="46"/>
      <c r="E1617" s="46"/>
      <c r="F1617" s="46"/>
      <c r="G1617" s="46"/>
      <c r="H1617" s="46"/>
      <c r="I1617" s="46"/>
      <c r="J1617" s="46"/>
      <c r="K1617" s="46"/>
      <c r="L1617" s="46"/>
      <c r="M1617" s="46"/>
      <c r="N1617" s="46"/>
      <c r="O1617" s="46"/>
      <c r="P1617" s="46"/>
      <c r="Q1617" s="46"/>
      <c r="R1617" s="46"/>
      <c r="S1617" s="46"/>
      <c r="T1617" s="46"/>
      <c r="U1617" s="46"/>
      <c r="V1617" s="46"/>
      <c r="W1617" s="46"/>
      <c r="X1617" s="11" t="str">
        <f>IF(COUNTBLANK(B1617:W1617)&gt;0,"NA",'batch classification'!J1623)</f>
        <v>NA</v>
      </c>
    </row>
    <row r="1618" spans="1:24" x14ac:dyDescent="0.25">
      <c r="A1618" s="45"/>
      <c r="B1618" s="46"/>
      <c r="C1618" s="46"/>
      <c r="D1618" s="46"/>
      <c r="E1618" s="46"/>
      <c r="F1618" s="46"/>
      <c r="G1618" s="46"/>
      <c r="H1618" s="46"/>
      <c r="I1618" s="46"/>
      <c r="J1618" s="46"/>
      <c r="K1618" s="46"/>
      <c r="L1618" s="46"/>
      <c r="M1618" s="46"/>
      <c r="N1618" s="46"/>
      <c r="O1618" s="46"/>
      <c r="P1618" s="46"/>
      <c r="Q1618" s="46"/>
      <c r="R1618" s="46"/>
      <c r="S1618" s="46"/>
      <c r="T1618" s="46"/>
      <c r="U1618" s="46"/>
      <c r="V1618" s="46"/>
      <c r="W1618" s="46"/>
      <c r="X1618" s="11" t="str">
        <f>IF(COUNTBLANK(B1618:W1618)&gt;0,"NA",'batch classification'!J1624)</f>
        <v>NA</v>
      </c>
    </row>
    <row r="1619" spans="1:24" x14ac:dyDescent="0.25">
      <c r="A1619" s="45"/>
      <c r="B1619" s="46"/>
      <c r="C1619" s="46"/>
      <c r="D1619" s="46"/>
      <c r="E1619" s="46"/>
      <c r="F1619" s="46"/>
      <c r="G1619" s="46"/>
      <c r="H1619" s="46"/>
      <c r="I1619" s="46"/>
      <c r="J1619" s="46"/>
      <c r="K1619" s="46"/>
      <c r="L1619" s="46"/>
      <c r="M1619" s="46"/>
      <c r="N1619" s="46"/>
      <c r="O1619" s="46"/>
      <c r="P1619" s="46"/>
      <c r="Q1619" s="46"/>
      <c r="R1619" s="46"/>
      <c r="S1619" s="46"/>
      <c r="T1619" s="46"/>
      <c r="U1619" s="46"/>
      <c r="V1619" s="46"/>
      <c r="W1619" s="46"/>
      <c r="X1619" s="11" t="str">
        <f>IF(COUNTBLANK(B1619:W1619)&gt;0,"NA",'batch classification'!J1625)</f>
        <v>NA</v>
      </c>
    </row>
    <row r="1620" spans="1:24" x14ac:dyDescent="0.25">
      <c r="A1620" s="45"/>
      <c r="B1620" s="46"/>
      <c r="C1620" s="46"/>
      <c r="D1620" s="46"/>
      <c r="E1620" s="46"/>
      <c r="F1620" s="46"/>
      <c r="G1620" s="46"/>
      <c r="H1620" s="46"/>
      <c r="I1620" s="46"/>
      <c r="J1620" s="46"/>
      <c r="K1620" s="46"/>
      <c r="L1620" s="46"/>
      <c r="M1620" s="46"/>
      <c r="N1620" s="46"/>
      <c r="O1620" s="46"/>
      <c r="P1620" s="46"/>
      <c r="Q1620" s="46"/>
      <c r="R1620" s="46"/>
      <c r="S1620" s="46"/>
      <c r="T1620" s="46"/>
      <c r="U1620" s="46"/>
      <c r="V1620" s="46"/>
      <c r="W1620" s="46"/>
      <c r="X1620" s="11" t="str">
        <f>IF(COUNTBLANK(B1620:W1620)&gt;0,"NA",'batch classification'!J1626)</f>
        <v>NA</v>
      </c>
    </row>
    <row r="1621" spans="1:24" x14ac:dyDescent="0.25">
      <c r="A1621" s="45"/>
      <c r="B1621" s="46"/>
      <c r="C1621" s="46"/>
      <c r="D1621" s="46"/>
      <c r="E1621" s="46"/>
      <c r="F1621" s="46"/>
      <c r="G1621" s="46"/>
      <c r="H1621" s="46"/>
      <c r="I1621" s="46"/>
      <c r="J1621" s="46"/>
      <c r="K1621" s="46"/>
      <c r="L1621" s="46"/>
      <c r="M1621" s="46"/>
      <c r="N1621" s="46"/>
      <c r="O1621" s="46"/>
      <c r="P1621" s="46"/>
      <c r="Q1621" s="46"/>
      <c r="R1621" s="46"/>
      <c r="S1621" s="46"/>
      <c r="T1621" s="46"/>
      <c r="U1621" s="46"/>
      <c r="V1621" s="46"/>
      <c r="W1621" s="46"/>
      <c r="X1621" s="11" t="str">
        <f>IF(COUNTBLANK(B1621:W1621)&gt;0,"NA",'batch classification'!J1627)</f>
        <v>NA</v>
      </c>
    </row>
    <row r="1622" spans="1:24" x14ac:dyDescent="0.25">
      <c r="A1622" s="45"/>
      <c r="B1622" s="46"/>
      <c r="C1622" s="46"/>
      <c r="D1622" s="46"/>
      <c r="E1622" s="46"/>
      <c r="F1622" s="46"/>
      <c r="G1622" s="46"/>
      <c r="H1622" s="46"/>
      <c r="I1622" s="46"/>
      <c r="J1622" s="46"/>
      <c r="K1622" s="46"/>
      <c r="L1622" s="46"/>
      <c r="M1622" s="46"/>
      <c r="N1622" s="46"/>
      <c r="O1622" s="46"/>
      <c r="P1622" s="46"/>
      <c r="Q1622" s="46"/>
      <c r="R1622" s="46"/>
      <c r="S1622" s="46"/>
      <c r="T1622" s="46"/>
      <c r="U1622" s="46"/>
      <c r="V1622" s="46"/>
      <c r="W1622" s="46"/>
      <c r="X1622" s="11" t="str">
        <f>IF(COUNTBLANK(B1622:W1622)&gt;0,"NA",'batch classification'!J1628)</f>
        <v>NA</v>
      </c>
    </row>
    <row r="1623" spans="1:24" x14ac:dyDescent="0.25">
      <c r="A1623" s="45"/>
      <c r="B1623" s="46"/>
      <c r="C1623" s="46"/>
      <c r="D1623" s="46"/>
      <c r="E1623" s="46"/>
      <c r="F1623" s="46"/>
      <c r="G1623" s="46"/>
      <c r="H1623" s="46"/>
      <c r="I1623" s="46"/>
      <c r="J1623" s="46"/>
      <c r="K1623" s="46"/>
      <c r="L1623" s="46"/>
      <c r="M1623" s="46"/>
      <c r="N1623" s="46"/>
      <c r="O1623" s="46"/>
      <c r="P1623" s="46"/>
      <c r="Q1623" s="46"/>
      <c r="R1623" s="46"/>
      <c r="S1623" s="46"/>
      <c r="T1623" s="46"/>
      <c r="U1623" s="46"/>
      <c r="V1623" s="46"/>
      <c r="W1623" s="46"/>
      <c r="X1623" s="11" t="str">
        <f>IF(COUNTBLANK(B1623:W1623)&gt;0,"NA",'batch classification'!J1629)</f>
        <v>NA</v>
      </c>
    </row>
    <row r="1624" spans="1:24" x14ac:dyDescent="0.25">
      <c r="A1624" s="45"/>
      <c r="B1624" s="46"/>
      <c r="C1624" s="46"/>
      <c r="D1624" s="46"/>
      <c r="E1624" s="46"/>
      <c r="F1624" s="46"/>
      <c r="G1624" s="46"/>
      <c r="H1624" s="46"/>
      <c r="I1624" s="46"/>
      <c r="J1624" s="46"/>
      <c r="K1624" s="46"/>
      <c r="L1624" s="46"/>
      <c r="M1624" s="46"/>
      <c r="N1624" s="46"/>
      <c r="O1624" s="46"/>
      <c r="P1624" s="46"/>
      <c r="Q1624" s="46"/>
      <c r="R1624" s="46"/>
      <c r="S1624" s="46"/>
      <c r="T1624" s="46"/>
      <c r="U1624" s="46"/>
      <c r="V1624" s="46"/>
      <c r="W1624" s="46"/>
      <c r="X1624" s="11" t="str">
        <f>IF(COUNTBLANK(B1624:W1624)&gt;0,"NA",'batch classification'!J1630)</f>
        <v>NA</v>
      </c>
    </row>
    <row r="1625" spans="1:24" x14ac:dyDescent="0.25">
      <c r="A1625" s="45"/>
      <c r="B1625" s="46"/>
      <c r="C1625" s="46"/>
      <c r="D1625" s="46"/>
      <c r="E1625" s="46"/>
      <c r="F1625" s="46"/>
      <c r="G1625" s="46"/>
      <c r="H1625" s="46"/>
      <c r="I1625" s="46"/>
      <c r="J1625" s="46"/>
      <c r="K1625" s="46"/>
      <c r="L1625" s="46"/>
      <c r="M1625" s="46"/>
      <c r="N1625" s="46"/>
      <c r="O1625" s="46"/>
      <c r="P1625" s="46"/>
      <c r="Q1625" s="46"/>
      <c r="R1625" s="46"/>
      <c r="S1625" s="46"/>
      <c r="T1625" s="46"/>
      <c r="U1625" s="46"/>
      <c r="V1625" s="46"/>
      <c r="W1625" s="46"/>
      <c r="X1625" s="11" t="str">
        <f>IF(COUNTBLANK(B1625:W1625)&gt;0,"NA",'batch classification'!J1631)</f>
        <v>NA</v>
      </c>
    </row>
    <row r="1626" spans="1:24" x14ac:dyDescent="0.25">
      <c r="A1626" s="45"/>
      <c r="B1626" s="46"/>
      <c r="C1626" s="46"/>
      <c r="D1626" s="46"/>
      <c r="E1626" s="46"/>
      <c r="F1626" s="46"/>
      <c r="G1626" s="46"/>
      <c r="H1626" s="46"/>
      <c r="I1626" s="46"/>
      <c r="J1626" s="46"/>
      <c r="K1626" s="46"/>
      <c r="L1626" s="46"/>
      <c r="M1626" s="46"/>
      <c r="N1626" s="46"/>
      <c r="O1626" s="46"/>
      <c r="P1626" s="46"/>
      <c r="Q1626" s="46"/>
      <c r="R1626" s="46"/>
      <c r="S1626" s="46"/>
      <c r="T1626" s="46"/>
      <c r="U1626" s="46"/>
      <c r="V1626" s="46"/>
      <c r="W1626" s="46"/>
      <c r="X1626" s="11" t="str">
        <f>IF(COUNTBLANK(B1626:W1626)&gt;0,"NA",'batch classification'!J1632)</f>
        <v>NA</v>
      </c>
    </row>
    <row r="1627" spans="1:24" x14ac:dyDescent="0.25">
      <c r="A1627" s="45"/>
      <c r="B1627" s="46"/>
      <c r="C1627" s="46"/>
      <c r="D1627" s="46"/>
      <c r="E1627" s="46"/>
      <c r="F1627" s="46"/>
      <c r="G1627" s="46"/>
      <c r="H1627" s="46"/>
      <c r="I1627" s="46"/>
      <c r="J1627" s="46"/>
      <c r="K1627" s="46"/>
      <c r="L1627" s="46"/>
      <c r="M1627" s="46"/>
      <c r="N1627" s="46"/>
      <c r="O1627" s="46"/>
      <c r="P1627" s="46"/>
      <c r="Q1627" s="46"/>
      <c r="R1627" s="46"/>
      <c r="S1627" s="46"/>
      <c r="T1627" s="46"/>
      <c r="U1627" s="46"/>
      <c r="V1627" s="46"/>
      <c r="W1627" s="46"/>
      <c r="X1627" s="11" t="str">
        <f>IF(COUNTBLANK(B1627:W1627)&gt;0,"NA",'batch classification'!J1633)</f>
        <v>NA</v>
      </c>
    </row>
    <row r="1628" spans="1:24" x14ac:dyDescent="0.25">
      <c r="A1628" s="45"/>
      <c r="B1628" s="46"/>
      <c r="C1628" s="46"/>
      <c r="D1628" s="46"/>
      <c r="E1628" s="46"/>
      <c r="F1628" s="46"/>
      <c r="G1628" s="46"/>
      <c r="H1628" s="46"/>
      <c r="I1628" s="46"/>
      <c r="J1628" s="46"/>
      <c r="K1628" s="46"/>
      <c r="L1628" s="46"/>
      <c r="M1628" s="46"/>
      <c r="N1628" s="46"/>
      <c r="O1628" s="46"/>
      <c r="P1628" s="46"/>
      <c r="Q1628" s="46"/>
      <c r="R1628" s="46"/>
      <c r="S1628" s="46"/>
      <c r="T1628" s="46"/>
      <c r="U1628" s="46"/>
      <c r="V1628" s="46"/>
      <c r="W1628" s="46"/>
      <c r="X1628" s="11" t="str">
        <f>IF(COUNTBLANK(B1628:W1628)&gt;0,"NA",'batch classification'!J1634)</f>
        <v>NA</v>
      </c>
    </row>
    <row r="1629" spans="1:24" x14ac:dyDescent="0.25">
      <c r="A1629" s="45"/>
      <c r="B1629" s="46"/>
      <c r="C1629" s="46"/>
      <c r="D1629" s="46"/>
      <c r="E1629" s="46"/>
      <c r="F1629" s="46"/>
      <c r="G1629" s="46"/>
      <c r="H1629" s="46"/>
      <c r="I1629" s="46"/>
      <c r="J1629" s="46"/>
      <c r="K1629" s="46"/>
      <c r="L1629" s="46"/>
      <c r="M1629" s="46"/>
      <c r="N1629" s="46"/>
      <c r="O1629" s="46"/>
      <c r="P1629" s="46"/>
      <c r="Q1629" s="46"/>
      <c r="R1629" s="46"/>
      <c r="S1629" s="46"/>
      <c r="T1629" s="46"/>
      <c r="U1629" s="46"/>
      <c r="V1629" s="46"/>
      <c r="W1629" s="46"/>
      <c r="X1629" s="11" t="str">
        <f>IF(COUNTBLANK(B1629:W1629)&gt;0,"NA",'batch classification'!J1635)</f>
        <v>NA</v>
      </c>
    </row>
    <row r="1630" spans="1:24" x14ac:dyDescent="0.25">
      <c r="A1630" s="45"/>
      <c r="B1630" s="46"/>
      <c r="C1630" s="46"/>
      <c r="D1630" s="46"/>
      <c r="E1630" s="46"/>
      <c r="F1630" s="46"/>
      <c r="G1630" s="46"/>
      <c r="H1630" s="46"/>
      <c r="I1630" s="46"/>
      <c r="J1630" s="46"/>
      <c r="K1630" s="46"/>
      <c r="L1630" s="46"/>
      <c r="M1630" s="46"/>
      <c r="N1630" s="46"/>
      <c r="O1630" s="46"/>
      <c r="P1630" s="46"/>
      <c r="Q1630" s="46"/>
      <c r="R1630" s="46"/>
      <c r="S1630" s="46"/>
      <c r="T1630" s="46"/>
      <c r="U1630" s="46"/>
      <c r="V1630" s="46"/>
      <c r="W1630" s="46"/>
      <c r="X1630" s="11" t="str">
        <f>IF(COUNTBLANK(B1630:W1630)&gt;0,"NA",'batch classification'!J1636)</f>
        <v>NA</v>
      </c>
    </row>
    <row r="1631" spans="1:24" x14ac:dyDescent="0.25">
      <c r="A1631" s="45"/>
      <c r="B1631" s="46"/>
      <c r="C1631" s="46"/>
      <c r="D1631" s="46"/>
      <c r="E1631" s="46"/>
      <c r="F1631" s="46"/>
      <c r="G1631" s="46"/>
      <c r="H1631" s="46"/>
      <c r="I1631" s="46"/>
      <c r="J1631" s="46"/>
      <c r="K1631" s="46"/>
      <c r="L1631" s="46"/>
      <c r="M1631" s="46"/>
      <c r="N1631" s="46"/>
      <c r="O1631" s="46"/>
      <c r="P1631" s="46"/>
      <c r="Q1631" s="46"/>
      <c r="R1631" s="46"/>
      <c r="S1631" s="46"/>
      <c r="T1631" s="46"/>
      <c r="U1631" s="46"/>
      <c r="V1631" s="46"/>
      <c r="W1631" s="46"/>
      <c r="X1631" s="11" t="str">
        <f>IF(COUNTBLANK(B1631:W1631)&gt;0,"NA",'batch classification'!J1637)</f>
        <v>NA</v>
      </c>
    </row>
    <row r="1632" spans="1:24" x14ac:dyDescent="0.25">
      <c r="A1632" s="45"/>
      <c r="B1632" s="46"/>
      <c r="C1632" s="46"/>
      <c r="D1632" s="46"/>
      <c r="E1632" s="46"/>
      <c r="F1632" s="46"/>
      <c r="G1632" s="46"/>
      <c r="H1632" s="46"/>
      <c r="I1632" s="46"/>
      <c r="J1632" s="46"/>
      <c r="K1632" s="46"/>
      <c r="L1632" s="46"/>
      <c r="M1632" s="46"/>
      <c r="N1632" s="46"/>
      <c r="O1632" s="46"/>
      <c r="P1632" s="46"/>
      <c r="Q1632" s="46"/>
      <c r="R1632" s="46"/>
      <c r="S1632" s="46"/>
      <c r="T1632" s="46"/>
      <c r="U1632" s="46"/>
      <c r="V1632" s="46"/>
      <c r="W1632" s="46"/>
      <c r="X1632" s="11" t="str">
        <f>IF(COUNTBLANK(B1632:W1632)&gt;0,"NA",'batch classification'!J1638)</f>
        <v>NA</v>
      </c>
    </row>
    <row r="1633" spans="1:24" x14ac:dyDescent="0.25">
      <c r="A1633" s="45"/>
      <c r="B1633" s="46"/>
      <c r="C1633" s="46"/>
      <c r="D1633" s="46"/>
      <c r="E1633" s="46"/>
      <c r="F1633" s="46"/>
      <c r="G1633" s="46"/>
      <c r="H1633" s="46"/>
      <c r="I1633" s="46"/>
      <c r="J1633" s="46"/>
      <c r="K1633" s="46"/>
      <c r="L1633" s="46"/>
      <c r="M1633" s="46"/>
      <c r="N1633" s="46"/>
      <c r="O1633" s="46"/>
      <c r="P1633" s="46"/>
      <c r="Q1633" s="46"/>
      <c r="R1633" s="46"/>
      <c r="S1633" s="46"/>
      <c r="T1633" s="46"/>
      <c r="U1633" s="46"/>
      <c r="V1633" s="46"/>
      <c r="W1633" s="46"/>
      <c r="X1633" s="11" t="str">
        <f>IF(COUNTBLANK(B1633:W1633)&gt;0,"NA",'batch classification'!J1639)</f>
        <v>NA</v>
      </c>
    </row>
    <row r="1634" spans="1:24" x14ac:dyDescent="0.25">
      <c r="A1634" s="45"/>
      <c r="B1634" s="46"/>
      <c r="C1634" s="46"/>
      <c r="D1634" s="46"/>
      <c r="E1634" s="46"/>
      <c r="F1634" s="46"/>
      <c r="G1634" s="46"/>
      <c r="H1634" s="46"/>
      <c r="I1634" s="46"/>
      <c r="J1634" s="46"/>
      <c r="K1634" s="46"/>
      <c r="L1634" s="46"/>
      <c r="M1634" s="46"/>
      <c r="N1634" s="46"/>
      <c r="O1634" s="46"/>
      <c r="P1634" s="46"/>
      <c r="Q1634" s="46"/>
      <c r="R1634" s="46"/>
      <c r="S1634" s="46"/>
      <c r="T1634" s="46"/>
      <c r="U1634" s="46"/>
      <c r="V1634" s="46"/>
      <c r="W1634" s="46"/>
      <c r="X1634" s="11" t="str">
        <f>IF(COUNTBLANK(B1634:W1634)&gt;0,"NA",'batch classification'!J1640)</f>
        <v>NA</v>
      </c>
    </row>
    <row r="1635" spans="1:24" x14ac:dyDescent="0.25">
      <c r="A1635" s="45"/>
      <c r="B1635" s="46"/>
      <c r="C1635" s="46"/>
      <c r="D1635" s="46"/>
      <c r="E1635" s="46"/>
      <c r="F1635" s="46"/>
      <c r="G1635" s="46"/>
      <c r="H1635" s="46"/>
      <c r="I1635" s="46"/>
      <c r="J1635" s="46"/>
      <c r="K1635" s="46"/>
      <c r="L1635" s="46"/>
      <c r="M1635" s="46"/>
      <c r="N1635" s="46"/>
      <c r="O1635" s="46"/>
      <c r="P1635" s="46"/>
      <c r="Q1635" s="46"/>
      <c r="R1635" s="46"/>
      <c r="S1635" s="46"/>
      <c r="T1635" s="46"/>
      <c r="U1635" s="46"/>
      <c r="V1635" s="46"/>
      <c r="W1635" s="46"/>
      <c r="X1635" s="11" t="str">
        <f>IF(COUNTBLANK(B1635:W1635)&gt;0,"NA",'batch classification'!J1641)</f>
        <v>NA</v>
      </c>
    </row>
    <row r="1636" spans="1:24" x14ac:dyDescent="0.25">
      <c r="A1636" s="45"/>
      <c r="B1636" s="46"/>
      <c r="C1636" s="46"/>
      <c r="D1636" s="46"/>
      <c r="E1636" s="46"/>
      <c r="F1636" s="46"/>
      <c r="G1636" s="46"/>
      <c r="H1636" s="46"/>
      <c r="I1636" s="46"/>
      <c r="J1636" s="46"/>
      <c r="K1636" s="46"/>
      <c r="L1636" s="46"/>
      <c r="M1636" s="46"/>
      <c r="N1636" s="46"/>
      <c r="O1636" s="46"/>
      <c r="P1636" s="46"/>
      <c r="Q1636" s="46"/>
      <c r="R1636" s="46"/>
      <c r="S1636" s="46"/>
      <c r="T1636" s="46"/>
      <c r="U1636" s="46"/>
      <c r="V1636" s="46"/>
      <c r="W1636" s="46"/>
      <c r="X1636" s="11" t="str">
        <f>IF(COUNTBLANK(B1636:W1636)&gt;0,"NA",'batch classification'!J1642)</f>
        <v>NA</v>
      </c>
    </row>
    <row r="1637" spans="1:24" x14ac:dyDescent="0.25">
      <c r="A1637" s="45"/>
      <c r="B1637" s="46"/>
      <c r="C1637" s="46"/>
      <c r="D1637" s="46"/>
      <c r="E1637" s="46"/>
      <c r="F1637" s="46"/>
      <c r="G1637" s="46"/>
      <c r="H1637" s="46"/>
      <c r="I1637" s="46"/>
      <c r="J1637" s="46"/>
      <c r="K1637" s="46"/>
      <c r="L1637" s="46"/>
      <c r="M1637" s="46"/>
      <c r="N1637" s="46"/>
      <c r="O1637" s="46"/>
      <c r="P1637" s="46"/>
      <c r="Q1637" s="46"/>
      <c r="R1637" s="46"/>
      <c r="S1637" s="46"/>
      <c r="T1637" s="46"/>
      <c r="U1637" s="46"/>
      <c r="V1637" s="46"/>
      <c r="W1637" s="46"/>
      <c r="X1637" s="11" t="str">
        <f>IF(COUNTBLANK(B1637:W1637)&gt;0,"NA",'batch classification'!J1643)</f>
        <v>NA</v>
      </c>
    </row>
    <row r="1638" spans="1:24" x14ac:dyDescent="0.25">
      <c r="A1638" s="45"/>
      <c r="B1638" s="46"/>
      <c r="C1638" s="46"/>
      <c r="D1638" s="46"/>
      <c r="E1638" s="46"/>
      <c r="F1638" s="46"/>
      <c r="G1638" s="46"/>
      <c r="H1638" s="46"/>
      <c r="I1638" s="46"/>
      <c r="J1638" s="46"/>
      <c r="K1638" s="46"/>
      <c r="L1638" s="46"/>
      <c r="M1638" s="46"/>
      <c r="N1638" s="46"/>
      <c r="O1638" s="46"/>
      <c r="P1638" s="46"/>
      <c r="Q1638" s="46"/>
      <c r="R1638" s="46"/>
      <c r="S1638" s="46"/>
      <c r="T1638" s="46"/>
      <c r="U1638" s="46"/>
      <c r="V1638" s="46"/>
      <c r="W1638" s="46"/>
      <c r="X1638" s="11" t="str">
        <f>IF(COUNTBLANK(B1638:W1638)&gt;0,"NA",'batch classification'!J1644)</f>
        <v>NA</v>
      </c>
    </row>
    <row r="1639" spans="1:24" x14ac:dyDescent="0.25">
      <c r="A1639" s="45"/>
      <c r="B1639" s="46"/>
      <c r="C1639" s="46"/>
      <c r="D1639" s="46"/>
      <c r="E1639" s="46"/>
      <c r="F1639" s="46"/>
      <c r="G1639" s="46"/>
      <c r="H1639" s="46"/>
      <c r="I1639" s="46"/>
      <c r="J1639" s="46"/>
      <c r="K1639" s="46"/>
      <c r="L1639" s="46"/>
      <c r="M1639" s="46"/>
      <c r="N1639" s="46"/>
      <c r="O1639" s="46"/>
      <c r="P1639" s="46"/>
      <c r="Q1639" s="46"/>
      <c r="R1639" s="46"/>
      <c r="S1639" s="46"/>
      <c r="T1639" s="46"/>
      <c r="U1639" s="46"/>
      <c r="V1639" s="46"/>
      <c r="W1639" s="46"/>
      <c r="X1639" s="11" t="str">
        <f>IF(COUNTBLANK(B1639:W1639)&gt;0,"NA",'batch classification'!J1645)</f>
        <v>NA</v>
      </c>
    </row>
    <row r="1640" spans="1:24" x14ac:dyDescent="0.25">
      <c r="A1640" s="45"/>
      <c r="B1640" s="46"/>
      <c r="C1640" s="46"/>
      <c r="D1640" s="46"/>
      <c r="E1640" s="46"/>
      <c r="F1640" s="46"/>
      <c r="G1640" s="46"/>
      <c r="H1640" s="46"/>
      <c r="I1640" s="46"/>
      <c r="J1640" s="46"/>
      <c r="K1640" s="46"/>
      <c r="L1640" s="46"/>
      <c r="M1640" s="46"/>
      <c r="N1640" s="46"/>
      <c r="O1640" s="46"/>
      <c r="P1640" s="46"/>
      <c r="Q1640" s="46"/>
      <c r="R1640" s="46"/>
      <c r="S1640" s="46"/>
      <c r="T1640" s="46"/>
      <c r="U1640" s="46"/>
      <c r="V1640" s="46"/>
      <c r="W1640" s="46"/>
      <c r="X1640" s="11" t="str">
        <f>IF(COUNTBLANK(B1640:W1640)&gt;0,"NA",'batch classification'!J1646)</f>
        <v>NA</v>
      </c>
    </row>
    <row r="1641" spans="1:24" x14ac:dyDescent="0.25">
      <c r="A1641" s="45"/>
      <c r="B1641" s="46"/>
      <c r="C1641" s="46"/>
      <c r="D1641" s="46"/>
      <c r="E1641" s="46"/>
      <c r="F1641" s="46"/>
      <c r="G1641" s="46"/>
      <c r="H1641" s="46"/>
      <c r="I1641" s="46"/>
      <c r="J1641" s="46"/>
      <c r="K1641" s="46"/>
      <c r="L1641" s="46"/>
      <c r="M1641" s="46"/>
      <c r="N1641" s="46"/>
      <c r="O1641" s="46"/>
      <c r="P1641" s="46"/>
      <c r="Q1641" s="46"/>
      <c r="R1641" s="46"/>
      <c r="S1641" s="46"/>
      <c r="T1641" s="46"/>
      <c r="U1641" s="46"/>
      <c r="V1641" s="46"/>
      <c r="W1641" s="46"/>
      <c r="X1641" s="11" t="str">
        <f>IF(COUNTBLANK(B1641:W1641)&gt;0,"NA",'batch classification'!J1647)</f>
        <v>NA</v>
      </c>
    </row>
    <row r="1642" spans="1:24" x14ac:dyDescent="0.25">
      <c r="A1642" s="45"/>
      <c r="B1642" s="46"/>
      <c r="C1642" s="46"/>
      <c r="D1642" s="46"/>
      <c r="E1642" s="46"/>
      <c r="F1642" s="46"/>
      <c r="G1642" s="46"/>
      <c r="H1642" s="46"/>
      <c r="I1642" s="46"/>
      <c r="J1642" s="46"/>
      <c r="K1642" s="46"/>
      <c r="L1642" s="46"/>
      <c r="M1642" s="46"/>
      <c r="N1642" s="46"/>
      <c r="O1642" s="46"/>
      <c r="P1642" s="46"/>
      <c r="Q1642" s="46"/>
      <c r="R1642" s="46"/>
      <c r="S1642" s="46"/>
      <c r="T1642" s="46"/>
      <c r="U1642" s="46"/>
      <c r="V1642" s="46"/>
      <c r="W1642" s="46"/>
      <c r="X1642" s="11" t="str">
        <f>IF(COUNTBLANK(B1642:W1642)&gt;0,"NA",'batch classification'!J1648)</f>
        <v>NA</v>
      </c>
    </row>
    <row r="1643" spans="1:24" x14ac:dyDescent="0.25">
      <c r="A1643" s="45"/>
      <c r="B1643" s="46"/>
      <c r="C1643" s="46"/>
      <c r="D1643" s="46"/>
      <c r="E1643" s="46"/>
      <c r="F1643" s="46"/>
      <c r="G1643" s="46"/>
      <c r="H1643" s="46"/>
      <c r="I1643" s="46"/>
      <c r="J1643" s="46"/>
      <c r="K1643" s="46"/>
      <c r="L1643" s="46"/>
      <c r="M1643" s="46"/>
      <c r="N1643" s="46"/>
      <c r="O1643" s="46"/>
      <c r="P1643" s="46"/>
      <c r="Q1643" s="46"/>
      <c r="R1643" s="46"/>
      <c r="S1643" s="46"/>
      <c r="T1643" s="46"/>
      <c r="U1643" s="46"/>
      <c r="V1643" s="46"/>
      <c r="W1643" s="46"/>
      <c r="X1643" s="11" t="str">
        <f>IF(COUNTBLANK(B1643:W1643)&gt;0,"NA",'batch classification'!J1649)</f>
        <v>NA</v>
      </c>
    </row>
    <row r="1644" spans="1:24" x14ac:dyDescent="0.25">
      <c r="A1644" s="45"/>
      <c r="B1644" s="46"/>
      <c r="C1644" s="46"/>
      <c r="D1644" s="46"/>
      <c r="E1644" s="46"/>
      <c r="F1644" s="46"/>
      <c r="G1644" s="46"/>
      <c r="H1644" s="46"/>
      <c r="I1644" s="46"/>
      <c r="J1644" s="46"/>
      <c r="K1644" s="46"/>
      <c r="L1644" s="46"/>
      <c r="M1644" s="46"/>
      <c r="N1644" s="46"/>
      <c r="O1644" s="46"/>
      <c r="P1644" s="46"/>
      <c r="Q1644" s="46"/>
      <c r="R1644" s="46"/>
      <c r="S1644" s="46"/>
      <c r="T1644" s="46"/>
      <c r="U1644" s="46"/>
      <c r="V1644" s="46"/>
      <c r="W1644" s="46"/>
      <c r="X1644" s="11" t="str">
        <f>IF(COUNTBLANK(B1644:W1644)&gt;0,"NA",'batch classification'!J1650)</f>
        <v>NA</v>
      </c>
    </row>
    <row r="1645" spans="1:24" x14ac:dyDescent="0.25">
      <c r="A1645" s="45"/>
      <c r="B1645" s="46"/>
      <c r="C1645" s="46"/>
      <c r="D1645" s="46"/>
      <c r="E1645" s="46"/>
      <c r="F1645" s="46"/>
      <c r="G1645" s="46"/>
      <c r="H1645" s="46"/>
      <c r="I1645" s="46"/>
      <c r="J1645" s="46"/>
      <c r="K1645" s="46"/>
      <c r="L1645" s="46"/>
      <c r="M1645" s="46"/>
      <c r="N1645" s="46"/>
      <c r="O1645" s="46"/>
      <c r="P1645" s="46"/>
      <c r="Q1645" s="46"/>
      <c r="R1645" s="46"/>
      <c r="S1645" s="46"/>
      <c r="T1645" s="46"/>
      <c r="U1645" s="46"/>
      <c r="V1645" s="46"/>
      <c r="W1645" s="46"/>
      <c r="X1645" s="11" t="str">
        <f>IF(COUNTBLANK(B1645:W1645)&gt;0,"NA",'batch classification'!J1651)</f>
        <v>NA</v>
      </c>
    </row>
    <row r="1646" spans="1:24" x14ac:dyDescent="0.25">
      <c r="A1646" s="45"/>
      <c r="B1646" s="46"/>
      <c r="C1646" s="46"/>
      <c r="D1646" s="46"/>
      <c r="E1646" s="46"/>
      <c r="F1646" s="46"/>
      <c r="G1646" s="46"/>
      <c r="H1646" s="46"/>
      <c r="I1646" s="46"/>
      <c r="J1646" s="46"/>
      <c r="K1646" s="46"/>
      <c r="L1646" s="46"/>
      <c r="M1646" s="46"/>
      <c r="N1646" s="46"/>
      <c r="O1646" s="46"/>
      <c r="P1646" s="46"/>
      <c r="Q1646" s="46"/>
      <c r="R1646" s="46"/>
      <c r="S1646" s="46"/>
      <c r="T1646" s="46"/>
      <c r="U1646" s="46"/>
      <c r="V1646" s="46"/>
      <c r="W1646" s="46"/>
      <c r="X1646" s="11" t="str">
        <f>IF(COUNTBLANK(B1646:W1646)&gt;0,"NA",'batch classification'!J1652)</f>
        <v>NA</v>
      </c>
    </row>
    <row r="1647" spans="1:24" x14ac:dyDescent="0.25">
      <c r="A1647" s="45"/>
      <c r="B1647" s="46"/>
      <c r="C1647" s="46"/>
      <c r="D1647" s="46"/>
      <c r="E1647" s="46"/>
      <c r="F1647" s="46"/>
      <c r="G1647" s="46"/>
      <c r="H1647" s="46"/>
      <c r="I1647" s="46"/>
      <c r="J1647" s="46"/>
      <c r="K1647" s="46"/>
      <c r="L1647" s="46"/>
      <c r="M1647" s="46"/>
      <c r="N1647" s="46"/>
      <c r="O1647" s="46"/>
      <c r="P1647" s="46"/>
      <c r="Q1647" s="46"/>
      <c r="R1647" s="46"/>
      <c r="S1647" s="46"/>
      <c r="T1647" s="46"/>
      <c r="U1647" s="46"/>
      <c r="V1647" s="46"/>
      <c r="W1647" s="46"/>
      <c r="X1647" s="11" t="str">
        <f>IF(COUNTBLANK(B1647:W1647)&gt;0,"NA",'batch classification'!J1653)</f>
        <v>NA</v>
      </c>
    </row>
    <row r="1648" spans="1:24" x14ac:dyDescent="0.25">
      <c r="A1648" s="45"/>
      <c r="B1648" s="46"/>
      <c r="C1648" s="46"/>
      <c r="D1648" s="46"/>
      <c r="E1648" s="46"/>
      <c r="F1648" s="46"/>
      <c r="G1648" s="46"/>
      <c r="H1648" s="46"/>
      <c r="I1648" s="46"/>
      <c r="J1648" s="46"/>
      <c r="K1648" s="46"/>
      <c r="L1648" s="46"/>
      <c r="M1648" s="46"/>
      <c r="N1648" s="46"/>
      <c r="O1648" s="46"/>
      <c r="P1648" s="46"/>
      <c r="Q1648" s="46"/>
      <c r="R1648" s="46"/>
      <c r="S1648" s="46"/>
      <c r="T1648" s="46"/>
      <c r="U1648" s="46"/>
      <c r="V1648" s="46"/>
      <c r="W1648" s="46"/>
      <c r="X1648" s="11" t="str">
        <f>IF(COUNTBLANK(B1648:W1648)&gt;0,"NA",'batch classification'!J1654)</f>
        <v>NA</v>
      </c>
    </row>
    <row r="1649" spans="1:24" x14ac:dyDescent="0.25">
      <c r="A1649" s="45"/>
      <c r="B1649" s="46"/>
      <c r="C1649" s="46"/>
      <c r="D1649" s="46"/>
      <c r="E1649" s="46"/>
      <c r="F1649" s="46"/>
      <c r="G1649" s="46"/>
      <c r="H1649" s="46"/>
      <c r="I1649" s="46"/>
      <c r="J1649" s="46"/>
      <c r="K1649" s="46"/>
      <c r="L1649" s="46"/>
      <c r="M1649" s="46"/>
      <c r="N1649" s="46"/>
      <c r="O1649" s="46"/>
      <c r="P1649" s="46"/>
      <c r="Q1649" s="46"/>
      <c r="R1649" s="46"/>
      <c r="S1649" s="46"/>
      <c r="T1649" s="46"/>
      <c r="U1649" s="46"/>
      <c r="V1649" s="46"/>
      <c r="W1649" s="46"/>
      <c r="X1649" s="11" t="str">
        <f>IF(COUNTBLANK(B1649:W1649)&gt;0,"NA",'batch classification'!J1655)</f>
        <v>NA</v>
      </c>
    </row>
    <row r="1650" spans="1:24" x14ac:dyDescent="0.25">
      <c r="A1650" s="45"/>
      <c r="B1650" s="46"/>
      <c r="C1650" s="46"/>
      <c r="D1650" s="46"/>
      <c r="E1650" s="46"/>
      <c r="F1650" s="46"/>
      <c r="G1650" s="46"/>
      <c r="H1650" s="46"/>
      <c r="I1650" s="46"/>
      <c r="J1650" s="46"/>
      <c r="K1650" s="46"/>
      <c r="L1650" s="46"/>
      <c r="M1650" s="46"/>
      <c r="N1650" s="46"/>
      <c r="O1650" s="46"/>
      <c r="P1650" s="46"/>
      <c r="Q1650" s="46"/>
      <c r="R1650" s="46"/>
      <c r="S1650" s="46"/>
      <c r="T1650" s="46"/>
      <c r="U1650" s="46"/>
      <c r="V1650" s="46"/>
      <c r="W1650" s="46"/>
      <c r="X1650" s="11" t="str">
        <f>IF(COUNTBLANK(B1650:W1650)&gt;0,"NA",'batch classification'!J1656)</f>
        <v>NA</v>
      </c>
    </row>
    <row r="1651" spans="1:24" x14ac:dyDescent="0.25">
      <c r="A1651" s="45"/>
      <c r="B1651" s="46"/>
      <c r="C1651" s="46"/>
      <c r="D1651" s="46"/>
      <c r="E1651" s="46"/>
      <c r="F1651" s="46"/>
      <c r="G1651" s="46"/>
      <c r="H1651" s="46"/>
      <c r="I1651" s="46"/>
      <c r="J1651" s="46"/>
      <c r="K1651" s="46"/>
      <c r="L1651" s="46"/>
      <c r="M1651" s="46"/>
      <c r="N1651" s="46"/>
      <c r="O1651" s="46"/>
      <c r="P1651" s="46"/>
      <c r="Q1651" s="46"/>
      <c r="R1651" s="46"/>
      <c r="S1651" s="46"/>
      <c r="T1651" s="46"/>
      <c r="U1651" s="46"/>
      <c r="V1651" s="46"/>
      <c r="W1651" s="46"/>
      <c r="X1651" s="11" t="str">
        <f>IF(COUNTBLANK(B1651:W1651)&gt;0,"NA",'batch classification'!J1657)</f>
        <v>NA</v>
      </c>
    </row>
    <row r="1652" spans="1:24" x14ac:dyDescent="0.25">
      <c r="A1652" s="45"/>
      <c r="B1652" s="46"/>
      <c r="C1652" s="46"/>
      <c r="D1652" s="46"/>
      <c r="E1652" s="46"/>
      <c r="F1652" s="46"/>
      <c r="G1652" s="46"/>
      <c r="H1652" s="46"/>
      <c r="I1652" s="46"/>
      <c r="J1652" s="46"/>
      <c r="K1652" s="46"/>
      <c r="L1652" s="46"/>
      <c r="M1652" s="46"/>
      <c r="N1652" s="46"/>
      <c r="O1652" s="46"/>
      <c r="P1652" s="46"/>
      <c r="Q1652" s="46"/>
      <c r="R1652" s="46"/>
      <c r="S1652" s="46"/>
      <c r="T1652" s="46"/>
      <c r="U1652" s="46"/>
      <c r="V1652" s="46"/>
      <c r="W1652" s="46"/>
      <c r="X1652" s="11" t="str">
        <f>IF(COUNTBLANK(B1652:W1652)&gt;0,"NA",'batch classification'!J1658)</f>
        <v>NA</v>
      </c>
    </row>
    <row r="1653" spans="1:24" x14ac:dyDescent="0.25">
      <c r="A1653" s="45"/>
      <c r="B1653" s="46"/>
      <c r="C1653" s="46"/>
      <c r="D1653" s="46"/>
      <c r="E1653" s="46"/>
      <c r="F1653" s="46"/>
      <c r="G1653" s="46"/>
      <c r="H1653" s="46"/>
      <c r="I1653" s="46"/>
      <c r="J1653" s="46"/>
      <c r="K1653" s="46"/>
      <c r="L1653" s="46"/>
      <c r="M1653" s="46"/>
      <c r="N1653" s="46"/>
      <c r="O1653" s="46"/>
      <c r="P1653" s="46"/>
      <c r="Q1653" s="46"/>
      <c r="R1653" s="46"/>
      <c r="S1653" s="46"/>
      <c r="T1653" s="46"/>
      <c r="U1653" s="46"/>
      <c r="V1653" s="46"/>
      <c r="W1653" s="46"/>
      <c r="X1653" s="11" t="str">
        <f>IF(COUNTBLANK(B1653:W1653)&gt;0,"NA",'batch classification'!J1659)</f>
        <v>NA</v>
      </c>
    </row>
    <row r="1654" spans="1:24" x14ac:dyDescent="0.25">
      <c r="A1654" s="45"/>
      <c r="B1654" s="46"/>
      <c r="C1654" s="46"/>
      <c r="D1654" s="46"/>
      <c r="E1654" s="46"/>
      <c r="F1654" s="46"/>
      <c r="G1654" s="46"/>
      <c r="H1654" s="46"/>
      <c r="I1654" s="46"/>
      <c r="J1654" s="46"/>
      <c r="K1654" s="46"/>
      <c r="L1654" s="46"/>
      <c r="M1654" s="46"/>
      <c r="N1654" s="46"/>
      <c r="O1654" s="46"/>
      <c r="P1654" s="46"/>
      <c r="Q1654" s="46"/>
      <c r="R1654" s="46"/>
      <c r="S1654" s="46"/>
      <c r="T1654" s="46"/>
      <c r="U1654" s="46"/>
      <c r="V1654" s="46"/>
      <c r="W1654" s="46"/>
      <c r="X1654" s="11" t="str">
        <f>IF(COUNTBLANK(B1654:W1654)&gt;0,"NA",'batch classification'!J1660)</f>
        <v>NA</v>
      </c>
    </row>
    <row r="1655" spans="1:24" x14ac:dyDescent="0.25">
      <c r="A1655" s="45"/>
      <c r="B1655" s="46"/>
      <c r="C1655" s="46"/>
      <c r="D1655" s="46"/>
      <c r="E1655" s="46"/>
      <c r="F1655" s="46"/>
      <c r="G1655" s="46"/>
      <c r="H1655" s="46"/>
      <c r="I1655" s="46"/>
      <c r="J1655" s="46"/>
      <c r="K1655" s="46"/>
      <c r="L1655" s="46"/>
      <c r="M1655" s="46"/>
      <c r="N1655" s="46"/>
      <c r="O1655" s="46"/>
      <c r="P1655" s="46"/>
      <c r="Q1655" s="46"/>
      <c r="R1655" s="46"/>
      <c r="S1655" s="46"/>
      <c r="T1655" s="46"/>
      <c r="U1655" s="46"/>
      <c r="V1655" s="46"/>
      <c r="W1655" s="46"/>
      <c r="X1655" s="11" t="str">
        <f>IF(COUNTBLANK(B1655:W1655)&gt;0,"NA",'batch classification'!J1661)</f>
        <v>NA</v>
      </c>
    </row>
    <row r="1656" spans="1:24" x14ac:dyDescent="0.25">
      <c r="A1656" s="45"/>
      <c r="B1656" s="46"/>
      <c r="C1656" s="46"/>
      <c r="D1656" s="46"/>
      <c r="E1656" s="46"/>
      <c r="F1656" s="46"/>
      <c r="G1656" s="46"/>
      <c r="H1656" s="46"/>
      <c r="I1656" s="46"/>
      <c r="J1656" s="46"/>
      <c r="K1656" s="46"/>
      <c r="L1656" s="46"/>
      <c r="M1656" s="46"/>
      <c r="N1656" s="46"/>
      <c r="O1656" s="46"/>
      <c r="P1656" s="46"/>
      <c r="Q1656" s="46"/>
      <c r="R1656" s="46"/>
      <c r="S1656" s="46"/>
      <c r="T1656" s="46"/>
      <c r="U1656" s="46"/>
      <c r="V1656" s="46"/>
      <c r="W1656" s="46"/>
      <c r="X1656" s="11" t="str">
        <f>IF(COUNTBLANK(B1656:W1656)&gt;0,"NA",'batch classification'!J1662)</f>
        <v>NA</v>
      </c>
    </row>
    <row r="1657" spans="1:24" x14ac:dyDescent="0.25">
      <c r="A1657" s="45"/>
      <c r="B1657" s="46"/>
      <c r="C1657" s="46"/>
      <c r="D1657" s="46"/>
      <c r="E1657" s="46"/>
      <c r="F1657" s="46"/>
      <c r="G1657" s="46"/>
      <c r="H1657" s="46"/>
      <c r="I1657" s="46"/>
      <c r="J1657" s="46"/>
      <c r="K1657" s="46"/>
      <c r="L1657" s="46"/>
      <c r="M1657" s="46"/>
      <c r="N1657" s="46"/>
      <c r="O1657" s="46"/>
      <c r="P1657" s="46"/>
      <c r="Q1657" s="46"/>
      <c r="R1657" s="46"/>
      <c r="S1657" s="46"/>
      <c r="T1657" s="46"/>
      <c r="U1657" s="46"/>
      <c r="V1657" s="46"/>
      <c r="W1657" s="46"/>
      <c r="X1657" s="11" t="str">
        <f>IF(COUNTBLANK(B1657:W1657)&gt;0,"NA",'batch classification'!J1663)</f>
        <v>NA</v>
      </c>
    </row>
    <row r="1658" spans="1:24" x14ac:dyDescent="0.25">
      <c r="A1658" s="45"/>
      <c r="B1658" s="46"/>
      <c r="C1658" s="46"/>
      <c r="D1658" s="46"/>
      <c r="E1658" s="46"/>
      <c r="F1658" s="46"/>
      <c r="G1658" s="46"/>
      <c r="H1658" s="46"/>
      <c r="I1658" s="46"/>
      <c r="J1658" s="46"/>
      <c r="K1658" s="46"/>
      <c r="L1658" s="46"/>
      <c r="M1658" s="46"/>
      <c r="N1658" s="46"/>
      <c r="O1658" s="46"/>
      <c r="P1658" s="46"/>
      <c r="Q1658" s="46"/>
      <c r="R1658" s="46"/>
      <c r="S1658" s="46"/>
      <c r="T1658" s="46"/>
      <c r="U1658" s="46"/>
      <c r="V1658" s="46"/>
      <c r="W1658" s="46"/>
      <c r="X1658" s="11" t="str">
        <f>IF(COUNTBLANK(B1658:W1658)&gt;0,"NA",'batch classification'!J1664)</f>
        <v>NA</v>
      </c>
    </row>
    <row r="1659" spans="1:24" x14ac:dyDescent="0.25">
      <c r="A1659" s="45"/>
      <c r="B1659" s="46"/>
      <c r="C1659" s="46"/>
      <c r="D1659" s="46"/>
      <c r="E1659" s="46"/>
      <c r="F1659" s="46"/>
      <c r="G1659" s="46"/>
      <c r="H1659" s="46"/>
      <c r="I1659" s="46"/>
      <c r="J1659" s="46"/>
      <c r="K1659" s="46"/>
      <c r="L1659" s="46"/>
      <c r="M1659" s="46"/>
      <c r="N1659" s="46"/>
      <c r="O1659" s="46"/>
      <c r="P1659" s="46"/>
      <c r="Q1659" s="46"/>
      <c r="R1659" s="46"/>
      <c r="S1659" s="46"/>
      <c r="T1659" s="46"/>
      <c r="U1659" s="46"/>
      <c r="V1659" s="46"/>
      <c r="W1659" s="46"/>
      <c r="X1659" s="11" t="str">
        <f>IF(COUNTBLANK(B1659:W1659)&gt;0,"NA",'batch classification'!J1665)</f>
        <v>NA</v>
      </c>
    </row>
    <row r="1660" spans="1:24" x14ac:dyDescent="0.25">
      <c r="A1660" s="45"/>
      <c r="B1660" s="46"/>
      <c r="C1660" s="46"/>
      <c r="D1660" s="46"/>
      <c r="E1660" s="46"/>
      <c r="F1660" s="46"/>
      <c r="G1660" s="46"/>
      <c r="H1660" s="46"/>
      <c r="I1660" s="46"/>
      <c r="J1660" s="46"/>
      <c r="K1660" s="46"/>
      <c r="L1660" s="46"/>
      <c r="M1660" s="46"/>
      <c r="N1660" s="46"/>
      <c r="O1660" s="46"/>
      <c r="P1660" s="46"/>
      <c r="Q1660" s="46"/>
      <c r="R1660" s="46"/>
      <c r="S1660" s="46"/>
      <c r="T1660" s="46"/>
      <c r="U1660" s="46"/>
      <c r="V1660" s="46"/>
      <c r="W1660" s="46"/>
      <c r="X1660" s="11" t="str">
        <f>IF(COUNTBLANK(B1660:W1660)&gt;0,"NA",'batch classification'!J1666)</f>
        <v>NA</v>
      </c>
    </row>
    <row r="1661" spans="1:24" x14ac:dyDescent="0.25">
      <c r="A1661" s="45"/>
      <c r="B1661" s="46"/>
      <c r="C1661" s="46"/>
      <c r="D1661" s="46"/>
      <c r="E1661" s="46"/>
      <c r="F1661" s="46"/>
      <c r="G1661" s="46"/>
      <c r="H1661" s="46"/>
      <c r="I1661" s="46"/>
      <c r="J1661" s="46"/>
      <c r="K1661" s="46"/>
      <c r="L1661" s="46"/>
      <c r="M1661" s="46"/>
      <c r="N1661" s="46"/>
      <c r="O1661" s="46"/>
      <c r="P1661" s="46"/>
      <c r="Q1661" s="46"/>
      <c r="R1661" s="46"/>
      <c r="S1661" s="46"/>
      <c r="T1661" s="46"/>
      <c r="U1661" s="46"/>
      <c r="V1661" s="46"/>
      <c r="W1661" s="46"/>
      <c r="X1661" s="11" t="str">
        <f>IF(COUNTBLANK(B1661:W1661)&gt;0,"NA",'batch classification'!J1667)</f>
        <v>NA</v>
      </c>
    </row>
    <row r="1662" spans="1:24" x14ac:dyDescent="0.25">
      <c r="A1662" s="45"/>
      <c r="B1662" s="46"/>
      <c r="C1662" s="46"/>
      <c r="D1662" s="46"/>
      <c r="E1662" s="46"/>
      <c r="F1662" s="46"/>
      <c r="G1662" s="46"/>
      <c r="H1662" s="46"/>
      <c r="I1662" s="46"/>
      <c r="J1662" s="46"/>
      <c r="K1662" s="46"/>
      <c r="L1662" s="46"/>
      <c r="M1662" s="46"/>
      <c r="N1662" s="46"/>
      <c r="O1662" s="46"/>
      <c r="P1662" s="46"/>
      <c r="Q1662" s="46"/>
      <c r="R1662" s="46"/>
      <c r="S1662" s="46"/>
      <c r="T1662" s="46"/>
      <c r="U1662" s="46"/>
      <c r="V1662" s="46"/>
      <c r="W1662" s="46"/>
      <c r="X1662" s="11" t="str">
        <f>IF(COUNTBLANK(B1662:W1662)&gt;0,"NA",'batch classification'!J1668)</f>
        <v>NA</v>
      </c>
    </row>
    <row r="1663" spans="1:24" x14ac:dyDescent="0.25">
      <c r="A1663" s="45"/>
      <c r="B1663" s="46"/>
      <c r="C1663" s="46"/>
      <c r="D1663" s="46"/>
      <c r="E1663" s="46"/>
      <c r="F1663" s="46"/>
      <c r="G1663" s="46"/>
      <c r="H1663" s="46"/>
      <c r="I1663" s="46"/>
      <c r="J1663" s="46"/>
      <c r="K1663" s="46"/>
      <c r="L1663" s="46"/>
      <c r="M1663" s="46"/>
      <c r="N1663" s="46"/>
      <c r="O1663" s="46"/>
      <c r="P1663" s="46"/>
      <c r="Q1663" s="46"/>
      <c r="R1663" s="46"/>
      <c r="S1663" s="46"/>
      <c r="T1663" s="46"/>
      <c r="U1663" s="46"/>
      <c r="V1663" s="46"/>
      <c r="W1663" s="46"/>
      <c r="X1663" s="11" t="str">
        <f>IF(COUNTBLANK(B1663:W1663)&gt;0,"NA",'batch classification'!J1669)</f>
        <v>NA</v>
      </c>
    </row>
    <row r="1664" spans="1:24" x14ac:dyDescent="0.25">
      <c r="A1664" s="45"/>
      <c r="B1664" s="46"/>
      <c r="C1664" s="46"/>
      <c r="D1664" s="46"/>
      <c r="E1664" s="46"/>
      <c r="F1664" s="46"/>
      <c r="G1664" s="46"/>
      <c r="H1664" s="46"/>
      <c r="I1664" s="46"/>
      <c r="J1664" s="46"/>
      <c r="K1664" s="46"/>
      <c r="L1664" s="46"/>
      <c r="M1664" s="46"/>
      <c r="N1664" s="46"/>
      <c r="O1664" s="46"/>
      <c r="P1664" s="46"/>
      <c r="Q1664" s="46"/>
      <c r="R1664" s="46"/>
      <c r="S1664" s="46"/>
      <c r="T1664" s="46"/>
      <c r="U1664" s="46"/>
      <c r="V1664" s="46"/>
      <c r="W1664" s="46"/>
      <c r="X1664" s="11" t="str">
        <f>IF(COUNTBLANK(B1664:W1664)&gt;0,"NA",'batch classification'!J1670)</f>
        <v>NA</v>
      </c>
    </row>
    <row r="1665" spans="1:24" x14ac:dyDescent="0.25">
      <c r="A1665" s="45"/>
      <c r="B1665" s="46"/>
      <c r="C1665" s="46"/>
      <c r="D1665" s="46"/>
      <c r="E1665" s="46"/>
      <c r="F1665" s="46"/>
      <c r="G1665" s="46"/>
      <c r="H1665" s="46"/>
      <c r="I1665" s="46"/>
      <c r="J1665" s="46"/>
      <c r="K1665" s="46"/>
      <c r="L1665" s="46"/>
      <c r="M1665" s="46"/>
      <c r="N1665" s="46"/>
      <c r="O1665" s="46"/>
      <c r="P1665" s="46"/>
      <c r="Q1665" s="46"/>
      <c r="R1665" s="46"/>
      <c r="S1665" s="46"/>
      <c r="T1665" s="46"/>
      <c r="U1665" s="46"/>
      <c r="V1665" s="46"/>
      <c r="W1665" s="46"/>
      <c r="X1665" s="11" t="str">
        <f>IF(COUNTBLANK(B1665:W1665)&gt;0,"NA",'batch classification'!J1671)</f>
        <v>NA</v>
      </c>
    </row>
    <row r="1666" spans="1:24" x14ac:dyDescent="0.25">
      <c r="A1666" s="45"/>
      <c r="B1666" s="46"/>
      <c r="C1666" s="46"/>
      <c r="D1666" s="46"/>
      <c r="E1666" s="46"/>
      <c r="F1666" s="46"/>
      <c r="G1666" s="46"/>
      <c r="H1666" s="46"/>
      <c r="I1666" s="46"/>
      <c r="J1666" s="46"/>
      <c r="K1666" s="46"/>
      <c r="L1666" s="46"/>
      <c r="M1666" s="46"/>
      <c r="N1666" s="46"/>
      <c r="O1666" s="46"/>
      <c r="P1666" s="46"/>
      <c r="Q1666" s="46"/>
      <c r="R1666" s="46"/>
      <c r="S1666" s="46"/>
      <c r="T1666" s="46"/>
      <c r="U1666" s="46"/>
      <c r="V1666" s="46"/>
      <c r="W1666" s="46"/>
      <c r="X1666" s="11" t="str">
        <f>IF(COUNTBLANK(B1666:W1666)&gt;0,"NA",'batch classification'!J1672)</f>
        <v>NA</v>
      </c>
    </row>
    <row r="1667" spans="1:24" x14ac:dyDescent="0.25">
      <c r="A1667" s="45"/>
      <c r="B1667" s="46"/>
      <c r="C1667" s="46"/>
      <c r="D1667" s="46"/>
      <c r="E1667" s="46"/>
      <c r="F1667" s="46"/>
      <c r="G1667" s="46"/>
      <c r="H1667" s="46"/>
      <c r="I1667" s="46"/>
      <c r="J1667" s="46"/>
      <c r="K1667" s="46"/>
      <c r="L1667" s="46"/>
      <c r="M1667" s="46"/>
      <c r="N1667" s="46"/>
      <c r="O1667" s="46"/>
      <c r="P1667" s="46"/>
      <c r="Q1667" s="46"/>
      <c r="R1667" s="46"/>
      <c r="S1667" s="46"/>
      <c r="T1667" s="46"/>
      <c r="U1667" s="46"/>
      <c r="V1667" s="46"/>
      <c r="W1667" s="46"/>
      <c r="X1667" s="11" t="str">
        <f>IF(COUNTBLANK(B1667:W1667)&gt;0,"NA",'batch classification'!J1673)</f>
        <v>NA</v>
      </c>
    </row>
    <row r="1668" spans="1:24" x14ac:dyDescent="0.25">
      <c r="A1668" s="45"/>
      <c r="B1668" s="46"/>
      <c r="C1668" s="46"/>
      <c r="D1668" s="46"/>
      <c r="E1668" s="46"/>
      <c r="F1668" s="46"/>
      <c r="G1668" s="46"/>
      <c r="H1668" s="46"/>
      <c r="I1668" s="46"/>
      <c r="J1668" s="46"/>
      <c r="K1668" s="46"/>
      <c r="L1668" s="46"/>
      <c r="M1668" s="46"/>
      <c r="N1668" s="46"/>
      <c r="O1668" s="46"/>
      <c r="P1668" s="46"/>
      <c r="Q1668" s="46"/>
      <c r="R1668" s="46"/>
      <c r="S1668" s="46"/>
      <c r="T1668" s="46"/>
      <c r="U1668" s="46"/>
      <c r="V1668" s="46"/>
      <c r="W1668" s="46"/>
      <c r="X1668" s="11" t="str">
        <f>IF(COUNTBLANK(B1668:W1668)&gt;0,"NA",'batch classification'!J1674)</f>
        <v>NA</v>
      </c>
    </row>
    <row r="1669" spans="1:24" x14ac:dyDescent="0.25">
      <c r="A1669" s="45"/>
      <c r="B1669" s="46"/>
      <c r="C1669" s="46"/>
      <c r="D1669" s="46"/>
      <c r="E1669" s="46"/>
      <c r="F1669" s="46"/>
      <c r="G1669" s="46"/>
      <c r="H1669" s="46"/>
      <c r="I1669" s="46"/>
      <c r="J1669" s="46"/>
      <c r="K1669" s="46"/>
      <c r="L1669" s="46"/>
      <c r="M1669" s="46"/>
      <c r="N1669" s="46"/>
      <c r="O1669" s="46"/>
      <c r="P1669" s="46"/>
      <c r="Q1669" s="46"/>
      <c r="R1669" s="46"/>
      <c r="S1669" s="46"/>
      <c r="T1669" s="46"/>
      <c r="U1669" s="46"/>
      <c r="V1669" s="46"/>
      <c r="W1669" s="46"/>
      <c r="X1669" s="11" t="str">
        <f>IF(COUNTBLANK(B1669:W1669)&gt;0,"NA",'batch classification'!J1675)</f>
        <v>NA</v>
      </c>
    </row>
    <row r="1670" spans="1:24" x14ac:dyDescent="0.25">
      <c r="A1670" s="45"/>
      <c r="B1670" s="46"/>
      <c r="C1670" s="46"/>
      <c r="D1670" s="46"/>
      <c r="E1670" s="46"/>
      <c r="F1670" s="46"/>
      <c r="G1670" s="46"/>
      <c r="H1670" s="46"/>
      <c r="I1670" s="46"/>
      <c r="J1670" s="46"/>
      <c r="K1670" s="46"/>
      <c r="L1670" s="46"/>
      <c r="M1670" s="46"/>
      <c r="N1670" s="46"/>
      <c r="O1670" s="46"/>
      <c r="P1670" s="46"/>
      <c r="Q1670" s="46"/>
      <c r="R1670" s="46"/>
      <c r="S1670" s="46"/>
      <c r="T1670" s="46"/>
      <c r="U1670" s="46"/>
      <c r="V1670" s="46"/>
      <c r="W1670" s="46"/>
      <c r="X1670" s="11" t="str">
        <f>IF(COUNTBLANK(B1670:W1670)&gt;0,"NA",'batch classification'!J1676)</f>
        <v>NA</v>
      </c>
    </row>
    <row r="1671" spans="1:24" x14ac:dyDescent="0.25">
      <c r="A1671" s="45"/>
      <c r="B1671" s="46"/>
      <c r="C1671" s="46"/>
      <c r="D1671" s="46"/>
      <c r="E1671" s="46"/>
      <c r="F1671" s="46"/>
      <c r="G1671" s="46"/>
      <c r="H1671" s="46"/>
      <c r="I1671" s="46"/>
      <c r="J1671" s="46"/>
      <c r="K1671" s="46"/>
      <c r="L1671" s="46"/>
      <c r="M1671" s="46"/>
      <c r="N1671" s="46"/>
      <c r="O1671" s="46"/>
      <c r="P1671" s="46"/>
      <c r="Q1671" s="46"/>
      <c r="R1671" s="46"/>
      <c r="S1671" s="46"/>
      <c r="T1671" s="46"/>
      <c r="U1671" s="46"/>
      <c r="V1671" s="46"/>
      <c r="W1671" s="46"/>
      <c r="X1671" s="11" t="str">
        <f>IF(COUNTBLANK(B1671:W1671)&gt;0,"NA",'batch classification'!J1677)</f>
        <v>NA</v>
      </c>
    </row>
    <row r="1672" spans="1:24" x14ac:dyDescent="0.25">
      <c r="A1672" s="45"/>
      <c r="B1672" s="46"/>
      <c r="C1672" s="46"/>
      <c r="D1672" s="46"/>
      <c r="E1672" s="46"/>
      <c r="F1672" s="46"/>
      <c r="G1672" s="46"/>
      <c r="H1672" s="46"/>
      <c r="I1672" s="46"/>
      <c r="J1672" s="46"/>
      <c r="K1672" s="46"/>
      <c r="L1672" s="46"/>
      <c r="M1672" s="46"/>
      <c r="N1672" s="46"/>
      <c r="O1672" s="46"/>
      <c r="P1672" s="46"/>
      <c r="Q1672" s="46"/>
      <c r="R1672" s="46"/>
      <c r="S1672" s="46"/>
      <c r="T1672" s="46"/>
      <c r="U1672" s="46"/>
      <c r="V1672" s="46"/>
      <c r="W1672" s="46"/>
      <c r="X1672" s="11" t="str">
        <f>IF(COUNTBLANK(B1672:W1672)&gt;0,"NA",'batch classification'!J1678)</f>
        <v>NA</v>
      </c>
    </row>
    <row r="1673" spans="1:24" x14ac:dyDescent="0.25">
      <c r="A1673" s="45"/>
      <c r="B1673" s="45"/>
      <c r="C1673" s="45"/>
      <c r="D1673" s="45"/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11" t="str">
        <f>IF(COUNTBLANK(B1673:W1673)&gt;0,"NA",'batch classification'!J1679)</f>
        <v>NA</v>
      </c>
    </row>
    <row r="1674" spans="1:24" x14ac:dyDescent="0.25">
      <c r="A1674" s="45"/>
      <c r="B1674" s="45"/>
      <c r="C1674" s="45"/>
      <c r="D1674" s="45"/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11" t="str">
        <f>IF(COUNTBLANK(B1674:W1674)&gt;0,"NA",'batch classification'!J1680)</f>
        <v>NA</v>
      </c>
    </row>
    <row r="1675" spans="1:24" x14ac:dyDescent="0.25">
      <c r="A1675" s="45"/>
      <c r="B1675" s="45"/>
      <c r="C1675" s="45"/>
      <c r="D1675" s="45"/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11" t="str">
        <f>IF(COUNTBLANK(B1675:W1675)&gt;0,"NA",'batch classification'!J1681)</f>
        <v>NA</v>
      </c>
    </row>
    <row r="1676" spans="1:24" x14ac:dyDescent="0.25">
      <c r="A1676" s="45"/>
      <c r="B1676" s="45"/>
      <c r="C1676" s="45"/>
      <c r="D1676" s="45"/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11" t="str">
        <f>IF(COUNTBLANK(B1676:W1676)&gt;0,"NA",'batch classification'!J1682)</f>
        <v>NA</v>
      </c>
    </row>
    <row r="1677" spans="1:24" x14ac:dyDescent="0.25">
      <c r="A1677" s="45"/>
      <c r="B1677" s="45"/>
      <c r="C1677" s="45"/>
      <c r="D1677" s="45"/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11" t="str">
        <f>IF(COUNTBLANK(B1677:W1677)&gt;0,"NA",'batch classification'!J1683)</f>
        <v>NA</v>
      </c>
    </row>
    <row r="1678" spans="1:24" x14ac:dyDescent="0.25">
      <c r="A1678" s="45"/>
      <c r="B1678" s="45"/>
      <c r="C1678" s="45"/>
      <c r="D1678" s="45"/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11" t="str">
        <f>IF(COUNTBLANK(B1678:W1678)&gt;0,"NA",'batch classification'!J1684)</f>
        <v>NA</v>
      </c>
    </row>
    <row r="1679" spans="1:24" x14ac:dyDescent="0.25">
      <c r="A1679" s="45"/>
      <c r="B1679" s="45"/>
      <c r="C1679" s="45"/>
      <c r="D1679" s="45"/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11" t="str">
        <f>IF(COUNTBLANK(B1679:W1679)&gt;0,"NA",'batch classification'!J1685)</f>
        <v>NA</v>
      </c>
    </row>
    <row r="1680" spans="1:24" x14ac:dyDescent="0.25">
      <c r="A1680" s="45"/>
      <c r="B1680" s="45"/>
      <c r="C1680" s="45"/>
      <c r="D1680" s="45"/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11" t="str">
        <f>IF(COUNTBLANK(B1680:W1680)&gt;0,"NA",'batch classification'!J1686)</f>
        <v>NA</v>
      </c>
    </row>
    <row r="1681" spans="1:24" x14ac:dyDescent="0.25">
      <c r="A1681" s="45"/>
      <c r="B1681" s="45"/>
      <c r="C1681" s="45"/>
      <c r="D1681" s="45"/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11" t="str">
        <f>IF(COUNTBLANK(B1681:W1681)&gt;0,"NA",'batch classification'!J1687)</f>
        <v>NA</v>
      </c>
    </row>
    <row r="1682" spans="1:24" x14ac:dyDescent="0.25">
      <c r="A1682" s="45"/>
      <c r="B1682" s="45"/>
      <c r="C1682" s="45"/>
      <c r="D1682" s="45"/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11" t="str">
        <f>IF(COUNTBLANK(B1682:W1682)&gt;0,"NA",'batch classification'!J1688)</f>
        <v>NA</v>
      </c>
    </row>
    <row r="1683" spans="1:24" x14ac:dyDescent="0.25">
      <c r="A1683" s="45"/>
      <c r="B1683" s="45"/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11" t="str">
        <f>IF(COUNTBLANK(B1683:W1683)&gt;0,"NA",'batch classification'!J1689)</f>
        <v>NA</v>
      </c>
    </row>
    <row r="1684" spans="1:24" x14ac:dyDescent="0.25">
      <c r="A1684" s="45"/>
      <c r="B1684" s="45"/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11" t="str">
        <f>IF(COUNTBLANK(B1684:W1684)&gt;0,"NA",'batch classification'!J1690)</f>
        <v>NA</v>
      </c>
    </row>
    <row r="1685" spans="1:24" x14ac:dyDescent="0.25">
      <c r="A1685" s="45"/>
      <c r="B1685" s="45"/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11" t="str">
        <f>IF(COUNTBLANK(B1685:W1685)&gt;0,"NA",'batch classification'!J1691)</f>
        <v>NA</v>
      </c>
    </row>
    <row r="1686" spans="1:24" x14ac:dyDescent="0.25">
      <c r="A1686" s="45"/>
      <c r="B1686" s="45"/>
      <c r="C1686" s="45"/>
      <c r="D1686" s="45"/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11" t="str">
        <f>IF(COUNTBLANK(B1686:W1686)&gt;0,"NA",'batch classification'!J1692)</f>
        <v>NA</v>
      </c>
    </row>
    <row r="1687" spans="1:24" x14ac:dyDescent="0.25">
      <c r="A1687" s="45"/>
      <c r="B1687" s="45"/>
      <c r="C1687" s="45"/>
      <c r="D1687" s="45"/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11" t="str">
        <f>IF(COUNTBLANK(B1687:W1687)&gt;0,"NA",'batch classification'!J1693)</f>
        <v>NA</v>
      </c>
    </row>
    <row r="1688" spans="1:24" x14ac:dyDescent="0.25">
      <c r="A1688" s="45"/>
      <c r="B1688" s="45"/>
      <c r="C1688" s="45"/>
      <c r="D1688" s="45"/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11" t="str">
        <f>IF(COUNTBLANK(B1688:W1688)&gt;0,"NA",'batch classification'!J1694)</f>
        <v>NA</v>
      </c>
    </row>
    <row r="1689" spans="1:24" x14ac:dyDescent="0.25">
      <c r="A1689" s="45"/>
      <c r="B1689" s="45"/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11" t="str">
        <f>IF(COUNTBLANK(B1689:W1689)&gt;0,"NA",'batch classification'!J1695)</f>
        <v>NA</v>
      </c>
    </row>
    <row r="1690" spans="1:24" x14ac:dyDescent="0.25">
      <c r="A1690" s="45"/>
      <c r="B1690" s="45"/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11" t="str">
        <f>IF(COUNTBLANK(B1690:W1690)&gt;0,"NA",'batch classification'!J1696)</f>
        <v>NA</v>
      </c>
    </row>
    <row r="1691" spans="1:24" x14ac:dyDescent="0.25">
      <c r="A1691" s="45"/>
      <c r="B1691" s="45"/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11" t="str">
        <f>IF(COUNTBLANK(B1691:W1691)&gt;0,"NA",'batch classification'!J1697)</f>
        <v>NA</v>
      </c>
    </row>
    <row r="1692" spans="1:24" x14ac:dyDescent="0.25">
      <c r="A1692" s="45"/>
      <c r="B1692" s="45"/>
      <c r="C1692" s="45"/>
      <c r="D1692" s="45"/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11" t="str">
        <f>IF(COUNTBLANK(B1692:W1692)&gt;0,"NA",'batch classification'!J1698)</f>
        <v>NA</v>
      </c>
    </row>
    <row r="1693" spans="1:24" x14ac:dyDescent="0.25">
      <c r="A1693" s="45"/>
      <c r="B1693" s="45"/>
      <c r="C1693" s="45"/>
      <c r="D1693" s="45"/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11" t="str">
        <f>IF(COUNTBLANK(B1693:W1693)&gt;0,"NA",'batch classification'!J1699)</f>
        <v>NA</v>
      </c>
    </row>
    <row r="1694" spans="1:24" x14ac:dyDescent="0.25">
      <c r="A1694" s="45"/>
      <c r="B1694" s="45"/>
      <c r="C1694" s="45"/>
      <c r="D1694" s="45"/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11" t="str">
        <f>IF(COUNTBLANK(B1694:W1694)&gt;0,"NA",'batch classification'!J1700)</f>
        <v>NA</v>
      </c>
    </row>
    <row r="1695" spans="1:24" x14ac:dyDescent="0.25">
      <c r="A1695" s="45"/>
      <c r="B1695" s="45"/>
      <c r="C1695" s="45"/>
      <c r="D1695" s="45"/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11" t="str">
        <f>IF(COUNTBLANK(B1695:W1695)&gt;0,"NA",'batch classification'!J1701)</f>
        <v>NA</v>
      </c>
    </row>
    <row r="1696" spans="1:24" x14ac:dyDescent="0.25">
      <c r="A1696" s="45"/>
      <c r="B1696" s="45"/>
      <c r="C1696" s="45"/>
      <c r="D1696" s="45"/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11" t="str">
        <f>IF(COUNTBLANK(B1696:W1696)&gt;0,"NA",'batch classification'!J1702)</f>
        <v>NA</v>
      </c>
    </row>
    <row r="1697" spans="1:24" x14ac:dyDescent="0.25">
      <c r="A1697" s="45"/>
      <c r="B1697" s="45"/>
      <c r="C1697" s="45"/>
      <c r="D1697" s="45"/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11" t="str">
        <f>IF(COUNTBLANK(B1697:W1697)&gt;0,"NA",'batch classification'!J1703)</f>
        <v>NA</v>
      </c>
    </row>
    <row r="1698" spans="1:24" x14ac:dyDescent="0.25">
      <c r="A1698" s="45"/>
      <c r="B1698" s="45"/>
      <c r="C1698" s="45"/>
      <c r="D1698" s="45"/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11" t="str">
        <f>IF(COUNTBLANK(B1698:W1698)&gt;0,"NA",'batch classification'!J1704)</f>
        <v>NA</v>
      </c>
    </row>
    <row r="1699" spans="1:24" x14ac:dyDescent="0.25">
      <c r="A1699" s="45"/>
      <c r="B1699" s="45"/>
      <c r="C1699" s="45"/>
      <c r="D1699" s="45"/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11" t="str">
        <f>IF(COUNTBLANK(B1699:W1699)&gt;0,"NA",'batch classification'!J1705)</f>
        <v>NA</v>
      </c>
    </row>
    <row r="1700" spans="1:24" x14ac:dyDescent="0.25">
      <c r="A1700" s="45"/>
      <c r="B1700" s="45"/>
      <c r="C1700" s="45"/>
      <c r="D1700" s="45"/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11" t="str">
        <f>IF(COUNTBLANK(B1700:W1700)&gt;0,"NA",'batch classification'!J1706)</f>
        <v>NA</v>
      </c>
    </row>
    <row r="1701" spans="1:24" x14ac:dyDescent="0.25">
      <c r="A1701" s="45"/>
      <c r="B1701" s="45"/>
      <c r="C1701" s="45"/>
      <c r="D1701" s="45"/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11" t="str">
        <f>IF(COUNTBLANK(B1701:W1701)&gt;0,"NA",'batch classification'!J1707)</f>
        <v>NA</v>
      </c>
    </row>
    <row r="1702" spans="1:24" x14ac:dyDescent="0.25">
      <c r="A1702" s="45"/>
      <c r="B1702" s="45"/>
      <c r="C1702" s="45"/>
      <c r="D1702" s="45"/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11" t="str">
        <f>IF(COUNTBLANK(B1702:W1702)&gt;0,"NA",'batch classification'!J1708)</f>
        <v>NA</v>
      </c>
    </row>
    <row r="1703" spans="1:24" x14ac:dyDescent="0.25">
      <c r="A1703" s="45"/>
      <c r="B1703" s="45"/>
      <c r="C1703" s="45"/>
      <c r="D1703" s="45"/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11" t="str">
        <f>IF(COUNTBLANK(B1703:W1703)&gt;0,"NA",'batch classification'!J1709)</f>
        <v>NA</v>
      </c>
    </row>
    <row r="1704" spans="1:24" x14ac:dyDescent="0.25">
      <c r="A1704" s="45"/>
      <c r="B1704" s="45"/>
      <c r="C1704" s="45"/>
      <c r="D1704" s="45"/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11" t="str">
        <f>IF(COUNTBLANK(B1704:W1704)&gt;0,"NA",'batch classification'!J1710)</f>
        <v>NA</v>
      </c>
    </row>
    <row r="1705" spans="1:24" x14ac:dyDescent="0.25">
      <c r="A1705" s="45"/>
      <c r="B1705" s="45"/>
      <c r="C1705" s="45"/>
      <c r="D1705" s="45"/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11" t="str">
        <f>IF(COUNTBLANK(B1705:W1705)&gt;0,"NA",'batch classification'!J1711)</f>
        <v>NA</v>
      </c>
    </row>
    <row r="1706" spans="1:24" x14ac:dyDescent="0.25">
      <c r="A1706" s="45"/>
      <c r="B1706" s="45"/>
      <c r="C1706" s="45"/>
      <c r="D1706" s="45"/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11" t="str">
        <f>IF(COUNTBLANK(B1706:W1706)&gt;0,"NA",'batch classification'!J1712)</f>
        <v>NA</v>
      </c>
    </row>
    <row r="1707" spans="1:24" x14ac:dyDescent="0.25">
      <c r="A1707" s="45"/>
      <c r="B1707" s="45"/>
      <c r="C1707" s="45"/>
      <c r="D1707" s="45"/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11" t="str">
        <f>IF(COUNTBLANK(B1707:W1707)&gt;0,"NA",'batch classification'!J1713)</f>
        <v>NA</v>
      </c>
    </row>
    <row r="1708" spans="1:24" x14ac:dyDescent="0.25">
      <c r="A1708" s="45"/>
      <c r="B1708" s="45"/>
      <c r="C1708" s="45"/>
      <c r="D1708" s="45"/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11" t="str">
        <f>IF(COUNTBLANK(B1708:W1708)&gt;0,"NA",'batch classification'!J1714)</f>
        <v>NA</v>
      </c>
    </row>
    <row r="1709" spans="1:24" x14ac:dyDescent="0.25">
      <c r="A1709" s="45"/>
      <c r="B1709" s="45"/>
      <c r="C1709" s="45"/>
      <c r="D1709" s="45"/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11" t="str">
        <f>IF(COUNTBLANK(B1709:W1709)&gt;0,"NA",'batch classification'!J1715)</f>
        <v>NA</v>
      </c>
    </row>
    <row r="1710" spans="1:24" x14ac:dyDescent="0.25">
      <c r="A1710" s="45"/>
      <c r="B1710" s="45"/>
      <c r="C1710" s="45"/>
      <c r="D1710" s="45"/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11" t="str">
        <f>IF(COUNTBLANK(B1710:W1710)&gt;0,"NA",'batch classification'!J1716)</f>
        <v>NA</v>
      </c>
    </row>
    <row r="1711" spans="1:24" x14ac:dyDescent="0.25">
      <c r="A1711" s="45"/>
      <c r="B1711" s="45"/>
      <c r="C1711" s="45"/>
      <c r="D1711" s="45"/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11" t="str">
        <f>IF(COUNTBLANK(B1711:W1711)&gt;0,"NA",'batch classification'!J1717)</f>
        <v>NA</v>
      </c>
    </row>
    <row r="1712" spans="1:24" x14ac:dyDescent="0.25">
      <c r="A1712" s="45"/>
      <c r="B1712" s="45"/>
      <c r="C1712" s="45"/>
      <c r="D1712" s="45"/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11" t="str">
        <f>IF(COUNTBLANK(B1712:W1712)&gt;0,"NA",'batch classification'!J1718)</f>
        <v>NA</v>
      </c>
    </row>
    <row r="1713" spans="1:24" x14ac:dyDescent="0.25">
      <c r="A1713" s="45"/>
      <c r="B1713" s="45"/>
      <c r="C1713" s="45"/>
      <c r="D1713" s="45"/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11" t="str">
        <f>IF(COUNTBLANK(B1713:W1713)&gt;0,"NA",'batch classification'!J1719)</f>
        <v>NA</v>
      </c>
    </row>
    <row r="1714" spans="1:24" x14ac:dyDescent="0.25">
      <c r="A1714" s="45"/>
      <c r="B1714" s="45"/>
      <c r="C1714" s="45"/>
      <c r="D1714" s="45"/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11" t="str">
        <f>IF(COUNTBLANK(B1714:W1714)&gt;0,"NA",'batch classification'!J1720)</f>
        <v>NA</v>
      </c>
    </row>
    <row r="1715" spans="1:24" x14ac:dyDescent="0.25">
      <c r="A1715" s="45"/>
      <c r="B1715" s="45"/>
      <c r="C1715" s="45"/>
      <c r="D1715" s="45"/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11" t="str">
        <f>IF(COUNTBLANK(B1715:W1715)&gt;0,"NA",'batch classification'!J1721)</f>
        <v>NA</v>
      </c>
    </row>
    <row r="1716" spans="1:24" x14ac:dyDescent="0.25">
      <c r="A1716" s="45"/>
      <c r="B1716" s="45"/>
      <c r="C1716" s="45"/>
      <c r="D1716" s="45"/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11" t="str">
        <f>IF(COUNTBLANK(B1716:W1716)&gt;0,"NA",'batch classification'!J1722)</f>
        <v>NA</v>
      </c>
    </row>
    <row r="1717" spans="1:24" x14ac:dyDescent="0.25">
      <c r="A1717" s="45"/>
      <c r="B1717" s="45"/>
      <c r="C1717" s="45"/>
      <c r="D1717" s="45"/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11" t="str">
        <f>IF(COUNTBLANK(B1717:W1717)&gt;0,"NA",'batch classification'!J1723)</f>
        <v>NA</v>
      </c>
    </row>
    <row r="1718" spans="1:24" x14ac:dyDescent="0.25">
      <c r="A1718" s="45"/>
      <c r="B1718" s="45"/>
      <c r="C1718" s="45"/>
      <c r="D1718" s="45"/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11" t="str">
        <f>IF(COUNTBLANK(B1718:W1718)&gt;0,"NA",'batch classification'!J1724)</f>
        <v>NA</v>
      </c>
    </row>
    <row r="1719" spans="1:24" x14ac:dyDescent="0.25">
      <c r="A1719" s="45"/>
      <c r="B1719" s="45"/>
      <c r="C1719" s="45"/>
      <c r="D1719" s="45"/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11" t="str">
        <f>IF(COUNTBLANK(B1719:W1719)&gt;0,"NA",'batch classification'!J1725)</f>
        <v>NA</v>
      </c>
    </row>
    <row r="1720" spans="1:24" x14ac:dyDescent="0.25">
      <c r="A1720" s="45"/>
      <c r="B1720" s="45"/>
      <c r="C1720" s="45"/>
      <c r="D1720" s="45"/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11" t="str">
        <f>IF(COUNTBLANK(B1720:W1720)&gt;0,"NA",'batch classification'!J1726)</f>
        <v>NA</v>
      </c>
    </row>
    <row r="1721" spans="1:24" x14ac:dyDescent="0.25">
      <c r="A1721" s="45"/>
      <c r="B1721" s="45"/>
      <c r="C1721" s="45"/>
      <c r="D1721" s="45"/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11" t="str">
        <f>IF(COUNTBLANK(B1721:W1721)&gt;0,"NA",'batch classification'!J1727)</f>
        <v>NA</v>
      </c>
    </row>
    <row r="1722" spans="1:24" x14ac:dyDescent="0.25">
      <c r="A1722" s="45"/>
      <c r="B1722" s="45"/>
      <c r="C1722" s="45"/>
      <c r="D1722" s="45"/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11" t="str">
        <f>IF(COUNTBLANK(B1722:W1722)&gt;0,"NA",'batch classification'!J1728)</f>
        <v>NA</v>
      </c>
    </row>
    <row r="1723" spans="1:24" x14ac:dyDescent="0.25">
      <c r="A1723" s="45"/>
      <c r="B1723" s="45"/>
      <c r="C1723" s="45"/>
      <c r="D1723" s="45"/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11" t="str">
        <f>IF(COUNTBLANK(B1723:W1723)&gt;0,"NA",'batch classification'!J1729)</f>
        <v>NA</v>
      </c>
    </row>
    <row r="1724" spans="1:24" x14ac:dyDescent="0.25">
      <c r="A1724" s="45"/>
      <c r="B1724" s="45"/>
      <c r="C1724" s="45"/>
      <c r="D1724" s="45"/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11" t="str">
        <f>IF(COUNTBLANK(B1724:W1724)&gt;0,"NA",'batch classification'!J1730)</f>
        <v>NA</v>
      </c>
    </row>
    <row r="1725" spans="1:24" x14ac:dyDescent="0.25">
      <c r="A1725" s="45"/>
      <c r="B1725" s="45"/>
      <c r="C1725" s="45"/>
      <c r="D1725" s="45"/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11" t="str">
        <f>IF(COUNTBLANK(B1725:W1725)&gt;0,"NA",'batch classification'!J1731)</f>
        <v>NA</v>
      </c>
    </row>
    <row r="1726" spans="1:24" x14ac:dyDescent="0.25">
      <c r="A1726" s="45"/>
      <c r="B1726" s="45"/>
      <c r="C1726" s="45"/>
      <c r="D1726" s="45"/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11" t="str">
        <f>IF(COUNTBLANK(B1726:W1726)&gt;0,"NA",'batch classification'!J1732)</f>
        <v>NA</v>
      </c>
    </row>
    <row r="1727" spans="1:24" x14ac:dyDescent="0.25">
      <c r="A1727" s="45"/>
      <c r="B1727" s="45"/>
      <c r="C1727" s="45"/>
      <c r="D1727" s="45"/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11" t="str">
        <f>IF(COUNTBLANK(B1727:W1727)&gt;0,"NA",'batch classification'!J1733)</f>
        <v>NA</v>
      </c>
    </row>
    <row r="1728" spans="1:24" x14ac:dyDescent="0.25">
      <c r="A1728" s="45"/>
      <c r="B1728" s="45"/>
      <c r="C1728" s="45"/>
      <c r="D1728" s="45"/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11" t="str">
        <f>IF(COUNTBLANK(B1728:W1728)&gt;0,"NA",'batch classification'!J1734)</f>
        <v>NA</v>
      </c>
    </row>
    <row r="1729" spans="1:24" x14ac:dyDescent="0.25">
      <c r="A1729" s="45"/>
      <c r="B1729" s="45"/>
      <c r="C1729" s="45"/>
      <c r="D1729" s="45"/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11" t="str">
        <f>IF(COUNTBLANK(B1729:W1729)&gt;0,"NA",'batch classification'!J1735)</f>
        <v>NA</v>
      </c>
    </row>
    <row r="1730" spans="1:24" x14ac:dyDescent="0.25">
      <c r="A1730" s="45"/>
      <c r="B1730" s="45"/>
      <c r="C1730" s="45"/>
      <c r="D1730" s="45"/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11" t="str">
        <f>IF(COUNTBLANK(B1730:W1730)&gt;0,"NA",'batch classification'!J1736)</f>
        <v>NA</v>
      </c>
    </row>
    <row r="1731" spans="1:24" x14ac:dyDescent="0.25">
      <c r="A1731" s="45"/>
      <c r="B1731" s="45"/>
      <c r="C1731" s="45"/>
      <c r="D1731" s="45"/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11" t="str">
        <f>IF(COUNTBLANK(B1731:W1731)&gt;0,"NA",'batch classification'!J1737)</f>
        <v>NA</v>
      </c>
    </row>
    <row r="1732" spans="1:24" x14ac:dyDescent="0.25">
      <c r="A1732" s="45"/>
      <c r="B1732" s="45"/>
      <c r="C1732" s="45"/>
      <c r="D1732" s="45"/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11" t="str">
        <f>IF(COUNTBLANK(B1732:W1732)&gt;0,"NA",'batch classification'!J1738)</f>
        <v>NA</v>
      </c>
    </row>
    <row r="1733" spans="1:24" x14ac:dyDescent="0.25">
      <c r="A1733" s="45"/>
      <c r="B1733" s="45"/>
      <c r="C1733" s="45"/>
      <c r="D1733" s="45"/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11" t="str">
        <f>IF(COUNTBLANK(B1733:W1733)&gt;0,"NA",'batch classification'!J1739)</f>
        <v>NA</v>
      </c>
    </row>
    <row r="1734" spans="1:24" x14ac:dyDescent="0.25">
      <c r="A1734" s="45"/>
      <c r="B1734" s="45"/>
      <c r="C1734" s="45"/>
      <c r="D1734" s="45"/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11" t="str">
        <f>IF(COUNTBLANK(B1734:W1734)&gt;0,"NA",'batch classification'!J1740)</f>
        <v>NA</v>
      </c>
    </row>
    <row r="1735" spans="1:24" x14ac:dyDescent="0.25">
      <c r="A1735" s="45"/>
      <c r="B1735" s="45"/>
      <c r="C1735" s="45"/>
      <c r="D1735" s="45"/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11" t="str">
        <f>IF(COUNTBLANK(B1735:W1735)&gt;0,"NA",'batch classification'!J1741)</f>
        <v>NA</v>
      </c>
    </row>
    <row r="1736" spans="1:24" x14ac:dyDescent="0.25">
      <c r="A1736" s="45"/>
      <c r="B1736" s="45"/>
      <c r="C1736" s="45"/>
      <c r="D1736" s="45"/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11" t="str">
        <f>IF(COUNTBLANK(B1736:W1736)&gt;0,"NA",'batch classification'!J1742)</f>
        <v>NA</v>
      </c>
    </row>
    <row r="1737" spans="1:24" x14ac:dyDescent="0.25">
      <c r="A1737" s="45"/>
      <c r="B1737" s="45"/>
      <c r="C1737" s="45"/>
      <c r="D1737" s="45"/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11" t="str">
        <f>IF(COUNTBLANK(B1737:W1737)&gt;0,"NA",'batch classification'!J1743)</f>
        <v>NA</v>
      </c>
    </row>
    <row r="1738" spans="1:24" x14ac:dyDescent="0.25">
      <c r="A1738" s="45"/>
      <c r="B1738" s="45"/>
      <c r="C1738" s="45"/>
      <c r="D1738" s="45"/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11" t="str">
        <f>IF(COUNTBLANK(B1738:W1738)&gt;0,"NA",'batch classification'!J1744)</f>
        <v>NA</v>
      </c>
    </row>
    <row r="1739" spans="1:24" x14ac:dyDescent="0.25">
      <c r="A1739" s="45"/>
      <c r="B1739" s="45"/>
      <c r="C1739" s="45"/>
      <c r="D1739" s="45"/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11" t="str">
        <f>IF(COUNTBLANK(B1739:W1739)&gt;0,"NA",'batch classification'!J1745)</f>
        <v>NA</v>
      </c>
    </row>
    <row r="1740" spans="1:24" x14ac:dyDescent="0.25">
      <c r="A1740" s="45"/>
      <c r="B1740" s="45"/>
      <c r="C1740" s="45"/>
      <c r="D1740" s="45"/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11" t="str">
        <f>IF(COUNTBLANK(B1740:W1740)&gt;0,"NA",'batch classification'!J1746)</f>
        <v>NA</v>
      </c>
    </row>
    <row r="1741" spans="1:24" x14ac:dyDescent="0.25">
      <c r="A1741" s="45"/>
      <c r="B1741" s="45"/>
      <c r="C1741" s="45"/>
      <c r="D1741" s="45"/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11" t="str">
        <f>IF(COUNTBLANK(B1741:W1741)&gt;0,"NA",'batch classification'!J1747)</f>
        <v>NA</v>
      </c>
    </row>
    <row r="1742" spans="1:24" x14ac:dyDescent="0.25">
      <c r="A1742" s="45"/>
      <c r="B1742" s="45"/>
      <c r="C1742" s="45"/>
      <c r="D1742" s="45"/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11" t="str">
        <f>IF(COUNTBLANK(B1742:W1742)&gt;0,"NA",'batch classification'!J1748)</f>
        <v>NA</v>
      </c>
    </row>
    <row r="1743" spans="1:24" x14ac:dyDescent="0.25">
      <c r="A1743" s="45"/>
      <c r="B1743" s="45"/>
      <c r="C1743" s="45"/>
      <c r="D1743" s="45"/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11" t="str">
        <f>IF(COUNTBLANK(B1743:W1743)&gt;0,"NA",'batch classification'!J1749)</f>
        <v>NA</v>
      </c>
    </row>
    <row r="1744" spans="1:24" x14ac:dyDescent="0.25">
      <c r="A1744" s="45"/>
      <c r="B1744" s="45"/>
      <c r="C1744" s="45"/>
      <c r="D1744" s="45"/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11" t="str">
        <f>IF(COUNTBLANK(B1744:W1744)&gt;0,"NA",'batch classification'!J1750)</f>
        <v>NA</v>
      </c>
    </row>
    <row r="1745" spans="1:24" x14ac:dyDescent="0.25">
      <c r="A1745" s="45"/>
      <c r="B1745" s="45"/>
      <c r="C1745" s="45"/>
      <c r="D1745" s="45"/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11" t="str">
        <f>IF(COUNTBLANK(B1745:W1745)&gt;0,"NA",'batch classification'!J1751)</f>
        <v>NA</v>
      </c>
    </row>
    <row r="1746" spans="1:24" x14ac:dyDescent="0.25">
      <c r="A1746" s="45"/>
      <c r="B1746" s="45"/>
      <c r="C1746" s="45"/>
      <c r="D1746" s="45"/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11" t="str">
        <f>IF(COUNTBLANK(B1746:W1746)&gt;0,"NA",'batch classification'!J1752)</f>
        <v>NA</v>
      </c>
    </row>
    <row r="1747" spans="1:24" x14ac:dyDescent="0.25">
      <c r="A1747" s="45"/>
      <c r="B1747" s="45"/>
      <c r="C1747" s="45"/>
      <c r="D1747" s="45"/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11" t="str">
        <f>IF(COUNTBLANK(B1747:W1747)&gt;0,"NA",'batch classification'!J1753)</f>
        <v>NA</v>
      </c>
    </row>
    <row r="1748" spans="1:24" x14ac:dyDescent="0.25">
      <c r="A1748" s="45"/>
      <c r="B1748" s="45"/>
      <c r="C1748" s="45"/>
      <c r="D1748" s="45"/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11" t="str">
        <f>IF(COUNTBLANK(B1748:W1748)&gt;0,"NA",'batch classification'!J1754)</f>
        <v>NA</v>
      </c>
    </row>
    <row r="1749" spans="1:24" x14ac:dyDescent="0.25">
      <c r="A1749" s="45"/>
      <c r="B1749" s="45"/>
      <c r="C1749" s="45"/>
      <c r="D1749" s="45"/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11" t="str">
        <f>IF(COUNTBLANK(B1749:W1749)&gt;0,"NA",'batch classification'!J1755)</f>
        <v>NA</v>
      </c>
    </row>
    <row r="1750" spans="1:24" x14ac:dyDescent="0.25">
      <c r="A1750" s="45"/>
      <c r="B1750" s="45"/>
      <c r="C1750" s="45"/>
      <c r="D1750" s="45"/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11" t="str">
        <f>IF(COUNTBLANK(B1750:W1750)&gt;0,"NA",'batch classification'!J1756)</f>
        <v>NA</v>
      </c>
    </row>
    <row r="1751" spans="1:24" x14ac:dyDescent="0.25">
      <c r="A1751" s="45"/>
      <c r="B1751" s="45"/>
      <c r="C1751" s="45"/>
      <c r="D1751" s="45"/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11" t="str">
        <f>IF(COUNTBLANK(B1751:W1751)&gt;0,"NA",'batch classification'!J1757)</f>
        <v>NA</v>
      </c>
    </row>
    <row r="1752" spans="1:24" x14ac:dyDescent="0.25">
      <c r="A1752" s="45"/>
      <c r="B1752" s="45"/>
      <c r="C1752" s="45"/>
      <c r="D1752" s="45"/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11" t="str">
        <f>IF(COUNTBLANK(B1752:W1752)&gt;0,"NA",'batch classification'!J1758)</f>
        <v>NA</v>
      </c>
    </row>
    <row r="1753" spans="1:24" x14ac:dyDescent="0.25">
      <c r="A1753" s="45"/>
      <c r="B1753" s="45"/>
      <c r="C1753" s="45"/>
      <c r="D1753" s="45"/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11" t="str">
        <f>IF(COUNTBLANK(B1753:W1753)&gt;0,"NA",'batch classification'!J1759)</f>
        <v>NA</v>
      </c>
    </row>
    <row r="1754" spans="1:24" x14ac:dyDescent="0.25">
      <c r="A1754" s="45"/>
      <c r="B1754" s="45"/>
      <c r="C1754" s="45"/>
      <c r="D1754" s="45"/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11" t="str">
        <f>IF(COUNTBLANK(B1754:W1754)&gt;0,"NA",'batch classification'!J1760)</f>
        <v>NA</v>
      </c>
    </row>
    <row r="1755" spans="1:24" x14ac:dyDescent="0.25">
      <c r="A1755" s="45"/>
      <c r="B1755" s="45"/>
      <c r="C1755" s="45"/>
      <c r="D1755" s="45"/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11" t="str">
        <f>IF(COUNTBLANK(B1755:W1755)&gt;0,"NA",'batch classification'!J1761)</f>
        <v>NA</v>
      </c>
    </row>
    <row r="1756" spans="1:24" x14ac:dyDescent="0.25">
      <c r="A1756" s="45"/>
      <c r="B1756" s="45"/>
      <c r="C1756" s="45"/>
      <c r="D1756" s="45"/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11" t="str">
        <f>IF(COUNTBLANK(B1756:W1756)&gt;0,"NA",'batch classification'!J1762)</f>
        <v>NA</v>
      </c>
    </row>
    <row r="1757" spans="1:24" x14ac:dyDescent="0.25">
      <c r="A1757" s="45"/>
      <c r="B1757" s="45"/>
      <c r="C1757" s="45"/>
      <c r="D1757" s="45"/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11" t="str">
        <f>IF(COUNTBLANK(B1757:W1757)&gt;0,"NA",'batch classification'!J1763)</f>
        <v>NA</v>
      </c>
    </row>
    <row r="1758" spans="1:24" x14ac:dyDescent="0.25">
      <c r="A1758" s="45"/>
      <c r="B1758" s="45"/>
      <c r="C1758" s="45"/>
      <c r="D1758" s="45"/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11" t="str">
        <f>IF(COUNTBLANK(B1758:W1758)&gt;0,"NA",'batch classification'!J1764)</f>
        <v>NA</v>
      </c>
    </row>
    <row r="1759" spans="1:24" x14ac:dyDescent="0.25">
      <c r="A1759" s="45"/>
      <c r="B1759" s="45"/>
      <c r="C1759" s="45"/>
      <c r="D1759" s="45"/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11" t="str">
        <f>IF(COUNTBLANK(B1759:W1759)&gt;0,"NA",'batch classification'!J1765)</f>
        <v>NA</v>
      </c>
    </row>
    <row r="1760" spans="1:24" x14ac:dyDescent="0.25">
      <c r="A1760" s="45"/>
      <c r="B1760" s="45"/>
      <c r="C1760" s="45"/>
      <c r="D1760" s="45"/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11" t="str">
        <f>IF(COUNTBLANK(B1760:W1760)&gt;0,"NA",'batch classification'!J1766)</f>
        <v>NA</v>
      </c>
    </row>
    <row r="1761" spans="1:24" x14ac:dyDescent="0.25">
      <c r="A1761" s="45"/>
      <c r="B1761" s="45"/>
      <c r="C1761" s="45"/>
      <c r="D1761" s="45"/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11" t="str">
        <f>IF(COUNTBLANK(B1761:W1761)&gt;0,"NA",'batch classification'!J1767)</f>
        <v>NA</v>
      </c>
    </row>
    <row r="1762" spans="1:24" x14ac:dyDescent="0.25">
      <c r="A1762" s="45"/>
      <c r="B1762" s="45"/>
      <c r="C1762" s="45"/>
      <c r="D1762" s="45"/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11" t="str">
        <f>IF(COUNTBLANK(B1762:W1762)&gt;0,"NA",'batch classification'!J1768)</f>
        <v>NA</v>
      </c>
    </row>
    <row r="1763" spans="1:24" x14ac:dyDescent="0.25">
      <c r="A1763" s="45"/>
      <c r="B1763" s="45"/>
      <c r="C1763" s="45"/>
      <c r="D1763" s="45"/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11" t="str">
        <f>IF(COUNTBLANK(B1763:W1763)&gt;0,"NA",'batch classification'!J1769)</f>
        <v>NA</v>
      </c>
    </row>
    <row r="1764" spans="1:24" x14ac:dyDescent="0.25">
      <c r="A1764" s="45"/>
      <c r="B1764" s="45"/>
      <c r="C1764" s="45"/>
      <c r="D1764" s="45"/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11" t="str">
        <f>IF(COUNTBLANK(B1764:W1764)&gt;0,"NA",'batch classification'!J1770)</f>
        <v>NA</v>
      </c>
    </row>
    <row r="1765" spans="1:24" x14ac:dyDescent="0.25">
      <c r="A1765" s="45"/>
      <c r="B1765" s="45"/>
      <c r="C1765" s="45"/>
      <c r="D1765" s="45"/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11" t="str">
        <f>IF(COUNTBLANK(B1765:W1765)&gt;0,"NA",'batch classification'!J1771)</f>
        <v>NA</v>
      </c>
    </row>
    <row r="1766" spans="1:24" x14ac:dyDescent="0.25">
      <c r="A1766" s="45"/>
      <c r="B1766" s="45"/>
      <c r="C1766" s="45"/>
      <c r="D1766" s="45"/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11" t="str">
        <f>IF(COUNTBLANK(B1766:W1766)&gt;0,"NA",'batch classification'!J1772)</f>
        <v>NA</v>
      </c>
    </row>
    <row r="1767" spans="1:24" x14ac:dyDescent="0.25">
      <c r="A1767" s="45"/>
      <c r="B1767" s="45"/>
      <c r="C1767" s="45"/>
      <c r="D1767" s="45"/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11" t="str">
        <f>IF(COUNTBLANK(B1767:W1767)&gt;0,"NA",'batch classification'!J1773)</f>
        <v>NA</v>
      </c>
    </row>
    <row r="1768" spans="1:24" x14ac:dyDescent="0.25">
      <c r="A1768" s="45"/>
      <c r="B1768" s="45"/>
      <c r="C1768" s="45"/>
      <c r="D1768" s="45"/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11" t="str">
        <f>IF(COUNTBLANK(B1768:W1768)&gt;0,"NA",'batch classification'!J1774)</f>
        <v>NA</v>
      </c>
    </row>
    <row r="1769" spans="1:24" x14ac:dyDescent="0.25">
      <c r="A1769" s="45"/>
      <c r="B1769" s="45"/>
      <c r="C1769" s="45"/>
      <c r="D1769" s="45"/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11" t="str">
        <f>IF(COUNTBLANK(B1769:W1769)&gt;0,"NA",'batch classification'!J1775)</f>
        <v>NA</v>
      </c>
    </row>
    <row r="1770" spans="1:24" x14ac:dyDescent="0.25">
      <c r="A1770" s="45"/>
      <c r="B1770" s="45"/>
      <c r="C1770" s="45"/>
      <c r="D1770" s="45"/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11" t="str">
        <f>IF(COUNTBLANK(B1770:W1770)&gt;0,"NA",'batch classification'!J1776)</f>
        <v>NA</v>
      </c>
    </row>
    <row r="1771" spans="1:24" x14ac:dyDescent="0.25">
      <c r="A1771" s="45"/>
      <c r="B1771" s="45"/>
      <c r="C1771" s="45"/>
      <c r="D1771" s="45"/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11" t="str">
        <f>IF(COUNTBLANK(B1771:W1771)&gt;0,"NA",'batch classification'!J1777)</f>
        <v>NA</v>
      </c>
    </row>
    <row r="1772" spans="1:24" x14ac:dyDescent="0.25">
      <c r="A1772" s="45"/>
      <c r="B1772" s="45"/>
      <c r="C1772" s="45"/>
      <c r="D1772" s="45"/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11" t="str">
        <f>IF(COUNTBLANK(B1772:W1772)&gt;0,"NA",'batch classification'!J1778)</f>
        <v>NA</v>
      </c>
    </row>
    <row r="1773" spans="1:24" x14ac:dyDescent="0.25">
      <c r="A1773" s="45"/>
      <c r="B1773" s="45"/>
      <c r="C1773" s="45"/>
      <c r="D1773" s="45"/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11" t="str">
        <f>IF(COUNTBLANK(B1773:W1773)&gt;0,"NA",'batch classification'!J1779)</f>
        <v>NA</v>
      </c>
    </row>
    <row r="1774" spans="1:24" x14ac:dyDescent="0.25">
      <c r="A1774" s="45"/>
      <c r="B1774" s="45"/>
      <c r="C1774" s="45"/>
      <c r="D1774" s="45"/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11" t="str">
        <f>IF(COUNTBLANK(B1774:W1774)&gt;0,"NA",'batch classification'!J1780)</f>
        <v>NA</v>
      </c>
    </row>
    <row r="1775" spans="1:24" x14ac:dyDescent="0.25">
      <c r="A1775" s="45"/>
      <c r="B1775" s="45"/>
      <c r="C1775" s="45"/>
      <c r="D1775" s="45"/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11" t="str">
        <f>IF(COUNTBLANK(B1775:W1775)&gt;0,"NA",'batch classification'!J1781)</f>
        <v>NA</v>
      </c>
    </row>
    <row r="1776" spans="1:24" x14ac:dyDescent="0.25">
      <c r="A1776" s="45"/>
      <c r="B1776" s="45"/>
      <c r="C1776" s="45"/>
      <c r="D1776" s="45"/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11" t="str">
        <f>IF(COUNTBLANK(B1776:W1776)&gt;0,"NA",'batch classification'!J1782)</f>
        <v>NA</v>
      </c>
    </row>
    <row r="1777" spans="1:24" x14ac:dyDescent="0.25">
      <c r="A1777" s="45"/>
      <c r="B1777" s="45"/>
      <c r="C1777" s="45"/>
      <c r="D1777" s="45"/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11" t="str">
        <f>IF(COUNTBLANK(B1777:W1777)&gt;0,"NA",'batch classification'!J1783)</f>
        <v>NA</v>
      </c>
    </row>
    <row r="1778" spans="1:24" x14ac:dyDescent="0.25">
      <c r="A1778" s="45"/>
      <c r="B1778" s="45"/>
      <c r="C1778" s="45"/>
      <c r="D1778" s="45"/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11" t="str">
        <f>IF(COUNTBLANK(B1778:W1778)&gt;0,"NA",'batch classification'!J1784)</f>
        <v>NA</v>
      </c>
    </row>
    <row r="1779" spans="1:24" x14ac:dyDescent="0.25">
      <c r="A1779" s="45"/>
      <c r="B1779" s="45"/>
      <c r="C1779" s="45"/>
      <c r="D1779" s="45"/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11" t="str">
        <f>IF(COUNTBLANK(B1779:W1779)&gt;0,"NA",'batch classification'!J1785)</f>
        <v>NA</v>
      </c>
    </row>
    <row r="1780" spans="1:24" x14ac:dyDescent="0.25">
      <c r="A1780" s="45"/>
      <c r="B1780" s="45"/>
      <c r="C1780" s="45"/>
      <c r="D1780" s="45"/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11" t="str">
        <f>IF(COUNTBLANK(B1780:W1780)&gt;0,"NA",'batch classification'!J1786)</f>
        <v>NA</v>
      </c>
    </row>
    <row r="1781" spans="1:24" x14ac:dyDescent="0.25">
      <c r="A1781" s="45"/>
      <c r="B1781" s="45"/>
      <c r="C1781" s="45"/>
      <c r="D1781" s="45"/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11" t="str">
        <f>IF(COUNTBLANK(B1781:W1781)&gt;0,"NA",'batch classification'!J1787)</f>
        <v>NA</v>
      </c>
    </row>
    <row r="1782" spans="1:24" x14ac:dyDescent="0.25">
      <c r="A1782" s="45"/>
      <c r="B1782" s="45"/>
      <c r="C1782" s="45"/>
      <c r="D1782" s="45"/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11" t="str">
        <f>IF(COUNTBLANK(B1782:W1782)&gt;0,"NA",'batch classification'!J1788)</f>
        <v>NA</v>
      </c>
    </row>
    <row r="1783" spans="1:24" x14ac:dyDescent="0.25">
      <c r="A1783" s="45"/>
      <c r="B1783" s="45"/>
      <c r="C1783" s="45"/>
      <c r="D1783" s="45"/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11" t="str">
        <f>IF(COUNTBLANK(B1783:W1783)&gt;0,"NA",'batch classification'!J1789)</f>
        <v>NA</v>
      </c>
    </row>
    <row r="1784" spans="1:24" x14ac:dyDescent="0.25">
      <c r="A1784" s="45"/>
      <c r="B1784" s="45"/>
      <c r="C1784" s="45"/>
      <c r="D1784" s="45"/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11" t="str">
        <f>IF(COUNTBLANK(B1784:W1784)&gt;0,"NA",'batch classification'!J1790)</f>
        <v>NA</v>
      </c>
    </row>
    <row r="1785" spans="1:24" x14ac:dyDescent="0.25">
      <c r="A1785" s="45"/>
      <c r="B1785" s="45"/>
      <c r="C1785" s="45"/>
      <c r="D1785" s="45"/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11" t="str">
        <f>IF(COUNTBLANK(B1785:W1785)&gt;0,"NA",'batch classification'!J1791)</f>
        <v>NA</v>
      </c>
    </row>
    <row r="1786" spans="1:24" x14ac:dyDescent="0.25">
      <c r="A1786" s="45"/>
      <c r="B1786" s="45"/>
      <c r="C1786" s="45"/>
      <c r="D1786" s="45"/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11" t="str">
        <f>IF(COUNTBLANK(B1786:W1786)&gt;0,"NA",'batch classification'!J1792)</f>
        <v>NA</v>
      </c>
    </row>
    <row r="1787" spans="1:24" x14ac:dyDescent="0.25">
      <c r="A1787" s="45"/>
      <c r="B1787" s="45"/>
      <c r="C1787" s="45"/>
      <c r="D1787" s="45"/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11" t="str">
        <f>IF(COUNTBLANK(B1787:W1787)&gt;0,"NA",'batch classification'!J1793)</f>
        <v>NA</v>
      </c>
    </row>
    <row r="1788" spans="1:24" x14ac:dyDescent="0.25">
      <c r="A1788" s="45"/>
      <c r="B1788" s="45"/>
      <c r="C1788" s="45"/>
      <c r="D1788" s="45"/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11" t="str">
        <f>IF(COUNTBLANK(B1788:W1788)&gt;0,"NA",'batch classification'!J1794)</f>
        <v>NA</v>
      </c>
    </row>
    <row r="1789" spans="1:24" x14ac:dyDescent="0.25">
      <c r="A1789" s="45"/>
      <c r="B1789" s="45"/>
      <c r="C1789" s="45"/>
      <c r="D1789" s="45"/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11" t="str">
        <f>IF(COUNTBLANK(B1789:W1789)&gt;0,"NA",'batch classification'!J1795)</f>
        <v>NA</v>
      </c>
    </row>
    <row r="1790" spans="1:24" x14ac:dyDescent="0.25">
      <c r="A1790" s="45"/>
      <c r="B1790" s="45"/>
      <c r="C1790" s="45"/>
      <c r="D1790" s="45"/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11" t="str">
        <f>IF(COUNTBLANK(B1790:W1790)&gt;0,"NA",'batch classification'!J1796)</f>
        <v>NA</v>
      </c>
    </row>
    <row r="1791" spans="1:24" x14ac:dyDescent="0.25">
      <c r="A1791" s="45"/>
      <c r="B1791" s="45"/>
      <c r="C1791" s="45"/>
      <c r="D1791" s="45"/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11" t="str">
        <f>IF(COUNTBLANK(B1791:W1791)&gt;0,"NA",'batch classification'!J1797)</f>
        <v>NA</v>
      </c>
    </row>
    <row r="1792" spans="1:24" x14ac:dyDescent="0.25">
      <c r="A1792" s="45"/>
      <c r="B1792" s="45"/>
      <c r="C1792" s="45"/>
      <c r="D1792" s="45"/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11" t="str">
        <f>IF(COUNTBLANK(B1792:W1792)&gt;0,"NA",'batch classification'!J1798)</f>
        <v>NA</v>
      </c>
    </row>
    <row r="1793" spans="1:24" x14ac:dyDescent="0.25">
      <c r="A1793" s="45"/>
      <c r="B1793" s="45"/>
      <c r="C1793" s="45"/>
      <c r="D1793" s="45"/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11" t="str">
        <f>IF(COUNTBLANK(B1793:W1793)&gt;0,"NA",'batch classification'!J1799)</f>
        <v>NA</v>
      </c>
    </row>
    <row r="1794" spans="1:24" x14ac:dyDescent="0.25">
      <c r="A1794" s="45"/>
      <c r="B1794" s="45"/>
      <c r="C1794" s="45"/>
      <c r="D1794" s="45"/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11" t="str">
        <f>IF(COUNTBLANK(B1794:W1794)&gt;0,"NA",'batch classification'!J1800)</f>
        <v>NA</v>
      </c>
    </row>
    <row r="1795" spans="1:24" x14ac:dyDescent="0.25">
      <c r="A1795" s="45"/>
      <c r="B1795" s="45"/>
      <c r="C1795" s="45"/>
      <c r="D1795" s="45"/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11" t="str">
        <f>IF(COUNTBLANK(B1795:W1795)&gt;0,"NA",'batch classification'!J1801)</f>
        <v>NA</v>
      </c>
    </row>
    <row r="1796" spans="1:24" x14ac:dyDescent="0.25">
      <c r="A1796" s="45"/>
      <c r="B1796" s="45"/>
      <c r="C1796" s="45"/>
      <c r="D1796" s="45"/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11" t="str">
        <f>IF(COUNTBLANK(B1796:W1796)&gt;0,"NA",'batch classification'!J1802)</f>
        <v>NA</v>
      </c>
    </row>
    <row r="1797" spans="1:24" x14ac:dyDescent="0.25">
      <c r="A1797" s="45"/>
      <c r="B1797" s="45"/>
      <c r="C1797" s="45"/>
      <c r="D1797" s="45"/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11" t="str">
        <f>IF(COUNTBLANK(B1797:W1797)&gt;0,"NA",'batch classification'!J1803)</f>
        <v>NA</v>
      </c>
    </row>
    <row r="1798" spans="1:24" x14ac:dyDescent="0.25">
      <c r="A1798" s="45"/>
      <c r="B1798" s="45"/>
      <c r="C1798" s="45"/>
      <c r="D1798" s="45"/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11" t="str">
        <f>IF(COUNTBLANK(B1798:W1798)&gt;0,"NA",'batch classification'!J1804)</f>
        <v>NA</v>
      </c>
    </row>
    <row r="1799" spans="1:24" x14ac:dyDescent="0.25">
      <c r="A1799" s="45"/>
      <c r="B1799" s="45"/>
      <c r="C1799" s="45"/>
      <c r="D1799" s="45"/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11" t="str">
        <f>IF(COUNTBLANK(B1799:W1799)&gt;0,"NA",'batch classification'!J1805)</f>
        <v>NA</v>
      </c>
    </row>
    <row r="1800" spans="1:24" x14ac:dyDescent="0.25">
      <c r="A1800" s="45"/>
      <c r="B1800" s="45"/>
      <c r="C1800" s="45"/>
      <c r="D1800" s="45"/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11" t="str">
        <f>IF(COUNTBLANK(B1800:W1800)&gt;0,"NA",'batch classification'!J1806)</f>
        <v>NA</v>
      </c>
    </row>
    <row r="1801" spans="1:24" x14ac:dyDescent="0.25">
      <c r="A1801" s="45"/>
      <c r="B1801" s="45"/>
      <c r="C1801" s="45"/>
      <c r="D1801" s="45"/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11" t="str">
        <f>IF(COUNTBLANK(B1801:W1801)&gt;0,"NA",'batch classification'!J1807)</f>
        <v>NA</v>
      </c>
    </row>
    <row r="1802" spans="1:24" x14ac:dyDescent="0.25">
      <c r="A1802" s="45"/>
      <c r="B1802" s="45"/>
      <c r="C1802" s="45"/>
      <c r="D1802" s="45"/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11" t="str">
        <f>IF(COUNTBLANK(B1802:W1802)&gt;0,"NA",'batch classification'!J1808)</f>
        <v>NA</v>
      </c>
    </row>
    <row r="1803" spans="1:24" x14ac:dyDescent="0.25">
      <c r="A1803" s="45"/>
      <c r="B1803" s="45"/>
      <c r="C1803" s="45"/>
      <c r="D1803" s="45"/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11" t="str">
        <f>IF(COUNTBLANK(B1803:W1803)&gt;0,"NA",'batch classification'!J1809)</f>
        <v>NA</v>
      </c>
    </row>
    <row r="1804" spans="1:24" x14ac:dyDescent="0.25">
      <c r="A1804" s="45"/>
      <c r="B1804" s="45"/>
      <c r="C1804" s="45"/>
      <c r="D1804" s="45"/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11" t="str">
        <f>IF(COUNTBLANK(B1804:W1804)&gt;0,"NA",'batch classification'!J1810)</f>
        <v>NA</v>
      </c>
    </row>
    <row r="1805" spans="1:24" x14ac:dyDescent="0.25">
      <c r="A1805" s="45"/>
      <c r="B1805" s="45"/>
      <c r="C1805" s="45"/>
      <c r="D1805" s="45"/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11" t="str">
        <f>IF(COUNTBLANK(B1805:W1805)&gt;0,"NA",'batch classification'!J1811)</f>
        <v>NA</v>
      </c>
    </row>
    <row r="1806" spans="1:24" x14ac:dyDescent="0.25">
      <c r="A1806" s="45"/>
      <c r="B1806" s="45"/>
      <c r="C1806" s="45"/>
      <c r="D1806" s="45"/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11" t="str">
        <f>IF(COUNTBLANK(B1806:W1806)&gt;0,"NA",'batch classification'!J1812)</f>
        <v>NA</v>
      </c>
    </row>
    <row r="1807" spans="1:24" x14ac:dyDescent="0.25">
      <c r="A1807" s="45"/>
      <c r="B1807" s="45"/>
      <c r="C1807" s="45"/>
      <c r="D1807" s="45"/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11" t="str">
        <f>IF(COUNTBLANK(B1807:W1807)&gt;0,"NA",'batch classification'!J1813)</f>
        <v>NA</v>
      </c>
    </row>
    <row r="1808" spans="1:24" x14ac:dyDescent="0.25">
      <c r="A1808" s="45"/>
      <c r="B1808" s="45"/>
      <c r="C1808" s="45"/>
      <c r="D1808" s="45"/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11" t="str">
        <f>IF(COUNTBLANK(B1808:W1808)&gt;0,"NA",'batch classification'!J1814)</f>
        <v>NA</v>
      </c>
    </row>
    <row r="1809" spans="1:24" x14ac:dyDescent="0.25">
      <c r="A1809" s="45"/>
      <c r="B1809" s="45"/>
      <c r="C1809" s="45"/>
      <c r="D1809" s="45"/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11" t="str">
        <f>IF(COUNTBLANK(B1809:W1809)&gt;0,"NA",'batch classification'!J1815)</f>
        <v>NA</v>
      </c>
    </row>
    <row r="1810" spans="1:24" x14ac:dyDescent="0.25">
      <c r="A1810" s="45"/>
      <c r="B1810" s="45"/>
      <c r="C1810" s="45"/>
      <c r="D1810" s="45"/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11" t="str">
        <f>IF(COUNTBLANK(B1810:W1810)&gt;0,"NA",'batch classification'!J1816)</f>
        <v>NA</v>
      </c>
    </row>
    <row r="1811" spans="1:24" x14ac:dyDescent="0.25">
      <c r="A1811" s="45"/>
      <c r="B1811" s="45"/>
      <c r="C1811" s="45"/>
      <c r="D1811" s="45"/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11" t="str">
        <f>IF(COUNTBLANK(B1811:W1811)&gt;0,"NA",'batch classification'!J1817)</f>
        <v>NA</v>
      </c>
    </row>
    <row r="1812" spans="1:24" x14ac:dyDescent="0.25">
      <c r="A1812" s="45"/>
      <c r="B1812" s="45"/>
      <c r="C1812" s="45"/>
      <c r="D1812" s="45"/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11" t="str">
        <f>IF(COUNTBLANK(B1812:W1812)&gt;0,"NA",'batch classification'!J1818)</f>
        <v>NA</v>
      </c>
    </row>
    <row r="1813" spans="1:24" x14ac:dyDescent="0.25">
      <c r="A1813" s="45"/>
      <c r="B1813" s="45"/>
      <c r="C1813" s="45"/>
      <c r="D1813" s="45"/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11" t="str">
        <f>IF(COUNTBLANK(B1813:W1813)&gt;0,"NA",'batch classification'!J1819)</f>
        <v>NA</v>
      </c>
    </row>
    <row r="1814" spans="1:24" x14ac:dyDescent="0.25">
      <c r="A1814" s="45"/>
      <c r="B1814" s="45"/>
      <c r="C1814" s="45"/>
      <c r="D1814" s="45"/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11" t="str">
        <f>IF(COUNTBLANK(B1814:W1814)&gt;0,"NA",'batch classification'!J1820)</f>
        <v>NA</v>
      </c>
    </row>
    <row r="1815" spans="1:24" x14ac:dyDescent="0.25">
      <c r="A1815" s="45"/>
      <c r="B1815" s="45"/>
      <c r="C1815" s="45"/>
      <c r="D1815" s="45"/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11" t="str">
        <f>IF(COUNTBLANK(B1815:W1815)&gt;0,"NA",'batch classification'!J1821)</f>
        <v>NA</v>
      </c>
    </row>
    <row r="1816" spans="1:24" x14ac:dyDescent="0.25">
      <c r="A1816" s="45"/>
      <c r="B1816" s="45"/>
      <c r="C1816" s="45"/>
      <c r="D1816" s="45"/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11" t="str">
        <f>IF(COUNTBLANK(B1816:W1816)&gt;0,"NA",'batch classification'!J1822)</f>
        <v>NA</v>
      </c>
    </row>
    <row r="1817" spans="1:24" x14ac:dyDescent="0.25">
      <c r="A1817" s="45"/>
      <c r="B1817" s="45"/>
      <c r="C1817" s="45"/>
      <c r="D1817" s="45"/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11" t="str">
        <f>IF(COUNTBLANK(B1817:W1817)&gt;0,"NA",'batch classification'!J1823)</f>
        <v>NA</v>
      </c>
    </row>
    <row r="1818" spans="1:24" x14ac:dyDescent="0.25">
      <c r="A1818" s="45"/>
      <c r="B1818" s="45"/>
      <c r="C1818" s="45"/>
      <c r="D1818" s="45"/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11" t="str">
        <f>IF(COUNTBLANK(B1818:W1818)&gt;0,"NA",'batch classification'!J1824)</f>
        <v>NA</v>
      </c>
    </row>
    <row r="1819" spans="1:24" x14ac:dyDescent="0.25">
      <c r="A1819" s="45"/>
      <c r="B1819" s="45"/>
      <c r="C1819" s="45"/>
      <c r="D1819" s="45"/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11" t="str">
        <f>IF(COUNTBLANK(B1819:W1819)&gt;0,"NA",'batch classification'!J1825)</f>
        <v>NA</v>
      </c>
    </row>
    <row r="1820" spans="1:24" x14ac:dyDescent="0.25">
      <c r="A1820" s="45"/>
      <c r="B1820" s="45"/>
      <c r="C1820" s="45"/>
      <c r="D1820" s="45"/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11" t="str">
        <f>IF(COUNTBLANK(B1820:W1820)&gt;0,"NA",'batch classification'!J1826)</f>
        <v>NA</v>
      </c>
    </row>
    <row r="1821" spans="1:24" x14ac:dyDescent="0.25">
      <c r="A1821" s="45"/>
      <c r="B1821" s="45"/>
      <c r="C1821" s="45"/>
      <c r="D1821" s="45"/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11" t="str">
        <f>IF(COUNTBLANK(B1821:W1821)&gt;0,"NA",'batch classification'!J1827)</f>
        <v>NA</v>
      </c>
    </row>
    <row r="1822" spans="1:24" x14ac:dyDescent="0.25">
      <c r="A1822" s="45"/>
      <c r="B1822" s="45"/>
      <c r="C1822" s="45"/>
      <c r="D1822" s="45"/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11" t="str">
        <f>IF(COUNTBLANK(B1822:W1822)&gt;0,"NA",'batch classification'!J1828)</f>
        <v>NA</v>
      </c>
    </row>
    <row r="1823" spans="1:24" x14ac:dyDescent="0.25">
      <c r="A1823" s="45"/>
      <c r="B1823" s="45"/>
      <c r="C1823" s="45"/>
      <c r="D1823" s="45"/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11" t="str">
        <f>IF(COUNTBLANK(B1823:W1823)&gt;0,"NA",'batch classification'!J1829)</f>
        <v>NA</v>
      </c>
    </row>
    <row r="1824" spans="1:24" x14ac:dyDescent="0.25">
      <c r="A1824" s="45"/>
      <c r="B1824" s="45"/>
      <c r="C1824" s="45"/>
      <c r="D1824" s="45"/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11" t="str">
        <f>IF(COUNTBLANK(B1824:W1824)&gt;0,"NA",'batch classification'!J1830)</f>
        <v>NA</v>
      </c>
    </row>
    <row r="1825" spans="1:24" x14ac:dyDescent="0.25">
      <c r="A1825" s="45"/>
      <c r="B1825" s="45"/>
      <c r="C1825" s="45"/>
      <c r="D1825" s="45"/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11" t="str">
        <f>IF(COUNTBLANK(B1825:W1825)&gt;0,"NA",'batch classification'!J1831)</f>
        <v>NA</v>
      </c>
    </row>
    <row r="1826" spans="1:24" x14ac:dyDescent="0.25">
      <c r="A1826" s="45"/>
      <c r="B1826" s="45"/>
      <c r="C1826" s="45"/>
      <c r="D1826" s="45"/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11" t="str">
        <f>IF(COUNTBLANK(B1826:W1826)&gt;0,"NA",'batch classification'!J1832)</f>
        <v>NA</v>
      </c>
    </row>
    <row r="1827" spans="1:24" x14ac:dyDescent="0.25">
      <c r="A1827" s="45"/>
      <c r="B1827" s="45"/>
      <c r="C1827" s="45"/>
      <c r="D1827" s="45"/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11" t="str">
        <f>IF(COUNTBLANK(B1827:W1827)&gt;0,"NA",'batch classification'!J1833)</f>
        <v>NA</v>
      </c>
    </row>
    <row r="1828" spans="1:24" x14ac:dyDescent="0.25">
      <c r="A1828" s="45"/>
      <c r="B1828" s="45"/>
      <c r="C1828" s="45"/>
      <c r="D1828" s="45"/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11" t="str">
        <f>IF(COUNTBLANK(B1828:W1828)&gt;0,"NA",'batch classification'!J1834)</f>
        <v>NA</v>
      </c>
    </row>
    <row r="1829" spans="1:24" x14ac:dyDescent="0.25">
      <c r="A1829" s="45"/>
      <c r="B1829" s="45"/>
      <c r="C1829" s="45"/>
      <c r="D1829" s="45"/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11" t="str">
        <f>IF(COUNTBLANK(B1829:W1829)&gt;0,"NA",'batch classification'!J1835)</f>
        <v>NA</v>
      </c>
    </row>
    <row r="1830" spans="1:24" x14ac:dyDescent="0.25">
      <c r="A1830" s="45"/>
      <c r="B1830" s="45"/>
      <c r="C1830" s="45"/>
      <c r="D1830" s="45"/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11" t="str">
        <f>IF(COUNTBLANK(B1830:W1830)&gt;0,"NA",'batch classification'!J1836)</f>
        <v>NA</v>
      </c>
    </row>
    <row r="1831" spans="1:24" x14ac:dyDescent="0.25">
      <c r="A1831" s="45"/>
      <c r="B1831" s="45"/>
      <c r="C1831" s="45"/>
      <c r="D1831" s="45"/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11" t="str">
        <f>IF(COUNTBLANK(B1831:W1831)&gt;0,"NA",'batch classification'!J1837)</f>
        <v>NA</v>
      </c>
    </row>
    <row r="1832" spans="1:24" x14ac:dyDescent="0.25">
      <c r="A1832" s="45"/>
      <c r="B1832" s="45"/>
      <c r="C1832" s="45"/>
      <c r="D1832" s="45"/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11" t="str">
        <f>IF(COUNTBLANK(B1832:W1832)&gt;0,"NA",'batch classification'!J1838)</f>
        <v>NA</v>
      </c>
    </row>
    <row r="1833" spans="1:24" x14ac:dyDescent="0.25">
      <c r="A1833" s="45"/>
      <c r="B1833" s="45"/>
      <c r="C1833" s="45"/>
      <c r="D1833" s="45"/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11" t="str">
        <f>IF(COUNTBLANK(B1833:W1833)&gt;0,"NA",'batch classification'!J1839)</f>
        <v>NA</v>
      </c>
    </row>
    <row r="1834" spans="1:24" x14ac:dyDescent="0.25">
      <c r="A1834" s="45"/>
      <c r="B1834" s="45"/>
      <c r="C1834" s="45"/>
      <c r="D1834" s="45"/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11" t="str">
        <f>IF(COUNTBLANK(B1834:W1834)&gt;0,"NA",'batch classification'!J1840)</f>
        <v>NA</v>
      </c>
    </row>
    <row r="1835" spans="1:24" x14ac:dyDescent="0.25">
      <c r="A1835" s="45"/>
      <c r="B1835" s="45"/>
      <c r="C1835" s="45"/>
      <c r="D1835" s="45"/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11" t="str">
        <f>IF(COUNTBLANK(B1835:W1835)&gt;0,"NA",'batch classification'!J1841)</f>
        <v>NA</v>
      </c>
    </row>
    <row r="1836" spans="1:24" x14ac:dyDescent="0.25">
      <c r="A1836" s="45"/>
      <c r="B1836" s="45"/>
      <c r="C1836" s="45"/>
      <c r="D1836" s="45"/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11" t="str">
        <f>IF(COUNTBLANK(B1836:W1836)&gt;0,"NA",'batch classification'!J1842)</f>
        <v>NA</v>
      </c>
    </row>
    <row r="1837" spans="1:24" x14ac:dyDescent="0.25">
      <c r="A1837" s="45"/>
      <c r="B1837" s="45"/>
      <c r="C1837" s="45"/>
      <c r="D1837" s="45"/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11" t="str">
        <f>IF(COUNTBLANK(B1837:W1837)&gt;0,"NA",'batch classification'!J1843)</f>
        <v>NA</v>
      </c>
    </row>
    <row r="1838" spans="1:24" x14ac:dyDescent="0.25">
      <c r="A1838" s="45"/>
      <c r="B1838" s="45"/>
      <c r="C1838" s="45"/>
      <c r="D1838" s="45"/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11" t="str">
        <f>IF(COUNTBLANK(B1838:W1838)&gt;0,"NA",'batch classification'!J1844)</f>
        <v>NA</v>
      </c>
    </row>
    <row r="1839" spans="1:24" x14ac:dyDescent="0.25">
      <c r="A1839" s="45"/>
      <c r="B1839" s="45"/>
      <c r="C1839" s="45"/>
      <c r="D1839" s="45"/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11" t="str">
        <f>IF(COUNTBLANK(B1839:W1839)&gt;0,"NA",'batch classification'!J1845)</f>
        <v>NA</v>
      </c>
    </row>
    <row r="1840" spans="1:24" x14ac:dyDescent="0.25">
      <c r="A1840" s="45"/>
      <c r="B1840" s="45"/>
      <c r="C1840" s="45"/>
      <c r="D1840" s="45"/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11" t="str">
        <f>IF(COUNTBLANK(B1840:W1840)&gt;0,"NA",'batch classification'!J1846)</f>
        <v>NA</v>
      </c>
    </row>
    <row r="1841" spans="1:24" x14ac:dyDescent="0.25">
      <c r="A1841" s="45"/>
      <c r="B1841" s="45"/>
      <c r="C1841" s="45"/>
      <c r="D1841" s="45"/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11" t="str">
        <f>IF(COUNTBLANK(B1841:W1841)&gt;0,"NA",'batch classification'!J1847)</f>
        <v>NA</v>
      </c>
    </row>
    <row r="1842" spans="1:24" x14ac:dyDescent="0.25">
      <c r="A1842" s="45"/>
      <c r="B1842" s="45"/>
      <c r="C1842" s="45"/>
      <c r="D1842" s="45"/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11" t="str">
        <f>IF(COUNTBLANK(B1842:W1842)&gt;0,"NA",'batch classification'!J1848)</f>
        <v>NA</v>
      </c>
    </row>
    <row r="1843" spans="1:24" x14ac:dyDescent="0.25">
      <c r="A1843" s="45"/>
      <c r="B1843" s="45"/>
      <c r="C1843" s="45"/>
      <c r="D1843" s="45"/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11" t="str">
        <f>IF(COUNTBLANK(B1843:W1843)&gt;0,"NA",'batch classification'!J1849)</f>
        <v>NA</v>
      </c>
    </row>
    <row r="1844" spans="1:24" x14ac:dyDescent="0.25">
      <c r="A1844" s="45"/>
      <c r="B1844" s="45"/>
      <c r="C1844" s="45"/>
      <c r="D1844" s="45"/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11" t="str">
        <f>IF(COUNTBLANK(B1844:W1844)&gt;0,"NA",'batch classification'!J1850)</f>
        <v>NA</v>
      </c>
    </row>
    <row r="1845" spans="1:24" x14ac:dyDescent="0.25">
      <c r="A1845" s="45"/>
      <c r="B1845" s="45"/>
      <c r="C1845" s="45"/>
      <c r="D1845" s="45"/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11" t="str">
        <f>IF(COUNTBLANK(B1845:W1845)&gt;0,"NA",'batch classification'!J1851)</f>
        <v>NA</v>
      </c>
    </row>
    <row r="1846" spans="1:24" x14ac:dyDescent="0.25">
      <c r="A1846" s="45"/>
      <c r="B1846" s="45"/>
      <c r="C1846" s="45"/>
      <c r="D1846" s="45"/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11" t="str">
        <f>IF(COUNTBLANK(B1846:W1846)&gt;0,"NA",'batch classification'!J1852)</f>
        <v>NA</v>
      </c>
    </row>
    <row r="1847" spans="1:24" x14ac:dyDescent="0.25">
      <c r="A1847" s="45"/>
      <c r="B1847" s="45"/>
      <c r="C1847" s="45"/>
      <c r="D1847" s="45"/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11" t="str">
        <f>IF(COUNTBLANK(B1847:W1847)&gt;0,"NA",'batch classification'!J1853)</f>
        <v>NA</v>
      </c>
    </row>
    <row r="1848" spans="1:24" x14ac:dyDescent="0.25">
      <c r="A1848" s="45"/>
      <c r="B1848" s="45"/>
      <c r="C1848" s="45"/>
      <c r="D1848" s="45"/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11" t="str">
        <f>IF(COUNTBLANK(B1848:W1848)&gt;0,"NA",'batch classification'!J1854)</f>
        <v>NA</v>
      </c>
    </row>
    <row r="1849" spans="1:24" x14ac:dyDescent="0.25">
      <c r="A1849" s="45"/>
      <c r="B1849" s="45"/>
      <c r="C1849" s="45"/>
      <c r="D1849" s="45"/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11" t="str">
        <f>IF(COUNTBLANK(B1849:W1849)&gt;0,"NA",'batch classification'!J1855)</f>
        <v>NA</v>
      </c>
    </row>
    <row r="1850" spans="1:24" x14ac:dyDescent="0.25">
      <c r="A1850" s="45"/>
      <c r="B1850" s="45"/>
      <c r="C1850" s="45"/>
      <c r="D1850" s="45"/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11" t="str">
        <f>IF(COUNTBLANK(B1850:W1850)&gt;0,"NA",'batch classification'!J1856)</f>
        <v>NA</v>
      </c>
    </row>
    <row r="1851" spans="1:24" x14ac:dyDescent="0.25">
      <c r="A1851" s="45"/>
      <c r="B1851" s="45"/>
      <c r="C1851" s="45"/>
      <c r="D1851" s="45"/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11" t="str">
        <f>IF(COUNTBLANK(B1851:W1851)&gt;0,"NA",'batch classification'!J1857)</f>
        <v>NA</v>
      </c>
    </row>
    <row r="1852" spans="1:24" x14ac:dyDescent="0.25">
      <c r="A1852" s="45"/>
      <c r="B1852" s="45"/>
      <c r="C1852" s="45"/>
      <c r="D1852" s="45"/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11" t="str">
        <f>IF(COUNTBLANK(B1852:W1852)&gt;0,"NA",'batch classification'!J1858)</f>
        <v>NA</v>
      </c>
    </row>
    <row r="1853" spans="1:24" x14ac:dyDescent="0.25">
      <c r="A1853" s="45"/>
      <c r="B1853" s="45"/>
      <c r="C1853" s="45"/>
      <c r="D1853" s="45"/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11" t="str">
        <f>IF(COUNTBLANK(B1853:W1853)&gt;0,"NA",'batch classification'!J1859)</f>
        <v>NA</v>
      </c>
    </row>
    <row r="1854" spans="1:24" x14ac:dyDescent="0.25">
      <c r="A1854" s="45"/>
      <c r="B1854" s="45"/>
      <c r="C1854" s="45"/>
      <c r="D1854" s="45"/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11" t="str">
        <f>IF(COUNTBLANK(B1854:W1854)&gt;0,"NA",'batch classification'!J1860)</f>
        <v>NA</v>
      </c>
    </row>
    <row r="1855" spans="1:24" x14ac:dyDescent="0.25">
      <c r="A1855" s="45"/>
      <c r="B1855" s="45"/>
      <c r="C1855" s="45"/>
      <c r="D1855" s="45"/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11" t="str">
        <f>IF(COUNTBLANK(B1855:W1855)&gt;0,"NA",'batch classification'!J1861)</f>
        <v>NA</v>
      </c>
    </row>
    <row r="1856" spans="1:24" x14ac:dyDescent="0.25">
      <c r="A1856" s="45"/>
      <c r="B1856" s="45"/>
      <c r="C1856" s="45"/>
      <c r="D1856" s="45"/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11" t="str">
        <f>IF(COUNTBLANK(B1856:W1856)&gt;0,"NA",'batch classification'!J1862)</f>
        <v>NA</v>
      </c>
    </row>
    <row r="1857" spans="1:24" x14ac:dyDescent="0.25">
      <c r="A1857" s="45"/>
      <c r="B1857" s="45"/>
      <c r="C1857" s="45"/>
      <c r="D1857" s="45"/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11" t="str">
        <f>IF(COUNTBLANK(B1857:W1857)&gt;0,"NA",'batch classification'!J1863)</f>
        <v>NA</v>
      </c>
    </row>
    <row r="1858" spans="1:24" x14ac:dyDescent="0.25">
      <c r="A1858" s="45"/>
      <c r="B1858" s="45"/>
      <c r="C1858" s="45"/>
      <c r="D1858" s="45"/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11" t="str">
        <f>IF(COUNTBLANK(B1858:W1858)&gt;0,"NA",'batch classification'!J1864)</f>
        <v>NA</v>
      </c>
    </row>
    <row r="1859" spans="1:24" x14ac:dyDescent="0.25">
      <c r="A1859" s="45"/>
      <c r="B1859" s="45"/>
      <c r="C1859" s="45"/>
      <c r="D1859" s="45"/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11" t="str">
        <f>IF(COUNTBLANK(B1859:W1859)&gt;0,"NA",'batch classification'!J1865)</f>
        <v>NA</v>
      </c>
    </row>
    <row r="1860" spans="1:24" x14ac:dyDescent="0.25">
      <c r="A1860" s="45"/>
      <c r="B1860" s="45"/>
      <c r="C1860" s="45"/>
      <c r="D1860" s="45"/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11" t="str">
        <f>IF(COUNTBLANK(B1860:W1860)&gt;0,"NA",'batch classification'!J1866)</f>
        <v>NA</v>
      </c>
    </row>
    <row r="1861" spans="1:24" x14ac:dyDescent="0.25">
      <c r="A1861" s="45"/>
      <c r="B1861" s="45"/>
      <c r="C1861" s="45"/>
      <c r="D1861" s="45"/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11" t="str">
        <f>IF(COUNTBLANK(B1861:W1861)&gt;0,"NA",'batch classification'!J1867)</f>
        <v>NA</v>
      </c>
    </row>
    <row r="1862" spans="1:24" x14ac:dyDescent="0.25">
      <c r="A1862" s="45"/>
      <c r="B1862" s="45"/>
      <c r="C1862" s="45"/>
      <c r="D1862" s="45"/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11" t="str">
        <f>IF(COUNTBLANK(B1862:W1862)&gt;0,"NA",'batch classification'!J1868)</f>
        <v>NA</v>
      </c>
    </row>
    <row r="1863" spans="1:24" x14ac:dyDescent="0.25">
      <c r="A1863" s="45"/>
      <c r="B1863" s="45"/>
      <c r="C1863" s="45"/>
      <c r="D1863" s="45"/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11" t="str">
        <f>IF(COUNTBLANK(B1863:W1863)&gt;0,"NA",'batch classification'!J1869)</f>
        <v>NA</v>
      </c>
    </row>
    <row r="1864" spans="1:24" x14ac:dyDescent="0.25">
      <c r="A1864" s="45"/>
      <c r="B1864" s="45"/>
      <c r="C1864" s="45"/>
      <c r="D1864" s="45"/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11" t="str">
        <f>IF(COUNTBLANK(B1864:W1864)&gt;0,"NA",'batch classification'!J1870)</f>
        <v>NA</v>
      </c>
    </row>
    <row r="1865" spans="1:24" x14ac:dyDescent="0.25">
      <c r="A1865" s="45"/>
      <c r="B1865" s="45"/>
      <c r="C1865" s="45"/>
      <c r="D1865" s="45"/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11" t="str">
        <f>IF(COUNTBLANK(B1865:W1865)&gt;0,"NA",'batch classification'!J1871)</f>
        <v>NA</v>
      </c>
    </row>
    <row r="1866" spans="1:24" x14ac:dyDescent="0.25">
      <c r="A1866" s="45"/>
      <c r="B1866" s="45"/>
      <c r="C1866" s="45"/>
      <c r="D1866" s="45"/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11" t="str">
        <f>IF(COUNTBLANK(B1866:W1866)&gt;0,"NA",'batch classification'!J1872)</f>
        <v>NA</v>
      </c>
    </row>
    <row r="1867" spans="1:24" x14ac:dyDescent="0.25">
      <c r="A1867" s="45"/>
      <c r="B1867" s="45"/>
      <c r="C1867" s="45"/>
      <c r="D1867" s="45"/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11" t="str">
        <f>IF(COUNTBLANK(B1867:W1867)&gt;0,"NA",'batch classification'!J1873)</f>
        <v>NA</v>
      </c>
    </row>
    <row r="1868" spans="1:24" x14ac:dyDescent="0.25">
      <c r="A1868" s="45"/>
      <c r="B1868" s="45"/>
      <c r="C1868" s="45"/>
      <c r="D1868" s="45"/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11" t="str">
        <f>IF(COUNTBLANK(B1868:W1868)&gt;0,"NA",'batch classification'!J1874)</f>
        <v>NA</v>
      </c>
    </row>
    <row r="1869" spans="1:24" x14ac:dyDescent="0.25">
      <c r="A1869" s="45"/>
      <c r="B1869" s="45"/>
      <c r="C1869" s="45"/>
      <c r="D1869" s="45"/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11" t="str">
        <f>IF(COUNTBLANK(B1869:W1869)&gt;0,"NA",'batch classification'!J1875)</f>
        <v>NA</v>
      </c>
    </row>
    <row r="1870" spans="1:24" x14ac:dyDescent="0.25">
      <c r="A1870" s="45"/>
      <c r="B1870" s="45"/>
      <c r="C1870" s="45"/>
      <c r="D1870" s="45"/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11" t="str">
        <f>IF(COUNTBLANK(B1870:W1870)&gt;0,"NA",'batch classification'!J1876)</f>
        <v>NA</v>
      </c>
    </row>
    <row r="1871" spans="1:24" x14ac:dyDescent="0.25">
      <c r="A1871" s="45"/>
      <c r="B1871" s="45"/>
      <c r="C1871" s="45"/>
      <c r="D1871" s="45"/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11" t="str">
        <f>IF(COUNTBLANK(B1871:W1871)&gt;0,"NA",'batch classification'!J1877)</f>
        <v>NA</v>
      </c>
    </row>
    <row r="1872" spans="1:24" x14ac:dyDescent="0.25">
      <c r="A1872" s="45"/>
      <c r="B1872" s="45"/>
      <c r="C1872" s="45"/>
      <c r="D1872" s="45"/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11" t="str">
        <f>IF(COUNTBLANK(B1872:W1872)&gt;0,"NA",'batch classification'!J1878)</f>
        <v>NA</v>
      </c>
    </row>
    <row r="1873" spans="1:24" x14ac:dyDescent="0.25">
      <c r="A1873" s="45"/>
      <c r="B1873" s="45"/>
      <c r="C1873" s="45"/>
      <c r="D1873" s="45"/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11" t="str">
        <f>IF(COUNTBLANK(B1873:W1873)&gt;0,"NA",'batch classification'!J1879)</f>
        <v>NA</v>
      </c>
    </row>
    <row r="1874" spans="1:24" x14ac:dyDescent="0.25">
      <c r="A1874" s="45"/>
      <c r="B1874" s="45"/>
      <c r="C1874" s="45"/>
      <c r="D1874" s="45"/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11" t="str">
        <f>IF(COUNTBLANK(B1874:W1874)&gt;0,"NA",'batch classification'!J1880)</f>
        <v>NA</v>
      </c>
    </row>
    <row r="1875" spans="1:24" x14ac:dyDescent="0.25">
      <c r="A1875" s="45"/>
      <c r="B1875" s="45"/>
      <c r="C1875" s="45"/>
      <c r="D1875" s="45"/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11" t="str">
        <f>IF(COUNTBLANK(B1875:W1875)&gt;0,"NA",'batch classification'!J1881)</f>
        <v>NA</v>
      </c>
    </row>
    <row r="1876" spans="1:24" x14ac:dyDescent="0.25">
      <c r="A1876" s="45"/>
      <c r="B1876" s="45"/>
      <c r="C1876" s="45"/>
      <c r="D1876" s="45"/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11" t="str">
        <f>IF(COUNTBLANK(B1876:W1876)&gt;0,"NA",'batch classification'!J1882)</f>
        <v>NA</v>
      </c>
    </row>
    <row r="1877" spans="1:24" x14ac:dyDescent="0.25">
      <c r="A1877" s="45"/>
      <c r="B1877" s="45"/>
      <c r="C1877" s="45"/>
      <c r="D1877" s="45"/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11" t="str">
        <f>IF(COUNTBLANK(B1877:W1877)&gt;0,"NA",'batch classification'!J1883)</f>
        <v>NA</v>
      </c>
    </row>
    <row r="1878" spans="1:24" x14ac:dyDescent="0.25">
      <c r="A1878" s="45"/>
      <c r="B1878" s="45"/>
      <c r="C1878" s="45"/>
      <c r="D1878" s="45"/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11" t="str">
        <f>IF(COUNTBLANK(B1878:W1878)&gt;0,"NA",'batch classification'!J1884)</f>
        <v>NA</v>
      </c>
    </row>
    <row r="1879" spans="1:24" x14ac:dyDescent="0.25">
      <c r="A1879" s="45"/>
      <c r="B1879" s="45"/>
      <c r="C1879" s="45"/>
      <c r="D1879" s="45"/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11" t="str">
        <f>IF(COUNTBLANK(B1879:W1879)&gt;0,"NA",'batch classification'!J1885)</f>
        <v>NA</v>
      </c>
    </row>
    <row r="1880" spans="1:24" x14ac:dyDescent="0.25">
      <c r="A1880" s="45"/>
      <c r="B1880" s="45"/>
      <c r="C1880" s="45"/>
      <c r="D1880" s="45"/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11" t="str">
        <f>IF(COUNTBLANK(B1880:W1880)&gt;0,"NA",'batch classification'!J1886)</f>
        <v>NA</v>
      </c>
    </row>
    <row r="1881" spans="1:24" x14ac:dyDescent="0.25">
      <c r="A1881" s="45"/>
      <c r="B1881" s="45"/>
      <c r="C1881" s="45"/>
      <c r="D1881" s="45"/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11" t="str">
        <f>IF(COUNTBLANK(B1881:W1881)&gt;0,"NA",'batch classification'!J1887)</f>
        <v>NA</v>
      </c>
    </row>
    <row r="1882" spans="1:24" x14ac:dyDescent="0.25">
      <c r="A1882" s="45"/>
      <c r="B1882" s="45"/>
      <c r="C1882" s="45"/>
      <c r="D1882" s="45"/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11" t="str">
        <f>IF(COUNTBLANK(B1882:W1882)&gt;0,"NA",'batch classification'!J1888)</f>
        <v>NA</v>
      </c>
    </row>
    <row r="1883" spans="1:24" x14ac:dyDescent="0.25">
      <c r="A1883" s="45"/>
      <c r="B1883" s="45"/>
      <c r="C1883" s="45"/>
      <c r="D1883" s="45"/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11" t="str">
        <f>IF(COUNTBLANK(B1883:W1883)&gt;0,"NA",'batch classification'!J1889)</f>
        <v>NA</v>
      </c>
    </row>
    <row r="1884" spans="1:24" x14ac:dyDescent="0.25">
      <c r="A1884" s="45"/>
      <c r="B1884" s="45"/>
      <c r="C1884" s="45"/>
      <c r="D1884" s="45"/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11" t="str">
        <f>IF(COUNTBLANK(B1884:W1884)&gt;0,"NA",'batch classification'!J1890)</f>
        <v>NA</v>
      </c>
    </row>
    <row r="1885" spans="1:24" x14ac:dyDescent="0.25">
      <c r="A1885" s="45"/>
      <c r="B1885" s="45"/>
      <c r="C1885" s="45"/>
      <c r="D1885" s="45"/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11" t="str">
        <f>IF(COUNTBLANK(B1885:W1885)&gt;0,"NA",'batch classification'!J1891)</f>
        <v>NA</v>
      </c>
    </row>
    <row r="1886" spans="1:24" x14ac:dyDescent="0.25">
      <c r="A1886" s="45"/>
      <c r="B1886" s="45"/>
      <c r="C1886" s="45"/>
      <c r="D1886" s="45"/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11" t="str">
        <f>IF(COUNTBLANK(B1886:W1886)&gt;0,"NA",'batch classification'!J1892)</f>
        <v>NA</v>
      </c>
    </row>
    <row r="1887" spans="1:24" x14ac:dyDescent="0.25">
      <c r="A1887" s="45"/>
      <c r="B1887" s="45"/>
      <c r="C1887" s="45"/>
      <c r="D1887" s="45"/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11" t="str">
        <f>IF(COUNTBLANK(B1887:W1887)&gt;0,"NA",'batch classification'!J1893)</f>
        <v>NA</v>
      </c>
    </row>
    <row r="1888" spans="1:24" x14ac:dyDescent="0.25">
      <c r="A1888" s="45"/>
      <c r="B1888" s="45"/>
      <c r="C1888" s="45"/>
      <c r="D1888" s="45"/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11" t="str">
        <f>IF(COUNTBLANK(B1888:W1888)&gt;0,"NA",'batch classification'!J1894)</f>
        <v>NA</v>
      </c>
    </row>
    <row r="1889" spans="1:24" x14ac:dyDescent="0.25">
      <c r="A1889" s="45"/>
      <c r="B1889" s="45"/>
      <c r="C1889" s="45"/>
      <c r="D1889" s="45"/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11" t="str">
        <f>IF(COUNTBLANK(B1889:W1889)&gt;0,"NA",'batch classification'!J1895)</f>
        <v>NA</v>
      </c>
    </row>
    <row r="1890" spans="1:24" x14ac:dyDescent="0.25">
      <c r="A1890" s="45"/>
      <c r="B1890" s="45"/>
      <c r="C1890" s="45"/>
      <c r="D1890" s="45"/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11" t="str">
        <f>IF(COUNTBLANK(B1890:W1890)&gt;0,"NA",'batch classification'!J1896)</f>
        <v>NA</v>
      </c>
    </row>
    <row r="1891" spans="1:24" x14ac:dyDescent="0.25">
      <c r="A1891" s="45"/>
      <c r="B1891" s="45"/>
      <c r="C1891" s="45"/>
      <c r="D1891" s="45"/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11" t="str">
        <f>IF(COUNTBLANK(B1891:W1891)&gt;0,"NA",'batch classification'!J1897)</f>
        <v>NA</v>
      </c>
    </row>
    <row r="1892" spans="1:24" x14ac:dyDescent="0.25">
      <c r="A1892" s="45"/>
      <c r="B1892" s="45"/>
      <c r="C1892" s="45"/>
      <c r="D1892" s="45"/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11" t="str">
        <f>IF(COUNTBLANK(B1892:W1892)&gt;0,"NA",'batch classification'!J1898)</f>
        <v>NA</v>
      </c>
    </row>
    <row r="1893" spans="1:24" x14ac:dyDescent="0.25">
      <c r="A1893" s="45"/>
      <c r="B1893" s="45"/>
      <c r="C1893" s="45"/>
      <c r="D1893" s="45"/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11" t="str">
        <f>IF(COUNTBLANK(B1893:W1893)&gt;0,"NA",'batch classification'!J1899)</f>
        <v>NA</v>
      </c>
    </row>
    <row r="1894" spans="1:24" x14ac:dyDescent="0.25">
      <c r="A1894" s="45"/>
      <c r="B1894" s="45"/>
      <c r="C1894" s="45"/>
      <c r="D1894" s="45"/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11" t="str">
        <f>IF(COUNTBLANK(B1894:W1894)&gt;0,"NA",'batch classification'!J1900)</f>
        <v>NA</v>
      </c>
    </row>
    <row r="1895" spans="1:24" x14ac:dyDescent="0.25">
      <c r="A1895" s="45"/>
      <c r="B1895" s="45"/>
      <c r="C1895" s="45"/>
      <c r="D1895" s="45"/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11" t="str">
        <f>IF(COUNTBLANK(B1895:W1895)&gt;0,"NA",'batch classification'!J1901)</f>
        <v>NA</v>
      </c>
    </row>
    <row r="1896" spans="1:24" x14ac:dyDescent="0.25">
      <c r="A1896" s="45"/>
      <c r="B1896" s="45"/>
      <c r="C1896" s="45"/>
      <c r="D1896" s="45"/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11" t="str">
        <f>IF(COUNTBLANK(B1896:W1896)&gt;0,"NA",'batch classification'!J1902)</f>
        <v>NA</v>
      </c>
    </row>
    <row r="1897" spans="1:24" x14ac:dyDescent="0.25">
      <c r="A1897" s="45"/>
      <c r="B1897" s="45"/>
      <c r="C1897" s="45"/>
      <c r="D1897" s="45"/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11" t="str">
        <f>IF(COUNTBLANK(B1897:W1897)&gt;0,"NA",'batch classification'!J1903)</f>
        <v>NA</v>
      </c>
    </row>
    <row r="1898" spans="1:24" x14ac:dyDescent="0.25">
      <c r="A1898" s="45"/>
      <c r="B1898" s="45"/>
      <c r="C1898" s="45"/>
      <c r="D1898" s="45"/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11" t="str">
        <f>IF(COUNTBLANK(B1898:W1898)&gt;0,"NA",'batch classification'!J1904)</f>
        <v>NA</v>
      </c>
    </row>
    <row r="1899" spans="1:24" x14ac:dyDescent="0.25">
      <c r="A1899" s="45"/>
      <c r="B1899" s="45"/>
      <c r="C1899" s="45"/>
      <c r="D1899" s="45"/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11" t="str">
        <f>IF(COUNTBLANK(B1899:W1899)&gt;0,"NA",'batch classification'!J1905)</f>
        <v>NA</v>
      </c>
    </row>
    <row r="1900" spans="1:24" x14ac:dyDescent="0.25">
      <c r="A1900" s="45"/>
      <c r="B1900" s="45"/>
      <c r="C1900" s="45"/>
      <c r="D1900" s="45"/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11" t="str">
        <f>IF(COUNTBLANK(B1900:W1900)&gt;0,"NA",'batch classification'!J1906)</f>
        <v>NA</v>
      </c>
    </row>
    <row r="1901" spans="1:24" x14ac:dyDescent="0.25">
      <c r="A1901" s="45"/>
      <c r="B1901" s="45"/>
      <c r="C1901" s="45"/>
      <c r="D1901" s="45"/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11" t="str">
        <f>IF(COUNTBLANK(B1901:W1901)&gt;0,"NA",'batch classification'!J1907)</f>
        <v>NA</v>
      </c>
    </row>
    <row r="1902" spans="1:24" x14ac:dyDescent="0.25">
      <c r="A1902" s="45"/>
      <c r="B1902" s="45"/>
      <c r="C1902" s="45"/>
      <c r="D1902" s="45"/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11" t="str">
        <f>IF(COUNTBLANK(B1902:W1902)&gt;0,"NA",'batch classification'!J1908)</f>
        <v>NA</v>
      </c>
    </row>
    <row r="1903" spans="1:24" x14ac:dyDescent="0.25">
      <c r="A1903" s="45"/>
      <c r="B1903" s="45"/>
      <c r="C1903" s="45"/>
      <c r="D1903" s="45"/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11" t="str">
        <f>IF(COUNTBLANK(B1903:W1903)&gt;0,"NA",'batch classification'!J1909)</f>
        <v>NA</v>
      </c>
    </row>
    <row r="1904" spans="1:24" x14ac:dyDescent="0.25">
      <c r="A1904" s="45"/>
      <c r="B1904" s="45"/>
      <c r="C1904" s="45"/>
      <c r="D1904" s="45"/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11" t="str">
        <f>IF(COUNTBLANK(B1904:W1904)&gt;0,"NA",'batch classification'!J1910)</f>
        <v>NA</v>
      </c>
    </row>
    <row r="1905" spans="1:24" x14ac:dyDescent="0.25">
      <c r="A1905" s="45"/>
      <c r="B1905" s="45"/>
      <c r="C1905" s="45"/>
      <c r="D1905" s="45"/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11" t="str">
        <f>IF(COUNTBLANK(B1905:W1905)&gt;0,"NA",'batch classification'!J1911)</f>
        <v>NA</v>
      </c>
    </row>
    <row r="1906" spans="1:24" x14ac:dyDescent="0.25">
      <c r="A1906" s="45"/>
      <c r="B1906" s="45"/>
      <c r="C1906" s="45"/>
      <c r="D1906" s="45"/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11" t="str">
        <f>IF(COUNTBLANK(B1906:W1906)&gt;0,"NA",'batch classification'!J1912)</f>
        <v>NA</v>
      </c>
    </row>
    <row r="1907" spans="1:24" x14ac:dyDescent="0.25">
      <c r="A1907" s="45"/>
      <c r="B1907" s="45"/>
      <c r="C1907" s="45"/>
      <c r="D1907" s="45"/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11" t="str">
        <f>IF(COUNTBLANK(B1907:W1907)&gt;0,"NA",'batch classification'!J1913)</f>
        <v>NA</v>
      </c>
    </row>
    <row r="1908" spans="1:24" x14ac:dyDescent="0.25">
      <c r="A1908" s="45"/>
      <c r="B1908" s="45"/>
      <c r="C1908" s="45"/>
      <c r="D1908" s="45"/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11" t="str">
        <f>IF(COUNTBLANK(B1908:W1908)&gt;0,"NA",'batch classification'!J1914)</f>
        <v>NA</v>
      </c>
    </row>
    <row r="1909" spans="1:24" x14ac:dyDescent="0.25">
      <c r="A1909" s="45"/>
      <c r="B1909" s="45"/>
      <c r="C1909" s="45"/>
      <c r="D1909" s="45"/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11" t="str">
        <f>IF(COUNTBLANK(B1909:W1909)&gt;0,"NA",'batch classification'!J1915)</f>
        <v>NA</v>
      </c>
    </row>
    <row r="1910" spans="1:24" x14ac:dyDescent="0.25">
      <c r="A1910" s="45"/>
      <c r="B1910" s="45"/>
      <c r="C1910" s="45"/>
      <c r="D1910" s="45"/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11" t="str">
        <f>IF(COUNTBLANK(B1910:W1910)&gt;0,"NA",'batch classification'!J1916)</f>
        <v>NA</v>
      </c>
    </row>
    <row r="1911" spans="1:24" x14ac:dyDescent="0.25">
      <c r="A1911" s="45"/>
      <c r="B1911" s="45"/>
      <c r="C1911" s="45"/>
      <c r="D1911" s="45"/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11" t="str">
        <f>IF(COUNTBLANK(B1911:W1911)&gt;0,"NA",'batch classification'!J1917)</f>
        <v>NA</v>
      </c>
    </row>
    <row r="1912" spans="1:24" x14ac:dyDescent="0.25">
      <c r="A1912" s="45"/>
      <c r="B1912" s="45"/>
      <c r="C1912" s="45"/>
      <c r="D1912" s="45"/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11" t="str">
        <f>IF(COUNTBLANK(B1912:W1912)&gt;0,"NA",'batch classification'!J1918)</f>
        <v>NA</v>
      </c>
    </row>
    <row r="1913" spans="1:24" x14ac:dyDescent="0.25">
      <c r="A1913" s="45"/>
      <c r="B1913" s="45"/>
      <c r="C1913" s="45"/>
      <c r="D1913" s="45"/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11" t="str">
        <f>IF(COUNTBLANK(B1913:W1913)&gt;0,"NA",'batch classification'!J1919)</f>
        <v>NA</v>
      </c>
    </row>
    <row r="1914" spans="1:24" x14ac:dyDescent="0.25">
      <c r="A1914" s="45"/>
      <c r="B1914" s="45"/>
      <c r="C1914" s="45"/>
      <c r="D1914" s="45"/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11" t="str">
        <f>IF(COUNTBLANK(B1914:W1914)&gt;0,"NA",'batch classification'!J1920)</f>
        <v>NA</v>
      </c>
    </row>
    <row r="1915" spans="1:24" x14ac:dyDescent="0.25">
      <c r="A1915" s="45"/>
      <c r="B1915" s="45"/>
      <c r="C1915" s="45"/>
      <c r="D1915" s="45"/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11" t="str">
        <f>IF(COUNTBLANK(B1915:W1915)&gt;0,"NA",'batch classification'!J1921)</f>
        <v>NA</v>
      </c>
    </row>
    <row r="1916" spans="1:24" x14ac:dyDescent="0.25">
      <c r="A1916" s="45"/>
      <c r="B1916" s="45"/>
      <c r="C1916" s="45"/>
      <c r="D1916" s="45"/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11" t="str">
        <f>IF(COUNTBLANK(B1916:W1916)&gt;0,"NA",'batch classification'!J1922)</f>
        <v>NA</v>
      </c>
    </row>
    <row r="1917" spans="1:24" x14ac:dyDescent="0.25">
      <c r="A1917" s="45"/>
      <c r="B1917" s="45"/>
      <c r="C1917" s="45"/>
      <c r="D1917" s="45"/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11" t="str">
        <f>IF(COUNTBLANK(B1917:W1917)&gt;0,"NA",'batch classification'!J1923)</f>
        <v>NA</v>
      </c>
    </row>
    <row r="1918" spans="1:24" x14ac:dyDescent="0.25">
      <c r="A1918" s="45"/>
      <c r="B1918" s="45"/>
      <c r="C1918" s="45"/>
      <c r="D1918" s="45"/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11" t="str">
        <f>IF(COUNTBLANK(B1918:W1918)&gt;0,"NA",'batch classification'!J1924)</f>
        <v>NA</v>
      </c>
    </row>
    <row r="1919" spans="1:24" x14ac:dyDescent="0.25">
      <c r="A1919" s="45"/>
      <c r="B1919" s="45"/>
      <c r="C1919" s="45"/>
      <c r="D1919" s="45"/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11" t="str">
        <f>IF(COUNTBLANK(B1919:W1919)&gt;0,"NA",'batch classification'!J1925)</f>
        <v>NA</v>
      </c>
    </row>
    <row r="1920" spans="1:24" x14ac:dyDescent="0.25">
      <c r="A1920" s="45"/>
      <c r="B1920" s="45"/>
      <c r="C1920" s="45"/>
      <c r="D1920" s="45"/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11" t="str">
        <f>IF(COUNTBLANK(B1920:W1920)&gt;0,"NA",'batch classification'!J1926)</f>
        <v>NA</v>
      </c>
    </row>
    <row r="1921" spans="1:24" x14ac:dyDescent="0.25">
      <c r="A1921" s="45"/>
      <c r="B1921" s="45"/>
      <c r="C1921" s="45"/>
      <c r="D1921" s="45"/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11" t="str">
        <f>IF(COUNTBLANK(B1921:W1921)&gt;0,"NA",'batch classification'!J1927)</f>
        <v>NA</v>
      </c>
    </row>
    <row r="1922" spans="1:24" x14ac:dyDescent="0.25">
      <c r="A1922" s="45"/>
      <c r="B1922" s="45"/>
      <c r="C1922" s="45"/>
      <c r="D1922" s="45"/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11" t="str">
        <f>IF(COUNTBLANK(B1922:W1922)&gt;0,"NA",'batch classification'!J1928)</f>
        <v>NA</v>
      </c>
    </row>
    <row r="1923" spans="1:24" x14ac:dyDescent="0.25">
      <c r="A1923" s="45"/>
      <c r="B1923" s="45"/>
      <c r="C1923" s="45"/>
      <c r="D1923" s="45"/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11" t="str">
        <f>IF(COUNTBLANK(B1923:W1923)&gt;0,"NA",'batch classification'!J1929)</f>
        <v>NA</v>
      </c>
    </row>
    <row r="1924" spans="1:24" x14ac:dyDescent="0.25">
      <c r="A1924" s="45"/>
      <c r="B1924" s="45"/>
      <c r="C1924" s="45"/>
      <c r="D1924" s="45"/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11" t="str">
        <f>IF(COUNTBLANK(B1924:W1924)&gt;0,"NA",'batch classification'!J1930)</f>
        <v>NA</v>
      </c>
    </row>
    <row r="1925" spans="1:24" x14ac:dyDescent="0.25">
      <c r="A1925" s="45"/>
      <c r="B1925" s="45"/>
      <c r="C1925" s="45"/>
      <c r="D1925" s="45"/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11" t="str">
        <f>IF(COUNTBLANK(B1925:W1925)&gt;0,"NA",'batch classification'!J1931)</f>
        <v>NA</v>
      </c>
    </row>
    <row r="1926" spans="1:24" x14ac:dyDescent="0.25">
      <c r="A1926" s="45"/>
      <c r="B1926" s="45"/>
      <c r="C1926" s="45"/>
      <c r="D1926" s="45"/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11" t="str">
        <f>IF(COUNTBLANK(B1926:W1926)&gt;0,"NA",'batch classification'!J1932)</f>
        <v>NA</v>
      </c>
    </row>
    <row r="1927" spans="1:24" x14ac:dyDescent="0.25">
      <c r="A1927" s="45"/>
      <c r="B1927" s="45"/>
      <c r="C1927" s="45"/>
      <c r="D1927" s="45"/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11" t="str">
        <f>IF(COUNTBLANK(B1927:W1927)&gt;0,"NA",'batch classification'!J1933)</f>
        <v>NA</v>
      </c>
    </row>
    <row r="1928" spans="1:24" x14ac:dyDescent="0.25">
      <c r="A1928" s="45"/>
      <c r="B1928" s="45"/>
      <c r="C1928" s="45"/>
      <c r="D1928" s="45"/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11" t="str">
        <f>IF(COUNTBLANK(B1928:W1928)&gt;0,"NA",'batch classification'!J1934)</f>
        <v>NA</v>
      </c>
    </row>
    <row r="1929" spans="1:24" x14ac:dyDescent="0.25">
      <c r="A1929" s="45"/>
      <c r="B1929" s="45"/>
      <c r="C1929" s="45"/>
      <c r="D1929" s="45"/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11" t="str">
        <f>IF(COUNTBLANK(B1929:W1929)&gt;0,"NA",'batch classification'!J1935)</f>
        <v>NA</v>
      </c>
    </row>
    <row r="1930" spans="1:24" x14ac:dyDescent="0.25">
      <c r="A1930" s="45"/>
      <c r="B1930" s="45"/>
      <c r="C1930" s="45"/>
      <c r="D1930" s="45"/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11" t="str">
        <f>IF(COUNTBLANK(B1930:W1930)&gt;0,"NA",'batch classification'!J1936)</f>
        <v>NA</v>
      </c>
    </row>
    <row r="1931" spans="1:24" x14ac:dyDescent="0.25">
      <c r="A1931" s="45"/>
      <c r="B1931" s="45"/>
      <c r="C1931" s="45"/>
      <c r="D1931" s="45"/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11" t="str">
        <f>IF(COUNTBLANK(B1931:W1931)&gt;0,"NA",'batch classification'!J1937)</f>
        <v>NA</v>
      </c>
    </row>
    <row r="1932" spans="1:24" x14ac:dyDescent="0.25">
      <c r="A1932" s="45"/>
      <c r="B1932" s="45"/>
      <c r="C1932" s="45"/>
      <c r="D1932" s="45"/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11" t="str">
        <f>IF(COUNTBLANK(B1932:W1932)&gt;0,"NA",'batch classification'!J1938)</f>
        <v>NA</v>
      </c>
    </row>
    <row r="1933" spans="1:24" x14ac:dyDescent="0.25">
      <c r="A1933" s="45"/>
      <c r="B1933" s="45"/>
      <c r="C1933" s="45"/>
      <c r="D1933" s="45"/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11" t="str">
        <f>IF(COUNTBLANK(B1933:W1933)&gt;0,"NA",'batch classification'!J1939)</f>
        <v>NA</v>
      </c>
    </row>
    <row r="1934" spans="1:24" x14ac:dyDescent="0.25">
      <c r="A1934" s="45"/>
      <c r="B1934" s="45"/>
      <c r="C1934" s="45"/>
      <c r="D1934" s="45"/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11" t="str">
        <f>IF(COUNTBLANK(B1934:W1934)&gt;0,"NA",'batch classification'!J1940)</f>
        <v>NA</v>
      </c>
    </row>
    <row r="1935" spans="1:24" x14ac:dyDescent="0.25">
      <c r="A1935" s="45"/>
      <c r="B1935" s="45"/>
      <c r="C1935" s="45"/>
      <c r="D1935" s="45"/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11" t="str">
        <f>IF(COUNTBLANK(B1935:W1935)&gt;0,"NA",'batch classification'!J1941)</f>
        <v>NA</v>
      </c>
    </row>
    <row r="1936" spans="1:24" x14ac:dyDescent="0.25">
      <c r="A1936" s="45"/>
      <c r="B1936" s="45"/>
      <c r="C1936" s="45"/>
      <c r="D1936" s="45"/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11" t="str">
        <f>IF(COUNTBLANK(B1936:W1936)&gt;0,"NA",'batch classification'!J1942)</f>
        <v>NA</v>
      </c>
    </row>
    <row r="1937" spans="1:24" x14ac:dyDescent="0.25">
      <c r="A1937" s="45"/>
      <c r="B1937" s="45"/>
      <c r="C1937" s="45"/>
      <c r="D1937" s="45"/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11" t="str">
        <f>IF(COUNTBLANK(B1937:W1937)&gt;0,"NA",'batch classification'!J1943)</f>
        <v>NA</v>
      </c>
    </row>
    <row r="1938" spans="1:24" x14ac:dyDescent="0.25">
      <c r="A1938" s="45"/>
      <c r="B1938" s="45"/>
      <c r="C1938" s="45"/>
      <c r="D1938" s="45"/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11" t="str">
        <f>IF(COUNTBLANK(B1938:W1938)&gt;0,"NA",'batch classification'!J1944)</f>
        <v>NA</v>
      </c>
    </row>
    <row r="1939" spans="1:24" x14ac:dyDescent="0.25">
      <c r="A1939" s="45"/>
      <c r="B1939" s="45"/>
      <c r="C1939" s="45"/>
      <c r="D1939" s="45"/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11" t="str">
        <f>IF(COUNTBLANK(B1939:W1939)&gt;0,"NA",'batch classification'!J1945)</f>
        <v>NA</v>
      </c>
    </row>
    <row r="1940" spans="1:24" x14ac:dyDescent="0.25">
      <c r="A1940" s="45"/>
      <c r="B1940" s="45"/>
      <c r="C1940" s="45"/>
      <c r="D1940" s="45"/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11" t="str">
        <f>IF(COUNTBLANK(B1940:W1940)&gt;0,"NA",'batch classification'!J1946)</f>
        <v>NA</v>
      </c>
    </row>
    <row r="1941" spans="1:24" x14ac:dyDescent="0.25">
      <c r="A1941" s="45"/>
      <c r="B1941" s="45"/>
      <c r="C1941" s="45"/>
      <c r="D1941" s="45"/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11" t="str">
        <f>IF(COUNTBLANK(B1941:W1941)&gt;0,"NA",'batch classification'!J1947)</f>
        <v>NA</v>
      </c>
    </row>
    <row r="1942" spans="1:24" x14ac:dyDescent="0.25">
      <c r="A1942" s="45"/>
      <c r="B1942" s="45"/>
      <c r="C1942" s="45"/>
      <c r="D1942" s="45"/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11" t="str">
        <f>IF(COUNTBLANK(B1942:W1942)&gt;0,"NA",'batch classification'!J1948)</f>
        <v>NA</v>
      </c>
    </row>
    <row r="1943" spans="1:24" x14ac:dyDescent="0.25">
      <c r="A1943" s="45"/>
      <c r="B1943" s="45"/>
      <c r="C1943" s="45"/>
      <c r="D1943" s="45"/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11" t="str">
        <f>IF(COUNTBLANK(B1943:W1943)&gt;0,"NA",'batch classification'!J1949)</f>
        <v>NA</v>
      </c>
    </row>
    <row r="1944" spans="1:24" x14ac:dyDescent="0.25">
      <c r="A1944" s="45"/>
      <c r="B1944" s="45"/>
      <c r="C1944" s="45"/>
      <c r="D1944" s="45"/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11" t="str">
        <f>IF(COUNTBLANK(B1944:W1944)&gt;0,"NA",'batch classification'!J1950)</f>
        <v>NA</v>
      </c>
    </row>
    <row r="1945" spans="1:24" x14ac:dyDescent="0.25">
      <c r="A1945" s="45"/>
      <c r="B1945" s="45"/>
      <c r="C1945" s="45"/>
      <c r="D1945" s="45"/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11" t="str">
        <f>IF(COUNTBLANK(B1945:W1945)&gt;0,"NA",'batch classification'!J1951)</f>
        <v>NA</v>
      </c>
    </row>
    <row r="1946" spans="1:24" x14ac:dyDescent="0.25">
      <c r="A1946" s="45"/>
      <c r="B1946" s="45"/>
      <c r="C1946" s="45"/>
      <c r="D1946" s="45"/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11" t="str">
        <f>IF(COUNTBLANK(B1946:W1946)&gt;0,"NA",'batch classification'!J1952)</f>
        <v>NA</v>
      </c>
    </row>
    <row r="1947" spans="1:24" x14ac:dyDescent="0.25">
      <c r="A1947" s="45"/>
      <c r="B1947" s="45"/>
      <c r="C1947" s="45"/>
      <c r="D1947" s="45"/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11" t="str">
        <f>IF(COUNTBLANK(B1947:W1947)&gt;0,"NA",'batch classification'!J1953)</f>
        <v>NA</v>
      </c>
    </row>
    <row r="1948" spans="1:24" x14ac:dyDescent="0.25">
      <c r="A1948" s="45"/>
      <c r="B1948" s="45"/>
      <c r="C1948" s="45"/>
      <c r="D1948" s="45"/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11" t="str">
        <f>IF(COUNTBLANK(B1948:W1948)&gt;0,"NA",'batch classification'!J1954)</f>
        <v>NA</v>
      </c>
    </row>
    <row r="1949" spans="1:24" x14ac:dyDescent="0.25">
      <c r="A1949" s="45"/>
      <c r="B1949" s="45"/>
      <c r="C1949" s="45"/>
      <c r="D1949" s="45"/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11" t="str">
        <f>IF(COUNTBLANK(B1949:W1949)&gt;0,"NA",'batch classification'!J1955)</f>
        <v>NA</v>
      </c>
    </row>
    <row r="1950" spans="1:24" x14ac:dyDescent="0.25">
      <c r="A1950" s="45"/>
      <c r="B1950" s="45"/>
      <c r="C1950" s="45"/>
      <c r="D1950" s="45"/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11" t="str">
        <f>IF(COUNTBLANK(B1950:W1950)&gt;0,"NA",'batch classification'!J1956)</f>
        <v>NA</v>
      </c>
    </row>
    <row r="1951" spans="1:24" x14ac:dyDescent="0.25">
      <c r="A1951" s="45"/>
      <c r="B1951" s="45"/>
      <c r="C1951" s="45"/>
      <c r="D1951" s="45"/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11" t="str">
        <f>IF(COUNTBLANK(B1951:W1951)&gt;0,"NA",'batch classification'!J1957)</f>
        <v>NA</v>
      </c>
    </row>
    <row r="1952" spans="1:24" x14ac:dyDescent="0.25">
      <c r="A1952" s="45"/>
      <c r="B1952" s="45"/>
      <c r="C1952" s="45"/>
      <c r="D1952" s="45"/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11" t="str">
        <f>IF(COUNTBLANK(B1952:W1952)&gt;0,"NA",'batch classification'!J1958)</f>
        <v>NA</v>
      </c>
    </row>
    <row r="1953" spans="1:24" x14ac:dyDescent="0.25">
      <c r="A1953" s="45"/>
      <c r="B1953" s="45"/>
      <c r="C1953" s="45"/>
      <c r="D1953" s="45"/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11" t="str">
        <f>IF(COUNTBLANK(B1953:W1953)&gt;0,"NA",'batch classification'!J1959)</f>
        <v>NA</v>
      </c>
    </row>
    <row r="1954" spans="1:24" x14ac:dyDescent="0.25">
      <c r="A1954" s="45"/>
      <c r="B1954" s="45"/>
      <c r="C1954" s="45"/>
      <c r="D1954" s="45"/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11" t="str">
        <f>IF(COUNTBLANK(B1954:W1954)&gt;0,"NA",'batch classification'!J1960)</f>
        <v>NA</v>
      </c>
    </row>
    <row r="1955" spans="1:24" x14ac:dyDescent="0.25">
      <c r="A1955" s="45"/>
      <c r="B1955" s="45"/>
      <c r="C1955" s="45"/>
      <c r="D1955" s="45"/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11" t="str">
        <f>IF(COUNTBLANK(B1955:W1955)&gt;0,"NA",'batch classification'!J1961)</f>
        <v>NA</v>
      </c>
    </row>
    <row r="1956" spans="1:24" x14ac:dyDescent="0.25">
      <c r="A1956" s="45"/>
      <c r="B1956" s="45"/>
      <c r="C1956" s="45"/>
      <c r="D1956" s="45"/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11" t="str">
        <f>IF(COUNTBLANK(B1956:W1956)&gt;0,"NA",'batch classification'!J1962)</f>
        <v>NA</v>
      </c>
    </row>
    <row r="1957" spans="1:24" x14ac:dyDescent="0.25">
      <c r="A1957" s="45"/>
      <c r="B1957" s="45"/>
      <c r="C1957" s="45"/>
      <c r="D1957" s="45"/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11" t="str">
        <f>IF(COUNTBLANK(B1957:W1957)&gt;0,"NA",'batch classification'!J1963)</f>
        <v>NA</v>
      </c>
    </row>
    <row r="1958" spans="1:24" x14ac:dyDescent="0.25">
      <c r="A1958" s="45"/>
      <c r="B1958" s="45"/>
      <c r="C1958" s="45"/>
      <c r="D1958" s="45"/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11" t="str">
        <f>IF(COUNTBLANK(B1958:W1958)&gt;0,"NA",'batch classification'!J1964)</f>
        <v>NA</v>
      </c>
    </row>
    <row r="1959" spans="1:24" x14ac:dyDescent="0.25">
      <c r="A1959" s="45"/>
      <c r="B1959" s="45"/>
      <c r="C1959" s="45"/>
      <c r="D1959" s="45"/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11" t="str">
        <f>IF(COUNTBLANK(B1959:W1959)&gt;0,"NA",'batch classification'!J1965)</f>
        <v>NA</v>
      </c>
    </row>
    <row r="1960" spans="1:24" x14ac:dyDescent="0.25">
      <c r="A1960" s="45"/>
      <c r="B1960" s="45"/>
      <c r="C1960" s="45"/>
      <c r="D1960" s="45"/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11" t="str">
        <f>IF(COUNTBLANK(B1960:W1960)&gt;0,"NA",'batch classification'!J1966)</f>
        <v>NA</v>
      </c>
    </row>
    <row r="1961" spans="1:24" x14ac:dyDescent="0.25">
      <c r="A1961" s="45"/>
      <c r="B1961" s="45"/>
      <c r="C1961" s="45"/>
      <c r="D1961" s="45"/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11" t="str">
        <f>IF(COUNTBLANK(B1961:W1961)&gt;0,"NA",'batch classification'!J1967)</f>
        <v>NA</v>
      </c>
    </row>
    <row r="1962" spans="1:24" x14ac:dyDescent="0.25">
      <c r="A1962" s="45"/>
      <c r="B1962" s="45"/>
      <c r="C1962" s="45"/>
      <c r="D1962" s="45"/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11" t="str">
        <f>IF(COUNTBLANK(B1962:W1962)&gt;0,"NA",'batch classification'!J1968)</f>
        <v>NA</v>
      </c>
    </row>
    <row r="1963" spans="1:24" x14ac:dyDescent="0.25">
      <c r="A1963" s="45"/>
      <c r="B1963" s="45"/>
      <c r="C1963" s="45"/>
      <c r="D1963" s="45"/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11" t="str">
        <f>IF(COUNTBLANK(B1963:W1963)&gt;0,"NA",'batch classification'!J1969)</f>
        <v>NA</v>
      </c>
    </row>
    <row r="1964" spans="1:24" x14ac:dyDescent="0.25">
      <c r="A1964" s="45"/>
      <c r="B1964" s="45"/>
      <c r="C1964" s="45"/>
      <c r="D1964" s="45"/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11" t="str">
        <f>IF(COUNTBLANK(B1964:W1964)&gt;0,"NA",'batch classification'!J1970)</f>
        <v>NA</v>
      </c>
    </row>
    <row r="1965" spans="1:24" x14ac:dyDescent="0.25">
      <c r="A1965" s="45"/>
      <c r="B1965" s="45"/>
      <c r="C1965" s="45"/>
      <c r="D1965" s="45"/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11" t="str">
        <f>IF(COUNTBLANK(B1965:W1965)&gt;0,"NA",'batch classification'!J1971)</f>
        <v>NA</v>
      </c>
    </row>
    <row r="1966" spans="1:24" x14ac:dyDescent="0.25">
      <c r="A1966" s="45"/>
      <c r="B1966" s="45"/>
      <c r="C1966" s="45"/>
      <c r="D1966" s="45"/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11" t="str">
        <f>IF(COUNTBLANK(B1966:W1966)&gt;0,"NA",'batch classification'!J1972)</f>
        <v>NA</v>
      </c>
    </row>
    <row r="1967" spans="1:24" x14ac:dyDescent="0.25">
      <c r="A1967" s="45"/>
      <c r="B1967" s="45"/>
      <c r="C1967" s="45"/>
      <c r="D1967" s="45"/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11" t="str">
        <f>IF(COUNTBLANK(B1967:W1967)&gt;0,"NA",'batch classification'!J1973)</f>
        <v>NA</v>
      </c>
    </row>
    <row r="1968" spans="1:24" x14ac:dyDescent="0.25">
      <c r="A1968" s="45"/>
      <c r="B1968" s="45"/>
      <c r="C1968" s="45"/>
      <c r="D1968" s="45"/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11" t="str">
        <f>IF(COUNTBLANK(B1968:W1968)&gt;0,"NA",'batch classification'!J1974)</f>
        <v>NA</v>
      </c>
    </row>
    <row r="1969" spans="1:24" x14ac:dyDescent="0.25">
      <c r="A1969" s="45"/>
      <c r="B1969" s="45"/>
      <c r="C1969" s="45"/>
      <c r="D1969" s="45"/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11" t="str">
        <f>IF(COUNTBLANK(B1969:W1969)&gt;0,"NA",'batch classification'!J1975)</f>
        <v>NA</v>
      </c>
    </row>
    <row r="1970" spans="1:24" x14ac:dyDescent="0.25">
      <c r="A1970" s="45"/>
      <c r="B1970" s="45"/>
      <c r="C1970" s="45"/>
      <c r="D1970" s="45"/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11" t="str">
        <f>IF(COUNTBLANK(B1970:W1970)&gt;0,"NA",'batch classification'!J1976)</f>
        <v>NA</v>
      </c>
    </row>
    <row r="1971" spans="1:24" x14ac:dyDescent="0.25">
      <c r="A1971" s="45"/>
      <c r="B1971" s="45"/>
      <c r="C1971" s="45"/>
      <c r="D1971" s="45"/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11" t="str">
        <f>IF(COUNTBLANK(B1971:W1971)&gt;0,"NA",'batch classification'!J1977)</f>
        <v>NA</v>
      </c>
    </row>
    <row r="1972" spans="1:24" x14ac:dyDescent="0.25">
      <c r="A1972" s="45"/>
      <c r="B1972" s="45"/>
      <c r="C1972" s="45"/>
      <c r="D1972" s="45"/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11" t="str">
        <f>IF(COUNTBLANK(B1972:W1972)&gt;0,"NA",'batch classification'!J1978)</f>
        <v>NA</v>
      </c>
    </row>
    <row r="1973" spans="1:24" x14ac:dyDescent="0.25">
      <c r="A1973" s="45"/>
      <c r="B1973" s="45"/>
      <c r="C1973" s="45"/>
      <c r="D1973" s="45"/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11" t="str">
        <f>IF(COUNTBLANK(B1973:W1973)&gt;0,"NA",'batch classification'!J1979)</f>
        <v>NA</v>
      </c>
    </row>
    <row r="1974" spans="1:24" x14ac:dyDescent="0.25">
      <c r="A1974" s="45"/>
      <c r="B1974" s="45"/>
      <c r="C1974" s="45"/>
      <c r="D1974" s="45"/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11" t="str">
        <f>IF(COUNTBLANK(B1974:W1974)&gt;0,"NA",'batch classification'!J1980)</f>
        <v>NA</v>
      </c>
    </row>
    <row r="1975" spans="1:24" x14ac:dyDescent="0.25">
      <c r="A1975" s="45"/>
      <c r="B1975" s="45"/>
      <c r="C1975" s="45"/>
      <c r="D1975" s="45"/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11" t="str">
        <f>IF(COUNTBLANK(B1975:W1975)&gt;0,"NA",'batch classification'!J1981)</f>
        <v>NA</v>
      </c>
    </row>
    <row r="1976" spans="1:24" x14ac:dyDescent="0.25">
      <c r="A1976" s="45"/>
      <c r="B1976" s="45"/>
      <c r="C1976" s="45"/>
      <c r="D1976" s="45"/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11" t="str">
        <f>IF(COUNTBLANK(B1976:W1976)&gt;0,"NA",'batch classification'!J1982)</f>
        <v>NA</v>
      </c>
    </row>
    <row r="1977" spans="1:24" x14ac:dyDescent="0.25">
      <c r="A1977" s="45"/>
      <c r="B1977" s="45"/>
      <c r="C1977" s="45"/>
      <c r="D1977" s="45"/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11" t="str">
        <f>IF(COUNTBLANK(B1977:W1977)&gt;0,"NA",'batch classification'!J1983)</f>
        <v>NA</v>
      </c>
    </row>
    <row r="1978" spans="1:24" x14ac:dyDescent="0.25">
      <c r="A1978" s="45"/>
      <c r="B1978" s="45"/>
      <c r="C1978" s="45"/>
      <c r="D1978" s="45"/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11" t="str">
        <f>IF(COUNTBLANK(B1978:W1978)&gt;0,"NA",'batch classification'!J1984)</f>
        <v>NA</v>
      </c>
    </row>
    <row r="1979" spans="1:24" x14ac:dyDescent="0.25">
      <c r="A1979" s="45"/>
      <c r="B1979" s="45"/>
      <c r="C1979" s="45"/>
      <c r="D1979" s="45"/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11" t="str">
        <f>IF(COUNTBLANK(B1979:W1979)&gt;0,"NA",'batch classification'!J1985)</f>
        <v>NA</v>
      </c>
    </row>
    <row r="1980" spans="1:24" x14ac:dyDescent="0.25">
      <c r="A1980" s="45"/>
      <c r="B1980" s="45"/>
      <c r="C1980" s="45"/>
      <c r="D1980" s="45"/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11" t="str">
        <f>IF(COUNTBLANK(B1980:W1980)&gt;0,"NA",'batch classification'!J1986)</f>
        <v>NA</v>
      </c>
    </row>
    <row r="1981" spans="1:24" x14ac:dyDescent="0.25">
      <c r="A1981" s="45"/>
      <c r="B1981" s="45"/>
      <c r="C1981" s="45"/>
      <c r="D1981" s="45"/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11" t="str">
        <f>IF(COUNTBLANK(B1981:W1981)&gt;0,"NA",'batch classification'!J1987)</f>
        <v>NA</v>
      </c>
    </row>
    <row r="1982" spans="1:24" x14ac:dyDescent="0.25">
      <c r="A1982" s="45"/>
      <c r="B1982" s="45"/>
      <c r="C1982" s="45"/>
      <c r="D1982" s="45"/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11" t="str">
        <f>IF(COUNTBLANK(B1982:W1982)&gt;0,"NA",'batch classification'!J1988)</f>
        <v>NA</v>
      </c>
    </row>
    <row r="1983" spans="1:24" x14ac:dyDescent="0.25">
      <c r="A1983" s="45"/>
      <c r="B1983" s="45"/>
      <c r="C1983" s="45"/>
      <c r="D1983" s="45"/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11" t="str">
        <f>IF(COUNTBLANK(B1983:W1983)&gt;0,"NA",'batch classification'!J1989)</f>
        <v>NA</v>
      </c>
    </row>
    <row r="1984" spans="1:24" x14ac:dyDescent="0.25">
      <c r="A1984" s="45"/>
      <c r="B1984" s="45"/>
      <c r="C1984" s="45"/>
      <c r="D1984" s="45"/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11" t="str">
        <f>IF(COUNTBLANK(B1984:W1984)&gt;0,"NA",'batch classification'!J1990)</f>
        <v>NA</v>
      </c>
    </row>
    <row r="1985" spans="1:24" x14ac:dyDescent="0.25">
      <c r="A1985" s="45"/>
      <c r="B1985" s="45"/>
      <c r="C1985" s="45"/>
      <c r="D1985" s="45"/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11" t="str">
        <f>IF(COUNTBLANK(B1985:W1985)&gt;0,"NA",'batch classification'!J1991)</f>
        <v>NA</v>
      </c>
    </row>
    <row r="1986" spans="1:24" x14ac:dyDescent="0.25">
      <c r="A1986" s="45"/>
      <c r="B1986" s="45"/>
      <c r="C1986" s="45"/>
      <c r="D1986" s="45"/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11" t="str">
        <f>IF(COUNTBLANK(B1986:W1986)&gt;0,"NA",'batch classification'!J1992)</f>
        <v>NA</v>
      </c>
    </row>
    <row r="1987" spans="1:24" x14ac:dyDescent="0.25">
      <c r="A1987" s="45"/>
      <c r="B1987" s="45"/>
      <c r="C1987" s="45"/>
      <c r="D1987" s="45"/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11" t="str">
        <f>IF(COUNTBLANK(B1987:W1987)&gt;0,"NA",'batch classification'!J1993)</f>
        <v>NA</v>
      </c>
    </row>
    <row r="1988" spans="1:24" x14ac:dyDescent="0.25">
      <c r="A1988" s="45"/>
      <c r="B1988" s="45"/>
      <c r="C1988" s="45"/>
      <c r="D1988" s="45"/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11" t="str">
        <f>IF(COUNTBLANK(B1988:W1988)&gt;0,"NA",'batch classification'!J1994)</f>
        <v>NA</v>
      </c>
    </row>
    <row r="1989" spans="1:24" x14ac:dyDescent="0.25">
      <c r="A1989" s="45"/>
      <c r="B1989" s="45"/>
      <c r="C1989" s="45"/>
      <c r="D1989" s="45"/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11" t="str">
        <f>IF(COUNTBLANK(B1989:W1989)&gt;0,"NA",'batch classification'!J1995)</f>
        <v>NA</v>
      </c>
    </row>
    <row r="1990" spans="1:24" x14ac:dyDescent="0.25">
      <c r="A1990" s="45"/>
      <c r="B1990" s="45"/>
      <c r="C1990" s="45"/>
      <c r="D1990" s="45"/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11" t="str">
        <f>IF(COUNTBLANK(B1990:W1990)&gt;0,"NA",'batch classification'!J1996)</f>
        <v>NA</v>
      </c>
    </row>
    <row r="1991" spans="1:24" x14ac:dyDescent="0.25">
      <c r="A1991" s="45"/>
      <c r="B1991" s="45"/>
      <c r="C1991" s="45"/>
      <c r="D1991" s="45"/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11" t="str">
        <f>IF(COUNTBLANK(B1991:W1991)&gt;0,"NA",'batch classification'!J1997)</f>
        <v>NA</v>
      </c>
    </row>
    <row r="1992" spans="1:24" x14ac:dyDescent="0.25">
      <c r="A1992" s="45"/>
      <c r="B1992" s="45"/>
      <c r="C1992" s="45"/>
      <c r="D1992" s="45"/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11" t="str">
        <f>IF(COUNTBLANK(B1992:W1992)&gt;0,"NA",'batch classification'!J1998)</f>
        <v>NA</v>
      </c>
    </row>
    <row r="1993" spans="1:24" x14ac:dyDescent="0.25">
      <c r="A1993" s="45"/>
      <c r="B1993" s="45"/>
      <c r="C1993" s="45"/>
      <c r="D1993" s="45"/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11" t="str">
        <f>IF(COUNTBLANK(B1993:W1993)&gt;0,"NA",'batch classification'!J1999)</f>
        <v>NA</v>
      </c>
    </row>
    <row r="1994" spans="1:24" x14ac:dyDescent="0.25">
      <c r="A1994" s="45"/>
      <c r="B1994" s="45"/>
      <c r="C1994" s="45"/>
      <c r="D1994" s="45"/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11" t="str">
        <f>IF(COUNTBLANK(B1994:W1994)&gt;0,"NA",'batch classification'!J2000)</f>
        <v>NA</v>
      </c>
    </row>
    <row r="1995" spans="1:24" x14ac:dyDescent="0.25">
      <c r="A1995" s="45"/>
      <c r="B1995" s="45"/>
      <c r="C1995" s="45"/>
      <c r="D1995" s="45"/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11" t="str">
        <f>IF(COUNTBLANK(B1995:W1995)&gt;0,"NA",'batch classification'!J2001)</f>
        <v>NA</v>
      </c>
    </row>
    <row r="1996" spans="1:24" x14ac:dyDescent="0.25">
      <c r="A1996" s="45"/>
      <c r="B1996" s="45"/>
      <c r="C1996" s="45"/>
      <c r="D1996" s="45"/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11" t="str">
        <f>IF(COUNTBLANK(B1996:W1996)&gt;0,"NA",'batch classification'!J2002)</f>
        <v>NA</v>
      </c>
    </row>
    <row r="1997" spans="1:24" x14ac:dyDescent="0.25">
      <c r="A1997" s="45"/>
      <c r="B1997" s="45"/>
      <c r="C1997" s="45"/>
      <c r="D1997" s="45"/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11" t="str">
        <f>IF(COUNTBLANK(B1997:W1997)&gt;0,"NA",'batch classification'!J2003)</f>
        <v>NA</v>
      </c>
    </row>
    <row r="1998" spans="1:24" x14ac:dyDescent="0.25">
      <c r="A1998" s="45"/>
      <c r="B1998" s="45"/>
      <c r="C1998" s="45"/>
      <c r="D1998" s="45"/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11" t="str">
        <f>IF(COUNTBLANK(B1998:W1998)&gt;0,"NA",'batch classification'!J2004)</f>
        <v>NA</v>
      </c>
    </row>
    <row r="1999" spans="1:24" x14ac:dyDescent="0.25">
      <c r="A1999" s="45"/>
      <c r="B1999" s="45"/>
      <c r="C1999" s="45"/>
      <c r="D1999" s="45"/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11" t="str">
        <f>IF(COUNTBLANK(B1999:W1999)&gt;0,"NA",'batch classification'!J2005)</f>
        <v>NA</v>
      </c>
    </row>
    <row r="2000" spans="1:24" x14ac:dyDescent="0.25">
      <c r="A2000" s="45"/>
      <c r="B2000" s="45"/>
      <c r="C2000" s="45"/>
      <c r="D2000" s="45"/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11" t="str">
        <f>IF(COUNTBLANK(B2000:W2000)&gt;0,"NA",'batch classification'!J2006)</f>
        <v>NA</v>
      </c>
    </row>
    <row r="2001" spans="1:24" x14ac:dyDescent="0.25">
      <c r="A2001" s="45"/>
      <c r="B2001" s="45"/>
      <c r="C2001" s="45"/>
      <c r="D2001" s="45"/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11" t="str">
        <f>IF(COUNTBLANK(B2001:W2001)&gt;0,"NA",'batch classification'!J2007)</f>
        <v>NA</v>
      </c>
    </row>
    <row r="2002" spans="1:24" x14ac:dyDescent="0.25">
      <c r="A2002" s="45"/>
      <c r="B2002" s="45"/>
      <c r="C2002" s="45"/>
      <c r="D2002" s="45"/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11" t="str">
        <f>IF(COUNTBLANK(B2002:W2002)&gt;0,"NA",'batch classification'!J2008)</f>
        <v>NA</v>
      </c>
    </row>
    <row r="2003" spans="1:24" x14ac:dyDescent="0.25">
      <c r="A2003" s="45"/>
      <c r="B2003" s="45"/>
      <c r="C2003" s="45"/>
      <c r="D2003" s="45"/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11" t="str">
        <f>IF(COUNTBLANK(B2003:W2003)&gt;0,"NA",'batch classification'!J2009)</f>
        <v>NA</v>
      </c>
    </row>
    <row r="2004" spans="1:24" x14ac:dyDescent="0.25">
      <c r="A2004" s="45"/>
      <c r="B2004" s="45"/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11" t="str">
        <f>IF(COUNTBLANK(B2004:W2004)&gt;0,"NA",'batch classification'!J2010)</f>
        <v>NA</v>
      </c>
    </row>
    <row r="2005" spans="1:24" x14ac:dyDescent="0.25">
      <c r="A2005" s="45"/>
      <c r="B2005" s="46"/>
      <c r="C2005" s="46"/>
      <c r="D2005" s="46"/>
      <c r="E2005" s="46"/>
      <c r="F2005" s="46"/>
      <c r="G2005" s="46"/>
      <c r="H2005" s="46"/>
      <c r="I2005" s="46"/>
      <c r="J2005" s="46"/>
      <c r="K2005" s="46"/>
      <c r="L2005" s="46"/>
      <c r="M2005" s="46"/>
      <c r="N2005" s="46"/>
      <c r="O2005" s="46"/>
      <c r="P2005" s="46"/>
      <c r="Q2005" s="46"/>
      <c r="R2005" s="46"/>
      <c r="S2005" s="46"/>
      <c r="T2005" s="46"/>
      <c r="U2005" s="46"/>
      <c r="V2005" s="46"/>
      <c r="W2005" s="46"/>
      <c r="X2005" s="11" t="str">
        <f>IF(COUNTBLANK(B2005:W2005)&gt;0,"NA",'batch classification'!J2011)</f>
        <v>NA</v>
      </c>
    </row>
    <row r="2006" spans="1:24" x14ac:dyDescent="0.25">
      <c r="A2006" s="45"/>
      <c r="B2006" s="46"/>
      <c r="C2006" s="46"/>
      <c r="D2006" s="46"/>
      <c r="E2006" s="46"/>
      <c r="F2006" s="46"/>
      <c r="G2006" s="46"/>
      <c r="H2006" s="46"/>
      <c r="I2006" s="46"/>
      <c r="J2006" s="46"/>
      <c r="K2006" s="46"/>
      <c r="L2006" s="46"/>
      <c r="M2006" s="46"/>
      <c r="N2006" s="46"/>
      <c r="O2006" s="46"/>
      <c r="P2006" s="46"/>
      <c r="Q2006" s="46"/>
      <c r="R2006" s="46"/>
      <c r="S2006" s="46"/>
      <c r="T2006" s="46"/>
      <c r="U2006" s="46"/>
      <c r="V2006" s="46"/>
      <c r="W2006" s="46"/>
      <c r="X2006" s="11" t="str">
        <f>IF(COUNTBLANK(B2006:W2006)&gt;0,"NA",'batch classification'!J2012)</f>
        <v>NA</v>
      </c>
    </row>
    <row r="2007" spans="1:24" x14ac:dyDescent="0.25">
      <c r="A2007" s="45"/>
      <c r="B2007" s="46"/>
      <c r="C2007" s="46"/>
      <c r="D2007" s="46"/>
      <c r="E2007" s="46"/>
      <c r="F2007" s="46"/>
      <c r="G2007" s="46"/>
      <c r="H2007" s="46"/>
      <c r="I2007" s="46"/>
      <c r="J2007" s="46"/>
      <c r="K2007" s="46"/>
      <c r="L2007" s="46"/>
      <c r="M2007" s="46"/>
      <c r="N2007" s="46"/>
      <c r="O2007" s="46"/>
      <c r="P2007" s="46"/>
      <c r="Q2007" s="46"/>
      <c r="R2007" s="46"/>
      <c r="S2007" s="46"/>
      <c r="T2007" s="46"/>
      <c r="U2007" s="46"/>
      <c r="V2007" s="46"/>
      <c r="W2007" s="46"/>
      <c r="X2007" s="11" t="str">
        <f>IF(COUNTBLANK(B2007:W2007)&gt;0,"NA",'batch classification'!J2013)</f>
        <v>NA</v>
      </c>
    </row>
    <row r="2008" spans="1:24" x14ac:dyDescent="0.25">
      <c r="A2008" s="45"/>
      <c r="B2008" s="46"/>
      <c r="C2008" s="46"/>
      <c r="D2008" s="46"/>
      <c r="E2008" s="46"/>
      <c r="F2008" s="46"/>
      <c r="G2008" s="46"/>
      <c r="H2008" s="46"/>
      <c r="I2008" s="46"/>
      <c r="J2008" s="46"/>
      <c r="K2008" s="46"/>
      <c r="L2008" s="46"/>
      <c r="M2008" s="46"/>
      <c r="N2008" s="46"/>
      <c r="O2008" s="46"/>
      <c r="P2008" s="46"/>
      <c r="Q2008" s="46"/>
      <c r="R2008" s="46"/>
      <c r="S2008" s="46"/>
      <c r="T2008" s="46"/>
      <c r="U2008" s="46"/>
      <c r="V2008" s="46"/>
      <c r="W2008" s="46"/>
      <c r="X2008" s="11" t="str">
        <f>IF(COUNTBLANK(B2008:W2008)&gt;0,"NA",'batch classification'!J2014)</f>
        <v>NA</v>
      </c>
    </row>
    <row r="2009" spans="1:24" x14ac:dyDescent="0.25">
      <c r="A2009" s="45"/>
      <c r="B2009" s="46"/>
      <c r="C2009" s="46"/>
      <c r="D2009" s="46"/>
      <c r="E2009" s="46"/>
      <c r="F2009" s="46"/>
      <c r="G2009" s="46"/>
      <c r="H2009" s="46"/>
      <c r="I2009" s="46"/>
      <c r="J2009" s="46"/>
      <c r="K2009" s="46"/>
      <c r="L2009" s="46"/>
      <c r="M2009" s="46"/>
      <c r="N2009" s="46"/>
      <c r="O2009" s="46"/>
      <c r="P2009" s="46"/>
      <c r="Q2009" s="46"/>
      <c r="R2009" s="46"/>
      <c r="S2009" s="46"/>
      <c r="T2009" s="46"/>
      <c r="U2009" s="46"/>
      <c r="V2009" s="46"/>
      <c r="W2009" s="46"/>
      <c r="X2009" s="11" t="str">
        <f>IF(COUNTBLANK(B2009:W2009)&gt;0,"NA",'batch classification'!J2015)</f>
        <v>NA</v>
      </c>
    </row>
    <row r="2010" spans="1:24" x14ac:dyDescent="0.25">
      <c r="A2010" s="45"/>
      <c r="B2010" s="46"/>
      <c r="C2010" s="46"/>
      <c r="D2010" s="46"/>
      <c r="E2010" s="46"/>
      <c r="F2010" s="46"/>
      <c r="G2010" s="46"/>
      <c r="H2010" s="46"/>
      <c r="I2010" s="46"/>
      <c r="J2010" s="46"/>
      <c r="K2010" s="46"/>
      <c r="L2010" s="46"/>
      <c r="M2010" s="46"/>
      <c r="N2010" s="46"/>
      <c r="O2010" s="46"/>
      <c r="P2010" s="46"/>
      <c r="Q2010" s="46"/>
      <c r="R2010" s="46"/>
      <c r="S2010" s="46"/>
      <c r="T2010" s="46"/>
      <c r="U2010" s="46"/>
      <c r="V2010" s="46"/>
      <c r="W2010" s="46"/>
      <c r="X2010" s="11" t="str">
        <f>IF(COUNTBLANK(B2010:W2010)&gt;0,"NA",'batch classification'!J2016)</f>
        <v>NA</v>
      </c>
    </row>
    <row r="2011" spans="1:24" x14ac:dyDescent="0.25">
      <c r="A2011" s="45"/>
      <c r="B2011" s="46"/>
      <c r="C2011" s="46"/>
      <c r="D2011" s="46"/>
      <c r="E2011" s="46"/>
      <c r="F2011" s="46"/>
      <c r="G2011" s="46"/>
      <c r="H2011" s="46"/>
      <c r="I2011" s="46"/>
      <c r="J2011" s="46"/>
      <c r="K2011" s="46"/>
      <c r="L2011" s="46"/>
      <c r="M2011" s="46"/>
      <c r="N2011" s="46"/>
      <c r="O2011" s="46"/>
      <c r="P2011" s="46"/>
      <c r="Q2011" s="46"/>
      <c r="R2011" s="46"/>
      <c r="S2011" s="46"/>
      <c r="T2011" s="46"/>
      <c r="U2011" s="46"/>
      <c r="V2011" s="46"/>
      <c r="W2011" s="46"/>
      <c r="X2011" s="11" t="str">
        <f>IF(COUNTBLANK(B2011:W2011)&gt;0,"NA",'batch classification'!J2017)</f>
        <v>NA</v>
      </c>
    </row>
    <row r="2012" spans="1:24" x14ac:dyDescent="0.25">
      <c r="A2012" s="45"/>
      <c r="B2012" s="46"/>
      <c r="C2012" s="46"/>
      <c r="D2012" s="46"/>
      <c r="E2012" s="46"/>
      <c r="F2012" s="46"/>
      <c r="G2012" s="46"/>
      <c r="H2012" s="46"/>
      <c r="I2012" s="46"/>
      <c r="J2012" s="46"/>
      <c r="K2012" s="46"/>
      <c r="L2012" s="46"/>
      <c r="M2012" s="46"/>
      <c r="N2012" s="46"/>
      <c r="O2012" s="46"/>
      <c r="P2012" s="46"/>
      <c r="Q2012" s="46"/>
      <c r="R2012" s="46"/>
      <c r="S2012" s="46"/>
      <c r="T2012" s="46"/>
      <c r="U2012" s="46"/>
      <c r="V2012" s="46"/>
      <c r="W2012" s="46"/>
      <c r="X2012" s="11" t="str">
        <f>IF(COUNTBLANK(B2012:W2012)&gt;0,"NA",'batch classification'!J2018)</f>
        <v>NA</v>
      </c>
    </row>
    <row r="2013" spans="1:24" x14ac:dyDescent="0.25">
      <c r="A2013" s="45"/>
      <c r="B2013" s="46"/>
      <c r="C2013" s="46"/>
      <c r="D2013" s="46"/>
      <c r="E2013" s="46"/>
      <c r="F2013" s="46"/>
      <c r="G2013" s="46"/>
      <c r="H2013" s="46"/>
      <c r="I2013" s="46"/>
      <c r="J2013" s="46"/>
      <c r="K2013" s="46"/>
      <c r="L2013" s="46"/>
      <c r="M2013" s="46"/>
      <c r="N2013" s="46"/>
      <c r="O2013" s="46"/>
      <c r="P2013" s="46"/>
      <c r="Q2013" s="46"/>
      <c r="R2013" s="46"/>
      <c r="S2013" s="46"/>
      <c r="T2013" s="46"/>
      <c r="U2013" s="46"/>
      <c r="V2013" s="46"/>
      <c r="W2013" s="46"/>
      <c r="X2013" s="11" t="str">
        <f>IF(COUNTBLANK(B2013:W2013)&gt;0,"NA",'batch classification'!J2019)</f>
        <v>NA</v>
      </c>
    </row>
    <row r="2014" spans="1:24" x14ac:dyDescent="0.25">
      <c r="A2014" s="45"/>
      <c r="B2014" s="46"/>
      <c r="C2014" s="46"/>
      <c r="D2014" s="46"/>
      <c r="E2014" s="46"/>
      <c r="F2014" s="46"/>
      <c r="G2014" s="46"/>
      <c r="H2014" s="46"/>
      <c r="I2014" s="46"/>
      <c r="J2014" s="46"/>
      <c r="K2014" s="46"/>
      <c r="L2014" s="46"/>
      <c r="M2014" s="46"/>
      <c r="N2014" s="46"/>
      <c r="O2014" s="46"/>
      <c r="P2014" s="46"/>
      <c r="Q2014" s="46"/>
      <c r="R2014" s="46"/>
      <c r="S2014" s="46"/>
      <c r="T2014" s="46"/>
      <c r="U2014" s="46"/>
      <c r="V2014" s="46"/>
      <c r="W2014" s="46"/>
      <c r="X2014" s="11" t="str">
        <f>IF(COUNTBLANK(B2014:W2014)&gt;0,"NA",'batch classification'!J2020)</f>
        <v>NA</v>
      </c>
    </row>
    <row r="2015" spans="1:24" x14ac:dyDescent="0.25">
      <c r="A2015" s="45"/>
      <c r="B2015" s="46"/>
      <c r="C2015" s="46"/>
      <c r="D2015" s="46"/>
      <c r="E2015" s="46"/>
      <c r="F2015" s="46"/>
      <c r="G2015" s="46"/>
      <c r="H2015" s="46"/>
      <c r="I2015" s="46"/>
      <c r="J2015" s="46"/>
      <c r="K2015" s="46"/>
      <c r="L2015" s="46"/>
      <c r="M2015" s="46"/>
      <c r="N2015" s="46"/>
      <c r="O2015" s="46"/>
      <c r="P2015" s="46"/>
      <c r="Q2015" s="46"/>
      <c r="R2015" s="46"/>
      <c r="S2015" s="46"/>
      <c r="T2015" s="46"/>
      <c r="U2015" s="46"/>
      <c r="V2015" s="46"/>
      <c r="W2015" s="46"/>
      <c r="X2015" s="11" t="str">
        <f>IF(COUNTBLANK(B2015:W2015)&gt;0,"NA",'batch classification'!J2021)</f>
        <v>NA</v>
      </c>
    </row>
    <row r="2016" spans="1:24" x14ac:dyDescent="0.25">
      <c r="A2016" s="45"/>
      <c r="B2016" s="46"/>
      <c r="C2016" s="46"/>
      <c r="D2016" s="46"/>
      <c r="E2016" s="46"/>
      <c r="F2016" s="46"/>
      <c r="G2016" s="46"/>
      <c r="H2016" s="46"/>
      <c r="I2016" s="46"/>
      <c r="J2016" s="46"/>
      <c r="K2016" s="46"/>
      <c r="L2016" s="46"/>
      <c r="M2016" s="46"/>
      <c r="N2016" s="46"/>
      <c r="O2016" s="46"/>
      <c r="P2016" s="46"/>
      <c r="Q2016" s="46"/>
      <c r="R2016" s="46"/>
      <c r="S2016" s="46"/>
      <c r="T2016" s="46"/>
      <c r="U2016" s="46"/>
      <c r="V2016" s="46"/>
      <c r="W2016" s="46"/>
      <c r="X2016" s="11" t="str">
        <f>IF(COUNTBLANK(B2016:W2016)&gt;0,"NA",'batch classification'!J2022)</f>
        <v>NA</v>
      </c>
    </row>
    <row r="2017" spans="1:24" x14ac:dyDescent="0.25">
      <c r="A2017" s="45"/>
      <c r="B2017" s="46"/>
      <c r="C2017" s="46"/>
      <c r="D2017" s="46"/>
      <c r="E2017" s="46"/>
      <c r="F2017" s="46"/>
      <c r="G2017" s="46"/>
      <c r="H2017" s="46"/>
      <c r="I2017" s="46"/>
      <c r="J2017" s="46"/>
      <c r="K2017" s="46"/>
      <c r="L2017" s="46"/>
      <c r="M2017" s="46"/>
      <c r="N2017" s="46"/>
      <c r="O2017" s="46"/>
      <c r="P2017" s="46"/>
      <c r="Q2017" s="46"/>
      <c r="R2017" s="46"/>
      <c r="S2017" s="46"/>
      <c r="T2017" s="46"/>
      <c r="U2017" s="46"/>
      <c r="V2017" s="46"/>
      <c r="W2017" s="46"/>
      <c r="X2017" s="11" t="str">
        <f>IF(COUNTBLANK(B2017:W2017)&gt;0,"NA",'batch classification'!J2023)</f>
        <v>NA</v>
      </c>
    </row>
    <row r="2018" spans="1:24" x14ac:dyDescent="0.25">
      <c r="A2018" s="45"/>
      <c r="B2018" s="46"/>
      <c r="C2018" s="46"/>
      <c r="D2018" s="46"/>
      <c r="E2018" s="46"/>
      <c r="F2018" s="46"/>
      <c r="G2018" s="46"/>
      <c r="H2018" s="46"/>
      <c r="I2018" s="46"/>
      <c r="J2018" s="46"/>
      <c r="K2018" s="46"/>
      <c r="L2018" s="46"/>
      <c r="M2018" s="46"/>
      <c r="N2018" s="46"/>
      <c r="O2018" s="46"/>
      <c r="P2018" s="46"/>
      <c r="Q2018" s="46"/>
      <c r="R2018" s="46"/>
      <c r="S2018" s="46"/>
      <c r="T2018" s="46"/>
      <c r="U2018" s="46"/>
      <c r="V2018" s="46"/>
      <c r="W2018" s="46"/>
      <c r="X2018" s="11" t="str">
        <f>IF(COUNTBLANK(B2018:W2018)&gt;0,"NA",'batch classification'!J2024)</f>
        <v>NA</v>
      </c>
    </row>
    <row r="2019" spans="1:24" x14ac:dyDescent="0.25">
      <c r="A2019" s="45"/>
      <c r="B2019" s="46"/>
      <c r="C2019" s="46"/>
      <c r="D2019" s="46"/>
      <c r="E2019" s="46"/>
      <c r="F2019" s="46"/>
      <c r="G2019" s="46"/>
      <c r="H2019" s="46"/>
      <c r="I2019" s="46"/>
      <c r="J2019" s="46"/>
      <c r="K2019" s="46"/>
      <c r="L2019" s="46"/>
      <c r="M2019" s="46"/>
      <c r="N2019" s="46"/>
      <c r="O2019" s="46"/>
      <c r="P2019" s="46"/>
      <c r="Q2019" s="46"/>
      <c r="R2019" s="46"/>
      <c r="S2019" s="46"/>
      <c r="T2019" s="46"/>
      <c r="U2019" s="46"/>
      <c r="V2019" s="46"/>
      <c r="W2019" s="46"/>
      <c r="X2019" s="11" t="str">
        <f>IF(COUNTBLANK(B2019:W2019)&gt;0,"NA",'batch classification'!J2025)</f>
        <v>NA</v>
      </c>
    </row>
    <row r="2020" spans="1:24" x14ac:dyDescent="0.25">
      <c r="A2020" s="45"/>
      <c r="B2020" s="46"/>
      <c r="C2020" s="46"/>
      <c r="D2020" s="46"/>
      <c r="E2020" s="46"/>
      <c r="F2020" s="46"/>
      <c r="G2020" s="46"/>
      <c r="H2020" s="46"/>
      <c r="I2020" s="46"/>
      <c r="J2020" s="46"/>
      <c r="K2020" s="46"/>
      <c r="L2020" s="46"/>
      <c r="M2020" s="46"/>
      <c r="N2020" s="46"/>
      <c r="O2020" s="46"/>
      <c r="P2020" s="46"/>
      <c r="Q2020" s="46"/>
      <c r="R2020" s="46"/>
      <c r="S2020" s="46"/>
      <c r="T2020" s="46"/>
      <c r="U2020" s="46"/>
      <c r="V2020" s="46"/>
      <c r="W2020" s="46"/>
      <c r="X2020" s="11" t="str">
        <f>IF(COUNTBLANK(B2020:W2020)&gt;0,"NA",'batch classification'!J2026)</f>
        <v>NA</v>
      </c>
    </row>
    <row r="2021" spans="1:24" x14ac:dyDescent="0.25">
      <c r="A2021" s="45"/>
      <c r="B2021" s="46"/>
      <c r="C2021" s="46"/>
      <c r="D2021" s="46"/>
      <c r="E2021" s="46"/>
      <c r="F2021" s="46"/>
      <c r="G2021" s="46"/>
      <c r="H2021" s="46"/>
      <c r="I2021" s="46"/>
      <c r="J2021" s="46"/>
      <c r="K2021" s="46"/>
      <c r="L2021" s="46"/>
      <c r="M2021" s="46"/>
      <c r="N2021" s="46"/>
      <c r="O2021" s="46"/>
      <c r="P2021" s="46"/>
      <c r="Q2021" s="46"/>
      <c r="R2021" s="46"/>
      <c r="S2021" s="46"/>
      <c r="T2021" s="46"/>
      <c r="U2021" s="46"/>
      <c r="V2021" s="46"/>
      <c r="W2021" s="46"/>
      <c r="X2021" s="11" t="str">
        <f>IF(COUNTBLANK(B2021:W2021)&gt;0,"NA",'batch classification'!J2027)</f>
        <v>NA</v>
      </c>
    </row>
    <row r="2022" spans="1:24" x14ac:dyDescent="0.25">
      <c r="A2022" s="45"/>
      <c r="B2022" s="46"/>
      <c r="C2022" s="46"/>
      <c r="D2022" s="46"/>
      <c r="E2022" s="46"/>
      <c r="F2022" s="46"/>
      <c r="G2022" s="46"/>
      <c r="H2022" s="46"/>
      <c r="I2022" s="46"/>
      <c r="J2022" s="46"/>
      <c r="K2022" s="46"/>
      <c r="L2022" s="46"/>
      <c r="M2022" s="46"/>
      <c r="N2022" s="46"/>
      <c r="O2022" s="46"/>
      <c r="P2022" s="46"/>
      <c r="Q2022" s="46"/>
      <c r="R2022" s="46"/>
      <c r="S2022" s="46"/>
      <c r="T2022" s="46"/>
      <c r="U2022" s="46"/>
      <c r="V2022" s="46"/>
      <c r="W2022" s="46"/>
      <c r="X2022" s="11" t="str">
        <f>IF(COUNTBLANK(B2022:W2022)&gt;0,"NA",'batch classification'!J2028)</f>
        <v>NA</v>
      </c>
    </row>
    <row r="2023" spans="1:24" x14ac:dyDescent="0.25">
      <c r="A2023" s="45"/>
      <c r="B2023" s="46"/>
      <c r="C2023" s="46"/>
      <c r="D2023" s="46"/>
      <c r="E2023" s="46"/>
      <c r="F2023" s="46"/>
      <c r="G2023" s="46"/>
      <c r="H2023" s="46"/>
      <c r="I2023" s="46"/>
      <c r="J2023" s="46"/>
      <c r="K2023" s="46"/>
      <c r="L2023" s="46"/>
      <c r="M2023" s="46"/>
      <c r="N2023" s="46"/>
      <c r="O2023" s="46"/>
      <c r="P2023" s="46"/>
      <c r="Q2023" s="46"/>
      <c r="R2023" s="46"/>
      <c r="S2023" s="46"/>
      <c r="T2023" s="46"/>
      <c r="U2023" s="46"/>
      <c r="V2023" s="46"/>
      <c r="W2023" s="46"/>
      <c r="X2023" s="11" t="str">
        <f>IF(COUNTBLANK(B2023:W2023)&gt;0,"NA",'batch classification'!J2029)</f>
        <v>NA</v>
      </c>
    </row>
    <row r="2024" spans="1:24" x14ac:dyDescent="0.25">
      <c r="A2024" s="45"/>
      <c r="B2024" s="46"/>
      <c r="C2024" s="46"/>
      <c r="D2024" s="46"/>
      <c r="E2024" s="46"/>
      <c r="F2024" s="46"/>
      <c r="G2024" s="46"/>
      <c r="H2024" s="46"/>
      <c r="I2024" s="46"/>
      <c r="J2024" s="46"/>
      <c r="K2024" s="46"/>
      <c r="L2024" s="46"/>
      <c r="M2024" s="46"/>
      <c r="N2024" s="46"/>
      <c r="O2024" s="46"/>
      <c r="P2024" s="46"/>
      <c r="Q2024" s="46"/>
      <c r="R2024" s="46"/>
      <c r="S2024" s="46"/>
      <c r="T2024" s="46"/>
      <c r="U2024" s="46"/>
      <c r="V2024" s="46"/>
      <c r="W2024" s="46"/>
      <c r="X2024" s="11" t="str">
        <f>IF(COUNTBLANK(B2024:W2024)&gt;0,"NA",'batch classification'!J2030)</f>
        <v>NA</v>
      </c>
    </row>
    <row r="2025" spans="1:24" x14ac:dyDescent="0.25">
      <c r="A2025" s="45"/>
      <c r="B2025" s="46"/>
      <c r="C2025" s="46"/>
      <c r="D2025" s="46"/>
      <c r="E2025" s="46"/>
      <c r="F2025" s="46"/>
      <c r="G2025" s="46"/>
      <c r="H2025" s="46"/>
      <c r="I2025" s="46"/>
      <c r="J2025" s="46"/>
      <c r="K2025" s="46"/>
      <c r="L2025" s="46"/>
      <c r="M2025" s="46"/>
      <c r="N2025" s="46"/>
      <c r="O2025" s="46"/>
      <c r="P2025" s="46"/>
      <c r="Q2025" s="46"/>
      <c r="R2025" s="46"/>
      <c r="S2025" s="46"/>
      <c r="T2025" s="46"/>
      <c r="U2025" s="46"/>
      <c r="V2025" s="46"/>
      <c r="W2025" s="46"/>
      <c r="X2025" s="11" t="str">
        <f>IF(COUNTBLANK(B2025:W2025)&gt;0,"NA",'batch classification'!J2031)</f>
        <v>NA</v>
      </c>
    </row>
    <row r="2026" spans="1:24" x14ac:dyDescent="0.25">
      <c r="A2026" s="45"/>
      <c r="B2026" s="46"/>
      <c r="C2026" s="46"/>
      <c r="D2026" s="46"/>
      <c r="E2026" s="46"/>
      <c r="F2026" s="46"/>
      <c r="G2026" s="46"/>
      <c r="H2026" s="46"/>
      <c r="I2026" s="46"/>
      <c r="J2026" s="46"/>
      <c r="K2026" s="46"/>
      <c r="L2026" s="46"/>
      <c r="M2026" s="46"/>
      <c r="N2026" s="46"/>
      <c r="O2026" s="46"/>
      <c r="P2026" s="46"/>
      <c r="Q2026" s="46"/>
      <c r="R2026" s="46"/>
      <c r="S2026" s="46"/>
      <c r="T2026" s="46"/>
      <c r="U2026" s="46"/>
      <c r="V2026" s="46"/>
      <c r="W2026" s="46"/>
      <c r="X2026" s="11" t="str">
        <f>IF(COUNTBLANK(B2026:W2026)&gt;0,"NA",'batch classification'!J2032)</f>
        <v>NA</v>
      </c>
    </row>
    <row r="2027" spans="1:24" x14ac:dyDescent="0.25">
      <c r="A2027" s="45"/>
      <c r="B2027" s="46"/>
      <c r="C2027" s="46"/>
      <c r="D2027" s="46"/>
      <c r="E2027" s="46"/>
      <c r="F2027" s="46"/>
      <c r="G2027" s="46"/>
      <c r="H2027" s="46"/>
      <c r="I2027" s="46"/>
      <c r="J2027" s="46"/>
      <c r="K2027" s="46"/>
      <c r="L2027" s="46"/>
      <c r="M2027" s="46"/>
      <c r="N2027" s="46"/>
      <c r="O2027" s="46"/>
      <c r="P2027" s="46"/>
      <c r="Q2027" s="46"/>
      <c r="R2027" s="46"/>
      <c r="S2027" s="46"/>
      <c r="T2027" s="46"/>
      <c r="U2027" s="46"/>
      <c r="V2027" s="46"/>
      <c r="W2027" s="46"/>
      <c r="X2027" s="11" t="str">
        <f>IF(COUNTBLANK(B2027:W2027)&gt;0,"NA",'batch classification'!J2033)</f>
        <v>NA</v>
      </c>
    </row>
    <row r="2028" spans="1:24" x14ac:dyDescent="0.25">
      <c r="A2028" s="45"/>
      <c r="B2028" s="46"/>
      <c r="C2028" s="46"/>
      <c r="D2028" s="46"/>
      <c r="E2028" s="46"/>
      <c r="F2028" s="46"/>
      <c r="G2028" s="46"/>
      <c r="H2028" s="46"/>
      <c r="I2028" s="46"/>
      <c r="J2028" s="46"/>
      <c r="K2028" s="46"/>
      <c r="L2028" s="46"/>
      <c r="M2028" s="46"/>
      <c r="N2028" s="46"/>
      <c r="O2028" s="46"/>
      <c r="P2028" s="46"/>
      <c r="Q2028" s="46"/>
      <c r="R2028" s="46"/>
      <c r="S2028" s="46"/>
      <c r="T2028" s="46"/>
      <c r="U2028" s="46"/>
      <c r="V2028" s="46"/>
      <c r="W2028" s="46"/>
      <c r="X2028" s="11" t="str">
        <f>IF(COUNTBLANK(B2028:W2028)&gt;0,"NA",'batch classification'!J2034)</f>
        <v>NA</v>
      </c>
    </row>
    <row r="2029" spans="1:24" x14ac:dyDescent="0.25">
      <c r="A2029" s="45"/>
      <c r="B2029" s="46"/>
      <c r="C2029" s="46"/>
      <c r="D2029" s="46"/>
      <c r="E2029" s="46"/>
      <c r="F2029" s="46"/>
      <c r="G2029" s="46"/>
      <c r="H2029" s="46"/>
      <c r="I2029" s="46"/>
      <c r="J2029" s="46"/>
      <c r="K2029" s="46"/>
      <c r="L2029" s="46"/>
      <c r="M2029" s="46"/>
      <c r="N2029" s="46"/>
      <c r="O2029" s="46"/>
      <c r="P2029" s="46"/>
      <c r="Q2029" s="46"/>
      <c r="R2029" s="46"/>
      <c r="S2029" s="46"/>
      <c r="T2029" s="46"/>
      <c r="U2029" s="46"/>
      <c r="V2029" s="46"/>
      <c r="W2029" s="46"/>
      <c r="X2029" s="11" t="str">
        <f>IF(COUNTBLANK(B2029:W2029)&gt;0,"NA",'batch classification'!J2035)</f>
        <v>NA</v>
      </c>
    </row>
    <row r="2030" spans="1:24" x14ac:dyDescent="0.25">
      <c r="A2030" s="45"/>
      <c r="B2030" s="46"/>
      <c r="C2030" s="46"/>
      <c r="D2030" s="46"/>
      <c r="E2030" s="46"/>
      <c r="F2030" s="46"/>
      <c r="G2030" s="46"/>
      <c r="H2030" s="46"/>
      <c r="I2030" s="46"/>
      <c r="J2030" s="46"/>
      <c r="K2030" s="46"/>
      <c r="L2030" s="46"/>
      <c r="M2030" s="46"/>
      <c r="N2030" s="46"/>
      <c r="O2030" s="46"/>
      <c r="P2030" s="46"/>
      <c r="Q2030" s="46"/>
      <c r="R2030" s="46"/>
      <c r="S2030" s="46"/>
      <c r="T2030" s="46"/>
      <c r="U2030" s="46"/>
      <c r="V2030" s="46"/>
      <c r="W2030" s="46"/>
      <c r="X2030" s="11" t="str">
        <f>IF(COUNTBLANK(B2030:W2030)&gt;0,"NA",'batch classification'!J2036)</f>
        <v>NA</v>
      </c>
    </row>
    <row r="2031" spans="1:24" x14ac:dyDescent="0.25">
      <c r="A2031" s="45"/>
      <c r="B2031" s="46"/>
      <c r="C2031" s="46"/>
      <c r="D2031" s="46"/>
      <c r="E2031" s="46"/>
      <c r="F2031" s="46"/>
      <c r="G2031" s="46"/>
      <c r="H2031" s="46"/>
      <c r="I2031" s="46"/>
      <c r="J2031" s="46"/>
      <c r="K2031" s="46"/>
      <c r="L2031" s="46"/>
      <c r="M2031" s="46"/>
      <c r="N2031" s="46"/>
      <c r="O2031" s="46"/>
      <c r="P2031" s="46"/>
      <c r="Q2031" s="46"/>
      <c r="R2031" s="46"/>
      <c r="S2031" s="46"/>
      <c r="T2031" s="46"/>
      <c r="U2031" s="46"/>
      <c r="V2031" s="46"/>
      <c r="W2031" s="46"/>
      <c r="X2031" s="11" t="str">
        <f>IF(COUNTBLANK(B2031:W2031)&gt;0,"NA",'batch classification'!J2037)</f>
        <v>NA</v>
      </c>
    </row>
    <row r="2032" spans="1:24" x14ac:dyDescent="0.25">
      <c r="A2032" s="45"/>
      <c r="B2032" s="46"/>
      <c r="C2032" s="46"/>
      <c r="D2032" s="46"/>
      <c r="E2032" s="46"/>
      <c r="F2032" s="46"/>
      <c r="G2032" s="46"/>
      <c r="H2032" s="46"/>
      <c r="I2032" s="46"/>
      <c r="J2032" s="46"/>
      <c r="K2032" s="46"/>
      <c r="L2032" s="46"/>
      <c r="M2032" s="46"/>
      <c r="N2032" s="46"/>
      <c r="O2032" s="46"/>
      <c r="P2032" s="46"/>
      <c r="Q2032" s="46"/>
      <c r="R2032" s="46"/>
      <c r="S2032" s="46"/>
      <c r="T2032" s="46"/>
      <c r="U2032" s="46"/>
      <c r="V2032" s="46"/>
      <c r="W2032" s="46"/>
      <c r="X2032" s="11" t="str">
        <f>IF(COUNTBLANK(B2032:W2032)&gt;0,"NA",'batch classification'!J2038)</f>
        <v>NA</v>
      </c>
    </row>
    <row r="2033" spans="1:24" x14ac:dyDescent="0.25">
      <c r="A2033" s="45"/>
      <c r="B2033" s="46"/>
      <c r="C2033" s="46"/>
      <c r="D2033" s="46"/>
      <c r="E2033" s="46"/>
      <c r="F2033" s="46"/>
      <c r="G2033" s="46"/>
      <c r="H2033" s="46"/>
      <c r="I2033" s="46"/>
      <c r="J2033" s="46"/>
      <c r="K2033" s="46"/>
      <c r="L2033" s="46"/>
      <c r="M2033" s="46"/>
      <c r="N2033" s="46"/>
      <c r="O2033" s="46"/>
      <c r="P2033" s="46"/>
      <c r="Q2033" s="46"/>
      <c r="R2033" s="46"/>
      <c r="S2033" s="46"/>
      <c r="T2033" s="46"/>
      <c r="U2033" s="46"/>
      <c r="V2033" s="46"/>
      <c r="W2033" s="46"/>
      <c r="X2033" s="11" t="str">
        <f>IF(COUNTBLANK(B2033:W2033)&gt;0,"NA",'batch classification'!J2039)</f>
        <v>NA</v>
      </c>
    </row>
    <row r="2034" spans="1:24" x14ac:dyDescent="0.25">
      <c r="A2034" s="45"/>
      <c r="B2034" s="46"/>
      <c r="C2034" s="46"/>
      <c r="D2034" s="46"/>
      <c r="E2034" s="46"/>
      <c r="F2034" s="46"/>
      <c r="G2034" s="46"/>
      <c r="H2034" s="46"/>
      <c r="I2034" s="46"/>
      <c r="J2034" s="46"/>
      <c r="K2034" s="46"/>
      <c r="L2034" s="46"/>
      <c r="M2034" s="46"/>
      <c r="N2034" s="46"/>
      <c r="O2034" s="46"/>
      <c r="P2034" s="46"/>
      <c r="Q2034" s="46"/>
      <c r="R2034" s="46"/>
      <c r="S2034" s="46"/>
      <c r="T2034" s="46"/>
      <c r="U2034" s="46"/>
      <c r="V2034" s="46"/>
      <c r="W2034" s="46"/>
      <c r="X2034" s="11" t="str">
        <f>IF(COUNTBLANK(B2034:W2034)&gt;0,"NA",'batch classification'!J2040)</f>
        <v>NA</v>
      </c>
    </row>
    <row r="2035" spans="1:24" x14ac:dyDescent="0.25">
      <c r="A2035" s="45"/>
      <c r="B2035" s="46"/>
      <c r="C2035" s="46"/>
      <c r="D2035" s="46"/>
      <c r="E2035" s="46"/>
      <c r="F2035" s="46"/>
      <c r="G2035" s="46"/>
      <c r="H2035" s="46"/>
      <c r="I2035" s="46"/>
      <c r="J2035" s="46"/>
      <c r="K2035" s="46"/>
      <c r="L2035" s="46"/>
      <c r="M2035" s="46"/>
      <c r="N2035" s="46"/>
      <c r="O2035" s="46"/>
      <c r="P2035" s="46"/>
      <c r="Q2035" s="46"/>
      <c r="R2035" s="46"/>
      <c r="S2035" s="46"/>
      <c r="T2035" s="46"/>
      <c r="U2035" s="46"/>
      <c r="V2035" s="46"/>
      <c r="W2035" s="46"/>
      <c r="X2035" s="11" t="str">
        <f>IF(COUNTBLANK(B2035:W2035)&gt;0,"NA",'batch classification'!J2041)</f>
        <v>NA</v>
      </c>
    </row>
    <row r="2036" spans="1:24" x14ac:dyDescent="0.25">
      <c r="A2036" s="45"/>
      <c r="B2036" s="46"/>
      <c r="C2036" s="46"/>
      <c r="D2036" s="46"/>
      <c r="E2036" s="46"/>
      <c r="F2036" s="46"/>
      <c r="G2036" s="46"/>
      <c r="H2036" s="46"/>
      <c r="I2036" s="46"/>
      <c r="J2036" s="46"/>
      <c r="K2036" s="46"/>
      <c r="L2036" s="46"/>
      <c r="M2036" s="46"/>
      <c r="N2036" s="46"/>
      <c r="O2036" s="46"/>
      <c r="P2036" s="46"/>
      <c r="Q2036" s="46"/>
      <c r="R2036" s="46"/>
      <c r="S2036" s="46"/>
      <c r="T2036" s="46"/>
      <c r="U2036" s="46"/>
      <c r="V2036" s="46"/>
      <c r="W2036" s="46"/>
      <c r="X2036" s="11" t="str">
        <f>IF(COUNTBLANK(B2036:W2036)&gt;0,"NA",'batch classification'!J2042)</f>
        <v>NA</v>
      </c>
    </row>
    <row r="2037" spans="1:24" x14ac:dyDescent="0.25">
      <c r="A2037" s="45"/>
      <c r="B2037" s="46"/>
      <c r="C2037" s="46"/>
      <c r="D2037" s="46"/>
      <c r="E2037" s="46"/>
      <c r="F2037" s="46"/>
      <c r="G2037" s="46"/>
      <c r="H2037" s="46"/>
      <c r="I2037" s="46"/>
      <c r="J2037" s="46"/>
      <c r="K2037" s="46"/>
      <c r="L2037" s="46"/>
      <c r="M2037" s="46"/>
      <c r="N2037" s="46"/>
      <c r="O2037" s="46"/>
      <c r="P2037" s="46"/>
      <c r="Q2037" s="46"/>
      <c r="R2037" s="46"/>
      <c r="S2037" s="46"/>
      <c r="T2037" s="46"/>
      <c r="U2037" s="46"/>
      <c r="V2037" s="46"/>
      <c r="W2037" s="46"/>
      <c r="X2037" s="11" t="str">
        <f>IF(COUNTBLANK(B2037:W2037)&gt;0,"NA",'batch classification'!J2043)</f>
        <v>NA</v>
      </c>
    </row>
    <row r="2038" spans="1:24" x14ac:dyDescent="0.25">
      <c r="A2038" s="45"/>
      <c r="B2038" s="46"/>
      <c r="C2038" s="46"/>
      <c r="D2038" s="46"/>
      <c r="E2038" s="46"/>
      <c r="F2038" s="46"/>
      <c r="G2038" s="46"/>
      <c r="H2038" s="46"/>
      <c r="I2038" s="46"/>
      <c r="J2038" s="46"/>
      <c r="K2038" s="46"/>
      <c r="L2038" s="46"/>
      <c r="M2038" s="46"/>
      <c r="N2038" s="46"/>
      <c r="O2038" s="46"/>
      <c r="P2038" s="46"/>
      <c r="Q2038" s="46"/>
      <c r="R2038" s="46"/>
      <c r="S2038" s="46"/>
      <c r="T2038" s="46"/>
      <c r="U2038" s="46"/>
      <c r="V2038" s="46"/>
      <c r="W2038" s="46"/>
      <c r="X2038" s="11" t="str">
        <f>IF(COUNTBLANK(B2038:W2038)&gt;0,"NA",'batch classification'!J2044)</f>
        <v>NA</v>
      </c>
    </row>
    <row r="2039" spans="1:24" x14ac:dyDescent="0.25">
      <c r="A2039" s="45"/>
      <c r="B2039" s="46"/>
      <c r="C2039" s="46"/>
      <c r="D2039" s="46"/>
      <c r="E2039" s="46"/>
      <c r="F2039" s="46"/>
      <c r="G2039" s="46"/>
      <c r="H2039" s="46"/>
      <c r="I2039" s="46"/>
      <c r="J2039" s="46"/>
      <c r="K2039" s="46"/>
      <c r="L2039" s="46"/>
      <c r="M2039" s="46"/>
      <c r="N2039" s="46"/>
      <c r="O2039" s="46"/>
      <c r="P2039" s="46"/>
      <c r="Q2039" s="46"/>
      <c r="R2039" s="46"/>
      <c r="S2039" s="46"/>
      <c r="T2039" s="46"/>
      <c r="U2039" s="46"/>
      <c r="V2039" s="46"/>
      <c r="W2039" s="46"/>
      <c r="X2039" s="11" t="str">
        <f>IF(COUNTBLANK(B2039:W2039)&gt;0,"NA",'batch classification'!J2045)</f>
        <v>NA</v>
      </c>
    </row>
    <row r="2040" spans="1:24" x14ac:dyDescent="0.25">
      <c r="A2040" s="45"/>
      <c r="B2040" s="46"/>
      <c r="C2040" s="46"/>
      <c r="D2040" s="46"/>
      <c r="E2040" s="46"/>
      <c r="F2040" s="46"/>
      <c r="G2040" s="46"/>
      <c r="H2040" s="46"/>
      <c r="I2040" s="46"/>
      <c r="J2040" s="46"/>
      <c r="K2040" s="46"/>
      <c r="L2040" s="46"/>
      <c r="M2040" s="46"/>
      <c r="N2040" s="46"/>
      <c r="O2040" s="46"/>
      <c r="P2040" s="46"/>
      <c r="Q2040" s="46"/>
      <c r="R2040" s="46"/>
      <c r="S2040" s="46"/>
      <c r="T2040" s="46"/>
      <c r="U2040" s="46"/>
      <c r="V2040" s="46"/>
      <c r="W2040" s="46"/>
      <c r="X2040" s="11" t="str">
        <f>IF(COUNTBLANK(B2040:W2040)&gt;0,"NA",'batch classification'!J2046)</f>
        <v>NA</v>
      </c>
    </row>
    <row r="2041" spans="1:24" x14ac:dyDescent="0.25">
      <c r="A2041" s="45"/>
      <c r="B2041" s="46"/>
      <c r="C2041" s="46"/>
      <c r="D2041" s="46"/>
      <c r="E2041" s="46"/>
      <c r="F2041" s="46"/>
      <c r="G2041" s="46"/>
      <c r="H2041" s="46"/>
      <c r="I2041" s="46"/>
      <c r="J2041" s="46"/>
      <c r="K2041" s="46"/>
      <c r="L2041" s="46"/>
      <c r="M2041" s="46"/>
      <c r="N2041" s="46"/>
      <c r="O2041" s="46"/>
      <c r="P2041" s="46"/>
      <c r="Q2041" s="46"/>
      <c r="R2041" s="46"/>
      <c r="S2041" s="46"/>
      <c r="T2041" s="46"/>
      <c r="U2041" s="46"/>
      <c r="V2041" s="46"/>
      <c r="W2041" s="46"/>
      <c r="X2041" s="11" t="str">
        <f>IF(COUNTBLANK(B2041:W2041)&gt;0,"NA",'batch classification'!J2047)</f>
        <v>NA</v>
      </c>
    </row>
    <row r="2042" spans="1:24" x14ac:dyDescent="0.25">
      <c r="A2042" s="45"/>
      <c r="B2042" s="46"/>
      <c r="C2042" s="46"/>
      <c r="D2042" s="46"/>
      <c r="E2042" s="46"/>
      <c r="F2042" s="46"/>
      <c r="G2042" s="46"/>
      <c r="H2042" s="46"/>
      <c r="I2042" s="46"/>
      <c r="J2042" s="46"/>
      <c r="K2042" s="46"/>
      <c r="L2042" s="46"/>
      <c r="M2042" s="46"/>
      <c r="N2042" s="46"/>
      <c r="O2042" s="46"/>
      <c r="P2042" s="46"/>
      <c r="Q2042" s="46"/>
      <c r="R2042" s="46"/>
      <c r="S2042" s="46"/>
      <c r="T2042" s="46"/>
      <c r="U2042" s="46"/>
      <c r="V2042" s="46"/>
      <c r="W2042" s="46"/>
      <c r="X2042" s="11" t="str">
        <f>IF(COUNTBLANK(B2042:W2042)&gt;0,"NA",'batch classification'!J2048)</f>
        <v>NA</v>
      </c>
    </row>
    <row r="2043" spans="1:24" x14ac:dyDescent="0.25">
      <c r="A2043" s="45"/>
      <c r="B2043" s="46"/>
      <c r="C2043" s="46"/>
      <c r="D2043" s="46"/>
      <c r="E2043" s="46"/>
      <c r="F2043" s="46"/>
      <c r="G2043" s="46"/>
      <c r="H2043" s="46"/>
      <c r="I2043" s="46"/>
      <c r="J2043" s="46"/>
      <c r="K2043" s="46"/>
      <c r="L2043" s="46"/>
      <c r="M2043" s="46"/>
      <c r="N2043" s="46"/>
      <c r="O2043" s="46"/>
      <c r="P2043" s="46"/>
      <c r="Q2043" s="46"/>
      <c r="R2043" s="46"/>
      <c r="S2043" s="46"/>
      <c r="T2043" s="46"/>
      <c r="U2043" s="46"/>
      <c r="V2043" s="46"/>
      <c r="W2043" s="46"/>
      <c r="X2043" s="11" t="str">
        <f>IF(COUNTBLANK(B2043:W2043)&gt;0,"NA",'batch classification'!J2049)</f>
        <v>NA</v>
      </c>
    </row>
    <row r="2044" spans="1:24" x14ac:dyDescent="0.25">
      <c r="A2044" s="45"/>
      <c r="B2044" s="46"/>
      <c r="C2044" s="46"/>
      <c r="D2044" s="46"/>
      <c r="E2044" s="46"/>
      <c r="F2044" s="46"/>
      <c r="G2044" s="46"/>
      <c r="H2044" s="46"/>
      <c r="I2044" s="46"/>
      <c r="J2044" s="46"/>
      <c r="K2044" s="46"/>
      <c r="L2044" s="46"/>
      <c r="M2044" s="46"/>
      <c r="N2044" s="46"/>
      <c r="O2044" s="46"/>
      <c r="P2044" s="46"/>
      <c r="Q2044" s="46"/>
      <c r="R2044" s="46"/>
      <c r="S2044" s="46"/>
      <c r="T2044" s="46"/>
      <c r="U2044" s="46"/>
      <c r="V2044" s="46"/>
      <c r="W2044" s="46"/>
      <c r="X2044" s="11" t="str">
        <f>IF(COUNTBLANK(B2044:W2044)&gt;0,"NA",'batch classification'!J2050)</f>
        <v>NA</v>
      </c>
    </row>
    <row r="2045" spans="1:24" x14ac:dyDescent="0.25">
      <c r="A2045" s="45"/>
      <c r="B2045" s="46"/>
      <c r="C2045" s="46"/>
      <c r="D2045" s="46"/>
      <c r="E2045" s="46"/>
      <c r="F2045" s="46"/>
      <c r="G2045" s="46"/>
      <c r="H2045" s="46"/>
      <c r="I2045" s="46"/>
      <c r="J2045" s="46"/>
      <c r="K2045" s="46"/>
      <c r="L2045" s="46"/>
      <c r="M2045" s="46"/>
      <c r="N2045" s="46"/>
      <c r="O2045" s="46"/>
      <c r="P2045" s="46"/>
      <c r="Q2045" s="46"/>
      <c r="R2045" s="46"/>
      <c r="S2045" s="46"/>
      <c r="T2045" s="46"/>
      <c r="U2045" s="46"/>
      <c r="V2045" s="46"/>
      <c r="W2045" s="46"/>
      <c r="X2045" s="11" t="str">
        <f>IF(COUNTBLANK(B2045:W2045)&gt;0,"NA",'batch classification'!J2051)</f>
        <v>NA</v>
      </c>
    </row>
    <row r="2046" spans="1:24" x14ac:dyDescent="0.25">
      <c r="A2046" s="45"/>
      <c r="B2046" s="46"/>
      <c r="C2046" s="46"/>
      <c r="D2046" s="46"/>
      <c r="E2046" s="46"/>
      <c r="F2046" s="46"/>
      <c r="G2046" s="46"/>
      <c r="H2046" s="46"/>
      <c r="I2046" s="46"/>
      <c r="J2046" s="46"/>
      <c r="K2046" s="46"/>
      <c r="L2046" s="46"/>
      <c r="M2046" s="46"/>
      <c r="N2046" s="46"/>
      <c r="O2046" s="46"/>
      <c r="P2046" s="46"/>
      <c r="Q2046" s="46"/>
      <c r="R2046" s="46"/>
      <c r="S2046" s="46"/>
      <c r="T2046" s="46"/>
      <c r="U2046" s="46"/>
      <c r="V2046" s="46"/>
      <c r="W2046" s="46"/>
      <c r="X2046" s="11" t="str">
        <f>IF(COUNTBLANK(B2046:W2046)&gt;0,"NA",'batch classification'!J2052)</f>
        <v>NA</v>
      </c>
    </row>
    <row r="2047" spans="1:24" x14ac:dyDescent="0.25">
      <c r="A2047" s="45"/>
      <c r="B2047" s="46"/>
      <c r="C2047" s="46"/>
      <c r="D2047" s="46"/>
      <c r="E2047" s="46"/>
      <c r="F2047" s="46"/>
      <c r="G2047" s="46"/>
      <c r="H2047" s="46"/>
      <c r="I2047" s="46"/>
      <c r="J2047" s="46"/>
      <c r="K2047" s="46"/>
      <c r="L2047" s="46"/>
      <c r="M2047" s="46"/>
      <c r="N2047" s="46"/>
      <c r="O2047" s="46"/>
      <c r="P2047" s="46"/>
      <c r="Q2047" s="46"/>
      <c r="R2047" s="46"/>
      <c r="S2047" s="46"/>
      <c r="T2047" s="46"/>
      <c r="U2047" s="46"/>
      <c r="V2047" s="46"/>
      <c r="W2047" s="46"/>
      <c r="X2047" s="11" t="str">
        <f>IF(COUNTBLANK(B2047:W2047)&gt;0,"NA",'batch classification'!J2053)</f>
        <v>NA</v>
      </c>
    </row>
    <row r="2048" spans="1:24" x14ac:dyDescent="0.25">
      <c r="A2048" s="45"/>
      <c r="B2048" s="46"/>
      <c r="C2048" s="46"/>
      <c r="D2048" s="46"/>
      <c r="E2048" s="46"/>
      <c r="F2048" s="46"/>
      <c r="G2048" s="46"/>
      <c r="H2048" s="46"/>
      <c r="I2048" s="46"/>
      <c r="J2048" s="46"/>
      <c r="K2048" s="46"/>
      <c r="L2048" s="46"/>
      <c r="M2048" s="46"/>
      <c r="N2048" s="46"/>
      <c r="O2048" s="46"/>
      <c r="P2048" s="46"/>
      <c r="Q2048" s="46"/>
      <c r="R2048" s="46"/>
      <c r="S2048" s="46"/>
      <c r="T2048" s="46"/>
      <c r="U2048" s="46"/>
      <c r="V2048" s="46"/>
      <c r="W2048" s="46"/>
      <c r="X2048" s="11" t="str">
        <f>IF(COUNTBLANK(B2048:W2048)&gt;0,"NA",'batch classification'!J2054)</f>
        <v>NA</v>
      </c>
    </row>
    <row r="2049" spans="1:24" x14ac:dyDescent="0.25">
      <c r="A2049" s="45"/>
      <c r="B2049" s="46"/>
      <c r="C2049" s="46"/>
      <c r="D2049" s="46"/>
      <c r="E2049" s="46"/>
      <c r="F2049" s="46"/>
      <c r="G2049" s="46"/>
      <c r="H2049" s="46"/>
      <c r="I2049" s="46"/>
      <c r="J2049" s="46"/>
      <c r="K2049" s="46"/>
      <c r="L2049" s="46"/>
      <c r="M2049" s="46"/>
      <c r="N2049" s="46"/>
      <c r="O2049" s="46"/>
      <c r="P2049" s="46"/>
      <c r="Q2049" s="46"/>
      <c r="R2049" s="46"/>
      <c r="S2049" s="46"/>
      <c r="T2049" s="46"/>
      <c r="U2049" s="46"/>
      <c r="V2049" s="46"/>
      <c r="W2049" s="46"/>
      <c r="X2049" s="11" t="str">
        <f>IF(COUNTBLANK(B2049:W2049)&gt;0,"NA",'batch classification'!J2055)</f>
        <v>NA</v>
      </c>
    </row>
    <row r="2050" spans="1:24" x14ac:dyDescent="0.25">
      <c r="A2050" s="45"/>
      <c r="B2050" s="46"/>
      <c r="C2050" s="46"/>
      <c r="D2050" s="46"/>
      <c r="E2050" s="46"/>
      <c r="F2050" s="46"/>
      <c r="G2050" s="46"/>
      <c r="H2050" s="46"/>
      <c r="I2050" s="46"/>
      <c r="J2050" s="46"/>
      <c r="K2050" s="46"/>
      <c r="L2050" s="46"/>
      <c r="M2050" s="46"/>
      <c r="N2050" s="46"/>
      <c r="O2050" s="46"/>
      <c r="P2050" s="46"/>
      <c r="Q2050" s="46"/>
      <c r="R2050" s="46"/>
      <c r="S2050" s="46"/>
      <c r="T2050" s="46"/>
      <c r="U2050" s="46"/>
      <c r="V2050" s="46"/>
      <c r="W2050" s="46"/>
      <c r="X2050" s="11" t="str">
        <f>IF(COUNTBLANK(B2050:W2050)&gt;0,"NA",'batch classification'!J2056)</f>
        <v>NA</v>
      </c>
    </row>
    <row r="2051" spans="1:24" x14ac:dyDescent="0.25">
      <c r="A2051" s="45"/>
      <c r="B2051" s="46"/>
      <c r="C2051" s="46"/>
      <c r="D2051" s="46"/>
      <c r="E2051" s="46"/>
      <c r="F2051" s="46"/>
      <c r="G2051" s="46"/>
      <c r="H2051" s="46"/>
      <c r="I2051" s="46"/>
      <c r="J2051" s="46"/>
      <c r="K2051" s="46"/>
      <c r="L2051" s="46"/>
      <c r="M2051" s="46"/>
      <c r="N2051" s="46"/>
      <c r="O2051" s="46"/>
      <c r="P2051" s="46"/>
      <c r="Q2051" s="46"/>
      <c r="R2051" s="46"/>
      <c r="S2051" s="46"/>
      <c r="T2051" s="46"/>
      <c r="U2051" s="46"/>
      <c r="V2051" s="46"/>
      <c r="W2051" s="46"/>
      <c r="X2051" s="11" t="str">
        <f>IF(COUNTBLANK(B2051:W2051)&gt;0,"NA",'batch classification'!J2057)</f>
        <v>NA</v>
      </c>
    </row>
    <row r="2052" spans="1:24" x14ac:dyDescent="0.25">
      <c r="A2052" s="45"/>
      <c r="B2052" s="46"/>
      <c r="C2052" s="46"/>
      <c r="D2052" s="46"/>
      <c r="E2052" s="46"/>
      <c r="F2052" s="46"/>
      <c r="G2052" s="46"/>
      <c r="H2052" s="46"/>
      <c r="I2052" s="46"/>
      <c r="J2052" s="46"/>
      <c r="K2052" s="46"/>
      <c r="L2052" s="46"/>
      <c r="M2052" s="46"/>
      <c r="N2052" s="46"/>
      <c r="O2052" s="46"/>
      <c r="P2052" s="46"/>
      <c r="Q2052" s="46"/>
      <c r="R2052" s="46"/>
      <c r="S2052" s="46"/>
      <c r="T2052" s="46"/>
      <c r="U2052" s="46"/>
      <c r="V2052" s="46"/>
      <c r="W2052" s="46"/>
      <c r="X2052" s="11" t="str">
        <f>IF(COUNTBLANK(B2052:W2052)&gt;0,"NA",'batch classification'!J2058)</f>
        <v>NA</v>
      </c>
    </row>
    <row r="2053" spans="1:24" x14ac:dyDescent="0.25">
      <c r="A2053" s="45"/>
      <c r="B2053" s="46"/>
      <c r="C2053" s="46"/>
      <c r="D2053" s="46"/>
      <c r="E2053" s="46"/>
      <c r="F2053" s="46"/>
      <c r="G2053" s="46"/>
      <c r="H2053" s="46"/>
      <c r="I2053" s="46"/>
      <c r="J2053" s="46"/>
      <c r="K2053" s="46"/>
      <c r="L2053" s="46"/>
      <c r="M2053" s="46"/>
      <c r="N2053" s="46"/>
      <c r="O2053" s="46"/>
      <c r="P2053" s="46"/>
      <c r="Q2053" s="46"/>
      <c r="R2053" s="46"/>
      <c r="S2053" s="46"/>
      <c r="T2053" s="46"/>
      <c r="U2053" s="46"/>
      <c r="V2053" s="46"/>
      <c r="W2053" s="46"/>
      <c r="X2053" s="11" t="str">
        <f>IF(COUNTBLANK(B2053:W2053)&gt;0,"NA",'batch classification'!J2059)</f>
        <v>NA</v>
      </c>
    </row>
    <row r="2054" spans="1:24" x14ac:dyDescent="0.25">
      <c r="A2054" s="45"/>
      <c r="B2054" s="46"/>
      <c r="C2054" s="46"/>
      <c r="D2054" s="46"/>
      <c r="E2054" s="46"/>
      <c r="F2054" s="46"/>
      <c r="G2054" s="46"/>
      <c r="H2054" s="46"/>
      <c r="I2054" s="46"/>
      <c r="J2054" s="46"/>
      <c r="K2054" s="46"/>
      <c r="L2054" s="46"/>
      <c r="M2054" s="46"/>
      <c r="N2054" s="46"/>
      <c r="O2054" s="46"/>
      <c r="P2054" s="46"/>
      <c r="Q2054" s="46"/>
      <c r="R2054" s="46"/>
      <c r="S2054" s="46"/>
      <c r="T2054" s="46"/>
      <c r="U2054" s="46"/>
      <c r="V2054" s="46"/>
      <c r="W2054" s="46"/>
      <c r="X2054" s="11" t="str">
        <f>IF(COUNTBLANK(B2054:W2054)&gt;0,"NA",'batch classification'!J2060)</f>
        <v>NA</v>
      </c>
    </row>
    <row r="2055" spans="1:24" x14ac:dyDescent="0.25">
      <c r="A2055" s="45"/>
      <c r="B2055" s="46"/>
      <c r="C2055" s="46"/>
      <c r="D2055" s="46"/>
      <c r="E2055" s="46"/>
      <c r="F2055" s="46"/>
      <c r="G2055" s="46"/>
      <c r="H2055" s="46"/>
      <c r="I2055" s="46"/>
      <c r="J2055" s="46"/>
      <c r="K2055" s="46"/>
      <c r="L2055" s="46"/>
      <c r="M2055" s="46"/>
      <c r="N2055" s="46"/>
      <c r="O2055" s="46"/>
      <c r="P2055" s="46"/>
      <c r="Q2055" s="46"/>
      <c r="R2055" s="46"/>
      <c r="S2055" s="46"/>
      <c r="T2055" s="46"/>
      <c r="U2055" s="46"/>
      <c r="V2055" s="46"/>
      <c r="W2055" s="46"/>
      <c r="X2055" s="11" t="str">
        <f>IF(COUNTBLANK(B2055:W2055)&gt;0,"NA",'batch classification'!J2061)</f>
        <v>NA</v>
      </c>
    </row>
    <row r="2056" spans="1:24" x14ac:dyDescent="0.25">
      <c r="A2056" s="45"/>
      <c r="B2056" s="46"/>
      <c r="C2056" s="46"/>
      <c r="D2056" s="46"/>
      <c r="E2056" s="46"/>
      <c r="F2056" s="46"/>
      <c r="G2056" s="46"/>
      <c r="H2056" s="46"/>
      <c r="I2056" s="46"/>
      <c r="J2056" s="46"/>
      <c r="K2056" s="46"/>
      <c r="L2056" s="46"/>
      <c r="M2056" s="46"/>
      <c r="N2056" s="46"/>
      <c r="O2056" s="46"/>
      <c r="P2056" s="46"/>
      <c r="Q2056" s="46"/>
      <c r="R2056" s="46"/>
      <c r="S2056" s="46"/>
      <c r="T2056" s="46"/>
      <c r="U2056" s="46"/>
      <c r="V2056" s="46"/>
      <c r="W2056" s="46"/>
      <c r="X2056" s="11" t="str">
        <f>IF(COUNTBLANK(B2056:W2056)&gt;0,"NA",'batch classification'!J2062)</f>
        <v>NA</v>
      </c>
    </row>
    <row r="2057" spans="1:24" x14ac:dyDescent="0.25">
      <c r="A2057" s="45"/>
      <c r="B2057" s="46"/>
      <c r="C2057" s="46"/>
      <c r="D2057" s="46"/>
      <c r="E2057" s="46"/>
      <c r="F2057" s="46"/>
      <c r="G2057" s="46"/>
      <c r="H2057" s="46"/>
      <c r="I2057" s="46"/>
      <c r="J2057" s="46"/>
      <c r="K2057" s="46"/>
      <c r="L2057" s="46"/>
      <c r="M2057" s="46"/>
      <c r="N2057" s="46"/>
      <c r="O2057" s="46"/>
      <c r="P2057" s="46"/>
      <c r="Q2057" s="46"/>
      <c r="R2057" s="46"/>
      <c r="S2057" s="46"/>
      <c r="T2057" s="46"/>
      <c r="U2057" s="46"/>
      <c r="V2057" s="46"/>
      <c r="W2057" s="46"/>
      <c r="X2057" s="11" t="str">
        <f>IF(COUNTBLANK(B2057:W2057)&gt;0,"NA",'batch classification'!J2063)</f>
        <v>NA</v>
      </c>
    </row>
    <row r="2058" spans="1:24" x14ac:dyDescent="0.25">
      <c r="A2058" s="45"/>
      <c r="B2058" s="46"/>
      <c r="C2058" s="46"/>
      <c r="D2058" s="46"/>
      <c r="E2058" s="46"/>
      <c r="F2058" s="46"/>
      <c r="G2058" s="46"/>
      <c r="H2058" s="46"/>
      <c r="I2058" s="46"/>
      <c r="J2058" s="46"/>
      <c r="K2058" s="46"/>
      <c r="L2058" s="46"/>
      <c r="M2058" s="46"/>
      <c r="N2058" s="46"/>
      <c r="O2058" s="46"/>
      <c r="P2058" s="46"/>
      <c r="Q2058" s="46"/>
      <c r="R2058" s="46"/>
      <c r="S2058" s="46"/>
      <c r="T2058" s="46"/>
      <c r="U2058" s="46"/>
      <c r="V2058" s="46"/>
      <c r="W2058" s="46"/>
      <c r="X2058" s="11" t="str">
        <f>IF(COUNTBLANK(B2058:W2058)&gt;0,"NA",'batch classification'!J2064)</f>
        <v>NA</v>
      </c>
    </row>
    <row r="2059" spans="1:24" x14ac:dyDescent="0.25">
      <c r="A2059" s="45"/>
      <c r="B2059" s="46"/>
      <c r="C2059" s="46"/>
      <c r="D2059" s="46"/>
      <c r="E2059" s="46"/>
      <c r="F2059" s="46"/>
      <c r="G2059" s="46"/>
      <c r="H2059" s="46"/>
      <c r="I2059" s="46"/>
      <c r="J2059" s="46"/>
      <c r="K2059" s="46"/>
      <c r="L2059" s="46"/>
      <c r="M2059" s="46"/>
      <c r="N2059" s="46"/>
      <c r="O2059" s="46"/>
      <c r="P2059" s="46"/>
      <c r="Q2059" s="46"/>
      <c r="R2059" s="46"/>
      <c r="S2059" s="46"/>
      <c r="T2059" s="46"/>
      <c r="U2059" s="46"/>
      <c r="V2059" s="46"/>
      <c r="W2059" s="46"/>
      <c r="X2059" s="11" t="str">
        <f>IF(COUNTBLANK(B2059:W2059)&gt;0,"NA",'batch classification'!J2065)</f>
        <v>NA</v>
      </c>
    </row>
    <row r="2060" spans="1:24" x14ac:dyDescent="0.25">
      <c r="A2060" s="45"/>
      <c r="B2060" s="46"/>
      <c r="C2060" s="46"/>
      <c r="D2060" s="46"/>
      <c r="E2060" s="46"/>
      <c r="F2060" s="46"/>
      <c r="G2060" s="46"/>
      <c r="H2060" s="46"/>
      <c r="I2060" s="46"/>
      <c r="J2060" s="46"/>
      <c r="K2060" s="46"/>
      <c r="L2060" s="46"/>
      <c r="M2060" s="46"/>
      <c r="N2060" s="46"/>
      <c r="O2060" s="46"/>
      <c r="P2060" s="46"/>
      <c r="Q2060" s="46"/>
      <c r="R2060" s="46"/>
      <c r="S2060" s="46"/>
      <c r="T2060" s="46"/>
      <c r="U2060" s="46"/>
      <c r="V2060" s="46"/>
      <c r="W2060" s="46"/>
      <c r="X2060" s="11" t="str">
        <f>IF(COUNTBLANK(B2060:W2060)&gt;0,"NA",'batch classification'!J2066)</f>
        <v>NA</v>
      </c>
    </row>
    <row r="2061" spans="1:24" x14ac:dyDescent="0.25">
      <c r="A2061" s="45"/>
      <c r="B2061" s="46"/>
      <c r="C2061" s="46"/>
      <c r="D2061" s="46"/>
      <c r="E2061" s="46"/>
      <c r="F2061" s="46"/>
      <c r="G2061" s="46"/>
      <c r="H2061" s="46"/>
      <c r="I2061" s="46"/>
      <c r="J2061" s="46"/>
      <c r="K2061" s="46"/>
      <c r="L2061" s="46"/>
      <c r="M2061" s="46"/>
      <c r="N2061" s="46"/>
      <c r="O2061" s="46"/>
      <c r="P2061" s="46"/>
      <c r="Q2061" s="46"/>
      <c r="R2061" s="46"/>
      <c r="S2061" s="46"/>
      <c r="T2061" s="46"/>
      <c r="U2061" s="46"/>
      <c r="V2061" s="46"/>
      <c r="W2061" s="46"/>
      <c r="X2061" s="11" t="str">
        <f>IF(COUNTBLANK(B2061:W2061)&gt;0,"NA",'batch classification'!J2067)</f>
        <v>NA</v>
      </c>
    </row>
    <row r="2062" spans="1:24" x14ac:dyDescent="0.25">
      <c r="A2062" s="45"/>
      <c r="B2062" s="46"/>
      <c r="C2062" s="46"/>
      <c r="D2062" s="46"/>
      <c r="E2062" s="46"/>
      <c r="F2062" s="46"/>
      <c r="G2062" s="46"/>
      <c r="H2062" s="46"/>
      <c r="I2062" s="46"/>
      <c r="J2062" s="46"/>
      <c r="K2062" s="46"/>
      <c r="L2062" s="46"/>
      <c r="M2062" s="46"/>
      <c r="N2062" s="46"/>
      <c r="O2062" s="46"/>
      <c r="P2062" s="46"/>
      <c r="Q2062" s="46"/>
      <c r="R2062" s="46"/>
      <c r="S2062" s="46"/>
      <c r="T2062" s="46"/>
      <c r="U2062" s="46"/>
      <c r="V2062" s="46"/>
      <c r="W2062" s="46"/>
      <c r="X2062" s="11" t="str">
        <f>IF(COUNTBLANK(B2062:W2062)&gt;0,"NA",'batch classification'!J2068)</f>
        <v>NA</v>
      </c>
    </row>
    <row r="2063" spans="1:24" x14ac:dyDescent="0.25">
      <c r="A2063" s="45"/>
      <c r="B2063" s="46"/>
      <c r="C2063" s="46"/>
      <c r="D2063" s="46"/>
      <c r="E2063" s="46"/>
      <c r="F2063" s="46"/>
      <c r="G2063" s="46"/>
      <c r="H2063" s="46"/>
      <c r="I2063" s="46"/>
      <c r="J2063" s="46"/>
      <c r="K2063" s="46"/>
      <c r="L2063" s="46"/>
      <c r="M2063" s="46"/>
      <c r="N2063" s="46"/>
      <c r="O2063" s="46"/>
      <c r="P2063" s="46"/>
      <c r="Q2063" s="46"/>
      <c r="R2063" s="46"/>
      <c r="S2063" s="46"/>
      <c r="T2063" s="46"/>
      <c r="U2063" s="46"/>
      <c r="V2063" s="46"/>
      <c r="W2063" s="46"/>
      <c r="X2063" s="11" t="str">
        <f>IF(COUNTBLANK(B2063:W2063)&gt;0,"NA",'batch classification'!J2069)</f>
        <v>NA</v>
      </c>
    </row>
    <row r="2064" spans="1:24" x14ac:dyDescent="0.25">
      <c r="A2064" s="45"/>
      <c r="B2064" s="46"/>
      <c r="C2064" s="46"/>
      <c r="D2064" s="46"/>
      <c r="E2064" s="46"/>
      <c r="F2064" s="46"/>
      <c r="G2064" s="46"/>
      <c r="H2064" s="46"/>
      <c r="I2064" s="46"/>
      <c r="J2064" s="46"/>
      <c r="K2064" s="46"/>
      <c r="L2064" s="46"/>
      <c r="M2064" s="46"/>
      <c r="N2064" s="46"/>
      <c r="O2064" s="46"/>
      <c r="P2064" s="46"/>
      <c r="Q2064" s="46"/>
      <c r="R2064" s="46"/>
      <c r="S2064" s="46"/>
      <c r="T2064" s="46"/>
      <c r="U2064" s="46"/>
      <c r="V2064" s="46"/>
      <c r="W2064" s="46"/>
      <c r="X2064" s="11" t="str">
        <f>IF(COUNTBLANK(B2064:W2064)&gt;0,"NA",'batch classification'!J2070)</f>
        <v>NA</v>
      </c>
    </row>
    <row r="2065" spans="1:24" x14ac:dyDescent="0.25">
      <c r="A2065" s="45"/>
      <c r="B2065" s="46"/>
      <c r="C2065" s="46"/>
      <c r="D2065" s="46"/>
      <c r="E2065" s="46"/>
      <c r="F2065" s="46"/>
      <c r="G2065" s="46"/>
      <c r="H2065" s="46"/>
      <c r="I2065" s="46"/>
      <c r="J2065" s="46"/>
      <c r="K2065" s="46"/>
      <c r="L2065" s="46"/>
      <c r="M2065" s="46"/>
      <c r="N2065" s="46"/>
      <c r="O2065" s="46"/>
      <c r="P2065" s="46"/>
      <c r="Q2065" s="46"/>
      <c r="R2065" s="46"/>
      <c r="S2065" s="46"/>
      <c r="T2065" s="46"/>
      <c r="U2065" s="46"/>
      <c r="V2065" s="46"/>
      <c r="W2065" s="46"/>
      <c r="X2065" s="11" t="str">
        <f>IF(COUNTBLANK(B2065:W2065)&gt;0,"NA",'batch classification'!J2071)</f>
        <v>NA</v>
      </c>
    </row>
    <row r="2066" spans="1:24" x14ac:dyDescent="0.25">
      <c r="A2066" s="45"/>
      <c r="B2066" s="46"/>
      <c r="C2066" s="46"/>
      <c r="D2066" s="46"/>
      <c r="E2066" s="46"/>
      <c r="F2066" s="46"/>
      <c r="G2066" s="46"/>
      <c r="H2066" s="46"/>
      <c r="I2066" s="46"/>
      <c r="J2066" s="46"/>
      <c r="K2066" s="46"/>
      <c r="L2066" s="46"/>
      <c r="M2066" s="46"/>
      <c r="N2066" s="46"/>
      <c r="O2066" s="46"/>
      <c r="P2066" s="46"/>
      <c r="Q2066" s="46"/>
      <c r="R2066" s="46"/>
      <c r="S2066" s="46"/>
      <c r="T2066" s="46"/>
      <c r="U2066" s="46"/>
      <c r="V2066" s="46"/>
      <c r="W2066" s="46"/>
      <c r="X2066" s="11" t="str">
        <f>IF(COUNTBLANK(B2066:W2066)&gt;0,"NA",'batch classification'!J2072)</f>
        <v>NA</v>
      </c>
    </row>
    <row r="2067" spans="1:24" x14ac:dyDescent="0.25">
      <c r="A2067" s="45"/>
      <c r="B2067" s="46"/>
      <c r="C2067" s="46"/>
      <c r="D2067" s="46"/>
      <c r="E2067" s="46"/>
      <c r="F2067" s="46"/>
      <c r="G2067" s="46"/>
      <c r="H2067" s="46"/>
      <c r="I2067" s="46"/>
      <c r="J2067" s="46"/>
      <c r="K2067" s="46"/>
      <c r="L2067" s="46"/>
      <c r="M2067" s="46"/>
      <c r="N2067" s="46"/>
      <c r="O2067" s="46"/>
      <c r="P2067" s="46"/>
      <c r="Q2067" s="46"/>
      <c r="R2067" s="46"/>
      <c r="S2067" s="46"/>
      <c r="T2067" s="46"/>
      <c r="U2067" s="46"/>
      <c r="V2067" s="46"/>
      <c r="W2067" s="46"/>
      <c r="X2067" s="11" t="str">
        <f>IF(COUNTBLANK(B2067:W2067)&gt;0,"NA",'batch classification'!J2073)</f>
        <v>NA</v>
      </c>
    </row>
    <row r="2068" spans="1:24" x14ac:dyDescent="0.25">
      <c r="A2068" s="45"/>
      <c r="B2068" s="46"/>
      <c r="C2068" s="46"/>
      <c r="D2068" s="46"/>
      <c r="E2068" s="46"/>
      <c r="F2068" s="46"/>
      <c r="G2068" s="46"/>
      <c r="H2068" s="46"/>
      <c r="I2068" s="46"/>
      <c r="J2068" s="46"/>
      <c r="K2068" s="46"/>
      <c r="L2068" s="46"/>
      <c r="M2068" s="46"/>
      <c r="N2068" s="46"/>
      <c r="O2068" s="46"/>
      <c r="P2068" s="46"/>
      <c r="Q2068" s="46"/>
      <c r="R2068" s="46"/>
      <c r="S2068" s="46"/>
      <c r="T2068" s="46"/>
      <c r="U2068" s="46"/>
      <c r="V2068" s="46"/>
      <c r="W2068" s="46"/>
      <c r="X2068" s="11" t="str">
        <f>IF(COUNTBLANK(B2068:W2068)&gt;0,"NA",'batch classification'!J2074)</f>
        <v>NA</v>
      </c>
    </row>
    <row r="2069" spans="1:24" x14ac:dyDescent="0.25">
      <c r="A2069" s="45"/>
      <c r="B2069" s="46"/>
      <c r="C2069" s="46"/>
      <c r="D2069" s="46"/>
      <c r="E2069" s="46"/>
      <c r="F2069" s="46"/>
      <c r="G2069" s="46"/>
      <c r="H2069" s="46"/>
      <c r="I2069" s="46"/>
      <c r="J2069" s="46"/>
      <c r="K2069" s="46"/>
      <c r="L2069" s="46"/>
      <c r="M2069" s="46"/>
      <c r="N2069" s="46"/>
      <c r="O2069" s="46"/>
      <c r="P2069" s="46"/>
      <c r="Q2069" s="46"/>
      <c r="R2069" s="46"/>
      <c r="S2069" s="46"/>
      <c r="T2069" s="46"/>
      <c r="U2069" s="46"/>
      <c r="V2069" s="46"/>
      <c r="W2069" s="46"/>
      <c r="X2069" s="11" t="str">
        <f>IF(COUNTBLANK(B2069:W2069)&gt;0,"NA",'batch classification'!J2075)</f>
        <v>NA</v>
      </c>
    </row>
    <row r="2070" spans="1:24" x14ac:dyDescent="0.25">
      <c r="A2070" s="45"/>
      <c r="B2070" s="46"/>
      <c r="C2070" s="46"/>
      <c r="D2070" s="46"/>
      <c r="E2070" s="46"/>
      <c r="F2070" s="46"/>
      <c r="G2070" s="46"/>
      <c r="H2070" s="46"/>
      <c r="I2070" s="46"/>
      <c r="J2070" s="46"/>
      <c r="K2070" s="46"/>
      <c r="L2070" s="46"/>
      <c r="M2070" s="46"/>
      <c r="N2070" s="46"/>
      <c r="O2070" s="46"/>
      <c r="P2070" s="46"/>
      <c r="Q2070" s="46"/>
      <c r="R2070" s="46"/>
      <c r="S2070" s="46"/>
      <c r="T2070" s="46"/>
      <c r="U2070" s="46"/>
      <c r="V2070" s="46"/>
      <c r="W2070" s="46"/>
      <c r="X2070" s="11" t="str">
        <f>IF(COUNTBLANK(B2070:W2070)&gt;0,"NA",'batch classification'!J2076)</f>
        <v>NA</v>
      </c>
    </row>
    <row r="2071" spans="1:24" x14ac:dyDescent="0.25">
      <c r="A2071" s="45"/>
      <c r="B2071" s="46"/>
      <c r="C2071" s="46"/>
      <c r="D2071" s="46"/>
      <c r="E2071" s="46"/>
      <c r="F2071" s="46"/>
      <c r="G2071" s="46"/>
      <c r="H2071" s="46"/>
      <c r="I2071" s="46"/>
      <c r="J2071" s="46"/>
      <c r="K2071" s="46"/>
      <c r="L2071" s="46"/>
      <c r="M2071" s="46"/>
      <c r="N2071" s="46"/>
      <c r="O2071" s="46"/>
      <c r="P2071" s="46"/>
      <c r="Q2071" s="46"/>
      <c r="R2071" s="46"/>
      <c r="S2071" s="46"/>
      <c r="T2071" s="46"/>
      <c r="U2071" s="46"/>
      <c r="V2071" s="46"/>
      <c r="W2071" s="46"/>
      <c r="X2071" s="11" t="str">
        <f>IF(COUNTBLANK(B2071:W2071)&gt;0,"NA",'batch classification'!J2077)</f>
        <v>NA</v>
      </c>
    </row>
    <row r="2072" spans="1:24" x14ac:dyDescent="0.25">
      <c r="A2072" s="45"/>
      <c r="B2072" s="46"/>
      <c r="C2072" s="46"/>
      <c r="D2072" s="46"/>
      <c r="E2072" s="46"/>
      <c r="F2072" s="46"/>
      <c r="G2072" s="46"/>
      <c r="H2072" s="46"/>
      <c r="I2072" s="46"/>
      <c r="J2072" s="46"/>
      <c r="K2072" s="46"/>
      <c r="L2072" s="46"/>
      <c r="M2072" s="46"/>
      <c r="N2072" s="46"/>
      <c r="O2072" s="46"/>
      <c r="P2072" s="46"/>
      <c r="Q2072" s="46"/>
      <c r="R2072" s="46"/>
      <c r="S2072" s="46"/>
      <c r="T2072" s="46"/>
      <c r="U2072" s="46"/>
      <c r="V2072" s="46"/>
      <c r="W2072" s="46"/>
      <c r="X2072" s="11" t="str">
        <f>IF(COUNTBLANK(B2072:W2072)&gt;0,"NA",'batch classification'!J2078)</f>
        <v>NA</v>
      </c>
    </row>
    <row r="2073" spans="1:24" x14ac:dyDescent="0.25">
      <c r="A2073" s="45"/>
      <c r="B2073" s="46"/>
      <c r="C2073" s="46"/>
      <c r="D2073" s="46"/>
      <c r="E2073" s="46"/>
      <c r="F2073" s="46"/>
      <c r="G2073" s="46"/>
      <c r="H2073" s="46"/>
      <c r="I2073" s="46"/>
      <c r="J2073" s="46"/>
      <c r="K2073" s="46"/>
      <c r="L2073" s="46"/>
      <c r="M2073" s="46"/>
      <c r="N2073" s="46"/>
      <c r="O2073" s="46"/>
      <c r="P2073" s="46"/>
      <c r="Q2073" s="46"/>
      <c r="R2073" s="46"/>
      <c r="S2073" s="46"/>
      <c r="T2073" s="46"/>
      <c r="U2073" s="46"/>
      <c r="V2073" s="46"/>
      <c r="W2073" s="46"/>
      <c r="X2073" s="11" t="str">
        <f>IF(COUNTBLANK(B2073:W2073)&gt;0,"NA",'batch classification'!J2079)</f>
        <v>NA</v>
      </c>
    </row>
    <row r="2074" spans="1:24" x14ac:dyDescent="0.25">
      <c r="A2074" s="45"/>
      <c r="B2074" s="46"/>
      <c r="C2074" s="46"/>
      <c r="D2074" s="46"/>
      <c r="E2074" s="46"/>
      <c r="F2074" s="46"/>
      <c r="G2074" s="46"/>
      <c r="H2074" s="46"/>
      <c r="I2074" s="46"/>
      <c r="J2074" s="46"/>
      <c r="K2074" s="46"/>
      <c r="L2074" s="46"/>
      <c r="M2074" s="46"/>
      <c r="N2074" s="46"/>
      <c r="O2074" s="46"/>
      <c r="P2074" s="46"/>
      <c r="Q2074" s="46"/>
      <c r="R2074" s="46"/>
      <c r="S2074" s="46"/>
      <c r="T2074" s="46"/>
      <c r="U2074" s="46"/>
      <c r="V2074" s="46"/>
      <c r="W2074" s="46"/>
      <c r="X2074" s="11" t="str">
        <f>IF(COUNTBLANK(B2074:W2074)&gt;0,"NA",'batch classification'!J2080)</f>
        <v>NA</v>
      </c>
    </row>
    <row r="2075" spans="1:24" x14ac:dyDescent="0.25">
      <c r="A2075" s="45"/>
      <c r="B2075" s="46"/>
      <c r="C2075" s="46"/>
      <c r="D2075" s="46"/>
      <c r="E2075" s="46"/>
      <c r="F2075" s="46"/>
      <c r="G2075" s="46"/>
      <c r="H2075" s="46"/>
      <c r="I2075" s="46"/>
      <c r="J2075" s="46"/>
      <c r="K2075" s="46"/>
      <c r="L2075" s="46"/>
      <c r="M2075" s="46"/>
      <c r="N2075" s="46"/>
      <c r="O2075" s="46"/>
      <c r="P2075" s="46"/>
      <c r="Q2075" s="46"/>
      <c r="R2075" s="46"/>
      <c r="S2075" s="46"/>
      <c r="T2075" s="46"/>
      <c r="U2075" s="46"/>
      <c r="V2075" s="46"/>
      <c r="W2075" s="46"/>
      <c r="X2075" s="11" t="str">
        <f>IF(COUNTBLANK(B2075:W2075)&gt;0,"NA",'batch classification'!J2081)</f>
        <v>NA</v>
      </c>
    </row>
    <row r="2076" spans="1:24" x14ac:dyDescent="0.25">
      <c r="A2076" s="45"/>
      <c r="B2076" s="46"/>
      <c r="C2076" s="46"/>
      <c r="D2076" s="46"/>
      <c r="E2076" s="46"/>
      <c r="F2076" s="46"/>
      <c r="G2076" s="46"/>
      <c r="H2076" s="46"/>
      <c r="I2076" s="46"/>
      <c r="J2076" s="46"/>
      <c r="K2076" s="46"/>
      <c r="L2076" s="46"/>
      <c r="M2076" s="46"/>
      <c r="N2076" s="46"/>
      <c r="O2076" s="46"/>
      <c r="P2076" s="46"/>
      <c r="Q2076" s="46"/>
      <c r="R2076" s="46"/>
      <c r="S2076" s="46"/>
      <c r="T2076" s="46"/>
      <c r="U2076" s="46"/>
      <c r="V2076" s="46"/>
      <c r="W2076" s="46"/>
      <c r="X2076" s="11" t="str">
        <f>IF(COUNTBLANK(B2076:W2076)&gt;0,"NA",'batch classification'!J2082)</f>
        <v>NA</v>
      </c>
    </row>
    <row r="2077" spans="1:24" x14ac:dyDescent="0.25">
      <c r="A2077" s="45"/>
      <c r="B2077" s="46"/>
      <c r="C2077" s="46"/>
      <c r="D2077" s="46"/>
      <c r="E2077" s="46"/>
      <c r="F2077" s="46"/>
      <c r="G2077" s="46"/>
      <c r="H2077" s="46"/>
      <c r="I2077" s="46"/>
      <c r="J2077" s="46"/>
      <c r="K2077" s="46"/>
      <c r="L2077" s="46"/>
      <c r="M2077" s="46"/>
      <c r="N2077" s="46"/>
      <c r="O2077" s="46"/>
      <c r="P2077" s="46"/>
      <c r="Q2077" s="46"/>
      <c r="R2077" s="46"/>
      <c r="S2077" s="46"/>
      <c r="T2077" s="46"/>
      <c r="U2077" s="46"/>
      <c r="V2077" s="46"/>
      <c r="W2077" s="46"/>
      <c r="X2077" s="11" t="str">
        <f>IF(COUNTBLANK(B2077:W2077)&gt;0,"NA",'batch classification'!J2083)</f>
        <v>NA</v>
      </c>
    </row>
    <row r="2078" spans="1:24" x14ac:dyDescent="0.25">
      <c r="A2078" s="45"/>
      <c r="B2078" s="46"/>
      <c r="C2078" s="46"/>
      <c r="D2078" s="46"/>
      <c r="E2078" s="46"/>
      <c r="F2078" s="46"/>
      <c r="G2078" s="46"/>
      <c r="H2078" s="46"/>
      <c r="I2078" s="46"/>
      <c r="J2078" s="46"/>
      <c r="K2078" s="46"/>
      <c r="L2078" s="46"/>
      <c r="M2078" s="46"/>
      <c r="N2078" s="46"/>
      <c r="O2078" s="46"/>
      <c r="P2078" s="46"/>
      <c r="Q2078" s="46"/>
      <c r="R2078" s="46"/>
      <c r="S2078" s="46"/>
      <c r="T2078" s="46"/>
      <c r="U2078" s="46"/>
      <c r="V2078" s="46"/>
      <c r="W2078" s="46"/>
      <c r="X2078" s="11" t="str">
        <f>IF(COUNTBLANK(B2078:W2078)&gt;0,"NA",'batch classification'!J2084)</f>
        <v>NA</v>
      </c>
    </row>
    <row r="2079" spans="1:24" x14ac:dyDescent="0.25">
      <c r="A2079" s="45"/>
      <c r="B2079" s="46"/>
      <c r="C2079" s="46"/>
      <c r="D2079" s="46"/>
      <c r="E2079" s="46"/>
      <c r="F2079" s="46"/>
      <c r="G2079" s="46"/>
      <c r="H2079" s="46"/>
      <c r="I2079" s="46"/>
      <c r="J2079" s="46"/>
      <c r="K2079" s="46"/>
      <c r="L2079" s="46"/>
      <c r="M2079" s="46"/>
      <c r="N2079" s="46"/>
      <c r="O2079" s="46"/>
      <c r="P2079" s="46"/>
      <c r="Q2079" s="46"/>
      <c r="R2079" s="46"/>
      <c r="S2079" s="46"/>
      <c r="T2079" s="46"/>
      <c r="U2079" s="46"/>
      <c r="V2079" s="46"/>
      <c r="W2079" s="46"/>
      <c r="X2079" s="11" t="str">
        <f>IF(COUNTBLANK(B2079:W2079)&gt;0,"NA",'batch classification'!J2085)</f>
        <v>NA</v>
      </c>
    </row>
    <row r="2080" spans="1:24" x14ac:dyDescent="0.25">
      <c r="A2080" s="45"/>
      <c r="B2080" s="46"/>
      <c r="C2080" s="46"/>
      <c r="D2080" s="46"/>
      <c r="E2080" s="46"/>
      <c r="F2080" s="46"/>
      <c r="G2080" s="46"/>
      <c r="H2080" s="46"/>
      <c r="I2080" s="46"/>
      <c r="J2080" s="46"/>
      <c r="K2080" s="46"/>
      <c r="L2080" s="46"/>
      <c r="M2080" s="46"/>
      <c r="N2080" s="46"/>
      <c r="O2080" s="46"/>
      <c r="P2080" s="46"/>
      <c r="Q2080" s="46"/>
      <c r="R2080" s="46"/>
      <c r="S2080" s="46"/>
      <c r="T2080" s="46"/>
      <c r="U2080" s="46"/>
      <c r="V2080" s="46"/>
      <c r="W2080" s="46"/>
      <c r="X2080" s="11" t="str">
        <f>IF(COUNTBLANK(B2080:W2080)&gt;0,"NA",'batch classification'!J2086)</f>
        <v>NA</v>
      </c>
    </row>
    <row r="2081" spans="1:24" x14ac:dyDescent="0.25">
      <c r="A2081" s="45"/>
      <c r="B2081" s="46"/>
      <c r="C2081" s="46"/>
      <c r="D2081" s="46"/>
      <c r="E2081" s="46"/>
      <c r="F2081" s="46"/>
      <c r="G2081" s="46"/>
      <c r="H2081" s="46"/>
      <c r="I2081" s="46"/>
      <c r="J2081" s="46"/>
      <c r="K2081" s="46"/>
      <c r="L2081" s="46"/>
      <c r="M2081" s="46"/>
      <c r="N2081" s="46"/>
      <c r="O2081" s="46"/>
      <c r="P2081" s="46"/>
      <c r="Q2081" s="46"/>
      <c r="R2081" s="46"/>
      <c r="S2081" s="46"/>
      <c r="T2081" s="46"/>
      <c r="U2081" s="46"/>
      <c r="V2081" s="46"/>
      <c r="W2081" s="46"/>
      <c r="X2081" s="11" t="str">
        <f>IF(COUNTBLANK(B2081:W2081)&gt;0,"NA",'batch classification'!J2087)</f>
        <v>NA</v>
      </c>
    </row>
    <row r="2082" spans="1:24" x14ac:dyDescent="0.25">
      <c r="A2082" s="45"/>
      <c r="B2082" s="46"/>
      <c r="C2082" s="46"/>
      <c r="D2082" s="46"/>
      <c r="E2082" s="46"/>
      <c r="F2082" s="46"/>
      <c r="G2082" s="46"/>
      <c r="H2082" s="46"/>
      <c r="I2082" s="46"/>
      <c r="J2082" s="46"/>
      <c r="K2082" s="46"/>
      <c r="L2082" s="46"/>
      <c r="M2082" s="46"/>
      <c r="N2082" s="46"/>
      <c r="O2082" s="46"/>
      <c r="P2082" s="46"/>
      <c r="Q2082" s="46"/>
      <c r="R2082" s="46"/>
      <c r="S2082" s="46"/>
      <c r="T2082" s="46"/>
      <c r="U2082" s="46"/>
      <c r="V2082" s="46"/>
      <c r="W2082" s="46"/>
      <c r="X2082" s="11" t="str">
        <f>IF(COUNTBLANK(B2082:W2082)&gt;0,"NA",'batch classification'!J2088)</f>
        <v>NA</v>
      </c>
    </row>
    <row r="2083" spans="1:24" x14ac:dyDescent="0.25">
      <c r="A2083" s="45"/>
      <c r="B2083" s="46"/>
      <c r="C2083" s="46"/>
      <c r="D2083" s="46"/>
      <c r="E2083" s="46"/>
      <c r="F2083" s="46"/>
      <c r="G2083" s="46"/>
      <c r="H2083" s="46"/>
      <c r="I2083" s="46"/>
      <c r="J2083" s="46"/>
      <c r="K2083" s="46"/>
      <c r="L2083" s="46"/>
      <c r="M2083" s="46"/>
      <c r="N2083" s="46"/>
      <c r="O2083" s="46"/>
      <c r="P2083" s="46"/>
      <c r="Q2083" s="46"/>
      <c r="R2083" s="46"/>
      <c r="S2083" s="46"/>
      <c r="T2083" s="46"/>
      <c r="U2083" s="46"/>
      <c r="V2083" s="46"/>
      <c r="W2083" s="46"/>
      <c r="X2083" s="11" t="str">
        <f>IF(COUNTBLANK(B2083:W2083)&gt;0,"NA",'batch classification'!J2089)</f>
        <v>NA</v>
      </c>
    </row>
    <row r="2084" spans="1:24" x14ac:dyDescent="0.25">
      <c r="A2084" s="45"/>
      <c r="B2084" s="46"/>
      <c r="C2084" s="46"/>
      <c r="D2084" s="46"/>
      <c r="E2084" s="46"/>
      <c r="F2084" s="46"/>
      <c r="G2084" s="46"/>
      <c r="H2084" s="46"/>
      <c r="I2084" s="46"/>
      <c r="J2084" s="46"/>
      <c r="K2084" s="46"/>
      <c r="L2084" s="46"/>
      <c r="M2084" s="46"/>
      <c r="N2084" s="46"/>
      <c r="O2084" s="46"/>
      <c r="P2084" s="46"/>
      <c r="Q2084" s="46"/>
      <c r="R2084" s="46"/>
      <c r="S2084" s="46"/>
      <c r="T2084" s="46"/>
      <c r="U2084" s="46"/>
      <c r="V2084" s="46"/>
      <c r="W2084" s="46"/>
      <c r="X2084" s="11" t="str">
        <f>IF(COUNTBLANK(B2084:W2084)&gt;0,"NA",'batch classification'!J2090)</f>
        <v>NA</v>
      </c>
    </row>
    <row r="2085" spans="1:24" x14ac:dyDescent="0.25">
      <c r="A2085" s="45"/>
      <c r="B2085" s="46"/>
      <c r="C2085" s="46"/>
      <c r="D2085" s="46"/>
      <c r="E2085" s="46"/>
      <c r="F2085" s="46"/>
      <c r="G2085" s="46"/>
      <c r="H2085" s="46"/>
      <c r="I2085" s="46"/>
      <c r="J2085" s="46"/>
      <c r="K2085" s="46"/>
      <c r="L2085" s="46"/>
      <c r="M2085" s="46"/>
      <c r="N2085" s="46"/>
      <c r="O2085" s="46"/>
      <c r="P2085" s="46"/>
      <c r="Q2085" s="46"/>
      <c r="R2085" s="46"/>
      <c r="S2085" s="46"/>
      <c r="T2085" s="46"/>
      <c r="U2085" s="46"/>
      <c r="V2085" s="46"/>
      <c r="W2085" s="46"/>
      <c r="X2085" s="11" t="str">
        <f>IF(COUNTBLANK(B2085:W2085)&gt;0,"NA",'batch classification'!J2091)</f>
        <v>NA</v>
      </c>
    </row>
    <row r="2086" spans="1:24" x14ac:dyDescent="0.25">
      <c r="A2086" s="45"/>
      <c r="B2086" s="46"/>
      <c r="C2086" s="46"/>
      <c r="D2086" s="46"/>
      <c r="E2086" s="46"/>
      <c r="F2086" s="46"/>
      <c r="G2086" s="46"/>
      <c r="H2086" s="46"/>
      <c r="I2086" s="46"/>
      <c r="J2086" s="46"/>
      <c r="K2086" s="46"/>
      <c r="L2086" s="46"/>
      <c r="M2086" s="46"/>
      <c r="N2086" s="46"/>
      <c r="O2086" s="46"/>
      <c r="P2086" s="46"/>
      <c r="Q2086" s="46"/>
      <c r="R2086" s="46"/>
      <c r="S2086" s="46"/>
      <c r="T2086" s="46"/>
      <c r="U2086" s="46"/>
      <c r="V2086" s="46"/>
      <c r="W2086" s="46"/>
      <c r="X2086" s="11" t="str">
        <f>IF(COUNTBLANK(B2086:W2086)&gt;0,"NA",'batch classification'!J2092)</f>
        <v>NA</v>
      </c>
    </row>
    <row r="2087" spans="1:24" x14ac:dyDescent="0.25">
      <c r="A2087" s="45"/>
      <c r="B2087" s="46"/>
      <c r="C2087" s="46"/>
      <c r="D2087" s="46"/>
      <c r="E2087" s="46"/>
      <c r="F2087" s="46"/>
      <c r="G2087" s="46"/>
      <c r="H2087" s="46"/>
      <c r="I2087" s="46"/>
      <c r="J2087" s="46"/>
      <c r="K2087" s="46"/>
      <c r="L2087" s="46"/>
      <c r="M2087" s="46"/>
      <c r="N2087" s="46"/>
      <c r="O2087" s="46"/>
      <c r="P2087" s="46"/>
      <c r="Q2087" s="46"/>
      <c r="R2087" s="46"/>
      <c r="S2087" s="46"/>
      <c r="T2087" s="46"/>
      <c r="U2087" s="46"/>
      <c r="V2087" s="46"/>
      <c r="W2087" s="46"/>
      <c r="X2087" s="11" t="str">
        <f>IF(COUNTBLANK(B2087:W2087)&gt;0,"NA",'batch classification'!J2093)</f>
        <v>NA</v>
      </c>
    </row>
    <row r="2088" spans="1:24" x14ac:dyDescent="0.25">
      <c r="A2088" s="45"/>
      <c r="B2088" s="46"/>
      <c r="C2088" s="46"/>
      <c r="D2088" s="46"/>
      <c r="E2088" s="46"/>
      <c r="F2088" s="46"/>
      <c r="G2088" s="46"/>
      <c r="H2088" s="46"/>
      <c r="I2088" s="46"/>
      <c r="J2088" s="46"/>
      <c r="K2088" s="46"/>
      <c r="L2088" s="46"/>
      <c r="M2088" s="46"/>
      <c r="N2088" s="46"/>
      <c r="O2088" s="46"/>
      <c r="P2088" s="46"/>
      <c r="Q2088" s="46"/>
      <c r="R2088" s="46"/>
      <c r="S2088" s="46"/>
      <c r="T2088" s="46"/>
      <c r="U2088" s="46"/>
      <c r="V2088" s="46"/>
      <c r="W2088" s="46"/>
      <c r="X2088" s="11" t="str">
        <f>IF(COUNTBLANK(B2088:W2088)&gt;0,"NA",'batch classification'!J2094)</f>
        <v>NA</v>
      </c>
    </row>
    <row r="2089" spans="1:24" x14ac:dyDescent="0.25">
      <c r="A2089" s="45"/>
      <c r="B2089" s="46"/>
      <c r="C2089" s="46"/>
      <c r="D2089" s="46"/>
      <c r="E2089" s="46"/>
      <c r="F2089" s="46"/>
      <c r="G2089" s="46"/>
      <c r="H2089" s="46"/>
      <c r="I2089" s="46"/>
      <c r="J2089" s="46"/>
      <c r="K2089" s="46"/>
      <c r="L2089" s="46"/>
      <c r="M2089" s="46"/>
      <c r="N2089" s="46"/>
      <c r="O2089" s="46"/>
      <c r="P2089" s="46"/>
      <c r="Q2089" s="46"/>
      <c r="R2089" s="46"/>
      <c r="S2089" s="46"/>
      <c r="T2089" s="46"/>
      <c r="U2089" s="46"/>
      <c r="V2089" s="46"/>
      <c r="W2089" s="46"/>
      <c r="X2089" s="11" t="str">
        <f>IF(COUNTBLANK(B2089:W2089)&gt;0,"NA",'batch classification'!J2095)</f>
        <v>NA</v>
      </c>
    </row>
    <row r="2090" spans="1:24" x14ac:dyDescent="0.25">
      <c r="A2090" s="45"/>
      <c r="B2090" s="46"/>
      <c r="C2090" s="46"/>
      <c r="D2090" s="46"/>
      <c r="E2090" s="46"/>
      <c r="F2090" s="46"/>
      <c r="G2090" s="46"/>
      <c r="H2090" s="46"/>
      <c r="I2090" s="46"/>
      <c r="J2090" s="46"/>
      <c r="K2090" s="46"/>
      <c r="L2090" s="46"/>
      <c r="M2090" s="46"/>
      <c r="N2090" s="46"/>
      <c r="O2090" s="46"/>
      <c r="P2090" s="46"/>
      <c r="Q2090" s="46"/>
      <c r="R2090" s="46"/>
      <c r="S2090" s="46"/>
      <c r="T2090" s="46"/>
      <c r="U2090" s="46"/>
      <c r="V2090" s="46"/>
      <c r="W2090" s="46"/>
      <c r="X2090" s="11" t="str">
        <f>IF(COUNTBLANK(B2090:W2090)&gt;0,"NA",'batch classification'!J2096)</f>
        <v>NA</v>
      </c>
    </row>
    <row r="2091" spans="1:24" x14ac:dyDescent="0.25">
      <c r="A2091" s="45"/>
      <c r="B2091" s="46"/>
      <c r="C2091" s="46"/>
      <c r="D2091" s="46"/>
      <c r="E2091" s="46"/>
      <c r="F2091" s="46"/>
      <c r="G2091" s="46"/>
      <c r="H2091" s="46"/>
      <c r="I2091" s="46"/>
      <c r="J2091" s="46"/>
      <c r="K2091" s="46"/>
      <c r="L2091" s="46"/>
      <c r="M2091" s="46"/>
      <c r="N2091" s="46"/>
      <c r="O2091" s="46"/>
      <c r="P2091" s="46"/>
      <c r="Q2091" s="46"/>
      <c r="R2091" s="46"/>
      <c r="S2091" s="46"/>
      <c r="T2091" s="46"/>
      <c r="U2091" s="46"/>
      <c r="V2091" s="46"/>
      <c r="W2091" s="46"/>
      <c r="X2091" s="11" t="str">
        <f>IF(COUNTBLANK(B2091:W2091)&gt;0,"NA",'batch classification'!J2097)</f>
        <v>NA</v>
      </c>
    </row>
    <row r="2092" spans="1:24" x14ac:dyDescent="0.25">
      <c r="A2092" s="45"/>
      <c r="B2092" s="46"/>
      <c r="C2092" s="46"/>
      <c r="D2092" s="46"/>
      <c r="E2092" s="46"/>
      <c r="F2092" s="46"/>
      <c r="G2092" s="46"/>
      <c r="H2092" s="46"/>
      <c r="I2092" s="46"/>
      <c r="J2092" s="46"/>
      <c r="K2092" s="46"/>
      <c r="L2092" s="46"/>
      <c r="M2092" s="46"/>
      <c r="N2092" s="46"/>
      <c r="O2092" s="46"/>
      <c r="P2092" s="46"/>
      <c r="Q2092" s="46"/>
      <c r="R2092" s="46"/>
      <c r="S2092" s="46"/>
      <c r="T2092" s="46"/>
      <c r="U2092" s="46"/>
      <c r="V2092" s="46"/>
      <c r="W2092" s="46"/>
      <c r="X2092" s="11" t="str">
        <f>IF(COUNTBLANK(B2092:W2092)&gt;0,"NA",'batch classification'!J2098)</f>
        <v>NA</v>
      </c>
    </row>
    <row r="2093" spans="1:24" x14ac:dyDescent="0.25">
      <c r="A2093" s="45"/>
      <c r="B2093" s="46"/>
      <c r="C2093" s="46"/>
      <c r="D2093" s="46"/>
      <c r="E2093" s="46"/>
      <c r="F2093" s="46"/>
      <c r="G2093" s="46"/>
      <c r="H2093" s="46"/>
      <c r="I2093" s="46"/>
      <c r="J2093" s="46"/>
      <c r="K2093" s="46"/>
      <c r="L2093" s="46"/>
      <c r="M2093" s="46"/>
      <c r="N2093" s="46"/>
      <c r="O2093" s="46"/>
      <c r="P2093" s="46"/>
      <c r="Q2093" s="46"/>
      <c r="R2093" s="46"/>
      <c r="S2093" s="46"/>
      <c r="T2093" s="46"/>
      <c r="U2093" s="46"/>
      <c r="V2093" s="46"/>
      <c r="W2093" s="46"/>
      <c r="X2093" s="11" t="str">
        <f>IF(COUNTBLANK(B2093:W2093)&gt;0,"NA",'batch classification'!J2099)</f>
        <v>NA</v>
      </c>
    </row>
    <row r="2094" spans="1:24" x14ac:dyDescent="0.25">
      <c r="A2094" s="45"/>
      <c r="B2094" s="46"/>
      <c r="C2094" s="46"/>
      <c r="D2094" s="46"/>
      <c r="E2094" s="46"/>
      <c r="F2094" s="46"/>
      <c r="G2094" s="46"/>
      <c r="H2094" s="46"/>
      <c r="I2094" s="46"/>
      <c r="J2094" s="46"/>
      <c r="K2094" s="46"/>
      <c r="L2094" s="46"/>
      <c r="M2094" s="46"/>
      <c r="N2094" s="46"/>
      <c r="O2094" s="46"/>
      <c r="P2094" s="46"/>
      <c r="Q2094" s="46"/>
      <c r="R2094" s="46"/>
      <c r="S2094" s="46"/>
      <c r="T2094" s="46"/>
      <c r="U2094" s="46"/>
      <c r="V2094" s="46"/>
      <c r="W2094" s="46"/>
      <c r="X2094" s="11" t="str">
        <f>IF(COUNTBLANK(B2094:W2094)&gt;0,"NA",'batch classification'!J2100)</f>
        <v>NA</v>
      </c>
    </row>
    <row r="2095" spans="1:24" x14ac:dyDescent="0.25">
      <c r="A2095" s="45"/>
      <c r="B2095" s="46"/>
      <c r="C2095" s="46"/>
      <c r="D2095" s="46"/>
      <c r="E2095" s="46"/>
      <c r="F2095" s="46"/>
      <c r="G2095" s="46"/>
      <c r="H2095" s="46"/>
      <c r="I2095" s="46"/>
      <c r="J2095" s="46"/>
      <c r="K2095" s="46"/>
      <c r="L2095" s="46"/>
      <c r="M2095" s="46"/>
      <c r="N2095" s="46"/>
      <c r="O2095" s="46"/>
      <c r="P2095" s="46"/>
      <c r="Q2095" s="46"/>
      <c r="R2095" s="46"/>
      <c r="S2095" s="46"/>
      <c r="T2095" s="46"/>
      <c r="U2095" s="46"/>
      <c r="V2095" s="46"/>
      <c r="W2095" s="46"/>
      <c r="X2095" s="11" t="str">
        <f>IF(COUNTBLANK(B2095:W2095)&gt;0,"NA",'batch classification'!J2101)</f>
        <v>NA</v>
      </c>
    </row>
    <row r="2096" spans="1:24" x14ac:dyDescent="0.25">
      <c r="A2096" s="45"/>
      <c r="B2096" s="46"/>
      <c r="C2096" s="46"/>
      <c r="D2096" s="46"/>
      <c r="E2096" s="46"/>
      <c r="F2096" s="46"/>
      <c r="G2096" s="46"/>
      <c r="H2096" s="46"/>
      <c r="I2096" s="46"/>
      <c r="J2096" s="46"/>
      <c r="K2096" s="46"/>
      <c r="L2096" s="46"/>
      <c r="M2096" s="46"/>
      <c r="N2096" s="46"/>
      <c r="O2096" s="46"/>
      <c r="P2096" s="46"/>
      <c r="Q2096" s="46"/>
      <c r="R2096" s="46"/>
      <c r="S2096" s="46"/>
      <c r="T2096" s="46"/>
      <c r="U2096" s="46"/>
      <c r="V2096" s="46"/>
      <c r="W2096" s="46"/>
      <c r="X2096" s="11" t="str">
        <f>IF(COUNTBLANK(B2096:W2096)&gt;0,"NA",'batch classification'!J2102)</f>
        <v>NA</v>
      </c>
    </row>
    <row r="2097" spans="1:24" x14ac:dyDescent="0.25">
      <c r="A2097" s="45"/>
      <c r="B2097" s="46"/>
      <c r="C2097" s="46"/>
      <c r="D2097" s="46"/>
      <c r="E2097" s="46"/>
      <c r="F2097" s="46"/>
      <c r="G2097" s="46"/>
      <c r="H2097" s="46"/>
      <c r="I2097" s="46"/>
      <c r="J2097" s="46"/>
      <c r="K2097" s="46"/>
      <c r="L2097" s="46"/>
      <c r="M2097" s="46"/>
      <c r="N2097" s="46"/>
      <c r="O2097" s="46"/>
      <c r="P2097" s="46"/>
      <c r="Q2097" s="46"/>
      <c r="R2097" s="46"/>
      <c r="S2097" s="46"/>
      <c r="T2097" s="46"/>
      <c r="U2097" s="46"/>
      <c r="V2097" s="46"/>
      <c r="W2097" s="46"/>
      <c r="X2097" s="11" t="str">
        <f>IF(COUNTBLANK(B2097:W2097)&gt;0,"NA",'batch classification'!J2103)</f>
        <v>NA</v>
      </c>
    </row>
    <row r="2098" spans="1:24" x14ac:dyDescent="0.25">
      <c r="A2098" s="45"/>
      <c r="B2098" s="46"/>
      <c r="C2098" s="46"/>
      <c r="D2098" s="46"/>
      <c r="E2098" s="46"/>
      <c r="F2098" s="46"/>
      <c r="G2098" s="46"/>
      <c r="H2098" s="46"/>
      <c r="I2098" s="46"/>
      <c r="J2098" s="46"/>
      <c r="K2098" s="46"/>
      <c r="L2098" s="46"/>
      <c r="M2098" s="46"/>
      <c r="N2098" s="46"/>
      <c r="O2098" s="46"/>
      <c r="P2098" s="46"/>
      <c r="Q2098" s="46"/>
      <c r="R2098" s="46"/>
      <c r="S2098" s="46"/>
      <c r="T2098" s="46"/>
      <c r="U2098" s="46"/>
      <c r="V2098" s="46"/>
      <c r="W2098" s="46"/>
      <c r="X2098" s="11" t="str">
        <f>IF(COUNTBLANK(B2098:W2098)&gt;0,"NA",'batch classification'!J2104)</f>
        <v>NA</v>
      </c>
    </row>
    <row r="2099" spans="1:24" x14ac:dyDescent="0.25">
      <c r="A2099" s="45"/>
      <c r="B2099" s="46"/>
      <c r="C2099" s="46"/>
      <c r="D2099" s="46"/>
      <c r="E2099" s="46"/>
      <c r="F2099" s="46"/>
      <c r="G2099" s="46"/>
      <c r="H2099" s="46"/>
      <c r="I2099" s="46"/>
      <c r="J2099" s="46"/>
      <c r="K2099" s="46"/>
      <c r="L2099" s="46"/>
      <c r="M2099" s="46"/>
      <c r="N2099" s="46"/>
      <c r="O2099" s="46"/>
      <c r="P2099" s="46"/>
      <c r="Q2099" s="46"/>
      <c r="R2099" s="46"/>
      <c r="S2099" s="46"/>
      <c r="T2099" s="46"/>
      <c r="U2099" s="46"/>
      <c r="V2099" s="46"/>
      <c r="W2099" s="46"/>
      <c r="X2099" s="11" t="str">
        <f>IF(COUNTBLANK(B2099:W2099)&gt;0,"NA",'batch classification'!J2105)</f>
        <v>NA</v>
      </c>
    </row>
    <row r="2100" spans="1:24" x14ac:dyDescent="0.25">
      <c r="A2100" s="45"/>
      <c r="B2100" s="46"/>
      <c r="C2100" s="46"/>
      <c r="D2100" s="46"/>
      <c r="E2100" s="46"/>
      <c r="F2100" s="46"/>
      <c r="G2100" s="46"/>
      <c r="H2100" s="46"/>
      <c r="I2100" s="46"/>
      <c r="J2100" s="46"/>
      <c r="K2100" s="46"/>
      <c r="L2100" s="46"/>
      <c r="M2100" s="46"/>
      <c r="N2100" s="46"/>
      <c r="O2100" s="46"/>
      <c r="P2100" s="46"/>
      <c r="Q2100" s="46"/>
      <c r="R2100" s="46"/>
      <c r="S2100" s="46"/>
      <c r="T2100" s="46"/>
      <c r="U2100" s="46"/>
      <c r="V2100" s="46"/>
      <c r="W2100" s="46"/>
      <c r="X2100" s="11" t="str">
        <f>IF(COUNTBLANK(B2100:W2100)&gt;0,"NA",'batch classification'!J2106)</f>
        <v>NA</v>
      </c>
    </row>
    <row r="2101" spans="1:24" x14ac:dyDescent="0.25">
      <c r="A2101" s="45"/>
      <c r="B2101" s="46"/>
      <c r="C2101" s="46"/>
      <c r="D2101" s="46"/>
      <c r="E2101" s="46"/>
      <c r="F2101" s="46"/>
      <c r="G2101" s="46"/>
      <c r="H2101" s="46"/>
      <c r="I2101" s="46"/>
      <c r="J2101" s="46"/>
      <c r="K2101" s="46"/>
      <c r="L2101" s="46"/>
      <c r="M2101" s="46"/>
      <c r="N2101" s="46"/>
      <c r="O2101" s="46"/>
      <c r="P2101" s="46"/>
      <c r="Q2101" s="46"/>
      <c r="R2101" s="46"/>
      <c r="S2101" s="46"/>
      <c r="T2101" s="46"/>
      <c r="U2101" s="46"/>
      <c r="V2101" s="46"/>
      <c r="W2101" s="46"/>
      <c r="X2101" s="11" t="str">
        <f>IF(COUNTBLANK(B2101:W2101)&gt;0,"NA",'batch classification'!J2107)</f>
        <v>NA</v>
      </c>
    </row>
    <row r="2102" spans="1:24" x14ac:dyDescent="0.25">
      <c r="A2102" s="45"/>
      <c r="B2102" s="46"/>
      <c r="C2102" s="46"/>
      <c r="D2102" s="46"/>
      <c r="E2102" s="46"/>
      <c r="F2102" s="46"/>
      <c r="G2102" s="46"/>
      <c r="H2102" s="46"/>
      <c r="I2102" s="46"/>
      <c r="J2102" s="46"/>
      <c r="K2102" s="46"/>
      <c r="L2102" s="46"/>
      <c r="M2102" s="46"/>
      <c r="N2102" s="46"/>
      <c r="O2102" s="46"/>
      <c r="P2102" s="46"/>
      <c r="Q2102" s="46"/>
      <c r="R2102" s="46"/>
      <c r="S2102" s="46"/>
      <c r="T2102" s="46"/>
      <c r="U2102" s="46"/>
      <c r="V2102" s="46"/>
      <c r="W2102" s="46"/>
      <c r="X2102" s="11" t="str">
        <f>IF(COUNTBLANK(B2102:W2102)&gt;0,"NA",'batch classification'!J2108)</f>
        <v>NA</v>
      </c>
    </row>
    <row r="2103" spans="1:24" x14ac:dyDescent="0.25">
      <c r="A2103" s="45"/>
      <c r="B2103" s="46"/>
      <c r="C2103" s="46"/>
      <c r="D2103" s="46"/>
      <c r="E2103" s="46"/>
      <c r="F2103" s="46"/>
      <c r="G2103" s="46"/>
      <c r="H2103" s="46"/>
      <c r="I2103" s="46"/>
      <c r="J2103" s="46"/>
      <c r="K2103" s="46"/>
      <c r="L2103" s="46"/>
      <c r="M2103" s="46"/>
      <c r="N2103" s="46"/>
      <c r="O2103" s="46"/>
      <c r="P2103" s="46"/>
      <c r="Q2103" s="46"/>
      <c r="R2103" s="46"/>
      <c r="S2103" s="46"/>
      <c r="T2103" s="46"/>
      <c r="U2103" s="46"/>
      <c r="V2103" s="46"/>
      <c r="W2103" s="46"/>
      <c r="X2103" s="11" t="str">
        <f>IF(COUNTBLANK(B2103:W2103)&gt;0,"NA",'batch classification'!J2109)</f>
        <v>NA</v>
      </c>
    </row>
    <row r="2104" spans="1:24" x14ac:dyDescent="0.25">
      <c r="A2104" s="45"/>
      <c r="B2104" s="46"/>
      <c r="C2104" s="46"/>
      <c r="D2104" s="46"/>
      <c r="E2104" s="46"/>
      <c r="F2104" s="46"/>
      <c r="G2104" s="46"/>
      <c r="H2104" s="46"/>
      <c r="I2104" s="46"/>
      <c r="J2104" s="46"/>
      <c r="K2104" s="46"/>
      <c r="L2104" s="46"/>
      <c r="M2104" s="46"/>
      <c r="N2104" s="46"/>
      <c r="O2104" s="46"/>
      <c r="P2104" s="46"/>
      <c r="Q2104" s="46"/>
      <c r="R2104" s="46"/>
      <c r="S2104" s="46"/>
      <c r="T2104" s="46"/>
      <c r="U2104" s="46"/>
      <c r="V2104" s="46"/>
      <c r="W2104" s="46"/>
      <c r="X2104" s="11" t="str">
        <f>IF(COUNTBLANK(B2104:W2104)&gt;0,"NA",'batch classification'!J2110)</f>
        <v>NA</v>
      </c>
    </row>
    <row r="2105" spans="1:24" x14ac:dyDescent="0.25">
      <c r="A2105" s="45"/>
      <c r="B2105" s="46"/>
      <c r="C2105" s="46"/>
      <c r="D2105" s="46"/>
      <c r="E2105" s="46"/>
      <c r="F2105" s="46"/>
      <c r="G2105" s="46"/>
      <c r="H2105" s="46"/>
      <c r="I2105" s="46"/>
      <c r="J2105" s="46"/>
      <c r="K2105" s="46"/>
      <c r="L2105" s="46"/>
      <c r="M2105" s="46"/>
      <c r="N2105" s="46"/>
      <c r="O2105" s="46"/>
      <c r="P2105" s="46"/>
      <c r="Q2105" s="46"/>
      <c r="R2105" s="46"/>
      <c r="S2105" s="46"/>
      <c r="T2105" s="46"/>
      <c r="U2105" s="46"/>
      <c r="V2105" s="46"/>
      <c r="W2105" s="46"/>
      <c r="X2105" s="11" t="str">
        <f>IF(COUNTBLANK(B2105:W2105)&gt;0,"NA",'batch classification'!J2111)</f>
        <v>NA</v>
      </c>
    </row>
    <row r="2106" spans="1:24" x14ac:dyDescent="0.25">
      <c r="A2106" s="45"/>
      <c r="B2106" s="46"/>
      <c r="C2106" s="46"/>
      <c r="D2106" s="46"/>
      <c r="E2106" s="46"/>
      <c r="F2106" s="46"/>
      <c r="G2106" s="46"/>
      <c r="H2106" s="46"/>
      <c r="I2106" s="46"/>
      <c r="J2106" s="46"/>
      <c r="K2106" s="46"/>
      <c r="L2106" s="46"/>
      <c r="M2106" s="46"/>
      <c r="N2106" s="46"/>
      <c r="O2106" s="46"/>
      <c r="P2106" s="46"/>
      <c r="Q2106" s="46"/>
      <c r="R2106" s="46"/>
      <c r="S2106" s="46"/>
      <c r="T2106" s="46"/>
      <c r="U2106" s="46"/>
      <c r="V2106" s="46"/>
      <c r="W2106" s="46"/>
      <c r="X2106" s="11" t="str">
        <f>IF(COUNTBLANK(B2106:W2106)&gt;0,"NA",'batch classification'!J2112)</f>
        <v>NA</v>
      </c>
    </row>
    <row r="2107" spans="1:24" x14ac:dyDescent="0.25">
      <c r="A2107" s="45"/>
      <c r="B2107" s="46"/>
      <c r="C2107" s="46"/>
      <c r="D2107" s="46"/>
      <c r="E2107" s="46"/>
      <c r="F2107" s="46"/>
      <c r="G2107" s="46"/>
      <c r="H2107" s="46"/>
      <c r="I2107" s="46"/>
      <c r="J2107" s="46"/>
      <c r="K2107" s="46"/>
      <c r="L2107" s="46"/>
      <c r="M2107" s="46"/>
      <c r="N2107" s="46"/>
      <c r="O2107" s="46"/>
      <c r="P2107" s="46"/>
      <c r="Q2107" s="46"/>
      <c r="R2107" s="46"/>
      <c r="S2107" s="46"/>
      <c r="T2107" s="46"/>
      <c r="U2107" s="46"/>
      <c r="V2107" s="46"/>
      <c r="W2107" s="46"/>
      <c r="X2107" s="11" t="str">
        <f>IF(COUNTBLANK(B2107:W2107)&gt;0,"NA",'batch classification'!J2113)</f>
        <v>NA</v>
      </c>
    </row>
    <row r="2108" spans="1:24" x14ac:dyDescent="0.25">
      <c r="A2108" s="45"/>
      <c r="B2108" s="46"/>
      <c r="C2108" s="46"/>
      <c r="D2108" s="46"/>
      <c r="E2108" s="46"/>
      <c r="F2108" s="46"/>
      <c r="G2108" s="46"/>
      <c r="H2108" s="46"/>
      <c r="I2108" s="46"/>
      <c r="J2108" s="46"/>
      <c r="K2108" s="46"/>
      <c r="L2108" s="46"/>
      <c r="M2108" s="46"/>
      <c r="N2108" s="46"/>
      <c r="O2108" s="46"/>
      <c r="P2108" s="46"/>
      <c r="Q2108" s="46"/>
      <c r="R2108" s="46"/>
      <c r="S2108" s="46"/>
      <c r="T2108" s="46"/>
      <c r="U2108" s="46"/>
      <c r="V2108" s="46"/>
      <c r="W2108" s="46"/>
      <c r="X2108" s="11" t="str">
        <f>IF(COUNTBLANK(B2108:W2108)&gt;0,"NA",'batch classification'!J2114)</f>
        <v>NA</v>
      </c>
    </row>
    <row r="2109" spans="1:24" x14ac:dyDescent="0.25">
      <c r="A2109" s="45"/>
      <c r="B2109" s="46"/>
      <c r="C2109" s="46"/>
      <c r="D2109" s="46"/>
      <c r="E2109" s="46"/>
      <c r="F2109" s="46"/>
      <c r="G2109" s="46"/>
      <c r="H2109" s="46"/>
      <c r="I2109" s="46"/>
      <c r="J2109" s="46"/>
      <c r="K2109" s="46"/>
      <c r="L2109" s="46"/>
      <c r="M2109" s="46"/>
      <c r="N2109" s="46"/>
      <c r="O2109" s="46"/>
      <c r="P2109" s="46"/>
      <c r="Q2109" s="46"/>
      <c r="R2109" s="46"/>
      <c r="S2109" s="46"/>
      <c r="T2109" s="46"/>
      <c r="U2109" s="46"/>
      <c r="V2109" s="46"/>
      <c r="W2109" s="46"/>
      <c r="X2109" s="11" t="str">
        <f>IF(COUNTBLANK(B2109:W2109)&gt;0,"NA",'batch classification'!J2115)</f>
        <v>NA</v>
      </c>
    </row>
    <row r="2110" spans="1:24" x14ac:dyDescent="0.25">
      <c r="A2110" s="45"/>
      <c r="B2110" s="46"/>
      <c r="C2110" s="46"/>
      <c r="D2110" s="46"/>
      <c r="E2110" s="46"/>
      <c r="F2110" s="46"/>
      <c r="G2110" s="46"/>
      <c r="H2110" s="46"/>
      <c r="I2110" s="46"/>
      <c r="J2110" s="46"/>
      <c r="K2110" s="46"/>
      <c r="L2110" s="46"/>
      <c r="M2110" s="46"/>
      <c r="N2110" s="46"/>
      <c r="O2110" s="46"/>
      <c r="P2110" s="46"/>
      <c r="Q2110" s="46"/>
      <c r="R2110" s="46"/>
      <c r="S2110" s="46"/>
      <c r="T2110" s="46"/>
      <c r="U2110" s="46"/>
      <c r="V2110" s="46"/>
      <c r="W2110" s="46"/>
      <c r="X2110" s="11" t="str">
        <f>IF(COUNTBLANK(B2110:W2110)&gt;0,"NA",'batch classification'!J2116)</f>
        <v>NA</v>
      </c>
    </row>
    <row r="2111" spans="1:24" x14ac:dyDescent="0.25">
      <c r="A2111" s="45"/>
      <c r="B2111" s="46"/>
      <c r="C2111" s="46"/>
      <c r="D2111" s="46"/>
      <c r="E2111" s="46"/>
      <c r="F2111" s="46"/>
      <c r="G2111" s="46"/>
      <c r="H2111" s="46"/>
      <c r="I2111" s="46"/>
      <c r="J2111" s="46"/>
      <c r="K2111" s="46"/>
      <c r="L2111" s="46"/>
      <c r="M2111" s="46"/>
      <c r="N2111" s="46"/>
      <c r="O2111" s="46"/>
      <c r="P2111" s="46"/>
      <c r="Q2111" s="46"/>
      <c r="R2111" s="46"/>
      <c r="S2111" s="46"/>
      <c r="T2111" s="46"/>
      <c r="U2111" s="46"/>
      <c r="V2111" s="46"/>
      <c r="W2111" s="46"/>
      <c r="X2111" s="11" t="str">
        <f>IF(COUNTBLANK(B2111:W2111)&gt;0,"NA",'batch classification'!J2117)</f>
        <v>NA</v>
      </c>
    </row>
    <row r="2112" spans="1:24" x14ac:dyDescent="0.25">
      <c r="A2112" s="45"/>
      <c r="B2112" s="46"/>
      <c r="C2112" s="46"/>
      <c r="D2112" s="46"/>
      <c r="E2112" s="46"/>
      <c r="F2112" s="46"/>
      <c r="G2112" s="46"/>
      <c r="H2112" s="46"/>
      <c r="I2112" s="46"/>
      <c r="J2112" s="46"/>
      <c r="K2112" s="46"/>
      <c r="L2112" s="46"/>
      <c r="M2112" s="46"/>
      <c r="N2112" s="46"/>
      <c r="O2112" s="46"/>
      <c r="P2112" s="46"/>
      <c r="Q2112" s="46"/>
      <c r="R2112" s="46"/>
      <c r="S2112" s="46"/>
      <c r="T2112" s="46"/>
      <c r="U2112" s="46"/>
      <c r="V2112" s="46"/>
      <c r="W2112" s="46"/>
      <c r="X2112" s="11" t="str">
        <f>IF(COUNTBLANK(B2112:W2112)&gt;0,"NA",'batch classification'!J2118)</f>
        <v>NA</v>
      </c>
    </row>
    <row r="2113" spans="1:24" x14ac:dyDescent="0.25">
      <c r="A2113" s="45"/>
      <c r="B2113" s="46"/>
      <c r="C2113" s="46"/>
      <c r="D2113" s="46"/>
      <c r="E2113" s="46"/>
      <c r="F2113" s="46"/>
      <c r="G2113" s="46"/>
      <c r="H2113" s="46"/>
      <c r="I2113" s="46"/>
      <c r="J2113" s="46"/>
      <c r="K2113" s="46"/>
      <c r="L2113" s="46"/>
      <c r="M2113" s="46"/>
      <c r="N2113" s="46"/>
      <c r="O2113" s="46"/>
      <c r="P2113" s="46"/>
      <c r="Q2113" s="46"/>
      <c r="R2113" s="46"/>
      <c r="S2113" s="46"/>
      <c r="T2113" s="46"/>
      <c r="U2113" s="46"/>
      <c r="V2113" s="46"/>
      <c r="W2113" s="46"/>
      <c r="X2113" s="11" t="str">
        <f>IF(COUNTBLANK(B2113:W2113)&gt;0,"NA",'batch classification'!J2119)</f>
        <v>NA</v>
      </c>
    </row>
    <row r="2114" spans="1:24" x14ac:dyDescent="0.25">
      <c r="A2114" s="45"/>
      <c r="B2114" s="46"/>
      <c r="C2114" s="46"/>
      <c r="D2114" s="46"/>
      <c r="E2114" s="46"/>
      <c r="F2114" s="46"/>
      <c r="G2114" s="46"/>
      <c r="H2114" s="46"/>
      <c r="I2114" s="46"/>
      <c r="J2114" s="46"/>
      <c r="K2114" s="46"/>
      <c r="L2114" s="46"/>
      <c r="M2114" s="46"/>
      <c r="N2114" s="46"/>
      <c r="O2114" s="46"/>
      <c r="P2114" s="46"/>
      <c r="Q2114" s="46"/>
      <c r="R2114" s="46"/>
      <c r="S2114" s="46"/>
      <c r="T2114" s="46"/>
      <c r="U2114" s="46"/>
      <c r="V2114" s="46"/>
      <c r="W2114" s="46"/>
      <c r="X2114" s="11" t="str">
        <f>IF(COUNTBLANK(B2114:W2114)&gt;0,"NA",'batch classification'!J2120)</f>
        <v>NA</v>
      </c>
    </row>
    <row r="2115" spans="1:24" x14ac:dyDescent="0.25">
      <c r="A2115" s="45"/>
      <c r="B2115" s="46"/>
      <c r="C2115" s="46"/>
      <c r="D2115" s="46"/>
      <c r="E2115" s="46"/>
      <c r="F2115" s="46"/>
      <c r="G2115" s="46"/>
      <c r="H2115" s="46"/>
      <c r="I2115" s="46"/>
      <c r="J2115" s="46"/>
      <c r="K2115" s="46"/>
      <c r="L2115" s="46"/>
      <c r="M2115" s="46"/>
      <c r="N2115" s="46"/>
      <c r="O2115" s="46"/>
      <c r="P2115" s="46"/>
      <c r="Q2115" s="46"/>
      <c r="R2115" s="46"/>
      <c r="S2115" s="46"/>
      <c r="T2115" s="46"/>
      <c r="U2115" s="46"/>
      <c r="V2115" s="46"/>
      <c r="W2115" s="46"/>
      <c r="X2115" s="11" t="str">
        <f>IF(COUNTBLANK(B2115:W2115)&gt;0,"NA",'batch classification'!J2121)</f>
        <v>NA</v>
      </c>
    </row>
    <row r="2116" spans="1:24" x14ac:dyDescent="0.25">
      <c r="A2116" s="45"/>
      <c r="B2116" s="46"/>
      <c r="C2116" s="46"/>
      <c r="D2116" s="46"/>
      <c r="E2116" s="46"/>
      <c r="F2116" s="46"/>
      <c r="G2116" s="46"/>
      <c r="H2116" s="46"/>
      <c r="I2116" s="46"/>
      <c r="J2116" s="46"/>
      <c r="K2116" s="46"/>
      <c r="L2116" s="46"/>
      <c r="M2116" s="46"/>
      <c r="N2116" s="46"/>
      <c r="O2116" s="46"/>
      <c r="P2116" s="46"/>
      <c r="Q2116" s="46"/>
      <c r="R2116" s="46"/>
      <c r="S2116" s="46"/>
      <c r="T2116" s="46"/>
      <c r="U2116" s="46"/>
      <c r="V2116" s="46"/>
      <c r="W2116" s="46"/>
      <c r="X2116" s="11" t="str">
        <f>IF(COUNTBLANK(B2116:W2116)&gt;0,"NA",'batch classification'!J2122)</f>
        <v>NA</v>
      </c>
    </row>
    <row r="2117" spans="1:24" x14ac:dyDescent="0.25">
      <c r="A2117" s="45"/>
      <c r="B2117" s="46"/>
      <c r="C2117" s="46"/>
      <c r="D2117" s="46"/>
      <c r="E2117" s="46"/>
      <c r="F2117" s="46"/>
      <c r="G2117" s="46"/>
      <c r="H2117" s="46"/>
      <c r="I2117" s="46"/>
      <c r="J2117" s="46"/>
      <c r="K2117" s="46"/>
      <c r="L2117" s="46"/>
      <c r="M2117" s="46"/>
      <c r="N2117" s="46"/>
      <c r="O2117" s="46"/>
      <c r="P2117" s="46"/>
      <c r="Q2117" s="46"/>
      <c r="R2117" s="46"/>
      <c r="S2117" s="46"/>
      <c r="T2117" s="46"/>
      <c r="U2117" s="46"/>
      <c r="V2117" s="46"/>
      <c r="W2117" s="46"/>
      <c r="X2117" s="11" t="str">
        <f>IF(COUNTBLANK(B2117:W2117)&gt;0,"NA",'batch classification'!J2123)</f>
        <v>NA</v>
      </c>
    </row>
    <row r="2118" spans="1:24" x14ac:dyDescent="0.25">
      <c r="A2118" s="45"/>
      <c r="B2118" s="46"/>
      <c r="C2118" s="46"/>
      <c r="D2118" s="46"/>
      <c r="E2118" s="46"/>
      <c r="F2118" s="46"/>
      <c r="G2118" s="46"/>
      <c r="H2118" s="46"/>
      <c r="I2118" s="46"/>
      <c r="J2118" s="46"/>
      <c r="K2118" s="46"/>
      <c r="L2118" s="46"/>
      <c r="M2118" s="46"/>
      <c r="N2118" s="46"/>
      <c r="O2118" s="46"/>
      <c r="P2118" s="46"/>
      <c r="Q2118" s="46"/>
      <c r="R2118" s="46"/>
      <c r="S2118" s="46"/>
      <c r="T2118" s="46"/>
      <c r="U2118" s="46"/>
      <c r="V2118" s="46"/>
      <c r="W2118" s="46"/>
      <c r="X2118" s="11" t="str">
        <f>IF(COUNTBLANK(B2118:W2118)&gt;0,"NA",'batch classification'!J2124)</f>
        <v>NA</v>
      </c>
    </row>
    <row r="2119" spans="1:24" x14ac:dyDescent="0.25">
      <c r="A2119" s="45"/>
      <c r="B2119" s="46"/>
      <c r="C2119" s="46"/>
      <c r="D2119" s="46"/>
      <c r="E2119" s="46"/>
      <c r="F2119" s="46"/>
      <c r="G2119" s="46"/>
      <c r="H2119" s="46"/>
      <c r="I2119" s="46"/>
      <c r="J2119" s="46"/>
      <c r="K2119" s="46"/>
      <c r="L2119" s="46"/>
      <c r="M2119" s="46"/>
      <c r="N2119" s="46"/>
      <c r="O2119" s="46"/>
      <c r="P2119" s="46"/>
      <c r="Q2119" s="46"/>
      <c r="R2119" s="46"/>
      <c r="S2119" s="46"/>
      <c r="T2119" s="46"/>
      <c r="U2119" s="46"/>
      <c r="V2119" s="46"/>
      <c r="W2119" s="46"/>
      <c r="X2119" s="11" t="str">
        <f>IF(COUNTBLANK(B2119:W2119)&gt;0,"NA",'batch classification'!J2125)</f>
        <v>NA</v>
      </c>
    </row>
    <row r="2120" spans="1:24" x14ac:dyDescent="0.25">
      <c r="A2120" s="45"/>
      <c r="B2120" s="46"/>
      <c r="C2120" s="46"/>
      <c r="D2120" s="46"/>
      <c r="E2120" s="46"/>
      <c r="F2120" s="46"/>
      <c r="G2120" s="46"/>
      <c r="H2120" s="46"/>
      <c r="I2120" s="46"/>
      <c r="J2120" s="46"/>
      <c r="K2120" s="46"/>
      <c r="L2120" s="46"/>
      <c r="M2120" s="46"/>
      <c r="N2120" s="46"/>
      <c r="O2120" s="46"/>
      <c r="P2120" s="46"/>
      <c r="Q2120" s="46"/>
      <c r="R2120" s="46"/>
      <c r="S2120" s="46"/>
      <c r="T2120" s="46"/>
      <c r="U2120" s="46"/>
      <c r="V2120" s="46"/>
      <c r="W2120" s="46"/>
      <c r="X2120" s="11" t="str">
        <f>IF(COUNTBLANK(B2120:W2120)&gt;0,"NA",'batch classification'!J2126)</f>
        <v>NA</v>
      </c>
    </row>
    <row r="2121" spans="1:24" x14ac:dyDescent="0.25">
      <c r="A2121" s="45"/>
      <c r="B2121" s="46"/>
      <c r="C2121" s="46"/>
      <c r="D2121" s="46"/>
      <c r="E2121" s="46"/>
      <c r="F2121" s="46"/>
      <c r="G2121" s="46"/>
      <c r="H2121" s="46"/>
      <c r="I2121" s="46"/>
      <c r="J2121" s="46"/>
      <c r="K2121" s="46"/>
      <c r="L2121" s="46"/>
      <c r="M2121" s="46"/>
      <c r="N2121" s="46"/>
      <c r="O2121" s="46"/>
      <c r="P2121" s="46"/>
      <c r="Q2121" s="46"/>
      <c r="R2121" s="46"/>
      <c r="S2121" s="46"/>
      <c r="T2121" s="46"/>
      <c r="U2121" s="46"/>
      <c r="V2121" s="46"/>
      <c r="W2121" s="46"/>
      <c r="X2121" s="11" t="str">
        <f>IF(COUNTBLANK(B2121:W2121)&gt;0,"NA",'batch classification'!J2127)</f>
        <v>NA</v>
      </c>
    </row>
    <row r="2122" spans="1:24" x14ac:dyDescent="0.25">
      <c r="A2122" s="45"/>
      <c r="B2122" s="46"/>
      <c r="C2122" s="46"/>
      <c r="D2122" s="46"/>
      <c r="E2122" s="46"/>
      <c r="F2122" s="46"/>
      <c r="G2122" s="46"/>
      <c r="H2122" s="46"/>
      <c r="I2122" s="46"/>
      <c r="J2122" s="46"/>
      <c r="K2122" s="46"/>
      <c r="L2122" s="46"/>
      <c r="M2122" s="46"/>
      <c r="N2122" s="46"/>
      <c r="O2122" s="46"/>
      <c r="P2122" s="46"/>
      <c r="Q2122" s="46"/>
      <c r="R2122" s="46"/>
      <c r="S2122" s="46"/>
      <c r="T2122" s="46"/>
      <c r="U2122" s="46"/>
      <c r="V2122" s="46"/>
      <c r="W2122" s="46"/>
      <c r="X2122" s="11" t="str">
        <f>IF(COUNTBLANK(B2122:W2122)&gt;0,"NA",'batch classification'!J2128)</f>
        <v>NA</v>
      </c>
    </row>
    <row r="2123" spans="1:24" x14ac:dyDescent="0.25">
      <c r="A2123" s="45"/>
      <c r="B2123" s="46"/>
      <c r="C2123" s="46"/>
      <c r="D2123" s="46"/>
      <c r="E2123" s="46"/>
      <c r="F2123" s="46"/>
      <c r="G2123" s="46"/>
      <c r="H2123" s="46"/>
      <c r="I2123" s="46"/>
      <c r="J2123" s="46"/>
      <c r="K2123" s="46"/>
      <c r="L2123" s="46"/>
      <c r="M2123" s="46"/>
      <c r="N2123" s="46"/>
      <c r="O2123" s="46"/>
      <c r="P2123" s="46"/>
      <c r="Q2123" s="46"/>
      <c r="R2123" s="46"/>
      <c r="S2123" s="46"/>
      <c r="T2123" s="46"/>
      <c r="U2123" s="46"/>
      <c r="V2123" s="46"/>
      <c r="W2123" s="46"/>
      <c r="X2123" s="11" t="str">
        <f>IF(COUNTBLANK(B2123:W2123)&gt;0,"NA",'batch classification'!J2129)</f>
        <v>NA</v>
      </c>
    </row>
    <row r="2124" spans="1:24" x14ac:dyDescent="0.25">
      <c r="A2124" s="45"/>
      <c r="B2124" s="46"/>
      <c r="C2124" s="46"/>
      <c r="D2124" s="46"/>
      <c r="E2124" s="46"/>
      <c r="F2124" s="46"/>
      <c r="G2124" s="46"/>
      <c r="H2124" s="46"/>
      <c r="I2124" s="46"/>
      <c r="J2124" s="46"/>
      <c r="K2124" s="46"/>
      <c r="L2124" s="46"/>
      <c r="M2124" s="46"/>
      <c r="N2124" s="46"/>
      <c r="O2124" s="46"/>
      <c r="P2124" s="46"/>
      <c r="Q2124" s="46"/>
      <c r="R2124" s="46"/>
      <c r="S2124" s="46"/>
      <c r="T2124" s="46"/>
      <c r="U2124" s="46"/>
      <c r="V2124" s="46"/>
      <c r="W2124" s="46"/>
      <c r="X2124" s="11" t="str">
        <f>IF(COUNTBLANK(B2124:W2124)&gt;0,"NA",'batch classification'!J2130)</f>
        <v>NA</v>
      </c>
    </row>
    <row r="2125" spans="1:24" x14ac:dyDescent="0.25">
      <c r="A2125" s="45"/>
      <c r="B2125" s="46"/>
      <c r="C2125" s="46"/>
      <c r="D2125" s="46"/>
      <c r="E2125" s="46"/>
      <c r="F2125" s="46"/>
      <c r="G2125" s="46"/>
      <c r="H2125" s="46"/>
      <c r="I2125" s="46"/>
      <c r="J2125" s="46"/>
      <c r="K2125" s="46"/>
      <c r="L2125" s="46"/>
      <c r="M2125" s="46"/>
      <c r="N2125" s="46"/>
      <c r="O2125" s="46"/>
      <c r="P2125" s="46"/>
      <c r="Q2125" s="46"/>
      <c r="R2125" s="46"/>
      <c r="S2125" s="46"/>
      <c r="T2125" s="46"/>
      <c r="U2125" s="46"/>
      <c r="V2125" s="46"/>
      <c r="W2125" s="46"/>
      <c r="X2125" s="11" t="str">
        <f>IF(COUNTBLANK(B2125:W2125)&gt;0,"NA",'batch classification'!J2131)</f>
        <v>NA</v>
      </c>
    </row>
    <row r="2126" spans="1:24" x14ac:dyDescent="0.25">
      <c r="A2126" s="45"/>
      <c r="B2126" s="46"/>
      <c r="C2126" s="46"/>
      <c r="D2126" s="46"/>
      <c r="E2126" s="46"/>
      <c r="F2126" s="46"/>
      <c r="G2126" s="46"/>
      <c r="H2126" s="46"/>
      <c r="I2126" s="46"/>
      <c r="J2126" s="46"/>
      <c r="K2126" s="46"/>
      <c r="L2126" s="46"/>
      <c r="M2126" s="46"/>
      <c r="N2126" s="46"/>
      <c r="O2126" s="46"/>
      <c r="P2126" s="46"/>
      <c r="Q2126" s="46"/>
      <c r="R2126" s="46"/>
      <c r="S2126" s="46"/>
      <c r="T2126" s="46"/>
      <c r="U2126" s="46"/>
      <c r="V2126" s="46"/>
      <c r="W2126" s="46"/>
      <c r="X2126" s="11" t="str">
        <f>IF(COUNTBLANK(B2126:W2126)&gt;0,"NA",'batch classification'!J2132)</f>
        <v>NA</v>
      </c>
    </row>
    <row r="2127" spans="1:24" x14ac:dyDescent="0.25">
      <c r="A2127" s="45"/>
      <c r="B2127" s="46"/>
      <c r="C2127" s="46"/>
      <c r="D2127" s="46"/>
      <c r="E2127" s="46"/>
      <c r="F2127" s="46"/>
      <c r="G2127" s="46"/>
      <c r="H2127" s="46"/>
      <c r="I2127" s="46"/>
      <c r="J2127" s="46"/>
      <c r="K2127" s="46"/>
      <c r="L2127" s="46"/>
      <c r="M2127" s="46"/>
      <c r="N2127" s="46"/>
      <c r="O2127" s="46"/>
      <c r="P2127" s="46"/>
      <c r="Q2127" s="46"/>
      <c r="R2127" s="46"/>
      <c r="S2127" s="46"/>
      <c r="T2127" s="46"/>
      <c r="U2127" s="46"/>
      <c r="V2127" s="46"/>
      <c r="W2127" s="46"/>
      <c r="X2127" s="11" t="str">
        <f>IF(COUNTBLANK(B2127:W2127)&gt;0,"NA",'batch classification'!J2133)</f>
        <v>NA</v>
      </c>
    </row>
    <row r="2128" spans="1:24" x14ac:dyDescent="0.25">
      <c r="A2128" s="45"/>
      <c r="B2128" s="46"/>
      <c r="C2128" s="46"/>
      <c r="D2128" s="46"/>
      <c r="E2128" s="46"/>
      <c r="F2128" s="46"/>
      <c r="G2128" s="46"/>
      <c r="H2128" s="46"/>
      <c r="I2128" s="46"/>
      <c r="J2128" s="46"/>
      <c r="K2128" s="46"/>
      <c r="L2128" s="46"/>
      <c r="M2128" s="46"/>
      <c r="N2128" s="46"/>
      <c r="O2128" s="46"/>
      <c r="P2128" s="46"/>
      <c r="Q2128" s="46"/>
      <c r="R2128" s="46"/>
      <c r="S2128" s="46"/>
      <c r="T2128" s="46"/>
      <c r="U2128" s="46"/>
      <c r="V2128" s="46"/>
      <c r="W2128" s="46"/>
      <c r="X2128" s="11" t="str">
        <f>IF(COUNTBLANK(B2128:W2128)&gt;0,"NA",'batch classification'!J2134)</f>
        <v>NA</v>
      </c>
    </row>
    <row r="2129" spans="1:24" x14ac:dyDescent="0.25">
      <c r="A2129" s="45"/>
      <c r="B2129" s="46"/>
      <c r="C2129" s="46"/>
      <c r="D2129" s="46"/>
      <c r="E2129" s="46"/>
      <c r="F2129" s="46"/>
      <c r="G2129" s="46"/>
      <c r="H2129" s="46"/>
      <c r="I2129" s="46"/>
      <c r="J2129" s="46"/>
      <c r="K2129" s="46"/>
      <c r="L2129" s="46"/>
      <c r="M2129" s="46"/>
      <c r="N2129" s="46"/>
      <c r="O2129" s="46"/>
      <c r="P2129" s="46"/>
      <c r="Q2129" s="46"/>
      <c r="R2129" s="46"/>
      <c r="S2129" s="46"/>
      <c r="T2129" s="46"/>
      <c r="U2129" s="46"/>
      <c r="V2129" s="46"/>
      <c r="W2129" s="46"/>
      <c r="X2129" s="11" t="str">
        <f>IF(COUNTBLANK(B2129:W2129)&gt;0,"NA",'batch classification'!J2135)</f>
        <v>NA</v>
      </c>
    </row>
    <row r="2130" spans="1:24" x14ac:dyDescent="0.25">
      <c r="A2130" s="45"/>
      <c r="B2130" s="46"/>
      <c r="C2130" s="46"/>
      <c r="D2130" s="46"/>
      <c r="E2130" s="46"/>
      <c r="F2130" s="46"/>
      <c r="G2130" s="46"/>
      <c r="H2130" s="46"/>
      <c r="I2130" s="46"/>
      <c r="J2130" s="46"/>
      <c r="K2130" s="46"/>
      <c r="L2130" s="46"/>
      <c r="M2130" s="46"/>
      <c r="N2130" s="46"/>
      <c r="O2130" s="46"/>
      <c r="P2130" s="46"/>
      <c r="Q2130" s="46"/>
      <c r="R2130" s="46"/>
      <c r="S2130" s="46"/>
      <c r="T2130" s="46"/>
      <c r="U2130" s="46"/>
      <c r="V2130" s="46"/>
      <c r="W2130" s="46"/>
      <c r="X2130" s="11" t="str">
        <f>IF(COUNTBLANK(B2130:W2130)&gt;0,"NA",'batch classification'!J2136)</f>
        <v>NA</v>
      </c>
    </row>
    <row r="2131" spans="1:24" x14ac:dyDescent="0.25">
      <c r="A2131" s="45"/>
      <c r="B2131" s="46"/>
      <c r="C2131" s="46"/>
      <c r="D2131" s="46"/>
      <c r="E2131" s="46"/>
      <c r="F2131" s="46"/>
      <c r="G2131" s="46"/>
      <c r="H2131" s="46"/>
      <c r="I2131" s="46"/>
      <c r="J2131" s="46"/>
      <c r="K2131" s="46"/>
      <c r="L2131" s="46"/>
      <c r="M2131" s="46"/>
      <c r="N2131" s="46"/>
      <c r="O2131" s="46"/>
      <c r="P2131" s="46"/>
      <c r="Q2131" s="46"/>
      <c r="R2131" s="46"/>
      <c r="S2131" s="46"/>
      <c r="T2131" s="46"/>
      <c r="U2131" s="46"/>
      <c r="V2131" s="46"/>
      <c r="W2131" s="46"/>
      <c r="X2131" s="11" t="str">
        <f>IF(COUNTBLANK(B2131:W2131)&gt;0,"NA",'batch classification'!J2137)</f>
        <v>NA</v>
      </c>
    </row>
    <row r="2132" spans="1:24" x14ac:dyDescent="0.25">
      <c r="A2132" s="45"/>
      <c r="B2132" s="46"/>
      <c r="C2132" s="46"/>
      <c r="D2132" s="46"/>
      <c r="E2132" s="46"/>
      <c r="F2132" s="46"/>
      <c r="G2132" s="46"/>
      <c r="H2132" s="46"/>
      <c r="I2132" s="46"/>
      <c r="J2132" s="46"/>
      <c r="K2132" s="46"/>
      <c r="L2132" s="46"/>
      <c r="M2132" s="46"/>
      <c r="N2132" s="46"/>
      <c r="O2132" s="46"/>
      <c r="P2132" s="46"/>
      <c r="Q2132" s="46"/>
      <c r="R2132" s="46"/>
      <c r="S2132" s="46"/>
      <c r="T2132" s="46"/>
      <c r="U2132" s="46"/>
      <c r="V2132" s="46"/>
      <c r="W2132" s="46"/>
      <c r="X2132" s="11" t="str">
        <f>IF(COUNTBLANK(B2132:W2132)&gt;0,"NA",'batch classification'!J2138)</f>
        <v>NA</v>
      </c>
    </row>
    <row r="2133" spans="1:24" x14ac:dyDescent="0.25">
      <c r="A2133" s="45"/>
      <c r="B2133" s="46"/>
      <c r="C2133" s="46"/>
      <c r="D2133" s="46"/>
      <c r="E2133" s="46"/>
      <c r="F2133" s="46"/>
      <c r="G2133" s="46"/>
      <c r="H2133" s="46"/>
      <c r="I2133" s="46"/>
      <c r="J2133" s="46"/>
      <c r="K2133" s="46"/>
      <c r="L2133" s="46"/>
      <c r="M2133" s="46"/>
      <c r="N2133" s="46"/>
      <c r="O2133" s="46"/>
      <c r="P2133" s="46"/>
      <c r="Q2133" s="46"/>
      <c r="R2133" s="46"/>
      <c r="S2133" s="46"/>
      <c r="T2133" s="46"/>
      <c r="U2133" s="46"/>
      <c r="V2133" s="46"/>
      <c r="W2133" s="46"/>
      <c r="X2133" s="11" t="str">
        <f>IF(COUNTBLANK(B2133:W2133)&gt;0,"NA",'batch classification'!J2139)</f>
        <v>NA</v>
      </c>
    </row>
    <row r="2134" spans="1:24" x14ac:dyDescent="0.25">
      <c r="A2134" s="45"/>
      <c r="B2134" s="46"/>
      <c r="C2134" s="46"/>
      <c r="D2134" s="46"/>
      <c r="E2134" s="46"/>
      <c r="F2134" s="46"/>
      <c r="G2134" s="46"/>
      <c r="H2134" s="46"/>
      <c r="I2134" s="46"/>
      <c r="J2134" s="46"/>
      <c r="K2134" s="46"/>
      <c r="L2134" s="46"/>
      <c r="M2134" s="46"/>
      <c r="N2134" s="46"/>
      <c r="O2134" s="46"/>
      <c r="P2134" s="46"/>
      <c r="Q2134" s="46"/>
      <c r="R2134" s="46"/>
      <c r="S2134" s="46"/>
      <c r="T2134" s="46"/>
      <c r="U2134" s="46"/>
      <c r="V2134" s="46"/>
      <c r="W2134" s="46"/>
      <c r="X2134" s="11" t="str">
        <f>IF(COUNTBLANK(B2134:W2134)&gt;0,"NA",'batch classification'!J2140)</f>
        <v>NA</v>
      </c>
    </row>
    <row r="2135" spans="1:24" x14ac:dyDescent="0.25">
      <c r="A2135" s="45"/>
      <c r="B2135" s="46"/>
      <c r="C2135" s="46"/>
      <c r="D2135" s="46"/>
      <c r="E2135" s="46"/>
      <c r="F2135" s="46"/>
      <c r="G2135" s="46"/>
      <c r="H2135" s="46"/>
      <c r="I2135" s="46"/>
      <c r="J2135" s="46"/>
      <c r="K2135" s="46"/>
      <c r="L2135" s="46"/>
      <c r="M2135" s="46"/>
      <c r="N2135" s="46"/>
      <c r="O2135" s="46"/>
      <c r="P2135" s="46"/>
      <c r="Q2135" s="46"/>
      <c r="R2135" s="46"/>
      <c r="S2135" s="46"/>
      <c r="T2135" s="46"/>
      <c r="U2135" s="46"/>
      <c r="V2135" s="46"/>
      <c r="W2135" s="46"/>
      <c r="X2135" s="11" t="str">
        <f>IF(COUNTBLANK(B2135:W2135)&gt;0,"NA",'batch classification'!J2141)</f>
        <v>NA</v>
      </c>
    </row>
    <row r="2136" spans="1:24" x14ac:dyDescent="0.25">
      <c r="A2136" s="45"/>
      <c r="B2136" s="46"/>
      <c r="C2136" s="46"/>
      <c r="D2136" s="46"/>
      <c r="E2136" s="46"/>
      <c r="F2136" s="46"/>
      <c r="G2136" s="46"/>
      <c r="H2136" s="46"/>
      <c r="I2136" s="46"/>
      <c r="J2136" s="46"/>
      <c r="K2136" s="46"/>
      <c r="L2136" s="46"/>
      <c r="M2136" s="46"/>
      <c r="N2136" s="46"/>
      <c r="O2136" s="46"/>
      <c r="P2136" s="46"/>
      <c r="Q2136" s="46"/>
      <c r="R2136" s="46"/>
      <c r="S2136" s="46"/>
      <c r="T2136" s="46"/>
      <c r="U2136" s="46"/>
      <c r="V2136" s="46"/>
      <c r="W2136" s="46"/>
      <c r="X2136" s="11" t="str">
        <f>IF(COUNTBLANK(B2136:W2136)&gt;0,"NA",'batch classification'!J2142)</f>
        <v>NA</v>
      </c>
    </row>
    <row r="2137" spans="1:24" x14ac:dyDescent="0.25">
      <c r="A2137" s="45"/>
      <c r="B2137" s="46"/>
      <c r="C2137" s="46"/>
      <c r="D2137" s="46"/>
      <c r="E2137" s="46"/>
      <c r="F2137" s="46"/>
      <c r="G2137" s="46"/>
      <c r="H2137" s="46"/>
      <c r="I2137" s="46"/>
      <c r="J2137" s="46"/>
      <c r="K2137" s="46"/>
      <c r="L2137" s="46"/>
      <c r="M2137" s="46"/>
      <c r="N2137" s="46"/>
      <c r="O2137" s="46"/>
      <c r="P2137" s="46"/>
      <c r="Q2137" s="46"/>
      <c r="R2137" s="46"/>
      <c r="S2137" s="46"/>
      <c r="T2137" s="46"/>
      <c r="U2137" s="46"/>
      <c r="V2137" s="46"/>
      <c r="W2137" s="46"/>
      <c r="X2137" s="11" t="str">
        <f>IF(COUNTBLANK(B2137:W2137)&gt;0,"NA",'batch classification'!J2143)</f>
        <v>NA</v>
      </c>
    </row>
    <row r="2138" spans="1:24" x14ac:dyDescent="0.25">
      <c r="A2138" s="45"/>
      <c r="B2138" s="46"/>
      <c r="C2138" s="46"/>
      <c r="D2138" s="46"/>
      <c r="E2138" s="46"/>
      <c r="F2138" s="46"/>
      <c r="G2138" s="46"/>
      <c r="H2138" s="46"/>
      <c r="I2138" s="46"/>
      <c r="J2138" s="46"/>
      <c r="K2138" s="46"/>
      <c r="L2138" s="46"/>
      <c r="M2138" s="46"/>
      <c r="N2138" s="46"/>
      <c r="O2138" s="46"/>
      <c r="P2138" s="46"/>
      <c r="Q2138" s="46"/>
      <c r="R2138" s="46"/>
      <c r="S2138" s="46"/>
      <c r="T2138" s="46"/>
      <c r="U2138" s="46"/>
      <c r="V2138" s="46"/>
      <c r="W2138" s="46"/>
      <c r="X2138" s="11" t="str">
        <f>IF(COUNTBLANK(B2138:W2138)&gt;0,"NA",'batch classification'!J2144)</f>
        <v>NA</v>
      </c>
    </row>
    <row r="2139" spans="1:24" x14ac:dyDescent="0.25">
      <c r="A2139" s="45"/>
      <c r="B2139" s="46"/>
      <c r="C2139" s="46"/>
      <c r="D2139" s="46"/>
      <c r="E2139" s="46"/>
      <c r="F2139" s="46"/>
      <c r="G2139" s="46"/>
      <c r="H2139" s="46"/>
      <c r="I2139" s="46"/>
      <c r="J2139" s="46"/>
      <c r="K2139" s="46"/>
      <c r="L2139" s="46"/>
      <c r="M2139" s="46"/>
      <c r="N2139" s="46"/>
      <c r="O2139" s="46"/>
      <c r="P2139" s="46"/>
      <c r="Q2139" s="46"/>
      <c r="R2139" s="46"/>
      <c r="S2139" s="46"/>
      <c r="T2139" s="46"/>
      <c r="U2139" s="46"/>
      <c r="V2139" s="46"/>
      <c r="W2139" s="46"/>
      <c r="X2139" s="11" t="str">
        <f>IF(COUNTBLANK(B2139:W2139)&gt;0,"NA",'batch classification'!J2145)</f>
        <v>NA</v>
      </c>
    </row>
    <row r="2140" spans="1:24" x14ac:dyDescent="0.25">
      <c r="A2140" s="45"/>
      <c r="B2140" s="46"/>
      <c r="C2140" s="46"/>
      <c r="D2140" s="46"/>
      <c r="E2140" s="46"/>
      <c r="F2140" s="46"/>
      <c r="G2140" s="46"/>
      <c r="H2140" s="46"/>
      <c r="I2140" s="46"/>
      <c r="J2140" s="46"/>
      <c r="K2140" s="46"/>
      <c r="L2140" s="46"/>
      <c r="M2140" s="46"/>
      <c r="N2140" s="46"/>
      <c r="O2140" s="46"/>
      <c r="P2140" s="46"/>
      <c r="Q2140" s="46"/>
      <c r="R2140" s="46"/>
      <c r="S2140" s="46"/>
      <c r="T2140" s="46"/>
      <c r="U2140" s="46"/>
      <c r="V2140" s="46"/>
      <c r="W2140" s="46"/>
      <c r="X2140" s="11" t="str">
        <f>IF(COUNTBLANK(B2140:W2140)&gt;0,"NA",'batch classification'!J2146)</f>
        <v>NA</v>
      </c>
    </row>
    <row r="2141" spans="1:24" x14ac:dyDescent="0.25">
      <c r="A2141" s="45"/>
      <c r="B2141" s="46"/>
      <c r="C2141" s="46"/>
      <c r="D2141" s="46"/>
      <c r="E2141" s="46"/>
      <c r="F2141" s="46"/>
      <c r="G2141" s="46"/>
      <c r="H2141" s="46"/>
      <c r="I2141" s="46"/>
      <c r="J2141" s="46"/>
      <c r="K2141" s="46"/>
      <c r="L2141" s="46"/>
      <c r="M2141" s="46"/>
      <c r="N2141" s="46"/>
      <c r="O2141" s="46"/>
      <c r="P2141" s="46"/>
      <c r="Q2141" s="46"/>
      <c r="R2141" s="46"/>
      <c r="S2141" s="46"/>
      <c r="T2141" s="46"/>
      <c r="U2141" s="46"/>
      <c r="V2141" s="46"/>
      <c r="W2141" s="46"/>
      <c r="X2141" s="11" t="str">
        <f>IF(COUNTBLANK(B2141:W2141)&gt;0,"NA",'batch classification'!J2147)</f>
        <v>NA</v>
      </c>
    </row>
    <row r="2142" spans="1:24" x14ac:dyDescent="0.25">
      <c r="A2142" s="45"/>
      <c r="B2142" s="46"/>
      <c r="C2142" s="46"/>
      <c r="D2142" s="46"/>
      <c r="E2142" s="46"/>
      <c r="F2142" s="46"/>
      <c r="G2142" s="46"/>
      <c r="H2142" s="46"/>
      <c r="I2142" s="46"/>
      <c r="J2142" s="46"/>
      <c r="K2142" s="46"/>
      <c r="L2142" s="46"/>
      <c r="M2142" s="46"/>
      <c r="N2142" s="46"/>
      <c r="O2142" s="46"/>
      <c r="P2142" s="46"/>
      <c r="Q2142" s="46"/>
      <c r="R2142" s="46"/>
      <c r="S2142" s="46"/>
      <c r="T2142" s="46"/>
      <c r="U2142" s="46"/>
      <c r="V2142" s="46"/>
      <c r="W2142" s="46"/>
      <c r="X2142" s="11" t="str">
        <f>IF(COUNTBLANK(B2142:W2142)&gt;0,"NA",'batch classification'!J2148)</f>
        <v>NA</v>
      </c>
    </row>
    <row r="2143" spans="1:24" x14ac:dyDescent="0.25">
      <c r="A2143" s="45"/>
      <c r="B2143" s="46"/>
      <c r="C2143" s="46"/>
      <c r="D2143" s="46"/>
      <c r="E2143" s="46"/>
      <c r="F2143" s="46"/>
      <c r="G2143" s="46"/>
      <c r="H2143" s="46"/>
      <c r="I2143" s="46"/>
      <c r="J2143" s="46"/>
      <c r="K2143" s="46"/>
      <c r="L2143" s="46"/>
      <c r="M2143" s="46"/>
      <c r="N2143" s="46"/>
      <c r="O2143" s="46"/>
      <c r="P2143" s="46"/>
      <c r="Q2143" s="46"/>
      <c r="R2143" s="46"/>
      <c r="S2143" s="46"/>
      <c r="T2143" s="46"/>
      <c r="U2143" s="46"/>
      <c r="V2143" s="46"/>
      <c r="W2143" s="46"/>
      <c r="X2143" s="11" t="str">
        <f>IF(COUNTBLANK(B2143:W2143)&gt;0,"NA",'batch classification'!J2149)</f>
        <v>NA</v>
      </c>
    </row>
    <row r="2144" spans="1:24" x14ac:dyDescent="0.25">
      <c r="A2144" s="45"/>
      <c r="B2144" s="46"/>
      <c r="C2144" s="46"/>
      <c r="D2144" s="46"/>
      <c r="E2144" s="46"/>
      <c r="F2144" s="46"/>
      <c r="G2144" s="46"/>
      <c r="H2144" s="46"/>
      <c r="I2144" s="46"/>
      <c r="J2144" s="46"/>
      <c r="K2144" s="46"/>
      <c r="L2144" s="46"/>
      <c r="M2144" s="46"/>
      <c r="N2144" s="46"/>
      <c r="O2144" s="46"/>
      <c r="P2144" s="46"/>
      <c r="Q2144" s="46"/>
      <c r="R2144" s="46"/>
      <c r="S2144" s="46"/>
      <c r="T2144" s="46"/>
      <c r="U2144" s="46"/>
      <c r="V2144" s="46"/>
      <c r="W2144" s="46"/>
      <c r="X2144" s="11" t="str">
        <f>IF(COUNTBLANK(B2144:W2144)&gt;0,"NA",'batch classification'!J2150)</f>
        <v>NA</v>
      </c>
    </row>
    <row r="2145" spans="1:24" x14ac:dyDescent="0.25">
      <c r="A2145" s="45"/>
      <c r="B2145" s="46"/>
      <c r="C2145" s="46"/>
      <c r="D2145" s="46"/>
      <c r="E2145" s="46"/>
      <c r="F2145" s="46"/>
      <c r="G2145" s="46"/>
      <c r="H2145" s="46"/>
      <c r="I2145" s="46"/>
      <c r="J2145" s="46"/>
      <c r="K2145" s="46"/>
      <c r="L2145" s="46"/>
      <c r="M2145" s="46"/>
      <c r="N2145" s="46"/>
      <c r="O2145" s="46"/>
      <c r="P2145" s="46"/>
      <c r="Q2145" s="46"/>
      <c r="R2145" s="46"/>
      <c r="S2145" s="46"/>
      <c r="T2145" s="46"/>
      <c r="U2145" s="46"/>
      <c r="V2145" s="46"/>
      <c r="W2145" s="46"/>
      <c r="X2145" s="11" t="str">
        <f>IF(COUNTBLANK(B2145:W2145)&gt;0,"NA",'batch classification'!J2151)</f>
        <v>NA</v>
      </c>
    </row>
    <row r="2146" spans="1:24" x14ac:dyDescent="0.25">
      <c r="A2146" s="45"/>
      <c r="B2146" s="46"/>
      <c r="C2146" s="46"/>
      <c r="D2146" s="46"/>
      <c r="E2146" s="46"/>
      <c r="F2146" s="46"/>
      <c r="G2146" s="46"/>
      <c r="H2146" s="46"/>
      <c r="I2146" s="46"/>
      <c r="J2146" s="46"/>
      <c r="K2146" s="46"/>
      <c r="L2146" s="46"/>
      <c r="M2146" s="46"/>
      <c r="N2146" s="46"/>
      <c r="O2146" s="46"/>
      <c r="P2146" s="46"/>
      <c r="Q2146" s="46"/>
      <c r="R2146" s="46"/>
      <c r="S2146" s="46"/>
      <c r="T2146" s="46"/>
      <c r="U2146" s="46"/>
      <c r="V2146" s="46"/>
      <c r="W2146" s="46"/>
      <c r="X2146" s="11" t="str">
        <f>IF(COUNTBLANK(B2146:W2146)&gt;0,"NA",'batch classification'!J2152)</f>
        <v>NA</v>
      </c>
    </row>
    <row r="2147" spans="1:24" x14ac:dyDescent="0.25">
      <c r="A2147" s="45"/>
      <c r="B2147" s="46"/>
      <c r="C2147" s="46"/>
      <c r="D2147" s="46"/>
      <c r="E2147" s="46"/>
      <c r="F2147" s="46"/>
      <c r="G2147" s="46"/>
      <c r="H2147" s="46"/>
      <c r="I2147" s="46"/>
      <c r="J2147" s="46"/>
      <c r="K2147" s="46"/>
      <c r="L2147" s="46"/>
      <c r="M2147" s="46"/>
      <c r="N2147" s="46"/>
      <c r="O2147" s="46"/>
      <c r="P2147" s="46"/>
      <c r="Q2147" s="46"/>
      <c r="R2147" s="46"/>
      <c r="S2147" s="46"/>
      <c r="T2147" s="46"/>
      <c r="U2147" s="46"/>
      <c r="V2147" s="46"/>
      <c r="W2147" s="46"/>
      <c r="X2147" s="11" t="str">
        <f>IF(COUNTBLANK(B2147:W2147)&gt;0,"NA",'batch classification'!J2153)</f>
        <v>NA</v>
      </c>
    </row>
    <row r="2148" spans="1:24" x14ac:dyDescent="0.25">
      <c r="A2148" s="45"/>
      <c r="B2148" s="46"/>
      <c r="C2148" s="46"/>
      <c r="D2148" s="46"/>
      <c r="E2148" s="46"/>
      <c r="F2148" s="46"/>
      <c r="G2148" s="46"/>
      <c r="H2148" s="46"/>
      <c r="I2148" s="46"/>
      <c r="J2148" s="46"/>
      <c r="K2148" s="46"/>
      <c r="L2148" s="46"/>
      <c r="M2148" s="46"/>
      <c r="N2148" s="46"/>
      <c r="O2148" s="46"/>
      <c r="P2148" s="46"/>
      <c r="Q2148" s="46"/>
      <c r="R2148" s="46"/>
      <c r="S2148" s="46"/>
      <c r="T2148" s="46"/>
      <c r="U2148" s="46"/>
      <c r="V2148" s="46"/>
      <c r="W2148" s="46"/>
      <c r="X2148" s="11" t="str">
        <f>IF(COUNTBLANK(B2148:W2148)&gt;0,"NA",'batch classification'!J2154)</f>
        <v>NA</v>
      </c>
    </row>
    <row r="2149" spans="1:24" x14ac:dyDescent="0.25">
      <c r="A2149" s="45"/>
      <c r="B2149" s="46"/>
      <c r="C2149" s="46"/>
      <c r="D2149" s="46"/>
      <c r="E2149" s="46"/>
      <c r="F2149" s="46"/>
      <c r="G2149" s="46"/>
      <c r="H2149" s="46"/>
      <c r="I2149" s="46"/>
      <c r="J2149" s="46"/>
      <c r="K2149" s="46"/>
      <c r="L2149" s="46"/>
      <c r="M2149" s="46"/>
      <c r="N2149" s="46"/>
      <c r="O2149" s="46"/>
      <c r="P2149" s="46"/>
      <c r="Q2149" s="46"/>
      <c r="R2149" s="46"/>
      <c r="S2149" s="46"/>
      <c r="T2149" s="46"/>
      <c r="U2149" s="46"/>
      <c r="V2149" s="46"/>
      <c r="W2149" s="46"/>
      <c r="X2149" s="11" t="str">
        <f>IF(COUNTBLANK(B2149:W2149)&gt;0,"NA",'batch classification'!J2155)</f>
        <v>NA</v>
      </c>
    </row>
    <row r="2150" spans="1:24" x14ac:dyDescent="0.25">
      <c r="A2150" s="45"/>
      <c r="B2150" s="46"/>
      <c r="C2150" s="46"/>
      <c r="D2150" s="46"/>
      <c r="E2150" s="46"/>
      <c r="F2150" s="46"/>
      <c r="G2150" s="46"/>
      <c r="H2150" s="46"/>
      <c r="I2150" s="46"/>
      <c r="J2150" s="46"/>
      <c r="K2150" s="46"/>
      <c r="L2150" s="46"/>
      <c r="M2150" s="46"/>
      <c r="N2150" s="46"/>
      <c r="O2150" s="46"/>
      <c r="P2150" s="46"/>
      <c r="Q2150" s="46"/>
      <c r="R2150" s="46"/>
      <c r="S2150" s="46"/>
      <c r="T2150" s="46"/>
      <c r="U2150" s="46"/>
      <c r="V2150" s="46"/>
      <c r="W2150" s="46"/>
      <c r="X2150" s="11" t="str">
        <f>IF(COUNTBLANK(B2150:W2150)&gt;0,"NA",'batch classification'!J2156)</f>
        <v>NA</v>
      </c>
    </row>
    <row r="2151" spans="1:24" x14ac:dyDescent="0.25">
      <c r="A2151" s="45"/>
      <c r="B2151" s="46"/>
      <c r="C2151" s="46"/>
      <c r="D2151" s="46"/>
      <c r="E2151" s="46"/>
      <c r="F2151" s="46"/>
      <c r="G2151" s="46"/>
      <c r="H2151" s="46"/>
      <c r="I2151" s="46"/>
      <c r="J2151" s="46"/>
      <c r="K2151" s="46"/>
      <c r="L2151" s="46"/>
      <c r="M2151" s="46"/>
      <c r="N2151" s="46"/>
      <c r="O2151" s="46"/>
      <c r="P2151" s="46"/>
      <c r="Q2151" s="46"/>
      <c r="R2151" s="46"/>
      <c r="S2151" s="46"/>
      <c r="T2151" s="46"/>
      <c r="U2151" s="46"/>
      <c r="V2151" s="46"/>
      <c r="W2151" s="46"/>
      <c r="X2151" s="11" t="str">
        <f>IF(COUNTBLANK(B2151:W2151)&gt;0,"NA",'batch classification'!J2157)</f>
        <v>NA</v>
      </c>
    </row>
    <row r="2152" spans="1:24" x14ac:dyDescent="0.25">
      <c r="A2152" s="45"/>
      <c r="B2152" s="46"/>
      <c r="C2152" s="46"/>
      <c r="D2152" s="46"/>
      <c r="E2152" s="46"/>
      <c r="F2152" s="46"/>
      <c r="G2152" s="46"/>
      <c r="H2152" s="46"/>
      <c r="I2152" s="46"/>
      <c r="J2152" s="46"/>
      <c r="K2152" s="46"/>
      <c r="L2152" s="46"/>
      <c r="M2152" s="46"/>
      <c r="N2152" s="46"/>
      <c r="O2152" s="46"/>
      <c r="P2152" s="46"/>
      <c r="Q2152" s="46"/>
      <c r="R2152" s="46"/>
      <c r="S2152" s="46"/>
      <c r="T2152" s="46"/>
      <c r="U2152" s="46"/>
      <c r="V2152" s="46"/>
      <c r="W2152" s="46"/>
      <c r="X2152" s="11" t="str">
        <f>IF(COUNTBLANK(B2152:W2152)&gt;0,"NA",'batch classification'!J2158)</f>
        <v>NA</v>
      </c>
    </row>
    <row r="2153" spans="1:24" x14ac:dyDescent="0.25">
      <c r="A2153" s="45"/>
      <c r="B2153" s="46"/>
      <c r="C2153" s="46"/>
      <c r="D2153" s="46"/>
      <c r="E2153" s="46"/>
      <c r="F2153" s="46"/>
      <c r="G2153" s="46"/>
      <c r="H2153" s="46"/>
      <c r="I2153" s="46"/>
      <c r="J2153" s="46"/>
      <c r="K2153" s="46"/>
      <c r="L2153" s="46"/>
      <c r="M2153" s="46"/>
      <c r="N2153" s="46"/>
      <c r="O2153" s="46"/>
      <c r="P2153" s="46"/>
      <c r="Q2153" s="46"/>
      <c r="R2153" s="46"/>
      <c r="S2153" s="46"/>
      <c r="T2153" s="46"/>
      <c r="U2153" s="46"/>
      <c r="V2153" s="46"/>
      <c r="W2153" s="46"/>
      <c r="X2153" s="11" t="str">
        <f>IF(COUNTBLANK(B2153:W2153)&gt;0,"NA",'batch classification'!J2159)</f>
        <v>NA</v>
      </c>
    </row>
    <row r="2154" spans="1:24" x14ac:dyDescent="0.25">
      <c r="A2154" s="45"/>
      <c r="B2154" s="46"/>
      <c r="C2154" s="46"/>
      <c r="D2154" s="46"/>
      <c r="E2154" s="46"/>
      <c r="F2154" s="46"/>
      <c r="G2154" s="46"/>
      <c r="H2154" s="46"/>
      <c r="I2154" s="46"/>
      <c r="J2154" s="46"/>
      <c r="K2154" s="46"/>
      <c r="L2154" s="46"/>
      <c r="M2154" s="46"/>
      <c r="N2154" s="46"/>
      <c r="O2154" s="46"/>
      <c r="P2154" s="46"/>
      <c r="Q2154" s="46"/>
      <c r="R2154" s="46"/>
      <c r="S2154" s="46"/>
      <c r="T2154" s="46"/>
      <c r="U2154" s="46"/>
      <c r="V2154" s="46"/>
      <c r="W2154" s="46"/>
      <c r="X2154" s="11" t="str">
        <f>IF(COUNTBLANK(B2154:W2154)&gt;0,"NA",'batch classification'!J2160)</f>
        <v>NA</v>
      </c>
    </row>
    <row r="2155" spans="1:24" x14ac:dyDescent="0.25">
      <c r="A2155" s="45"/>
      <c r="B2155" s="46"/>
      <c r="C2155" s="46"/>
      <c r="D2155" s="46"/>
      <c r="E2155" s="46"/>
      <c r="F2155" s="46"/>
      <c r="G2155" s="46"/>
      <c r="H2155" s="46"/>
      <c r="I2155" s="46"/>
      <c r="J2155" s="46"/>
      <c r="K2155" s="46"/>
      <c r="L2155" s="46"/>
      <c r="M2155" s="46"/>
      <c r="N2155" s="46"/>
      <c r="O2155" s="46"/>
      <c r="P2155" s="46"/>
      <c r="Q2155" s="46"/>
      <c r="R2155" s="46"/>
      <c r="S2155" s="46"/>
      <c r="T2155" s="46"/>
      <c r="U2155" s="46"/>
      <c r="V2155" s="46"/>
      <c r="W2155" s="46"/>
      <c r="X2155" s="11" t="str">
        <f>IF(COUNTBLANK(B2155:W2155)&gt;0,"NA",'batch classification'!J2161)</f>
        <v>NA</v>
      </c>
    </row>
    <row r="2156" spans="1:24" x14ac:dyDescent="0.25">
      <c r="A2156" s="45"/>
      <c r="B2156" s="46"/>
      <c r="C2156" s="46"/>
      <c r="D2156" s="46"/>
      <c r="E2156" s="46"/>
      <c r="F2156" s="46"/>
      <c r="G2156" s="46"/>
      <c r="H2156" s="46"/>
      <c r="I2156" s="46"/>
      <c r="J2156" s="46"/>
      <c r="K2156" s="46"/>
      <c r="L2156" s="46"/>
      <c r="M2156" s="46"/>
      <c r="N2156" s="46"/>
      <c r="O2156" s="46"/>
      <c r="P2156" s="46"/>
      <c r="Q2156" s="46"/>
      <c r="R2156" s="46"/>
      <c r="S2156" s="46"/>
      <c r="T2156" s="46"/>
      <c r="U2156" s="46"/>
      <c r="V2156" s="46"/>
      <c r="W2156" s="46"/>
      <c r="X2156" s="11" t="str">
        <f>IF(COUNTBLANK(B2156:W2156)&gt;0,"NA",'batch classification'!J2162)</f>
        <v>NA</v>
      </c>
    </row>
    <row r="2157" spans="1:24" x14ac:dyDescent="0.25">
      <c r="A2157" s="45"/>
      <c r="B2157" s="46"/>
      <c r="C2157" s="46"/>
      <c r="D2157" s="46"/>
      <c r="E2157" s="46"/>
      <c r="F2157" s="46"/>
      <c r="G2157" s="46"/>
      <c r="H2157" s="46"/>
      <c r="I2157" s="46"/>
      <c r="J2157" s="46"/>
      <c r="K2157" s="46"/>
      <c r="L2157" s="46"/>
      <c r="M2157" s="46"/>
      <c r="N2157" s="46"/>
      <c r="O2157" s="46"/>
      <c r="P2157" s="46"/>
      <c r="Q2157" s="46"/>
      <c r="R2157" s="46"/>
      <c r="S2157" s="46"/>
      <c r="T2157" s="46"/>
      <c r="U2157" s="46"/>
      <c r="V2157" s="46"/>
      <c r="W2157" s="46"/>
      <c r="X2157" s="11" t="str">
        <f>IF(COUNTBLANK(B2157:W2157)&gt;0,"NA",'batch classification'!J2163)</f>
        <v>NA</v>
      </c>
    </row>
    <row r="2158" spans="1:24" x14ac:dyDescent="0.25">
      <c r="A2158" s="45"/>
      <c r="B2158" s="46"/>
      <c r="C2158" s="46"/>
      <c r="D2158" s="46"/>
      <c r="E2158" s="46"/>
      <c r="F2158" s="46"/>
      <c r="G2158" s="46"/>
      <c r="H2158" s="46"/>
      <c r="I2158" s="46"/>
      <c r="J2158" s="46"/>
      <c r="K2158" s="46"/>
      <c r="L2158" s="46"/>
      <c r="M2158" s="46"/>
      <c r="N2158" s="46"/>
      <c r="O2158" s="46"/>
      <c r="P2158" s="46"/>
      <c r="Q2158" s="46"/>
      <c r="R2158" s="46"/>
      <c r="S2158" s="46"/>
      <c r="T2158" s="46"/>
      <c r="U2158" s="46"/>
      <c r="V2158" s="46"/>
      <c r="W2158" s="46"/>
      <c r="X2158" s="11" t="str">
        <f>IF(COUNTBLANK(B2158:W2158)&gt;0,"NA",'batch classification'!J2164)</f>
        <v>NA</v>
      </c>
    </row>
    <row r="2159" spans="1:24" x14ac:dyDescent="0.25">
      <c r="A2159" s="45"/>
      <c r="B2159" s="46"/>
      <c r="C2159" s="46"/>
      <c r="D2159" s="46"/>
      <c r="E2159" s="46"/>
      <c r="F2159" s="46"/>
      <c r="G2159" s="46"/>
      <c r="H2159" s="46"/>
      <c r="I2159" s="46"/>
      <c r="J2159" s="46"/>
      <c r="K2159" s="46"/>
      <c r="L2159" s="46"/>
      <c r="M2159" s="46"/>
      <c r="N2159" s="46"/>
      <c r="O2159" s="46"/>
      <c r="P2159" s="46"/>
      <c r="Q2159" s="46"/>
      <c r="R2159" s="46"/>
      <c r="S2159" s="46"/>
      <c r="T2159" s="46"/>
      <c r="U2159" s="46"/>
      <c r="V2159" s="46"/>
      <c r="W2159" s="46"/>
      <c r="X2159" s="11" t="str">
        <f>IF(COUNTBLANK(B2159:W2159)&gt;0,"NA",'batch classification'!J2165)</f>
        <v>NA</v>
      </c>
    </row>
    <row r="2160" spans="1:24" x14ac:dyDescent="0.25">
      <c r="A2160" s="45"/>
      <c r="B2160" s="46"/>
      <c r="C2160" s="46"/>
      <c r="D2160" s="46"/>
      <c r="E2160" s="46"/>
      <c r="F2160" s="46"/>
      <c r="G2160" s="46"/>
      <c r="H2160" s="46"/>
      <c r="I2160" s="46"/>
      <c r="J2160" s="46"/>
      <c r="K2160" s="46"/>
      <c r="L2160" s="46"/>
      <c r="M2160" s="46"/>
      <c r="N2160" s="46"/>
      <c r="O2160" s="46"/>
      <c r="P2160" s="46"/>
      <c r="Q2160" s="46"/>
      <c r="R2160" s="46"/>
      <c r="S2160" s="46"/>
      <c r="T2160" s="46"/>
      <c r="U2160" s="46"/>
      <c r="V2160" s="46"/>
      <c r="W2160" s="46"/>
      <c r="X2160" s="11" t="str">
        <f>IF(COUNTBLANK(B2160:W2160)&gt;0,"NA",'batch classification'!J2166)</f>
        <v>NA</v>
      </c>
    </row>
    <row r="2161" spans="1:24" x14ac:dyDescent="0.25">
      <c r="A2161" s="45"/>
      <c r="B2161" s="46"/>
      <c r="C2161" s="46"/>
      <c r="D2161" s="46"/>
      <c r="E2161" s="46"/>
      <c r="F2161" s="46"/>
      <c r="G2161" s="46"/>
      <c r="H2161" s="46"/>
      <c r="I2161" s="46"/>
      <c r="J2161" s="46"/>
      <c r="K2161" s="46"/>
      <c r="L2161" s="46"/>
      <c r="M2161" s="46"/>
      <c r="N2161" s="46"/>
      <c r="O2161" s="46"/>
      <c r="P2161" s="46"/>
      <c r="Q2161" s="46"/>
      <c r="R2161" s="46"/>
      <c r="S2161" s="46"/>
      <c r="T2161" s="46"/>
      <c r="U2161" s="46"/>
      <c r="V2161" s="46"/>
      <c r="W2161" s="46"/>
      <c r="X2161" s="11" t="str">
        <f>IF(COUNTBLANK(B2161:W2161)&gt;0,"NA",'batch classification'!J2167)</f>
        <v>NA</v>
      </c>
    </row>
    <row r="2162" spans="1:24" x14ac:dyDescent="0.25">
      <c r="A2162" s="45"/>
      <c r="B2162" s="46"/>
      <c r="C2162" s="46"/>
      <c r="D2162" s="46"/>
      <c r="E2162" s="46"/>
      <c r="F2162" s="46"/>
      <c r="G2162" s="46"/>
      <c r="H2162" s="46"/>
      <c r="I2162" s="46"/>
      <c r="J2162" s="46"/>
      <c r="K2162" s="46"/>
      <c r="L2162" s="46"/>
      <c r="M2162" s="46"/>
      <c r="N2162" s="46"/>
      <c r="O2162" s="46"/>
      <c r="P2162" s="46"/>
      <c r="Q2162" s="46"/>
      <c r="R2162" s="46"/>
      <c r="S2162" s="46"/>
      <c r="T2162" s="46"/>
      <c r="U2162" s="46"/>
      <c r="V2162" s="46"/>
      <c r="W2162" s="46"/>
      <c r="X2162" s="11" t="str">
        <f>IF(COUNTBLANK(B2162:W2162)&gt;0,"NA",'batch classification'!J2168)</f>
        <v>NA</v>
      </c>
    </row>
    <row r="2163" spans="1:24" x14ac:dyDescent="0.25">
      <c r="A2163" s="45"/>
      <c r="B2163" s="46"/>
      <c r="C2163" s="46"/>
      <c r="D2163" s="46"/>
      <c r="E2163" s="46"/>
      <c r="F2163" s="46"/>
      <c r="G2163" s="46"/>
      <c r="H2163" s="46"/>
      <c r="I2163" s="46"/>
      <c r="J2163" s="46"/>
      <c r="K2163" s="46"/>
      <c r="L2163" s="46"/>
      <c r="M2163" s="46"/>
      <c r="N2163" s="46"/>
      <c r="O2163" s="46"/>
      <c r="P2163" s="46"/>
      <c r="Q2163" s="46"/>
      <c r="R2163" s="46"/>
      <c r="S2163" s="46"/>
      <c r="T2163" s="46"/>
      <c r="U2163" s="46"/>
      <c r="V2163" s="46"/>
      <c r="W2163" s="46"/>
      <c r="X2163" s="11" t="str">
        <f>IF(COUNTBLANK(B2163:W2163)&gt;0,"NA",'batch classification'!J2169)</f>
        <v>NA</v>
      </c>
    </row>
    <row r="2164" spans="1:24" x14ac:dyDescent="0.25">
      <c r="A2164" s="45"/>
      <c r="B2164" s="46"/>
      <c r="C2164" s="46"/>
      <c r="D2164" s="46"/>
      <c r="E2164" s="46"/>
      <c r="F2164" s="46"/>
      <c r="G2164" s="46"/>
      <c r="H2164" s="46"/>
      <c r="I2164" s="46"/>
      <c r="J2164" s="46"/>
      <c r="K2164" s="46"/>
      <c r="L2164" s="46"/>
      <c r="M2164" s="46"/>
      <c r="N2164" s="46"/>
      <c r="O2164" s="46"/>
      <c r="P2164" s="46"/>
      <c r="Q2164" s="46"/>
      <c r="R2164" s="46"/>
      <c r="S2164" s="46"/>
      <c r="T2164" s="46"/>
      <c r="U2164" s="46"/>
      <c r="V2164" s="46"/>
      <c r="W2164" s="46"/>
      <c r="X2164" s="11" t="str">
        <f>IF(COUNTBLANK(B2164:W2164)&gt;0,"NA",'batch classification'!J2170)</f>
        <v>NA</v>
      </c>
    </row>
    <row r="2165" spans="1:24" x14ac:dyDescent="0.25">
      <c r="A2165" s="45"/>
      <c r="B2165" s="46"/>
      <c r="C2165" s="46"/>
      <c r="D2165" s="46"/>
      <c r="E2165" s="46"/>
      <c r="F2165" s="46"/>
      <c r="G2165" s="46"/>
      <c r="H2165" s="46"/>
      <c r="I2165" s="46"/>
      <c r="J2165" s="46"/>
      <c r="K2165" s="46"/>
      <c r="L2165" s="46"/>
      <c r="M2165" s="46"/>
      <c r="N2165" s="46"/>
      <c r="O2165" s="46"/>
      <c r="P2165" s="46"/>
      <c r="Q2165" s="46"/>
      <c r="R2165" s="46"/>
      <c r="S2165" s="46"/>
      <c r="T2165" s="46"/>
      <c r="U2165" s="46"/>
      <c r="V2165" s="46"/>
      <c r="W2165" s="46"/>
      <c r="X2165" s="11" t="str">
        <f>IF(COUNTBLANK(B2165:W2165)&gt;0,"NA",'batch classification'!J2171)</f>
        <v>NA</v>
      </c>
    </row>
    <row r="2166" spans="1:24" x14ac:dyDescent="0.25">
      <c r="A2166" s="45"/>
      <c r="B2166" s="46"/>
      <c r="C2166" s="46"/>
      <c r="D2166" s="46"/>
      <c r="E2166" s="46"/>
      <c r="F2166" s="46"/>
      <c r="G2166" s="46"/>
      <c r="H2166" s="46"/>
      <c r="I2166" s="46"/>
      <c r="J2166" s="46"/>
      <c r="K2166" s="46"/>
      <c r="L2166" s="46"/>
      <c r="M2166" s="46"/>
      <c r="N2166" s="46"/>
      <c r="O2166" s="46"/>
      <c r="P2166" s="46"/>
      <c r="Q2166" s="46"/>
      <c r="R2166" s="46"/>
      <c r="S2166" s="46"/>
      <c r="T2166" s="46"/>
      <c r="U2166" s="46"/>
      <c r="V2166" s="46"/>
      <c r="W2166" s="46"/>
      <c r="X2166" s="11" t="str">
        <f>IF(COUNTBLANK(B2166:W2166)&gt;0,"NA",'batch classification'!J2172)</f>
        <v>NA</v>
      </c>
    </row>
    <row r="2167" spans="1:24" x14ac:dyDescent="0.25">
      <c r="A2167" s="45"/>
      <c r="B2167" s="46"/>
      <c r="C2167" s="46"/>
      <c r="D2167" s="46"/>
      <c r="E2167" s="46"/>
      <c r="F2167" s="46"/>
      <c r="G2167" s="46"/>
      <c r="H2167" s="46"/>
      <c r="I2167" s="46"/>
      <c r="J2167" s="46"/>
      <c r="K2167" s="46"/>
      <c r="L2167" s="46"/>
      <c r="M2167" s="46"/>
      <c r="N2167" s="46"/>
      <c r="O2167" s="46"/>
      <c r="P2167" s="46"/>
      <c r="Q2167" s="46"/>
      <c r="R2167" s="46"/>
      <c r="S2167" s="46"/>
      <c r="T2167" s="46"/>
      <c r="U2167" s="46"/>
      <c r="V2167" s="46"/>
      <c r="W2167" s="46"/>
      <c r="X2167" s="11" t="str">
        <f>IF(COUNTBLANK(B2167:W2167)&gt;0,"NA",'batch classification'!J2173)</f>
        <v>NA</v>
      </c>
    </row>
    <row r="2168" spans="1:24" x14ac:dyDescent="0.25">
      <c r="A2168" s="45"/>
      <c r="B2168" s="46"/>
      <c r="C2168" s="46"/>
      <c r="D2168" s="46"/>
      <c r="E2168" s="46"/>
      <c r="F2168" s="46"/>
      <c r="G2168" s="46"/>
      <c r="H2168" s="46"/>
      <c r="I2168" s="46"/>
      <c r="J2168" s="46"/>
      <c r="K2168" s="46"/>
      <c r="L2168" s="46"/>
      <c r="M2168" s="46"/>
      <c r="N2168" s="46"/>
      <c r="O2168" s="46"/>
      <c r="P2168" s="46"/>
      <c r="Q2168" s="46"/>
      <c r="R2168" s="46"/>
      <c r="S2168" s="46"/>
      <c r="T2168" s="46"/>
      <c r="U2168" s="46"/>
      <c r="V2168" s="46"/>
      <c r="W2168" s="46"/>
      <c r="X2168" s="11" t="str">
        <f>IF(COUNTBLANK(B2168:W2168)&gt;0,"NA",'batch classification'!J2174)</f>
        <v>NA</v>
      </c>
    </row>
    <row r="2169" spans="1:24" x14ac:dyDescent="0.25">
      <c r="A2169" s="45"/>
      <c r="B2169" s="46"/>
      <c r="C2169" s="46"/>
      <c r="D2169" s="46"/>
      <c r="E2169" s="46"/>
      <c r="F2169" s="46"/>
      <c r="G2169" s="46"/>
      <c r="H2169" s="46"/>
      <c r="I2169" s="46"/>
      <c r="J2169" s="46"/>
      <c r="K2169" s="46"/>
      <c r="L2169" s="46"/>
      <c r="M2169" s="46"/>
      <c r="N2169" s="46"/>
      <c r="O2169" s="46"/>
      <c r="P2169" s="46"/>
      <c r="Q2169" s="46"/>
      <c r="R2169" s="46"/>
      <c r="S2169" s="46"/>
      <c r="T2169" s="46"/>
      <c r="U2169" s="46"/>
      <c r="V2169" s="46"/>
      <c r="W2169" s="46"/>
      <c r="X2169" s="11" t="str">
        <f>IF(COUNTBLANK(B2169:W2169)&gt;0,"NA",'batch classification'!J2175)</f>
        <v>NA</v>
      </c>
    </row>
    <row r="2170" spans="1:24" x14ac:dyDescent="0.25">
      <c r="A2170" s="45"/>
      <c r="B2170" s="46"/>
      <c r="C2170" s="46"/>
      <c r="D2170" s="46"/>
      <c r="E2170" s="46"/>
      <c r="F2170" s="46"/>
      <c r="G2170" s="46"/>
      <c r="H2170" s="46"/>
      <c r="I2170" s="46"/>
      <c r="J2170" s="46"/>
      <c r="K2170" s="46"/>
      <c r="L2170" s="46"/>
      <c r="M2170" s="46"/>
      <c r="N2170" s="46"/>
      <c r="O2170" s="46"/>
      <c r="P2170" s="46"/>
      <c r="Q2170" s="46"/>
      <c r="R2170" s="46"/>
      <c r="S2170" s="46"/>
      <c r="T2170" s="46"/>
      <c r="U2170" s="46"/>
      <c r="V2170" s="46"/>
      <c r="W2170" s="46"/>
      <c r="X2170" s="11" t="str">
        <f>IF(COUNTBLANK(B2170:W2170)&gt;0,"NA",'batch classification'!J2176)</f>
        <v>NA</v>
      </c>
    </row>
    <row r="2171" spans="1:24" x14ac:dyDescent="0.25">
      <c r="A2171" s="45"/>
      <c r="B2171" s="46"/>
      <c r="C2171" s="46"/>
      <c r="D2171" s="46"/>
      <c r="E2171" s="46"/>
      <c r="F2171" s="46"/>
      <c r="G2171" s="46"/>
      <c r="H2171" s="46"/>
      <c r="I2171" s="46"/>
      <c r="J2171" s="46"/>
      <c r="K2171" s="46"/>
      <c r="L2171" s="46"/>
      <c r="M2171" s="46"/>
      <c r="N2171" s="46"/>
      <c r="O2171" s="46"/>
      <c r="P2171" s="46"/>
      <c r="Q2171" s="46"/>
      <c r="R2171" s="46"/>
      <c r="S2171" s="46"/>
      <c r="T2171" s="46"/>
      <c r="U2171" s="46"/>
      <c r="V2171" s="46"/>
      <c r="W2171" s="46"/>
      <c r="X2171" s="11" t="str">
        <f>IF(COUNTBLANK(B2171:W2171)&gt;0,"NA",'batch classification'!J2177)</f>
        <v>NA</v>
      </c>
    </row>
    <row r="2172" spans="1:24" x14ac:dyDescent="0.25">
      <c r="A2172" s="45"/>
      <c r="B2172" s="46"/>
      <c r="C2172" s="46"/>
      <c r="D2172" s="46"/>
      <c r="E2172" s="46"/>
      <c r="F2172" s="46"/>
      <c r="G2172" s="46"/>
      <c r="H2172" s="46"/>
      <c r="I2172" s="46"/>
      <c r="J2172" s="46"/>
      <c r="K2172" s="46"/>
      <c r="L2172" s="46"/>
      <c r="M2172" s="46"/>
      <c r="N2172" s="46"/>
      <c r="O2172" s="46"/>
      <c r="P2172" s="46"/>
      <c r="Q2172" s="46"/>
      <c r="R2172" s="46"/>
      <c r="S2172" s="46"/>
      <c r="T2172" s="46"/>
      <c r="U2172" s="46"/>
      <c r="V2172" s="46"/>
      <c r="W2172" s="46"/>
      <c r="X2172" s="11" t="str">
        <f>IF(COUNTBLANK(B2172:W2172)&gt;0,"NA",'batch classification'!J2178)</f>
        <v>NA</v>
      </c>
    </row>
    <row r="2173" spans="1:24" x14ac:dyDescent="0.25">
      <c r="A2173" s="45"/>
      <c r="B2173" s="46"/>
      <c r="C2173" s="46"/>
      <c r="D2173" s="46"/>
      <c r="E2173" s="46"/>
      <c r="F2173" s="46"/>
      <c r="G2173" s="46"/>
      <c r="H2173" s="46"/>
      <c r="I2173" s="46"/>
      <c r="J2173" s="46"/>
      <c r="K2173" s="46"/>
      <c r="L2173" s="46"/>
      <c r="M2173" s="46"/>
      <c r="N2173" s="46"/>
      <c r="O2173" s="46"/>
      <c r="P2173" s="46"/>
      <c r="Q2173" s="46"/>
      <c r="R2173" s="46"/>
      <c r="S2173" s="46"/>
      <c r="T2173" s="46"/>
      <c r="U2173" s="46"/>
      <c r="V2173" s="46"/>
      <c r="W2173" s="46"/>
      <c r="X2173" s="11" t="str">
        <f>IF(COUNTBLANK(B2173:W2173)&gt;0,"NA",'batch classification'!J2179)</f>
        <v>NA</v>
      </c>
    </row>
    <row r="2174" spans="1:24" x14ac:dyDescent="0.25">
      <c r="A2174" s="45"/>
      <c r="B2174" s="46"/>
      <c r="C2174" s="46"/>
      <c r="D2174" s="46"/>
      <c r="E2174" s="46"/>
      <c r="F2174" s="46"/>
      <c r="G2174" s="46"/>
      <c r="H2174" s="46"/>
      <c r="I2174" s="46"/>
      <c r="J2174" s="46"/>
      <c r="K2174" s="46"/>
      <c r="L2174" s="46"/>
      <c r="M2174" s="46"/>
      <c r="N2174" s="46"/>
      <c r="O2174" s="46"/>
      <c r="P2174" s="46"/>
      <c r="Q2174" s="46"/>
      <c r="R2174" s="46"/>
      <c r="S2174" s="46"/>
      <c r="T2174" s="46"/>
      <c r="U2174" s="46"/>
      <c r="V2174" s="46"/>
      <c r="W2174" s="46"/>
      <c r="X2174" s="11" t="str">
        <f>IF(COUNTBLANK(B2174:W2174)&gt;0,"NA",'batch classification'!J2180)</f>
        <v>NA</v>
      </c>
    </row>
    <row r="2175" spans="1:24" x14ac:dyDescent="0.25">
      <c r="A2175" s="45"/>
      <c r="B2175" s="46"/>
      <c r="C2175" s="46"/>
      <c r="D2175" s="46"/>
      <c r="E2175" s="46"/>
      <c r="F2175" s="46"/>
      <c r="G2175" s="46"/>
      <c r="H2175" s="46"/>
      <c r="I2175" s="46"/>
      <c r="J2175" s="46"/>
      <c r="K2175" s="46"/>
      <c r="L2175" s="46"/>
      <c r="M2175" s="46"/>
      <c r="N2175" s="46"/>
      <c r="O2175" s="46"/>
      <c r="P2175" s="46"/>
      <c r="Q2175" s="46"/>
      <c r="R2175" s="46"/>
      <c r="S2175" s="46"/>
      <c r="T2175" s="46"/>
      <c r="U2175" s="46"/>
      <c r="V2175" s="46"/>
      <c r="W2175" s="46"/>
      <c r="X2175" s="11" t="str">
        <f>IF(COUNTBLANK(B2175:W2175)&gt;0,"NA",'batch classification'!J2181)</f>
        <v>NA</v>
      </c>
    </row>
    <row r="2176" spans="1:24" x14ac:dyDescent="0.25">
      <c r="A2176" s="45"/>
      <c r="B2176" s="46"/>
      <c r="C2176" s="46"/>
      <c r="D2176" s="46"/>
      <c r="E2176" s="46"/>
      <c r="F2176" s="46"/>
      <c r="G2176" s="46"/>
      <c r="H2176" s="46"/>
      <c r="I2176" s="46"/>
      <c r="J2176" s="46"/>
      <c r="K2176" s="46"/>
      <c r="L2176" s="46"/>
      <c r="M2176" s="46"/>
      <c r="N2176" s="46"/>
      <c r="O2176" s="46"/>
      <c r="P2176" s="46"/>
      <c r="Q2176" s="46"/>
      <c r="R2176" s="46"/>
      <c r="S2176" s="46"/>
      <c r="T2176" s="46"/>
      <c r="U2176" s="46"/>
      <c r="V2176" s="46"/>
      <c r="W2176" s="46"/>
      <c r="X2176" s="11" t="str">
        <f>IF(COUNTBLANK(B2176:W2176)&gt;0,"NA",'batch classification'!J2182)</f>
        <v>NA</v>
      </c>
    </row>
    <row r="2177" spans="1:24" x14ac:dyDescent="0.25">
      <c r="A2177" s="45"/>
      <c r="B2177" s="46"/>
      <c r="C2177" s="46"/>
      <c r="D2177" s="46"/>
      <c r="E2177" s="46"/>
      <c r="F2177" s="46"/>
      <c r="G2177" s="46"/>
      <c r="H2177" s="46"/>
      <c r="I2177" s="46"/>
      <c r="J2177" s="46"/>
      <c r="K2177" s="46"/>
      <c r="L2177" s="46"/>
      <c r="M2177" s="46"/>
      <c r="N2177" s="46"/>
      <c r="O2177" s="46"/>
      <c r="P2177" s="46"/>
      <c r="Q2177" s="46"/>
      <c r="R2177" s="46"/>
      <c r="S2177" s="46"/>
      <c r="T2177" s="46"/>
      <c r="U2177" s="46"/>
      <c r="V2177" s="46"/>
      <c r="W2177" s="46"/>
      <c r="X2177" s="11" t="str">
        <f>IF(COUNTBLANK(B2177:W2177)&gt;0,"NA",'batch classification'!J2183)</f>
        <v>NA</v>
      </c>
    </row>
    <row r="2178" spans="1:24" x14ac:dyDescent="0.25">
      <c r="A2178" s="45"/>
      <c r="B2178" s="46"/>
      <c r="C2178" s="46"/>
      <c r="D2178" s="46"/>
      <c r="E2178" s="46"/>
      <c r="F2178" s="46"/>
      <c r="G2178" s="46"/>
      <c r="H2178" s="46"/>
      <c r="I2178" s="46"/>
      <c r="J2178" s="46"/>
      <c r="K2178" s="46"/>
      <c r="L2178" s="46"/>
      <c r="M2178" s="46"/>
      <c r="N2178" s="46"/>
      <c r="O2178" s="46"/>
      <c r="P2178" s="46"/>
      <c r="Q2178" s="46"/>
      <c r="R2178" s="46"/>
      <c r="S2178" s="46"/>
      <c r="T2178" s="46"/>
      <c r="U2178" s="46"/>
      <c r="V2178" s="46"/>
      <c r="W2178" s="46"/>
      <c r="X2178" s="11" t="str">
        <f>IF(COUNTBLANK(B2178:W2178)&gt;0,"NA",'batch classification'!J2184)</f>
        <v>NA</v>
      </c>
    </row>
    <row r="2179" spans="1:24" x14ac:dyDescent="0.25">
      <c r="A2179" s="45"/>
      <c r="B2179" s="46"/>
      <c r="C2179" s="46"/>
      <c r="D2179" s="46"/>
      <c r="E2179" s="46"/>
      <c r="F2179" s="46"/>
      <c r="G2179" s="46"/>
      <c r="H2179" s="46"/>
      <c r="I2179" s="46"/>
      <c r="J2179" s="46"/>
      <c r="K2179" s="46"/>
      <c r="L2179" s="46"/>
      <c r="M2179" s="46"/>
      <c r="N2179" s="46"/>
      <c r="O2179" s="46"/>
      <c r="P2179" s="46"/>
      <c r="Q2179" s="46"/>
      <c r="R2179" s="46"/>
      <c r="S2179" s="46"/>
      <c r="T2179" s="46"/>
      <c r="U2179" s="46"/>
      <c r="V2179" s="46"/>
      <c r="W2179" s="46"/>
      <c r="X2179" s="11" t="str">
        <f>IF(COUNTBLANK(B2179:W2179)&gt;0,"NA",'batch classification'!J2185)</f>
        <v>NA</v>
      </c>
    </row>
    <row r="2180" spans="1:24" x14ac:dyDescent="0.25">
      <c r="A2180" s="45"/>
      <c r="B2180" s="46"/>
      <c r="C2180" s="46"/>
      <c r="D2180" s="46"/>
      <c r="E2180" s="46"/>
      <c r="F2180" s="46"/>
      <c r="G2180" s="46"/>
      <c r="H2180" s="46"/>
      <c r="I2180" s="46"/>
      <c r="J2180" s="46"/>
      <c r="K2180" s="46"/>
      <c r="L2180" s="46"/>
      <c r="M2180" s="46"/>
      <c r="N2180" s="46"/>
      <c r="O2180" s="46"/>
      <c r="P2180" s="46"/>
      <c r="Q2180" s="46"/>
      <c r="R2180" s="46"/>
      <c r="S2180" s="46"/>
      <c r="T2180" s="46"/>
      <c r="U2180" s="46"/>
      <c r="V2180" s="46"/>
      <c r="W2180" s="46"/>
      <c r="X2180" s="11" t="str">
        <f>IF(COUNTBLANK(B2180:W2180)&gt;0,"NA",'batch classification'!J2186)</f>
        <v>NA</v>
      </c>
    </row>
    <row r="2181" spans="1:24" x14ac:dyDescent="0.25">
      <c r="A2181" s="45"/>
      <c r="B2181" s="46"/>
      <c r="C2181" s="46"/>
      <c r="D2181" s="46"/>
      <c r="E2181" s="46"/>
      <c r="F2181" s="46"/>
      <c r="G2181" s="46"/>
      <c r="H2181" s="46"/>
      <c r="I2181" s="46"/>
      <c r="J2181" s="46"/>
      <c r="K2181" s="46"/>
      <c r="L2181" s="46"/>
      <c r="M2181" s="46"/>
      <c r="N2181" s="46"/>
      <c r="O2181" s="46"/>
      <c r="P2181" s="46"/>
      <c r="Q2181" s="46"/>
      <c r="R2181" s="46"/>
      <c r="S2181" s="46"/>
      <c r="T2181" s="46"/>
      <c r="U2181" s="46"/>
      <c r="V2181" s="46"/>
      <c r="W2181" s="46"/>
      <c r="X2181" s="11" t="str">
        <f>IF(COUNTBLANK(B2181:W2181)&gt;0,"NA",'batch classification'!J2187)</f>
        <v>NA</v>
      </c>
    </row>
    <row r="2182" spans="1:24" x14ac:dyDescent="0.25">
      <c r="A2182" s="45"/>
      <c r="B2182" s="46"/>
      <c r="C2182" s="46"/>
      <c r="D2182" s="46"/>
      <c r="E2182" s="46"/>
      <c r="F2182" s="46"/>
      <c r="G2182" s="46"/>
      <c r="H2182" s="46"/>
      <c r="I2182" s="46"/>
      <c r="J2182" s="46"/>
      <c r="K2182" s="46"/>
      <c r="L2182" s="46"/>
      <c r="M2182" s="46"/>
      <c r="N2182" s="46"/>
      <c r="O2182" s="46"/>
      <c r="P2182" s="46"/>
      <c r="Q2182" s="46"/>
      <c r="R2182" s="46"/>
      <c r="S2182" s="46"/>
      <c r="T2182" s="46"/>
      <c r="U2182" s="46"/>
      <c r="V2182" s="46"/>
      <c r="W2182" s="46"/>
      <c r="X2182" s="11" t="str">
        <f>IF(COUNTBLANK(B2182:W2182)&gt;0,"NA",'batch classification'!J2188)</f>
        <v>NA</v>
      </c>
    </row>
    <row r="2183" spans="1:24" x14ac:dyDescent="0.25">
      <c r="A2183" s="45"/>
      <c r="B2183" s="46"/>
      <c r="C2183" s="46"/>
      <c r="D2183" s="46"/>
      <c r="E2183" s="46"/>
      <c r="F2183" s="46"/>
      <c r="G2183" s="46"/>
      <c r="H2183" s="46"/>
      <c r="I2183" s="46"/>
      <c r="J2183" s="46"/>
      <c r="K2183" s="46"/>
      <c r="L2183" s="46"/>
      <c r="M2183" s="46"/>
      <c r="N2183" s="46"/>
      <c r="O2183" s="46"/>
      <c r="P2183" s="46"/>
      <c r="Q2183" s="46"/>
      <c r="R2183" s="46"/>
      <c r="S2183" s="46"/>
      <c r="T2183" s="46"/>
      <c r="U2183" s="46"/>
      <c r="V2183" s="46"/>
      <c r="W2183" s="46"/>
      <c r="X2183" s="11" t="str">
        <f>IF(COUNTBLANK(B2183:W2183)&gt;0,"NA",'batch classification'!J2189)</f>
        <v>NA</v>
      </c>
    </row>
    <row r="2184" spans="1:24" x14ac:dyDescent="0.25">
      <c r="A2184" s="45"/>
      <c r="B2184" s="46"/>
      <c r="C2184" s="46"/>
      <c r="D2184" s="46"/>
      <c r="E2184" s="46"/>
      <c r="F2184" s="46"/>
      <c r="G2184" s="46"/>
      <c r="H2184" s="46"/>
      <c r="I2184" s="46"/>
      <c r="J2184" s="46"/>
      <c r="K2184" s="46"/>
      <c r="L2184" s="46"/>
      <c r="M2184" s="46"/>
      <c r="N2184" s="46"/>
      <c r="O2184" s="46"/>
      <c r="P2184" s="46"/>
      <c r="Q2184" s="46"/>
      <c r="R2184" s="46"/>
      <c r="S2184" s="46"/>
      <c r="T2184" s="46"/>
      <c r="U2184" s="46"/>
      <c r="V2184" s="46"/>
      <c r="W2184" s="46"/>
      <c r="X2184" s="11" t="str">
        <f>IF(COUNTBLANK(B2184:W2184)&gt;0,"NA",'batch classification'!J2190)</f>
        <v>NA</v>
      </c>
    </row>
    <row r="2185" spans="1:24" x14ac:dyDescent="0.25">
      <c r="A2185" s="45"/>
      <c r="B2185" s="46"/>
      <c r="C2185" s="46"/>
      <c r="D2185" s="46"/>
      <c r="E2185" s="46"/>
      <c r="F2185" s="46"/>
      <c r="G2185" s="46"/>
      <c r="H2185" s="46"/>
      <c r="I2185" s="46"/>
      <c r="J2185" s="46"/>
      <c r="K2185" s="46"/>
      <c r="L2185" s="46"/>
      <c r="M2185" s="46"/>
      <c r="N2185" s="46"/>
      <c r="O2185" s="46"/>
      <c r="P2185" s="46"/>
      <c r="Q2185" s="46"/>
      <c r="R2185" s="46"/>
      <c r="S2185" s="46"/>
      <c r="T2185" s="46"/>
      <c r="U2185" s="46"/>
      <c r="V2185" s="46"/>
      <c r="W2185" s="46"/>
      <c r="X2185" s="11" t="str">
        <f>IF(COUNTBLANK(B2185:W2185)&gt;0,"NA",'batch classification'!J2191)</f>
        <v>NA</v>
      </c>
    </row>
    <row r="2186" spans="1:24" x14ac:dyDescent="0.25">
      <c r="A2186" s="45"/>
      <c r="B2186" s="46"/>
      <c r="C2186" s="46"/>
      <c r="D2186" s="46"/>
      <c r="E2186" s="46"/>
      <c r="F2186" s="46"/>
      <c r="G2186" s="46"/>
      <c r="H2186" s="46"/>
      <c r="I2186" s="46"/>
      <c r="J2186" s="46"/>
      <c r="K2186" s="46"/>
      <c r="L2186" s="46"/>
      <c r="M2186" s="46"/>
      <c r="N2186" s="46"/>
      <c r="O2186" s="46"/>
      <c r="P2186" s="46"/>
      <c r="Q2186" s="46"/>
      <c r="R2186" s="46"/>
      <c r="S2186" s="46"/>
      <c r="T2186" s="46"/>
      <c r="U2186" s="46"/>
      <c r="V2186" s="46"/>
      <c r="W2186" s="46"/>
      <c r="X2186" s="11" t="str">
        <f>IF(COUNTBLANK(B2186:W2186)&gt;0,"NA",'batch classification'!J2192)</f>
        <v>NA</v>
      </c>
    </row>
    <row r="2187" spans="1:24" x14ac:dyDescent="0.25">
      <c r="A2187" s="45"/>
      <c r="B2187" s="46"/>
      <c r="C2187" s="46"/>
      <c r="D2187" s="46"/>
      <c r="E2187" s="46"/>
      <c r="F2187" s="46"/>
      <c r="G2187" s="46"/>
      <c r="H2187" s="46"/>
      <c r="I2187" s="46"/>
      <c r="J2187" s="46"/>
      <c r="K2187" s="46"/>
      <c r="L2187" s="46"/>
      <c r="M2187" s="46"/>
      <c r="N2187" s="46"/>
      <c r="O2187" s="46"/>
      <c r="P2187" s="46"/>
      <c r="Q2187" s="46"/>
      <c r="R2187" s="46"/>
      <c r="S2187" s="46"/>
      <c r="T2187" s="46"/>
      <c r="U2187" s="46"/>
      <c r="V2187" s="46"/>
      <c r="W2187" s="46"/>
      <c r="X2187" s="11" t="str">
        <f>IF(COUNTBLANK(B2187:W2187)&gt;0,"NA",'batch classification'!J2193)</f>
        <v>NA</v>
      </c>
    </row>
    <row r="2188" spans="1:24" x14ac:dyDescent="0.25">
      <c r="A2188" s="45"/>
      <c r="B2188" s="46"/>
      <c r="C2188" s="46"/>
      <c r="D2188" s="46"/>
      <c r="E2188" s="46"/>
      <c r="F2188" s="46"/>
      <c r="G2188" s="46"/>
      <c r="H2188" s="46"/>
      <c r="I2188" s="46"/>
      <c r="J2188" s="46"/>
      <c r="K2188" s="46"/>
      <c r="L2188" s="46"/>
      <c r="M2188" s="46"/>
      <c r="N2188" s="46"/>
      <c r="O2188" s="46"/>
      <c r="P2188" s="46"/>
      <c r="Q2188" s="46"/>
      <c r="R2188" s="46"/>
      <c r="S2188" s="46"/>
      <c r="T2188" s="46"/>
      <c r="U2188" s="46"/>
      <c r="V2188" s="46"/>
      <c r="W2188" s="46"/>
      <c r="X2188" s="11" t="str">
        <f>IF(COUNTBLANK(B2188:W2188)&gt;0,"NA",'batch classification'!J2194)</f>
        <v>NA</v>
      </c>
    </row>
    <row r="2189" spans="1:24" x14ac:dyDescent="0.25">
      <c r="A2189" s="45"/>
      <c r="B2189" s="46"/>
      <c r="C2189" s="46"/>
      <c r="D2189" s="46"/>
      <c r="E2189" s="46"/>
      <c r="F2189" s="46"/>
      <c r="G2189" s="46"/>
      <c r="H2189" s="46"/>
      <c r="I2189" s="46"/>
      <c r="J2189" s="46"/>
      <c r="K2189" s="46"/>
      <c r="L2189" s="46"/>
      <c r="M2189" s="46"/>
      <c r="N2189" s="46"/>
      <c r="O2189" s="46"/>
      <c r="P2189" s="46"/>
      <c r="Q2189" s="46"/>
      <c r="R2189" s="46"/>
      <c r="S2189" s="46"/>
      <c r="T2189" s="46"/>
      <c r="U2189" s="46"/>
      <c r="V2189" s="46"/>
      <c r="W2189" s="46"/>
      <c r="X2189" s="11" t="str">
        <f>IF(COUNTBLANK(B2189:W2189)&gt;0,"NA",'batch classification'!J2195)</f>
        <v>NA</v>
      </c>
    </row>
    <row r="2190" spans="1:24" x14ac:dyDescent="0.25">
      <c r="A2190" s="45"/>
      <c r="B2190" s="46"/>
      <c r="C2190" s="46"/>
      <c r="D2190" s="46"/>
      <c r="E2190" s="46"/>
      <c r="F2190" s="46"/>
      <c r="G2190" s="46"/>
      <c r="H2190" s="46"/>
      <c r="I2190" s="46"/>
      <c r="J2190" s="46"/>
      <c r="K2190" s="46"/>
      <c r="L2190" s="46"/>
      <c r="M2190" s="46"/>
      <c r="N2190" s="46"/>
      <c r="O2190" s="46"/>
      <c r="P2190" s="46"/>
      <c r="Q2190" s="46"/>
      <c r="R2190" s="46"/>
      <c r="S2190" s="46"/>
      <c r="T2190" s="46"/>
      <c r="U2190" s="46"/>
      <c r="V2190" s="46"/>
      <c r="W2190" s="46"/>
      <c r="X2190" s="11" t="str">
        <f>IF(COUNTBLANK(B2190:W2190)&gt;0,"NA",'batch classification'!J2196)</f>
        <v>NA</v>
      </c>
    </row>
    <row r="2191" spans="1:24" x14ac:dyDescent="0.25">
      <c r="A2191" s="45"/>
      <c r="B2191" s="46"/>
      <c r="C2191" s="46"/>
      <c r="D2191" s="46"/>
      <c r="E2191" s="46"/>
      <c r="F2191" s="46"/>
      <c r="G2191" s="46"/>
      <c r="H2191" s="46"/>
      <c r="I2191" s="46"/>
      <c r="J2191" s="46"/>
      <c r="K2191" s="46"/>
      <c r="L2191" s="46"/>
      <c r="M2191" s="46"/>
      <c r="N2191" s="46"/>
      <c r="O2191" s="46"/>
      <c r="P2191" s="46"/>
      <c r="Q2191" s="46"/>
      <c r="R2191" s="46"/>
      <c r="S2191" s="46"/>
      <c r="T2191" s="46"/>
      <c r="U2191" s="46"/>
      <c r="V2191" s="46"/>
      <c r="W2191" s="46"/>
      <c r="X2191" s="11" t="str">
        <f>IF(COUNTBLANK(B2191:W2191)&gt;0,"NA",'batch classification'!J2197)</f>
        <v>NA</v>
      </c>
    </row>
    <row r="2192" spans="1:24" x14ac:dyDescent="0.25">
      <c r="A2192" s="45"/>
      <c r="B2192" s="46"/>
      <c r="C2192" s="46"/>
      <c r="D2192" s="46"/>
      <c r="E2192" s="46"/>
      <c r="F2192" s="46"/>
      <c r="G2192" s="46"/>
      <c r="H2192" s="46"/>
      <c r="I2192" s="46"/>
      <c r="J2192" s="46"/>
      <c r="K2192" s="46"/>
      <c r="L2192" s="46"/>
      <c r="M2192" s="46"/>
      <c r="N2192" s="46"/>
      <c r="O2192" s="46"/>
      <c r="P2192" s="46"/>
      <c r="Q2192" s="46"/>
      <c r="R2192" s="46"/>
      <c r="S2192" s="46"/>
      <c r="T2192" s="46"/>
      <c r="U2192" s="46"/>
      <c r="V2192" s="46"/>
      <c r="W2192" s="46"/>
      <c r="X2192" s="11" t="str">
        <f>IF(COUNTBLANK(B2192:W2192)&gt;0,"NA",'batch classification'!J2198)</f>
        <v>NA</v>
      </c>
    </row>
    <row r="2193" spans="1:24" x14ac:dyDescent="0.25">
      <c r="A2193" s="45"/>
      <c r="B2193" s="46"/>
      <c r="C2193" s="46"/>
      <c r="D2193" s="46"/>
      <c r="E2193" s="46"/>
      <c r="F2193" s="46"/>
      <c r="G2193" s="46"/>
      <c r="H2193" s="46"/>
      <c r="I2193" s="46"/>
      <c r="J2193" s="46"/>
      <c r="K2193" s="46"/>
      <c r="L2193" s="46"/>
      <c r="M2193" s="46"/>
      <c r="N2193" s="46"/>
      <c r="O2193" s="46"/>
      <c r="P2193" s="46"/>
      <c r="Q2193" s="46"/>
      <c r="R2193" s="46"/>
      <c r="S2193" s="46"/>
      <c r="T2193" s="46"/>
      <c r="U2193" s="46"/>
      <c r="V2193" s="46"/>
      <c r="W2193" s="46"/>
      <c r="X2193" s="11" t="str">
        <f>IF(COUNTBLANK(B2193:W2193)&gt;0,"NA",'batch classification'!J2199)</f>
        <v>NA</v>
      </c>
    </row>
    <row r="2194" spans="1:24" x14ac:dyDescent="0.25">
      <c r="A2194" s="45"/>
      <c r="B2194" s="46"/>
      <c r="C2194" s="46"/>
      <c r="D2194" s="46"/>
      <c r="E2194" s="46"/>
      <c r="F2194" s="46"/>
      <c r="G2194" s="46"/>
      <c r="H2194" s="46"/>
      <c r="I2194" s="46"/>
      <c r="J2194" s="46"/>
      <c r="K2194" s="46"/>
      <c r="L2194" s="46"/>
      <c r="M2194" s="46"/>
      <c r="N2194" s="46"/>
      <c r="O2194" s="46"/>
      <c r="P2194" s="46"/>
      <c r="Q2194" s="46"/>
      <c r="R2194" s="46"/>
      <c r="S2194" s="46"/>
      <c r="T2194" s="46"/>
      <c r="U2194" s="46"/>
      <c r="V2194" s="46"/>
      <c r="W2194" s="46"/>
      <c r="X2194" s="11" t="str">
        <f>IF(COUNTBLANK(B2194:W2194)&gt;0,"NA",'batch classification'!J2200)</f>
        <v>NA</v>
      </c>
    </row>
    <row r="2195" spans="1:24" x14ac:dyDescent="0.25">
      <c r="A2195" s="45"/>
      <c r="B2195" s="46"/>
      <c r="C2195" s="46"/>
      <c r="D2195" s="46"/>
      <c r="E2195" s="46"/>
      <c r="F2195" s="46"/>
      <c r="G2195" s="46"/>
      <c r="H2195" s="46"/>
      <c r="I2195" s="46"/>
      <c r="J2195" s="46"/>
      <c r="K2195" s="46"/>
      <c r="L2195" s="46"/>
      <c r="M2195" s="46"/>
      <c r="N2195" s="46"/>
      <c r="O2195" s="46"/>
      <c r="P2195" s="46"/>
      <c r="Q2195" s="46"/>
      <c r="R2195" s="46"/>
      <c r="S2195" s="46"/>
      <c r="T2195" s="46"/>
      <c r="U2195" s="46"/>
      <c r="V2195" s="46"/>
      <c r="W2195" s="46"/>
      <c r="X2195" s="11" t="str">
        <f>IF(COUNTBLANK(B2195:W2195)&gt;0,"NA",'batch classification'!J2201)</f>
        <v>NA</v>
      </c>
    </row>
    <row r="2196" spans="1:24" x14ac:dyDescent="0.25">
      <c r="A2196" s="45"/>
      <c r="B2196" s="46"/>
      <c r="C2196" s="46"/>
      <c r="D2196" s="46"/>
      <c r="E2196" s="46"/>
      <c r="F2196" s="46"/>
      <c r="G2196" s="46"/>
      <c r="H2196" s="46"/>
      <c r="I2196" s="46"/>
      <c r="J2196" s="46"/>
      <c r="K2196" s="46"/>
      <c r="L2196" s="46"/>
      <c r="M2196" s="46"/>
      <c r="N2196" s="46"/>
      <c r="O2196" s="46"/>
      <c r="P2196" s="46"/>
      <c r="Q2196" s="46"/>
      <c r="R2196" s="46"/>
      <c r="S2196" s="46"/>
      <c r="T2196" s="46"/>
      <c r="U2196" s="46"/>
      <c r="V2196" s="46"/>
      <c r="W2196" s="46"/>
      <c r="X2196" s="11" t="str">
        <f>IF(COUNTBLANK(B2196:W2196)&gt;0,"NA",'batch classification'!J2202)</f>
        <v>NA</v>
      </c>
    </row>
    <row r="2197" spans="1:24" x14ac:dyDescent="0.25">
      <c r="A2197" s="45"/>
      <c r="B2197" s="46"/>
      <c r="C2197" s="46"/>
      <c r="D2197" s="46"/>
      <c r="E2197" s="46"/>
      <c r="F2197" s="46"/>
      <c r="G2197" s="46"/>
      <c r="H2197" s="46"/>
      <c r="I2197" s="46"/>
      <c r="J2197" s="46"/>
      <c r="K2197" s="46"/>
      <c r="L2197" s="46"/>
      <c r="M2197" s="46"/>
      <c r="N2197" s="46"/>
      <c r="O2197" s="46"/>
      <c r="P2197" s="46"/>
      <c r="Q2197" s="46"/>
      <c r="R2197" s="46"/>
      <c r="S2197" s="46"/>
      <c r="T2197" s="46"/>
      <c r="U2197" s="46"/>
      <c r="V2197" s="46"/>
      <c r="W2197" s="46"/>
      <c r="X2197" s="11" t="str">
        <f>IF(COUNTBLANK(B2197:W2197)&gt;0,"NA",'batch classification'!J2203)</f>
        <v>NA</v>
      </c>
    </row>
    <row r="2198" spans="1:24" x14ac:dyDescent="0.25">
      <c r="A2198" s="45"/>
      <c r="B2198" s="46"/>
      <c r="C2198" s="46"/>
      <c r="D2198" s="46"/>
      <c r="E2198" s="46"/>
      <c r="F2198" s="46"/>
      <c r="G2198" s="46"/>
      <c r="H2198" s="46"/>
      <c r="I2198" s="46"/>
      <c r="J2198" s="46"/>
      <c r="K2198" s="46"/>
      <c r="L2198" s="46"/>
      <c r="M2198" s="46"/>
      <c r="N2198" s="46"/>
      <c r="O2198" s="46"/>
      <c r="P2198" s="46"/>
      <c r="Q2198" s="46"/>
      <c r="R2198" s="46"/>
      <c r="S2198" s="46"/>
      <c r="T2198" s="46"/>
      <c r="U2198" s="46"/>
      <c r="V2198" s="46"/>
      <c r="W2198" s="46"/>
      <c r="X2198" s="11" t="str">
        <f>IF(COUNTBLANK(B2198:W2198)&gt;0,"NA",'batch classification'!J2204)</f>
        <v>NA</v>
      </c>
    </row>
    <row r="2199" spans="1:24" x14ac:dyDescent="0.25">
      <c r="A2199" s="45"/>
      <c r="B2199" s="46"/>
      <c r="C2199" s="46"/>
      <c r="D2199" s="46"/>
      <c r="E2199" s="46"/>
      <c r="F2199" s="46"/>
      <c r="G2199" s="46"/>
      <c r="H2199" s="46"/>
      <c r="I2199" s="46"/>
      <c r="J2199" s="46"/>
      <c r="K2199" s="46"/>
      <c r="L2199" s="46"/>
      <c r="M2199" s="46"/>
      <c r="N2199" s="46"/>
      <c r="O2199" s="46"/>
      <c r="P2199" s="46"/>
      <c r="Q2199" s="46"/>
      <c r="R2199" s="46"/>
      <c r="S2199" s="46"/>
      <c r="T2199" s="46"/>
      <c r="U2199" s="46"/>
      <c r="V2199" s="46"/>
      <c r="W2199" s="46"/>
      <c r="X2199" s="11" t="str">
        <f>IF(COUNTBLANK(B2199:W2199)&gt;0,"NA",'batch classification'!J2205)</f>
        <v>NA</v>
      </c>
    </row>
    <row r="2200" spans="1:24" x14ac:dyDescent="0.25">
      <c r="A2200" s="45"/>
      <c r="B2200" s="46"/>
      <c r="C2200" s="46"/>
      <c r="D2200" s="46"/>
      <c r="E2200" s="46"/>
      <c r="F2200" s="46"/>
      <c r="G2200" s="46"/>
      <c r="H2200" s="46"/>
      <c r="I2200" s="46"/>
      <c r="J2200" s="46"/>
      <c r="K2200" s="46"/>
      <c r="L2200" s="46"/>
      <c r="M2200" s="46"/>
      <c r="N2200" s="46"/>
      <c r="O2200" s="46"/>
      <c r="P2200" s="46"/>
      <c r="Q2200" s="46"/>
      <c r="R2200" s="46"/>
      <c r="S2200" s="46"/>
      <c r="T2200" s="46"/>
      <c r="U2200" s="46"/>
      <c r="V2200" s="46"/>
      <c r="W2200" s="46"/>
      <c r="X2200" s="11" t="str">
        <f>IF(COUNTBLANK(B2200:W2200)&gt;0,"NA",'batch classification'!J2206)</f>
        <v>NA</v>
      </c>
    </row>
    <row r="2201" spans="1:24" x14ac:dyDescent="0.25">
      <c r="A2201" s="45"/>
      <c r="B2201" s="46"/>
      <c r="C2201" s="46"/>
      <c r="D2201" s="46"/>
      <c r="E2201" s="46"/>
      <c r="F2201" s="46"/>
      <c r="G2201" s="46"/>
      <c r="H2201" s="46"/>
      <c r="I2201" s="46"/>
      <c r="J2201" s="46"/>
      <c r="K2201" s="46"/>
      <c r="L2201" s="46"/>
      <c r="M2201" s="46"/>
      <c r="N2201" s="46"/>
      <c r="O2201" s="46"/>
      <c r="P2201" s="46"/>
      <c r="Q2201" s="46"/>
      <c r="R2201" s="46"/>
      <c r="S2201" s="46"/>
      <c r="T2201" s="46"/>
      <c r="U2201" s="46"/>
      <c r="V2201" s="46"/>
      <c r="W2201" s="46"/>
      <c r="X2201" s="11" t="str">
        <f>IF(COUNTBLANK(B2201:W2201)&gt;0,"NA",'batch classification'!J2207)</f>
        <v>NA</v>
      </c>
    </row>
    <row r="2202" spans="1:24" x14ac:dyDescent="0.25">
      <c r="A2202" s="45"/>
      <c r="B2202" s="46"/>
      <c r="C2202" s="46"/>
      <c r="D2202" s="46"/>
      <c r="E2202" s="46"/>
      <c r="F2202" s="46"/>
      <c r="G2202" s="46"/>
      <c r="H2202" s="46"/>
      <c r="I2202" s="46"/>
      <c r="J2202" s="46"/>
      <c r="K2202" s="46"/>
      <c r="L2202" s="46"/>
      <c r="M2202" s="46"/>
      <c r="N2202" s="46"/>
      <c r="O2202" s="46"/>
      <c r="P2202" s="46"/>
      <c r="Q2202" s="46"/>
      <c r="R2202" s="46"/>
      <c r="S2202" s="46"/>
      <c r="T2202" s="46"/>
      <c r="U2202" s="46"/>
      <c r="V2202" s="46"/>
      <c r="W2202" s="46"/>
      <c r="X2202" s="11" t="str">
        <f>IF(COUNTBLANK(B2202:W2202)&gt;0,"NA",'batch classification'!J2208)</f>
        <v>NA</v>
      </c>
    </row>
    <row r="2203" spans="1:24" x14ac:dyDescent="0.25">
      <c r="A2203" s="45"/>
      <c r="B2203" s="46"/>
      <c r="C2203" s="46"/>
      <c r="D2203" s="46"/>
      <c r="E2203" s="46"/>
      <c r="F2203" s="46"/>
      <c r="G2203" s="46"/>
      <c r="H2203" s="46"/>
      <c r="I2203" s="46"/>
      <c r="J2203" s="46"/>
      <c r="K2203" s="46"/>
      <c r="L2203" s="46"/>
      <c r="M2203" s="46"/>
      <c r="N2203" s="46"/>
      <c r="O2203" s="46"/>
      <c r="P2203" s="46"/>
      <c r="Q2203" s="46"/>
      <c r="R2203" s="46"/>
      <c r="S2203" s="46"/>
      <c r="T2203" s="46"/>
      <c r="U2203" s="46"/>
      <c r="V2203" s="46"/>
      <c r="W2203" s="46"/>
      <c r="X2203" s="11" t="str">
        <f>IF(COUNTBLANK(B2203:W2203)&gt;0,"NA",'batch classification'!J2209)</f>
        <v>NA</v>
      </c>
    </row>
    <row r="2204" spans="1:24" x14ac:dyDescent="0.25">
      <c r="A2204" s="45"/>
      <c r="B2204" s="46"/>
      <c r="C2204" s="46"/>
      <c r="D2204" s="46"/>
      <c r="E2204" s="46"/>
      <c r="F2204" s="46"/>
      <c r="G2204" s="46"/>
      <c r="H2204" s="46"/>
      <c r="I2204" s="46"/>
      <c r="J2204" s="46"/>
      <c r="K2204" s="46"/>
      <c r="L2204" s="46"/>
      <c r="M2204" s="46"/>
      <c r="N2204" s="46"/>
      <c r="O2204" s="46"/>
      <c r="P2204" s="46"/>
      <c r="Q2204" s="46"/>
      <c r="R2204" s="46"/>
      <c r="S2204" s="46"/>
      <c r="T2204" s="46"/>
      <c r="U2204" s="46"/>
      <c r="V2204" s="46"/>
      <c r="W2204" s="46"/>
      <c r="X2204" s="11" t="str">
        <f>IF(COUNTBLANK(B2204:W2204)&gt;0,"NA",'batch classification'!J2210)</f>
        <v>NA</v>
      </c>
    </row>
    <row r="2205" spans="1:24" x14ac:dyDescent="0.25">
      <c r="A2205" s="45"/>
      <c r="B2205" s="46"/>
      <c r="C2205" s="46"/>
      <c r="D2205" s="46"/>
      <c r="E2205" s="46"/>
      <c r="F2205" s="46"/>
      <c r="G2205" s="46"/>
      <c r="H2205" s="46"/>
      <c r="I2205" s="46"/>
      <c r="J2205" s="46"/>
      <c r="K2205" s="46"/>
      <c r="L2205" s="46"/>
      <c r="M2205" s="46"/>
      <c r="N2205" s="46"/>
      <c r="O2205" s="46"/>
      <c r="P2205" s="46"/>
      <c r="Q2205" s="46"/>
      <c r="R2205" s="46"/>
      <c r="S2205" s="46"/>
      <c r="T2205" s="46"/>
      <c r="U2205" s="46"/>
      <c r="V2205" s="46"/>
      <c r="W2205" s="46"/>
      <c r="X2205" s="11" t="str">
        <f>IF(COUNTBLANK(B2205:W2205)&gt;0,"NA",'batch classification'!J2211)</f>
        <v>NA</v>
      </c>
    </row>
    <row r="2206" spans="1:24" x14ac:dyDescent="0.25">
      <c r="A2206" s="45"/>
      <c r="B2206" s="46"/>
      <c r="C2206" s="46"/>
      <c r="D2206" s="46"/>
      <c r="E2206" s="46"/>
      <c r="F2206" s="46"/>
      <c r="G2206" s="46"/>
      <c r="H2206" s="46"/>
      <c r="I2206" s="46"/>
      <c r="J2206" s="46"/>
      <c r="K2206" s="46"/>
      <c r="L2206" s="46"/>
      <c r="M2206" s="46"/>
      <c r="N2206" s="46"/>
      <c r="O2206" s="46"/>
      <c r="P2206" s="46"/>
      <c r="Q2206" s="46"/>
      <c r="R2206" s="46"/>
      <c r="S2206" s="46"/>
      <c r="T2206" s="46"/>
      <c r="U2206" s="46"/>
      <c r="V2206" s="46"/>
      <c r="W2206" s="46"/>
      <c r="X2206" s="11" t="str">
        <f>IF(COUNTBLANK(B2206:W2206)&gt;0,"NA",'batch classification'!J2212)</f>
        <v>NA</v>
      </c>
    </row>
    <row r="2207" spans="1:24" x14ac:dyDescent="0.25">
      <c r="A2207" s="45"/>
      <c r="B2207" s="46"/>
      <c r="C2207" s="46"/>
      <c r="D2207" s="46"/>
      <c r="E2207" s="46"/>
      <c r="F2207" s="46"/>
      <c r="G2207" s="46"/>
      <c r="H2207" s="46"/>
      <c r="I2207" s="46"/>
      <c r="J2207" s="46"/>
      <c r="K2207" s="46"/>
      <c r="L2207" s="46"/>
      <c r="M2207" s="46"/>
      <c r="N2207" s="46"/>
      <c r="O2207" s="46"/>
      <c r="P2207" s="46"/>
      <c r="Q2207" s="46"/>
      <c r="R2207" s="46"/>
      <c r="S2207" s="46"/>
      <c r="T2207" s="46"/>
      <c r="U2207" s="46"/>
      <c r="V2207" s="46"/>
      <c r="W2207" s="46"/>
      <c r="X2207" s="11" t="str">
        <f>IF(COUNTBLANK(B2207:W2207)&gt;0,"NA",'batch classification'!J2213)</f>
        <v>NA</v>
      </c>
    </row>
    <row r="2208" spans="1:24" x14ac:dyDescent="0.25">
      <c r="A2208" s="45"/>
      <c r="B2208" s="46"/>
      <c r="C2208" s="46"/>
      <c r="D2208" s="46"/>
      <c r="E2208" s="46"/>
      <c r="F2208" s="46"/>
      <c r="G2208" s="46"/>
      <c r="H2208" s="46"/>
      <c r="I2208" s="46"/>
      <c r="J2208" s="46"/>
      <c r="K2208" s="46"/>
      <c r="L2208" s="46"/>
      <c r="M2208" s="46"/>
      <c r="N2208" s="46"/>
      <c r="O2208" s="46"/>
      <c r="P2208" s="46"/>
      <c r="Q2208" s="46"/>
      <c r="R2208" s="46"/>
      <c r="S2208" s="46"/>
      <c r="T2208" s="46"/>
      <c r="U2208" s="46"/>
      <c r="V2208" s="46"/>
      <c r="W2208" s="46"/>
      <c r="X2208" s="11" t="str">
        <f>IF(COUNTBLANK(B2208:W2208)&gt;0,"NA",'batch classification'!J2214)</f>
        <v>NA</v>
      </c>
    </row>
    <row r="2209" spans="1:24" x14ac:dyDescent="0.25">
      <c r="A2209" s="45"/>
      <c r="B2209" s="46"/>
      <c r="C2209" s="46"/>
      <c r="D2209" s="46"/>
      <c r="E2209" s="46"/>
      <c r="F2209" s="46"/>
      <c r="G2209" s="46"/>
      <c r="H2209" s="46"/>
      <c r="I2209" s="46"/>
      <c r="J2209" s="46"/>
      <c r="K2209" s="46"/>
      <c r="L2209" s="46"/>
      <c r="M2209" s="46"/>
      <c r="N2209" s="46"/>
      <c r="O2209" s="46"/>
      <c r="P2209" s="46"/>
      <c r="Q2209" s="46"/>
      <c r="R2209" s="46"/>
      <c r="S2209" s="46"/>
      <c r="T2209" s="46"/>
      <c r="U2209" s="46"/>
      <c r="V2209" s="46"/>
      <c r="W2209" s="46"/>
      <c r="X2209" s="11" t="str">
        <f>IF(COUNTBLANK(B2209:W2209)&gt;0,"NA",'batch classification'!J2215)</f>
        <v>NA</v>
      </c>
    </row>
    <row r="2210" spans="1:24" x14ac:dyDescent="0.25">
      <c r="A2210" s="45"/>
      <c r="B2210" s="46"/>
      <c r="C2210" s="46"/>
      <c r="D2210" s="46"/>
      <c r="E2210" s="46"/>
      <c r="F2210" s="46"/>
      <c r="G2210" s="46"/>
      <c r="H2210" s="46"/>
      <c r="I2210" s="46"/>
      <c r="J2210" s="46"/>
      <c r="K2210" s="46"/>
      <c r="L2210" s="46"/>
      <c r="M2210" s="46"/>
      <c r="N2210" s="46"/>
      <c r="O2210" s="46"/>
      <c r="P2210" s="46"/>
      <c r="Q2210" s="46"/>
      <c r="R2210" s="46"/>
      <c r="S2210" s="46"/>
      <c r="T2210" s="46"/>
      <c r="U2210" s="46"/>
      <c r="V2210" s="46"/>
      <c r="W2210" s="46"/>
      <c r="X2210" s="11" t="str">
        <f>IF(COUNTBLANK(B2210:W2210)&gt;0,"NA",'batch classification'!J2216)</f>
        <v>NA</v>
      </c>
    </row>
    <row r="2211" spans="1:24" x14ac:dyDescent="0.25">
      <c r="A2211" s="45"/>
      <c r="B2211" s="46"/>
      <c r="C2211" s="46"/>
      <c r="D2211" s="46"/>
      <c r="E2211" s="46"/>
      <c r="F2211" s="46"/>
      <c r="G2211" s="46"/>
      <c r="H2211" s="46"/>
      <c r="I2211" s="46"/>
      <c r="J2211" s="46"/>
      <c r="K2211" s="46"/>
      <c r="L2211" s="46"/>
      <c r="M2211" s="46"/>
      <c r="N2211" s="46"/>
      <c r="O2211" s="46"/>
      <c r="P2211" s="46"/>
      <c r="Q2211" s="46"/>
      <c r="R2211" s="46"/>
      <c r="S2211" s="46"/>
      <c r="T2211" s="46"/>
      <c r="U2211" s="46"/>
      <c r="V2211" s="46"/>
      <c r="W2211" s="46"/>
      <c r="X2211" s="11" t="str">
        <f>IF(COUNTBLANK(B2211:W2211)&gt;0,"NA",'batch classification'!J2217)</f>
        <v>NA</v>
      </c>
    </row>
    <row r="2212" spans="1:24" x14ac:dyDescent="0.25">
      <c r="A2212" s="45"/>
      <c r="B2212" s="46"/>
      <c r="C2212" s="46"/>
      <c r="D2212" s="46"/>
      <c r="E2212" s="46"/>
      <c r="F2212" s="46"/>
      <c r="G2212" s="46"/>
      <c r="H2212" s="46"/>
      <c r="I2212" s="46"/>
      <c r="J2212" s="46"/>
      <c r="K2212" s="46"/>
      <c r="L2212" s="46"/>
      <c r="M2212" s="46"/>
      <c r="N2212" s="46"/>
      <c r="O2212" s="46"/>
      <c r="P2212" s="46"/>
      <c r="Q2212" s="46"/>
      <c r="R2212" s="46"/>
      <c r="S2212" s="46"/>
      <c r="T2212" s="46"/>
      <c r="U2212" s="46"/>
      <c r="V2212" s="46"/>
      <c r="W2212" s="46"/>
      <c r="X2212" s="11" t="str">
        <f>IF(COUNTBLANK(B2212:W2212)&gt;0,"NA",'batch classification'!J2218)</f>
        <v>NA</v>
      </c>
    </row>
    <row r="2213" spans="1:24" x14ac:dyDescent="0.25">
      <c r="A2213" s="45"/>
      <c r="B2213" s="46"/>
      <c r="C2213" s="46"/>
      <c r="D2213" s="46"/>
      <c r="E2213" s="46"/>
      <c r="F2213" s="46"/>
      <c r="G2213" s="46"/>
      <c r="H2213" s="46"/>
      <c r="I2213" s="46"/>
      <c r="J2213" s="46"/>
      <c r="K2213" s="46"/>
      <c r="L2213" s="46"/>
      <c r="M2213" s="46"/>
      <c r="N2213" s="46"/>
      <c r="O2213" s="46"/>
      <c r="P2213" s="46"/>
      <c r="Q2213" s="46"/>
      <c r="R2213" s="46"/>
      <c r="S2213" s="46"/>
      <c r="T2213" s="46"/>
      <c r="U2213" s="46"/>
      <c r="V2213" s="46"/>
      <c r="W2213" s="46"/>
      <c r="X2213" s="11" t="str">
        <f>IF(COUNTBLANK(B2213:W2213)&gt;0,"NA",'batch classification'!J2219)</f>
        <v>NA</v>
      </c>
    </row>
    <row r="2214" spans="1:24" x14ac:dyDescent="0.25">
      <c r="A2214" s="45"/>
      <c r="B2214" s="46"/>
      <c r="C2214" s="46"/>
      <c r="D2214" s="46"/>
      <c r="E2214" s="46"/>
      <c r="F2214" s="46"/>
      <c r="G2214" s="46"/>
      <c r="H2214" s="46"/>
      <c r="I2214" s="46"/>
      <c r="J2214" s="46"/>
      <c r="K2214" s="46"/>
      <c r="L2214" s="46"/>
      <c r="M2214" s="46"/>
      <c r="N2214" s="46"/>
      <c r="O2214" s="46"/>
      <c r="P2214" s="46"/>
      <c r="Q2214" s="46"/>
      <c r="R2214" s="46"/>
      <c r="S2214" s="46"/>
      <c r="T2214" s="46"/>
      <c r="U2214" s="46"/>
      <c r="V2214" s="46"/>
      <c r="W2214" s="46"/>
      <c r="X2214" s="11" t="str">
        <f>IF(COUNTBLANK(B2214:W2214)&gt;0,"NA",'batch classification'!J2220)</f>
        <v>NA</v>
      </c>
    </row>
    <row r="2215" spans="1:24" x14ac:dyDescent="0.25">
      <c r="A2215" s="45"/>
      <c r="B2215" s="46"/>
      <c r="C2215" s="46"/>
      <c r="D2215" s="46"/>
      <c r="E2215" s="46"/>
      <c r="F2215" s="46"/>
      <c r="G2215" s="46"/>
      <c r="H2215" s="46"/>
      <c r="I2215" s="46"/>
      <c r="J2215" s="46"/>
      <c r="K2215" s="46"/>
      <c r="L2215" s="46"/>
      <c r="M2215" s="46"/>
      <c r="N2215" s="46"/>
      <c r="O2215" s="46"/>
      <c r="P2215" s="46"/>
      <c r="Q2215" s="46"/>
      <c r="R2215" s="46"/>
      <c r="S2215" s="46"/>
      <c r="T2215" s="46"/>
      <c r="U2215" s="46"/>
      <c r="V2215" s="46"/>
      <c r="W2215" s="46"/>
      <c r="X2215" s="11" t="str">
        <f>IF(COUNTBLANK(B2215:W2215)&gt;0,"NA",'batch classification'!J2221)</f>
        <v>NA</v>
      </c>
    </row>
    <row r="2216" spans="1:24" x14ac:dyDescent="0.25">
      <c r="A2216" s="45"/>
      <c r="B2216" s="46"/>
      <c r="C2216" s="46"/>
      <c r="D2216" s="46"/>
      <c r="E2216" s="46"/>
      <c r="F2216" s="46"/>
      <c r="G2216" s="46"/>
      <c r="H2216" s="46"/>
      <c r="I2216" s="46"/>
      <c r="J2216" s="46"/>
      <c r="K2216" s="46"/>
      <c r="L2216" s="46"/>
      <c r="M2216" s="46"/>
      <c r="N2216" s="46"/>
      <c r="O2216" s="46"/>
      <c r="P2216" s="46"/>
      <c r="Q2216" s="46"/>
      <c r="R2216" s="46"/>
      <c r="S2216" s="46"/>
      <c r="T2216" s="46"/>
      <c r="U2216" s="46"/>
      <c r="V2216" s="46"/>
      <c r="W2216" s="46"/>
      <c r="X2216" s="11" t="str">
        <f>IF(COUNTBLANK(B2216:W2216)&gt;0,"NA",'batch classification'!J2222)</f>
        <v>NA</v>
      </c>
    </row>
    <row r="2217" spans="1:24" x14ac:dyDescent="0.25">
      <c r="A2217" s="45"/>
      <c r="B2217" s="46"/>
      <c r="C2217" s="46"/>
      <c r="D2217" s="46"/>
      <c r="E2217" s="46"/>
      <c r="F2217" s="46"/>
      <c r="G2217" s="46"/>
      <c r="H2217" s="46"/>
      <c r="I2217" s="46"/>
      <c r="J2217" s="46"/>
      <c r="K2217" s="46"/>
      <c r="L2217" s="46"/>
      <c r="M2217" s="46"/>
      <c r="N2217" s="46"/>
      <c r="O2217" s="46"/>
      <c r="P2217" s="46"/>
      <c r="Q2217" s="46"/>
      <c r="R2217" s="46"/>
      <c r="S2217" s="46"/>
      <c r="T2217" s="46"/>
      <c r="U2217" s="46"/>
      <c r="V2217" s="46"/>
      <c r="W2217" s="46"/>
      <c r="X2217" s="11" t="str">
        <f>IF(COUNTBLANK(B2217:W2217)&gt;0,"NA",'batch classification'!J2223)</f>
        <v>NA</v>
      </c>
    </row>
    <row r="2218" spans="1:24" x14ac:dyDescent="0.25">
      <c r="A2218" s="45"/>
      <c r="B2218" s="46"/>
      <c r="C2218" s="46"/>
      <c r="D2218" s="46"/>
      <c r="E2218" s="46"/>
      <c r="F2218" s="46"/>
      <c r="G2218" s="46"/>
      <c r="H2218" s="46"/>
      <c r="I2218" s="46"/>
      <c r="J2218" s="46"/>
      <c r="K2218" s="46"/>
      <c r="L2218" s="46"/>
      <c r="M2218" s="46"/>
      <c r="N2218" s="46"/>
      <c r="O2218" s="46"/>
      <c r="P2218" s="46"/>
      <c r="Q2218" s="46"/>
      <c r="R2218" s="46"/>
      <c r="S2218" s="46"/>
      <c r="T2218" s="46"/>
      <c r="U2218" s="46"/>
      <c r="V2218" s="46"/>
      <c r="W2218" s="46"/>
      <c r="X2218" s="11" t="str">
        <f>IF(COUNTBLANK(B2218:W2218)&gt;0,"NA",'batch classification'!J2224)</f>
        <v>NA</v>
      </c>
    </row>
    <row r="2219" spans="1:24" x14ac:dyDescent="0.25">
      <c r="A2219" s="45"/>
      <c r="B2219" s="46"/>
      <c r="C2219" s="46"/>
      <c r="D2219" s="46"/>
      <c r="E2219" s="46"/>
      <c r="F2219" s="46"/>
      <c r="G2219" s="46"/>
      <c r="H2219" s="46"/>
      <c r="I2219" s="46"/>
      <c r="J2219" s="46"/>
      <c r="K2219" s="46"/>
      <c r="L2219" s="46"/>
      <c r="M2219" s="46"/>
      <c r="N2219" s="46"/>
      <c r="O2219" s="46"/>
      <c r="P2219" s="46"/>
      <c r="Q2219" s="46"/>
      <c r="R2219" s="46"/>
      <c r="S2219" s="46"/>
      <c r="T2219" s="46"/>
      <c r="U2219" s="46"/>
      <c r="V2219" s="46"/>
      <c r="W2219" s="46"/>
      <c r="X2219" s="11" t="str">
        <f>IF(COUNTBLANK(B2219:W2219)&gt;0,"NA",'batch classification'!J2225)</f>
        <v>NA</v>
      </c>
    </row>
    <row r="2220" spans="1:24" x14ac:dyDescent="0.25">
      <c r="A2220" s="45"/>
      <c r="B2220" s="46"/>
      <c r="C2220" s="46"/>
      <c r="D2220" s="46"/>
      <c r="E2220" s="46"/>
      <c r="F2220" s="46"/>
      <c r="G2220" s="46"/>
      <c r="H2220" s="46"/>
      <c r="I2220" s="46"/>
      <c r="J2220" s="46"/>
      <c r="K2220" s="46"/>
      <c r="L2220" s="46"/>
      <c r="M2220" s="46"/>
      <c r="N2220" s="46"/>
      <c r="O2220" s="46"/>
      <c r="P2220" s="46"/>
      <c r="Q2220" s="46"/>
      <c r="R2220" s="46"/>
      <c r="S2220" s="46"/>
      <c r="T2220" s="46"/>
      <c r="U2220" s="46"/>
      <c r="V2220" s="46"/>
      <c r="W2220" s="46"/>
      <c r="X2220" s="11" t="str">
        <f>IF(COUNTBLANK(B2220:W2220)&gt;0,"NA",'batch classification'!J2226)</f>
        <v>NA</v>
      </c>
    </row>
    <row r="2221" spans="1:24" x14ac:dyDescent="0.25">
      <c r="A2221" s="45"/>
      <c r="B2221" s="46"/>
      <c r="C2221" s="46"/>
      <c r="D2221" s="46"/>
      <c r="E2221" s="46"/>
      <c r="F2221" s="46"/>
      <c r="G2221" s="46"/>
      <c r="H2221" s="46"/>
      <c r="I2221" s="46"/>
      <c r="J2221" s="46"/>
      <c r="K2221" s="46"/>
      <c r="L2221" s="46"/>
      <c r="M2221" s="46"/>
      <c r="N2221" s="46"/>
      <c r="O2221" s="46"/>
      <c r="P2221" s="46"/>
      <c r="Q2221" s="46"/>
      <c r="R2221" s="46"/>
      <c r="S2221" s="46"/>
      <c r="T2221" s="46"/>
      <c r="U2221" s="46"/>
      <c r="V2221" s="46"/>
      <c r="W2221" s="46"/>
      <c r="X2221" s="11" t="str">
        <f>IF(COUNTBLANK(B2221:W2221)&gt;0,"NA",'batch classification'!J2227)</f>
        <v>NA</v>
      </c>
    </row>
    <row r="2222" spans="1:24" x14ac:dyDescent="0.25">
      <c r="A2222" s="45"/>
      <c r="B2222" s="46"/>
      <c r="C2222" s="46"/>
      <c r="D2222" s="46"/>
      <c r="E2222" s="46"/>
      <c r="F2222" s="46"/>
      <c r="G2222" s="46"/>
      <c r="H2222" s="46"/>
      <c r="I2222" s="46"/>
      <c r="J2222" s="46"/>
      <c r="K2222" s="46"/>
      <c r="L2222" s="46"/>
      <c r="M2222" s="46"/>
      <c r="N2222" s="46"/>
      <c r="O2222" s="46"/>
      <c r="P2222" s="46"/>
      <c r="Q2222" s="46"/>
      <c r="R2222" s="46"/>
      <c r="S2222" s="46"/>
      <c r="T2222" s="46"/>
      <c r="U2222" s="46"/>
      <c r="V2222" s="46"/>
      <c r="W2222" s="46"/>
      <c r="X2222" s="11" t="str">
        <f>IF(COUNTBLANK(B2222:W2222)&gt;0,"NA",'batch classification'!J2228)</f>
        <v>NA</v>
      </c>
    </row>
    <row r="2223" spans="1:24" x14ac:dyDescent="0.25">
      <c r="A2223" s="45"/>
      <c r="B2223" s="46"/>
      <c r="C2223" s="46"/>
      <c r="D2223" s="46"/>
      <c r="E2223" s="46"/>
      <c r="F2223" s="46"/>
      <c r="G2223" s="46"/>
      <c r="H2223" s="46"/>
      <c r="I2223" s="46"/>
      <c r="J2223" s="46"/>
      <c r="K2223" s="46"/>
      <c r="L2223" s="46"/>
      <c r="M2223" s="46"/>
      <c r="N2223" s="46"/>
      <c r="O2223" s="46"/>
      <c r="P2223" s="46"/>
      <c r="Q2223" s="46"/>
      <c r="R2223" s="46"/>
      <c r="S2223" s="46"/>
      <c r="T2223" s="46"/>
      <c r="U2223" s="46"/>
      <c r="V2223" s="46"/>
      <c r="W2223" s="46"/>
      <c r="X2223" s="11" t="str">
        <f>IF(COUNTBLANK(B2223:W2223)&gt;0,"NA",'batch classification'!J2229)</f>
        <v>NA</v>
      </c>
    </row>
    <row r="2224" spans="1:24" x14ac:dyDescent="0.25">
      <c r="A2224" s="45"/>
      <c r="B2224" s="46"/>
      <c r="C2224" s="46"/>
      <c r="D2224" s="46"/>
      <c r="E2224" s="46"/>
      <c r="F2224" s="46"/>
      <c r="G2224" s="46"/>
      <c r="H2224" s="46"/>
      <c r="I2224" s="46"/>
      <c r="J2224" s="46"/>
      <c r="K2224" s="46"/>
      <c r="L2224" s="46"/>
      <c r="M2224" s="46"/>
      <c r="N2224" s="46"/>
      <c r="O2224" s="46"/>
      <c r="P2224" s="46"/>
      <c r="Q2224" s="46"/>
      <c r="R2224" s="46"/>
      <c r="S2224" s="46"/>
      <c r="T2224" s="46"/>
      <c r="U2224" s="46"/>
      <c r="V2224" s="46"/>
      <c r="W2224" s="46"/>
      <c r="X2224" s="11" t="str">
        <f>IF(COUNTBLANK(B2224:W2224)&gt;0,"NA",'batch classification'!J2230)</f>
        <v>NA</v>
      </c>
    </row>
    <row r="2225" spans="1:24" x14ac:dyDescent="0.25">
      <c r="A2225" s="45"/>
      <c r="B2225" s="46"/>
      <c r="C2225" s="46"/>
      <c r="D2225" s="46"/>
      <c r="E2225" s="46"/>
      <c r="F2225" s="46"/>
      <c r="G2225" s="46"/>
      <c r="H2225" s="46"/>
      <c r="I2225" s="46"/>
      <c r="J2225" s="46"/>
      <c r="K2225" s="46"/>
      <c r="L2225" s="46"/>
      <c r="M2225" s="46"/>
      <c r="N2225" s="46"/>
      <c r="O2225" s="46"/>
      <c r="P2225" s="46"/>
      <c r="Q2225" s="46"/>
      <c r="R2225" s="46"/>
      <c r="S2225" s="46"/>
      <c r="T2225" s="46"/>
      <c r="U2225" s="46"/>
      <c r="V2225" s="46"/>
      <c r="W2225" s="46"/>
      <c r="X2225" s="11" t="str">
        <f>IF(COUNTBLANK(B2225:W2225)&gt;0,"NA",'batch classification'!J2231)</f>
        <v>NA</v>
      </c>
    </row>
    <row r="2226" spans="1:24" x14ac:dyDescent="0.25">
      <c r="A2226" s="45"/>
      <c r="B2226" s="46"/>
      <c r="C2226" s="46"/>
      <c r="D2226" s="46"/>
      <c r="E2226" s="46"/>
      <c r="F2226" s="46"/>
      <c r="G2226" s="46"/>
      <c r="H2226" s="46"/>
      <c r="I2226" s="46"/>
      <c r="J2226" s="46"/>
      <c r="K2226" s="46"/>
      <c r="L2226" s="46"/>
      <c r="M2226" s="46"/>
      <c r="N2226" s="46"/>
      <c r="O2226" s="46"/>
      <c r="P2226" s="46"/>
      <c r="Q2226" s="46"/>
      <c r="R2226" s="46"/>
      <c r="S2226" s="46"/>
      <c r="T2226" s="46"/>
      <c r="U2226" s="46"/>
      <c r="V2226" s="46"/>
      <c r="W2226" s="46"/>
      <c r="X2226" s="11" t="str">
        <f>IF(COUNTBLANK(B2226:W2226)&gt;0,"NA",'batch classification'!J2232)</f>
        <v>NA</v>
      </c>
    </row>
    <row r="2227" spans="1:24" x14ac:dyDescent="0.25">
      <c r="A2227" s="45"/>
      <c r="B2227" s="46"/>
      <c r="C2227" s="46"/>
      <c r="D2227" s="46"/>
      <c r="E2227" s="46"/>
      <c r="F2227" s="46"/>
      <c r="G2227" s="46"/>
      <c r="H2227" s="46"/>
      <c r="I2227" s="46"/>
      <c r="J2227" s="46"/>
      <c r="K2227" s="46"/>
      <c r="L2227" s="46"/>
      <c r="M2227" s="46"/>
      <c r="N2227" s="46"/>
      <c r="O2227" s="46"/>
      <c r="P2227" s="46"/>
      <c r="Q2227" s="46"/>
      <c r="R2227" s="46"/>
      <c r="S2227" s="46"/>
      <c r="T2227" s="46"/>
      <c r="U2227" s="46"/>
      <c r="V2227" s="46"/>
      <c r="W2227" s="46"/>
      <c r="X2227" s="11" t="str">
        <f>IF(COUNTBLANK(B2227:W2227)&gt;0,"NA",'batch classification'!J2233)</f>
        <v>NA</v>
      </c>
    </row>
    <row r="2228" spans="1:24" x14ac:dyDescent="0.25">
      <c r="A2228" s="45"/>
      <c r="B2228" s="46"/>
      <c r="C2228" s="46"/>
      <c r="D2228" s="46"/>
      <c r="E2228" s="46"/>
      <c r="F2228" s="46"/>
      <c r="G2228" s="46"/>
      <c r="H2228" s="46"/>
      <c r="I2228" s="46"/>
      <c r="J2228" s="46"/>
      <c r="K2228" s="46"/>
      <c r="L2228" s="46"/>
      <c r="M2228" s="46"/>
      <c r="N2228" s="46"/>
      <c r="O2228" s="46"/>
      <c r="P2228" s="46"/>
      <c r="Q2228" s="46"/>
      <c r="R2228" s="46"/>
      <c r="S2228" s="46"/>
      <c r="T2228" s="46"/>
      <c r="U2228" s="46"/>
      <c r="V2228" s="46"/>
      <c r="W2228" s="46"/>
      <c r="X2228" s="11" t="str">
        <f>IF(COUNTBLANK(B2228:W2228)&gt;0,"NA",'batch classification'!J2234)</f>
        <v>NA</v>
      </c>
    </row>
    <row r="2229" spans="1:24" x14ac:dyDescent="0.25">
      <c r="A2229" s="45"/>
      <c r="B2229" s="46"/>
      <c r="C2229" s="46"/>
      <c r="D2229" s="46"/>
      <c r="E2229" s="46"/>
      <c r="F2229" s="46"/>
      <c r="G2229" s="46"/>
      <c r="H2229" s="46"/>
      <c r="I2229" s="46"/>
      <c r="J2229" s="46"/>
      <c r="K2229" s="46"/>
      <c r="L2229" s="46"/>
      <c r="M2229" s="46"/>
      <c r="N2229" s="46"/>
      <c r="O2229" s="46"/>
      <c r="P2229" s="46"/>
      <c r="Q2229" s="46"/>
      <c r="R2229" s="46"/>
      <c r="S2229" s="46"/>
      <c r="T2229" s="46"/>
      <c r="U2229" s="46"/>
      <c r="V2229" s="46"/>
      <c r="W2229" s="46"/>
      <c r="X2229" s="11" t="str">
        <f>IF(COUNTBLANK(B2229:W2229)&gt;0,"NA",'batch classification'!J2235)</f>
        <v>NA</v>
      </c>
    </row>
    <row r="2230" spans="1:24" x14ac:dyDescent="0.25">
      <c r="A2230" s="45"/>
      <c r="B2230" s="46"/>
      <c r="C2230" s="46"/>
      <c r="D2230" s="46"/>
      <c r="E2230" s="46"/>
      <c r="F2230" s="46"/>
      <c r="G2230" s="46"/>
      <c r="H2230" s="46"/>
      <c r="I2230" s="46"/>
      <c r="J2230" s="46"/>
      <c r="K2230" s="46"/>
      <c r="L2230" s="46"/>
      <c r="M2230" s="46"/>
      <c r="N2230" s="46"/>
      <c r="O2230" s="46"/>
      <c r="P2230" s="46"/>
      <c r="Q2230" s="46"/>
      <c r="R2230" s="46"/>
      <c r="S2230" s="46"/>
      <c r="T2230" s="46"/>
      <c r="U2230" s="46"/>
      <c r="V2230" s="46"/>
      <c r="W2230" s="46"/>
      <c r="X2230" s="11" t="str">
        <f>IF(COUNTBLANK(B2230:W2230)&gt;0,"NA",'batch classification'!J2236)</f>
        <v>NA</v>
      </c>
    </row>
    <row r="2231" spans="1:24" x14ac:dyDescent="0.25">
      <c r="A2231" s="45"/>
      <c r="B2231" s="46"/>
      <c r="C2231" s="46"/>
      <c r="D2231" s="46"/>
      <c r="E2231" s="46"/>
      <c r="F2231" s="46"/>
      <c r="G2231" s="46"/>
      <c r="H2231" s="46"/>
      <c r="I2231" s="46"/>
      <c r="J2231" s="46"/>
      <c r="K2231" s="46"/>
      <c r="L2231" s="46"/>
      <c r="M2231" s="46"/>
      <c r="N2231" s="46"/>
      <c r="O2231" s="46"/>
      <c r="P2231" s="46"/>
      <c r="Q2231" s="46"/>
      <c r="R2231" s="46"/>
      <c r="S2231" s="46"/>
      <c r="T2231" s="46"/>
      <c r="U2231" s="46"/>
      <c r="V2231" s="46"/>
      <c r="W2231" s="46"/>
      <c r="X2231" s="11" t="str">
        <f>IF(COUNTBLANK(B2231:W2231)&gt;0,"NA",'batch classification'!J2237)</f>
        <v>NA</v>
      </c>
    </row>
    <row r="2232" spans="1:24" x14ac:dyDescent="0.25">
      <c r="A2232" s="45"/>
      <c r="B2232" s="46"/>
      <c r="C2232" s="46"/>
      <c r="D2232" s="46"/>
      <c r="E2232" s="46"/>
      <c r="F2232" s="46"/>
      <c r="G2232" s="46"/>
      <c r="H2232" s="46"/>
      <c r="I2232" s="46"/>
      <c r="J2232" s="46"/>
      <c r="K2232" s="46"/>
      <c r="L2232" s="46"/>
      <c r="M2232" s="46"/>
      <c r="N2232" s="46"/>
      <c r="O2232" s="46"/>
      <c r="P2232" s="46"/>
      <c r="Q2232" s="46"/>
      <c r="R2232" s="46"/>
      <c r="S2232" s="46"/>
      <c r="T2232" s="46"/>
      <c r="U2232" s="46"/>
      <c r="V2232" s="46"/>
      <c r="W2232" s="46"/>
      <c r="X2232" s="11" t="str">
        <f>IF(COUNTBLANK(B2232:W2232)&gt;0,"NA",'batch classification'!J2238)</f>
        <v>NA</v>
      </c>
    </row>
    <row r="2233" spans="1:24" x14ac:dyDescent="0.25">
      <c r="A2233" s="45"/>
      <c r="B2233" s="46"/>
      <c r="C2233" s="46"/>
      <c r="D2233" s="46"/>
      <c r="E2233" s="46"/>
      <c r="F2233" s="46"/>
      <c r="G2233" s="46"/>
      <c r="H2233" s="46"/>
      <c r="I2233" s="46"/>
      <c r="J2233" s="46"/>
      <c r="K2233" s="46"/>
      <c r="L2233" s="46"/>
      <c r="M2233" s="46"/>
      <c r="N2233" s="46"/>
      <c r="O2233" s="46"/>
      <c r="P2233" s="46"/>
      <c r="Q2233" s="46"/>
      <c r="R2233" s="46"/>
      <c r="S2233" s="46"/>
      <c r="T2233" s="46"/>
      <c r="U2233" s="46"/>
      <c r="V2233" s="46"/>
      <c r="W2233" s="46"/>
      <c r="X2233" s="11" t="str">
        <f>IF(COUNTBLANK(B2233:W2233)&gt;0,"NA",'batch classification'!J2239)</f>
        <v>NA</v>
      </c>
    </row>
    <row r="2234" spans="1:24" x14ac:dyDescent="0.25">
      <c r="A2234" s="45"/>
      <c r="B2234" s="46"/>
      <c r="C2234" s="46"/>
      <c r="D2234" s="46"/>
      <c r="E2234" s="46"/>
      <c r="F2234" s="46"/>
      <c r="G2234" s="46"/>
      <c r="H2234" s="46"/>
      <c r="I2234" s="46"/>
      <c r="J2234" s="46"/>
      <c r="K2234" s="46"/>
      <c r="L2234" s="46"/>
      <c r="M2234" s="46"/>
      <c r="N2234" s="46"/>
      <c r="O2234" s="46"/>
      <c r="P2234" s="46"/>
      <c r="Q2234" s="46"/>
      <c r="R2234" s="46"/>
      <c r="S2234" s="46"/>
      <c r="T2234" s="46"/>
      <c r="U2234" s="46"/>
      <c r="V2234" s="46"/>
      <c r="W2234" s="46"/>
      <c r="X2234" s="11" t="str">
        <f>IF(COUNTBLANK(B2234:W2234)&gt;0,"NA",'batch classification'!J2240)</f>
        <v>NA</v>
      </c>
    </row>
    <row r="2235" spans="1:24" x14ac:dyDescent="0.25">
      <c r="A2235" s="45"/>
      <c r="B2235" s="46"/>
      <c r="C2235" s="46"/>
      <c r="D2235" s="46"/>
      <c r="E2235" s="46"/>
      <c r="F2235" s="46"/>
      <c r="G2235" s="46"/>
      <c r="H2235" s="46"/>
      <c r="I2235" s="46"/>
      <c r="J2235" s="46"/>
      <c r="K2235" s="46"/>
      <c r="L2235" s="46"/>
      <c r="M2235" s="46"/>
      <c r="N2235" s="46"/>
      <c r="O2235" s="46"/>
      <c r="P2235" s="46"/>
      <c r="Q2235" s="46"/>
      <c r="R2235" s="46"/>
      <c r="S2235" s="46"/>
      <c r="T2235" s="46"/>
      <c r="U2235" s="46"/>
      <c r="V2235" s="46"/>
      <c r="W2235" s="46"/>
      <c r="X2235" s="11" t="str">
        <f>IF(COUNTBLANK(B2235:W2235)&gt;0,"NA",'batch classification'!J2241)</f>
        <v>NA</v>
      </c>
    </row>
    <row r="2236" spans="1:24" x14ac:dyDescent="0.25">
      <c r="A2236" s="45"/>
      <c r="B2236" s="46"/>
      <c r="C2236" s="46"/>
      <c r="D2236" s="46"/>
      <c r="E2236" s="46"/>
      <c r="F2236" s="46"/>
      <c r="G2236" s="46"/>
      <c r="H2236" s="46"/>
      <c r="I2236" s="46"/>
      <c r="J2236" s="46"/>
      <c r="K2236" s="46"/>
      <c r="L2236" s="46"/>
      <c r="M2236" s="46"/>
      <c r="N2236" s="46"/>
      <c r="O2236" s="46"/>
      <c r="P2236" s="46"/>
      <c r="Q2236" s="46"/>
      <c r="R2236" s="46"/>
      <c r="S2236" s="46"/>
      <c r="T2236" s="46"/>
      <c r="U2236" s="46"/>
      <c r="V2236" s="46"/>
      <c r="W2236" s="46"/>
      <c r="X2236" s="11" t="str">
        <f>IF(COUNTBLANK(B2236:W2236)&gt;0,"NA",'batch classification'!J2242)</f>
        <v>NA</v>
      </c>
    </row>
    <row r="2237" spans="1:24" x14ac:dyDescent="0.25">
      <c r="A2237" s="45"/>
      <c r="B2237" s="46"/>
      <c r="C2237" s="46"/>
      <c r="D2237" s="46"/>
      <c r="E2237" s="46"/>
      <c r="F2237" s="46"/>
      <c r="G2237" s="46"/>
      <c r="H2237" s="46"/>
      <c r="I2237" s="46"/>
      <c r="J2237" s="46"/>
      <c r="K2237" s="46"/>
      <c r="L2237" s="46"/>
      <c r="M2237" s="46"/>
      <c r="N2237" s="46"/>
      <c r="O2237" s="46"/>
      <c r="P2237" s="46"/>
      <c r="Q2237" s="46"/>
      <c r="R2237" s="46"/>
      <c r="S2237" s="46"/>
      <c r="T2237" s="46"/>
      <c r="U2237" s="46"/>
      <c r="V2237" s="46"/>
      <c r="W2237" s="46"/>
      <c r="X2237" s="11" t="str">
        <f>IF(COUNTBLANK(B2237:W2237)&gt;0,"NA",'batch classification'!J2243)</f>
        <v>NA</v>
      </c>
    </row>
    <row r="2238" spans="1:24" x14ac:dyDescent="0.25">
      <c r="A2238" s="45"/>
      <c r="B2238" s="46"/>
      <c r="C2238" s="46"/>
      <c r="D2238" s="46"/>
      <c r="E2238" s="46"/>
      <c r="F2238" s="46"/>
      <c r="G2238" s="46"/>
      <c r="H2238" s="46"/>
      <c r="I2238" s="46"/>
      <c r="J2238" s="46"/>
      <c r="K2238" s="46"/>
      <c r="L2238" s="46"/>
      <c r="M2238" s="46"/>
      <c r="N2238" s="46"/>
      <c r="O2238" s="46"/>
      <c r="P2238" s="46"/>
      <c r="Q2238" s="46"/>
      <c r="R2238" s="46"/>
      <c r="S2238" s="46"/>
      <c r="T2238" s="46"/>
      <c r="U2238" s="46"/>
      <c r="V2238" s="46"/>
      <c r="W2238" s="46"/>
      <c r="X2238" s="11" t="str">
        <f>IF(COUNTBLANK(B2238:W2238)&gt;0,"NA",'batch classification'!J2244)</f>
        <v>NA</v>
      </c>
    </row>
    <row r="2239" spans="1:24" x14ac:dyDescent="0.25">
      <c r="A2239" s="45"/>
      <c r="B2239" s="46"/>
      <c r="C2239" s="46"/>
      <c r="D2239" s="46"/>
      <c r="E2239" s="46"/>
      <c r="F2239" s="46"/>
      <c r="G2239" s="46"/>
      <c r="H2239" s="46"/>
      <c r="I2239" s="46"/>
      <c r="J2239" s="46"/>
      <c r="K2239" s="46"/>
      <c r="L2239" s="46"/>
      <c r="M2239" s="46"/>
      <c r="N2239" s="46"/>
      <c r="O2239" s="46"/>
      <c r="P2239" s="46"/>
      <c r="Q2239" s="46"/>
      <c r="R2239" s="46"/>
      <c r="S2239" s="46"/>
      <c r="T2239" s="46"/>
      <c r="U2239" s="46"/>
      <c r="V2239" s="46"/>
      <c r="W2239" s="46"/>
      <c r="X2239" s="11" t="str">
        <f>IF(COUNTBLANK(B2239:W2239)&gt;0,"NA",'batch classification'!J2245)</f>
        <v>NA</v>
      </c>
    </row>
    <row r="2240" spans="1:24" x14ac:dyDescent="0.25">
      <c r="A2240" s="45"/>
      <c r="B2240" s="46"/>
      <c r="C2240" s="46"/>
      <c r="D2240" s="46"/>
      <c r="E2240" s="46"/>
      <c r="F2240" s="46"/>
      <c r="G2240" s="46"/>
      <c r="H2240" s="46"/>
      <c r="I2240" s="46"/>
      <c r="J2240" s="46"/>
      <c r="K2240" s="46"/>
      <c r="L2240" s="46"/>
      <c r="M2240" s="46"/>
      <c r="N2240" s="46"/>
      <c r="O2240" s="46"/>
      <c r="P2240" s="46"/>
      <c r="Q2240" s="46"/>
      <c r="R2240" s="46"/>
      <c r="S2240" s="46"/>
      <c r="T2240" s="46"/>
      <c r="U2240" s="46"/>
      <c r="V2240" s="46"/>
      <c r="W2240" s="46"/>
      <c r="X2240" s="11" t="str">
        <f>IF(COUNTBLANK(B2240:W2240)&gt;0,"NA",'batch classification'!J2246)</f>
        <v>NA</v>
      </c>
    </row>
    <row r="2241" spans="1:24" x14ac:dyDescent="0.25">
      <c r="A2241" s="45"/>
      <c r="B2241" s="46"/>
      <c r="C2241" s="46"/>
      <c r="D2241" s="46"/>
      <c r="E2241" s="46"/>
      <c r="F2241" s="46"/>
      <c r="G2241" s="46"/>
      <c r="H2241" s="46"/>
      <c r="I2241" s="46"/>
      <c r="J2241" s="46"/>
      <c r="K2241" s="46"/>
      <c r="L2241" s="46"/>
      <c r="M2241" s="46"/>
      <c r="N2241" s="46"/>
      <c r="O2241" s="46"/>
      <c r="P2241" s="46"/>
      <c r="Q2241" s="46"/>
      <c r="R2241" s="46"/>
      <c r="S2241" s="46"/>
      <c r="T2241" s="46"/>
      <c r="U2241" s="46"/>
      <c r="V2241" s="46"/>
      <c r="W2241" s="46"/>
      <c r="X2241" s="11" t="str">
        <f>IF(COUNTBLANK(B2241:W2241)&gt;0,"NA",'batch classification'!J2247)</f>
        <v>NA</v>
      </c>
    </row>
    <row r="2242" spans="1:24" x14ac:dyDescent="0.25">
      <c r="A2242" s="45"/>
      <c r="B2242" s="46"/>
      <c r="C2242" s="46"/>
      <c r="D2242" s="46"/>
      <c r="E2242" s="46"/>
      <c r="F2242" s="46"/>
      <c r="G2242" s="46"/>
      <c r="H2242" s="46"/>
      <c r="I2242" s="46"/>
      <c r="J2242" s="46"/>
      <c r="K2242" s="46"/>
      <c r="L2242" s="46"/>
      <c r="M2242" s="46"/>
      <c r="N2242" s="46"/>
      <c r="O2242" s="46"/>
      <c r="P2242" s="46"/>
      <c r="Q2242" s="46"/>
      <c r="R2242" s="46"/>
      <c r="S2242" s="46"/>
      <c r="T2242" s="46"/>
      <c r="U2242" s="46"/>
      <c r="V2242" s="46"/>
      <c r="W2242" s="46"/>
      <c r="X2242" s="11" t="str">
        <f>IF(COUNTBLANK(B2242:W2242)&gt;0,"NA",'batch classification'!J2248)</f>
        <v>NA</v>
      </c>
    </row>
    <row r="2243" spans="1:24" x14ac:dyDescent="0.25">
      <c r="A2243" s="45"/>
      <c r="B2243" s="46"/>
      <c r="C2243" s="46"/>
      <c r="D2243" s="46"/>
      <c r="E2243" s="46"/>
      <c r="F2243" s="46"/>
      <c r="G2243" s="46"/>
      <c r="H2243" s="46"/>
      <c r="I2243" s="46"/>
      <c r="J2243" s="46"/>
      <c r="K2243" s="46"/>
      <c r="L2243" s="46"/>
      <c r="M2243" s="46"/>
      <c r="N2243" s="46"/>
      <c r="O2243" s="46"/>
      <c r="P2243" s="46"/>
      <c r="Q2243" s="46"/>
      <c r="R2243" s="46"/>
      <c r="S2243" s="46"/>
      <c r="T2243" s="46"/>
      <c r="U2243" s="46"/>
      <c r="V2243" s="46"/>
      <c r="W2243" s="46"/>
      <c r="X2243" s="11" t="str">
        <f>IF(COUNTBLANK(B2243:W2243)&gt;0,"NA",'batch classification'!J2249)</f>
        <v>NA</v>
      </c>
    </row>
    <row r="2244" spans="1:24" x14ac:dyDescent="0.25">
      <c r="A2244" s="45"/>
      <c r="B2244" s="46"/>
      <c r="C2244" s="46"/>
      <c r="D2244" s="46"/>
      <c r="E2244" s="46"/>
      <c r="F2244" s="46"/>
      <c r="G2244" s="46"/>
      <c r="H2244" s="46"/>
      <c r="I2244" s="46"/>
      <c r="J2244" s="46"/>
      <c r="K2244" s="46"/>
      <c r="L2244" s="46"/>
      <c r="M2244" s="46"/>
      <c r="N2244" s="46"/>
      <c r="O2244" s="46"/>
      <c r="P2244" s="46"/>
      <c r="Q2244" s="46"/>
      <c r="R2244" s="46"/>
      <c r="S2244" s="46"/>
      <c r="T2244" s="46"/>
      <c r="U2244" s="46"/>
      <c r="V2244" s="46"/>
      <c r="W2244" s="46"/>
      <c r="X2244" s="11" t="str">
        <f>IF(COUNTBLANK(B2244:W2244)&gt;0,"NA",'batch classification'!J2250)</f>
        <v>NA</v>
      </c>
    </row>
    <row r="2245" spans="1:24" x14ac:dyDescent="0.25">
      <c r="A2245" s="45"/>
      <c r="B2245" s="46"/>
      <c r="C2245" s="46"/>
      <c r="D2245" s="46"/>
      <c r="E2245" s="46"/>
      <c r="F2245" s="46"/>
      <c r="G2245" s="46"/>
      <c r="H2245" s="46"/>
      <c r="I2245" s="46"/>
      <c r="J2245" s="46"/>
      <c r="K2245" s="46"/>
      <c r="L2245" s="46"/>
      <c r="M2245" s="46"/>
      <c r="N2245" s="46"/>
      <c r="O2245" s="46"/>
      <c r="P2245" s="46"/>
      <c r="Q2245" s="46"/>
      <c r="R2245" s="46"/>
      <c r="S2245" s="46"/>
      <c r="T2245" s="46"/>
      <c r="U2245" s="46"/>
      <c r="V2245" s="46"/>
      <c r="W2245" s="46"/>
      <c r="X2245" s="11" t="str">
        <f>IF(COUNTBLANK(B2245:W2245)&gt;0,"NA",'batch classification'!J2251)</f>
        <v>NA</v>
      </c>
    </row>
    <row r="2246" spans="1:24" x14ac:dyDescent="0.25">
      <c r="A2246" s="45"/>
      <c r="B2246" s="46"/>
      <c r="C2246" s="46"/>
      <c r="D2246" s="46"/>
      <c r="E2246" s="46"/>
      <c r="F2246" s="46"/>
      <c r="G2246" s="46"/>
      <c r="H2246" s="46"/>
      <c r="I2246" s="46"/>
      <c r="J2246" s="46"/>
      <c r="K2246" s="46"/>
      <c r="L2246" s="46"/>
      <c r="M2246" s="46"/>
      <c r="N2246" s="46"/>
      <c r="O2246" s="46"/>
      <c r="P2246" s="46"/>
      <c r="Q2246" s="46"/>
      <c r="R2246" s="46"/>
      <c r="S2246" s="46"/>
      <c r="T2246" s="46"/>
      <c r="U2246" s="46"/>
      <c r="V2246" s="46"/>
      <c r="W2246" s="46"/>
      <c r="X2246" s="11" t="str">
        <f>IF(COUNTBLANK(B2246:W2246)&gt;0,"NA",'batch classification'!J2252)</f>
        <v>NA</v>
      </c>
    </row>
    <row r="2247" spans="1:24" x14ac:dyDescent="0.25">
      <c r="A2247" s="45"/>
      <c r="B2247" s="46"/>
      <c r="C2247" s="46"/>
      <c r="D2247" s="46"/>
      <c r="E2247" s="46"/>
      <c r="F2247" s="46"/>
      <c r="G2247" s="46"/>
      <c r="H2247" s="46"/>
      <c r="I2247" s="46"/>
      <c r="J2247" s="46"/>
      <c r="K2247" s="46"/>
      <c r="L2247" s="46"/>
      <c r="M2247" s="46"/>
      <c r="N2247" s="46"/>
      <c r="O2247" s="46"/>
      <c r="P2247" s="46"/>
      <c r="Q2247" s="46"/>
      <c r="R2247" s="46"/>
      <c r="S2247" s="46"/>
      <c r="T2247" s="46"/>
      <c r="U2247" s="46"/>
      <c r="V2247" s="46"/>
      <c r="W2247" s="46"/>
      <c r="X2247" s="11" t="str">
        <f>IF(COUNTBLANK(B2247:W2247)&gt;0,"NA",'batch classification'!J2253)</f>
        <v>NA</v>
      </c>
    </row>
    <row r="2248" spans="1:24" x14ac:dyDescent="0.25">
      <c r="A2248" s="45"/>
      <c r="B2248" s="46"/>
      <c r="C2248" s="46"/>
      <c r="D2248" s="46"/>
      <c r="E2248" s="46"/>
      <c r="F2248" s="46"/>
      <c r="G2248" s="46"/>
      <c r="H2248" s="46"/>
      <c r="I2248" s="46"/>
      <c r="J2248" s="46"/>
      <c r="K2248" s="46"/>
      <c r="L2248" s="46"/>
      <c r="M2248" s="46"/>
      <c r="N2248" s="46"/>
      <c r="O2248" s="46"/>
      <c r="P2248" s="46"/>
      <c r="Q2248" s="46"/>
      <c r="R2248" s="46"/>
      <c r="S2248" s="46"/>
      <c r="T2248" s="46"/>
      <c r="U2248" s="46"/>
      <c r="V2248" s="46"/>
      <c r="W2248" s="46"/>
      <c r="X2248" s="11" t="str">
        <f>IF(COUNTBLANK(B2248:W2248)&gt;0,"NA",'batch classification'!J2254)</f>
        <v>NA</v>
      </c>
    </row>
    <row r="2249" spans="1:24" x14ac:dyDescent="0.25">
      <c r="A2249" s="45"/>
      <c r="B2249" s="46"/>
      <c r="C2249" s="46"/>
      <c r="D2249" s="46"/>
      <c r="E2249" s="46"/>
      <c r="F2249" s="46"/>
      <c r="G2249" s="46"/>
      <c r="H2249" s="46"/>
      <c r="I2249" s="46"/>
      <c r="J2249" s="46"/>
      <c r="K2249" s="46"/>
      <c r="L2249" s="46"/>
      <c r="M2249" s="46"/>
      <c r="N2249" s="46"/>
      <c r="O2249" s="46"/>
      <c r="P2249" s="46"/>
      <c r="Q2249" s="46"/>
      <c r="R2249" s="46"/>
      <c r="S2249" s="46"/>
      <c r="T2249" s="46"/>
      <c r="U2249" s="46"/>
      <c r="V2249" s="46"/>
      <c r="W2249" s="46"/>
      <c r="X2249" s="11" t="str">
        <f>IF(COUNTBLANK(B2249:W2249)&gt;0,"NA",'batch classification'!J2255)</f>
        <v>NA</v>
      </c>
    </row>
    <row r="2250" spans="1:24" x14ac:dyDescent="0.25">
      <c r="A2250" s="45"/>
      <c r="B2250" s="46"/>
      <c r="C2250" s="46"/>
      <c r="D2250" s="46"/>
      <c r="E2250" s="46"/>
      <c r="F2250" s="46"/>
      <c r="G2250" s="46"/>
      <c r="H2250" s="46"/>
      <c r="I2250" s="46"/>
      <c r="J2250" s="46"/>
      <c r="K2250" s="46"/>
      <c r="L2250" s="46"/>
      <c r="M2250" s="46"/>
      <c r="N2250" s="46"/>
      <c r="O2250" s="46"/>
      <c r="P2250" s="46"/>
      <c r="Q2250" s="46"/>
      <c r="R2250" s="46"/>
      <c r="S2250" s="46"/>
      <c r="T2250" s="46"/>
      <c r="U2250" s="46"/>
      <c r="V2250" s="46"/>
      <c r="W2250" s="46"/>
      <c r="X2250" s="11" t="str">
        <f>IF(COUNTBLANK(B2250:W2250)&gt;0,"NA",'batch classification'!J2256)</f>
        <v>NA</v>
      </c>
    </row>
    <row r="2251" spans="1:24" x14ac:dyDescent="0.25">
      <c r="A2251" s="45"/>
      <c r="B2251" s="46"/>
      <c r="C2251" s="46"/>
      <c r="D2251" s="46"/>
      <c r="E2251" s="46"/>
      <c r="F2251" s="46"/>
      <c r="G2251" s="46"/>
      <c r="H2251" s="46"/>
      <c r="I2251" s="46"/>
      <c r="J2251" s="46"/>
      <c r="K2251" s="46"/>
      <c r="L2251" s="46"/>
      <c r="M2251" s="46"/>
      <c r="N2251" s="46"/>
      <c r="O2251" s="46"/>
      <c r="P2251" s="46"/>
      <c r="Q2251" s="46"/>
      <c r="R2251" s="46"/>
      <c r="S2251" s="46"/>
      <c r="T2251" s="46"/>
      <c r="U2251" s="46"/>
      <c r="V2251" s="46"/>
      <c r="W2251" s="46"/>
      <c r="X2251" s="11" t="str">
        <f>IF(COUNTBLANK(B2251:W2251)&gt;0,"NA",'batch classification'!J2257)</f>
        <v>NA</v>
      </c>
    </row>
    <row r="2252" spans="1:24" x14ac:dyDescent="0.25">
      <c r="A2252" s="45"/>
      <c r="B2252" s="46"/>
      <c r="C2252" s="46"/>
      <c r="D2252" s="46"/>
      <c r="E2252" s="46"/>
      <c r="F2252" s="46"/>
      <c r="G2252" s="46"/>
      <c r="H2252" s="46"/>
      <c r="I2252" s="46"/>
      <c r="J2252" s="46"/>
      <c r="K2252" s="46"/>
      <c r="L2252" s="46"/>
      <c r="M2252" s="46"/>
      <c r="N2252" s="46"/>
      <c r="O2252" s="46"/>
      <c r="P2252" s="46"/>
      <c r="Q2252" s="46"/>
      <c r="R2252" s="46"/>
      <c r="S2252" s="46"/>
      <c r="T2252" s="46"/>
      <c r="U2252" s="46"/>
      <c r="V2252" s="46"/>
      <c r="W2252" s="46"/>
      <c r="X2252" s="11" t="str">
        <f>IF(COUNTBLANK(B2252:W2252)&gt;0,"NA",'batch classification'!J2258)</f>
        <v>NA</v>
      </c>
    </row>
    <row r="2253" spans="1:24" x14ac:dyDescent="0.25">
      <c r="A2253" s="45"/>
      <c r="B2253" s="46"/>
      <c r="C2253" s="46"/>
      <c r="D2253" s="46"/>
      <c r="E2253" s="46"/>
      <c r="F2253" s="46"/>
      <c r="G2253" s="46"/>
      <c r="H2253" s="46"/>
      <c r="I2253" s="46"/>
      <c r="J2253" s="46"/>
      <c r="K2253" s="46"/>
      <c r="L2253" s="46"/>
      <c r="M2253" s="46"/>
      <c r="N2253" s="46"/>
      <c r="O2253" s="46"/>
      <c r="P2253" s="46"/>
      <c r="Q2253" s="46"/>
      <c r="R2253" s="46"/>
      <c r="S2253" s="46"/>
      <c r="T2253" s="46"/>
      <c r="U2253" s="46"/>
      <c r="V2253" s="46"/>
      <c r="W2253" s="46"/>
      <c r="X2253" s="11" t="str">
        <f>IF(COUNTBLANK(B2253:W2253)&gt;0,"NA",'batch classification'!J2259)</f>
        <v>NA</v>
      </c>
    </row>
    <row r="2254" spans="1:24" x14ac:dyDescent="0.25">
      <c r="A2254" s="45"/>
      <c r="B2254" s="46"/>
      <c r="C2254" s="46"/>
      <c r="D2254" s="46"/>
      <c r="E2254" s="46"/>
      <c r="F2254" s="46"/>
      <c r="G2254" s="46"/>
      <c r="H2254" s="46"/>
      <c r="I2254" s="46"/>
      <c r="J2254" s="46"/>
      <c r="K2254" s="46"/>
      <c r="L2254" s="46"/>
      <c r="M2254" s="46"/>
      <c r="N2254" s="46"/>
      <c r="O2254" s="46"/>
      <c r="P2254" s="46"/>
      <c r="Q2254" s="46"/>
      <c r="R2254" s="46"/>
      <c r="S2254" s="46"/>
      <c r="T2254" s="46"/>
      <c r="U2254" s="46"/>
      <c r="V2254" s="46"/>
      <c r="W2254" s="46"/>
      <c r="X2254" s="11" t="str">
        <f>IF(COUNTBLANK(B2254:W2254)&gt;0,"NA",'batch classification'!J2260)</f>
        <v>NA</v>
      </c>
    </row>
    <row r="2255" spans="1:24" x14ac:dyDescent="0.25">
      <c r="A2255" s="45"/>
      <c r="B2255" s="46"/>
      <c r="C2255" s="46"/>
      <c r="D2255" s="46"/>
      <c r="E2255" s="46"/>
      <c r="F2255" s="46"/>
      <c r="G2255" s="46"/>
      <c r="H2255" s="46"/>
      <c r="I2255" s="46"/>
      <c r="J2255" s="46"/>
      <c r="K2255" s="46"/>
      <c r="L2255" s="46"/>
      <c r="M2255" s="46"/>
      <c r="N2255" s="46"/>
      <c r="O2255" s="46"/>
      <c r="P2255" s="46"/>
      <c r="Q2255" s="46"/>
      <c r="R2255" s="46"/>
      <c r="S2255" s="46"/>
      <c r="T2255" s="46"/>
      <c r="U2255" s="46"/>
      <c r="V2255" s="46"/>
      <c r="W2255" s="46"/>
      <c r="X2255" s="11" t="str">
        <f>IF(COUNTBLANK(B2255:W2255)&gt;0,"NA",'batch classification'!J2261)</f>
        <v>NA</v>
      </c>
    </row>
    <row r="2256" spans="1:24" x14ac:dyDescent="0.25">
      <c r="A2256" s="45"/>
      <c r="B2256" s="46"/>
      <c r="C2256" s="46"/>
      <c r="D2256" s="46"/>
      <c r="E2256" s="46"/>
      <c r="F2256" s="46"/>
      <c r="G2256" s="46"/>
      <c r="H2256" s="46"/>
      <c r="I2256" s="46"/>
      <c r="J2256" s="46"/>
      <c r="K2256" s="46"/>
      <c r="L2256" s="46"/>
      <c r="M2256" s="46"/>
      <c r="N2256" s="46"/>
      <c r="O2256" s="46"/>
      <c r="P2256" s="46"/>
      <c r="Q2256" s="46"/>
      <c r="R2256" s="46"/>
      <c r="S2256" s="46"/>
      <c r="T2256" s="46"/>
      <c r="U2256" s="46"/>
      <c r="V2256" s="46"/>
      <c r="W2256" s="46"/>
      <c r="X2256" s="11" t="str">
        <f>IF(COUNTBLANK(B2256:W2256)&gt;0,"NA",'batch classification'!J2262)</f>
        <v>NA</v>
      </c>
    </row>
    <row r="2257" spans="1:24" x14ac:dyDescent="0.25">
      <c r="A2257" s="45"/>
      <c r="B2257" s="46"/>
      <c r="C2257" s="46"/>
      <c r="D2257" s="46"/>
      <c r="E2257" s="46"/>
      <c r="F2257" s="46"/>
      <c r="G2257" s="46"/>
      <c r="H2257" s="46"/>
      <c r="I2257" s="46"/>
      <c r="J2257" s="46"/>
      <c r="K2257" s="46"/>
      <c r="L2257" s="46"/>
      <c r="M2257" s="46"/>
      <c r="N2257" s="46"/>
      <c r="O2257" s="46"/>
      <c r="P2257" s="46"/>
      <c r="Q2257" s="46"/>
      <c r="R2257" s="46"/>
      <c r="S2257" s="46"/>
      <c r="T2257" s="46"/>
      <c r="U2257" s="46"/>
      <c r="V2257" s="46"/>
      <c r="W2257" s="46"/>
      <c r="X2257" s="11" t="str">
        <f>IF(COUNTBLANK(B2257:W2257)&gt;0,"NA",'batch classification'!J2263)</f>
        <v>NA</v>
      </c>
    </row>
    <row r="2258" spans="1:24" x14ac:dyDescent="0.25">
      <c r="A2258" s="45"/>
      <c r="B2258" s="46"/>
      <c r="C2258" s="46"/>
      <c r="D2258" s="46"/>
      <c r="E2258" s="46"/>
      <c r="F2258" s="46"/>
      <c r="G2258" s="46"/>
      <c r="H2258" s="46"/>
      <c r="I2258" s="46"/>
      <c r="J2258" s="46"/>
      <c r="K2258" s="46"/>
      <c r="L2258" s="46"/>
      <c r="M2258" s="46"/>
      <c r="N2258" s="46"/>
      <c r="O2258" s="46"/>
      <c r="P2258" s="46"/>
      <c r="Q2258" s="46"/>
      <c r="R2258" s="46"/>
      <c r="S2258" s="46"/>
      <c r="T2258" s="46"/>
      <c r="U2258" s="46"/>
      <c r="V2258" s="46"/>
      <c r="W2258" s="46"/>
      <c r="X2258" s="11" t="str">
        <f>IF(COUNTBLANK(B2258:W2258)&gt;0,"NA",'batch classification'!J2264)</f>
        <v>NA</v>
      </c>
    </row>
    <row r="2259" spans="1:24" x14ac:dyDescent="0.25">
      <c r="A2259" s="45"/>
      <c r="B2259" s="46"/>
      <c r="C2259" s="46"/>
      <c r="D2259" s="46"/>
      <c r="E2259" s="46"/>
      <c r="F2259" s="46"/>
      <c r="G2259" s="46"/>
      <c r="H2259" s="46"/>
      <c r="I2259" s="46"/>
      <c r="J2259" s="46"/>
      <c r="K2259" s="46"/>
      <c r="L2259" s="46"/>
      <c r="M2259" s="46"/>
      <c r="N2259" s="46"/>
      <c r="O2259" s="46"/>
      <c r="P2259" s="46"/>
      <c r="Q2259" s="46"/>
      <c r="R2259" s="46"/>
      <c r="S2259" s="46"/>
      <c r="T2259" s="46"/>
      <c r="U2259" s="46"/>
      <c r="V2259" s="46"/>
      <c r="W2259" s="46"/>
      <c r="X2259" s="11" t="str">
        <f>IF(COUNTBLANK(B2259:W2259)&gt;0,"NA",'batch classification'!J2265)</f>
        <v>NA</v>
      </c>
    </row>
    <row r="2260" spans="1:24" x14ac:dyDescent="0.25">
      <c r="A2260" s="45"/>
      <c r="B2260" s="46"/>
      <c r="C2260" s="46"/>
      <c r="D2260" s="46"/>
      <c r="E2260" s="46"/>
      <c r="F2260" s="46"/>
      <c r="G2260" s="46"/>
      <c r="H2260" s="46"/>
      <c r="I2260" s="46"/>
      <c r="J2260" s="46"/>
      <c r="K2260" s="46"/>
      <c r="L2260" s="46"/>
      <c r="M2260" s="46"/>
      <c r="N2260" s="46"/>
      <c r="O2260" s="46"/>
      <c r="P2260" s="46"/>
      <c r="Q2260" s="46"/>
      <c r="R2260" s="46"/>
      <c r="S2260" s="46"/>
      <c r="T2260" s="46"/>
      <c r="U2260" s="46"/>
      <c r="V2260" s="46"/>
      <c r="W2260" s="46"/>
      <c r="X2260" s="11" t="str">
        <f>IF(COUNTBLANK(B2260:W2260)&gt;0,"NA",'batch classification'!J2266)</f>
        <v>NA</v>
      </c>
    </row>
    <row r="2261" spans="1:24" x14ac:dyDescent="0.25">
      <c r="A2261" s="45"/>
      <c r="B2261" s="46"/>
      <c r="C2261" s="46"/>
      <c r="D2261" s="46"/>
      <c r="E2261" s="46"/>
      <c r="F2261" s="46"/>
      <c r="G2261" s="46"/>
      <c r="H2261" s="46"/>
      <c r="I2261" s="46"/>
      <c r="J2261" s="46"/>
      <c r="K2261" s="46"/>
      <c r="L2261" s="46"/>
      <c r="M2261" s="46"/>
      <c r="N2261" s="46"/>
      <c r="O2261" s="46"/>
      <c r="P2261" s="46"/>
      <c r="Q2261" s="46"/>
      <c r="R2261" s="46"/>
      <c r="S2261" s="46"/>
      <c r="T2261" s="46"/>
      <c r="U2261" s="46"/>
      <c r="V2261" s="46"/>
      <c r="W2261" s="46"/>
      <c r="X2261" s="11" t="str">
        <f>IF(COUNTBLANK(B2261:W2261)&gt;0,"NA",'batch classification'!J2267)</f>
        <v>NA</v>
      </c>
    </row>
    <row r="2262" spans="1:24" x14ac:dyDescent="0.25">
      <c r="A2262" s="45"/>
      <c r="B2262" s="46"/>
      <c r="C2262" s="46"/>
      <c r="D2262" s="46"/>
      <c r="E2262" s="46"/>
      <c r="F2262" s="46"/>
      <c r="G2262" s="46"/>
      <c r="H2262" s="46"/>
      <c r="I2262" s="46"/>
      <c r="J2262" s="46"/>
      <c r="K2262" s="46"/>
      <c r="L2262" s="46"/>
      <c r="M2262" s="46"/>
      <c r="N2262" s="46"/>
      <c r="O2262" s="46"/>
      <c r="P2262" s="46"/>
      <c r="Q2262" s="46"/>
      <c r="R2262" s="46"/>
      <c r="S2262" s="46"/>
      <c r="T2262" s="46"/>
      <c r="U2262" s="46"/>
      <c r="V2262" s="46"/>
      <c r="W2262" s="46"/>
      <c r="X2262" s="11" t="str">
        <f>IF(COUNTBLANK(B2262:W2262)&gt;0,"NA",'batch classification'!J2268)</f>
        <v>NA</v>
      </c>
    </row>
    <row r="2263" spans="1:24" x14ac:dyDescent="0.25">
      <c r="A2263" s="45"/>
      <c r="B2263" s="46"/>
      <c r="C2263" s="46"/>
      <c r="D2263" s="46"/>
      <c r="E2263" s="46"/>
      <c r="F2263" s="46"/>
      <c r="G2263" s="46"/>
      <c r="H2263" s="46"/>
      <c r="I2263" s="46"/>
      <c r="J2263" s="46"/>
      <c r="K2263" s="46"/>
      <c r="L2263" s="46"/>
      <c r="M2263" s="46"/>
      <c r="N2263" s="46"/>
      <c r="O2263" s="46"/>
      <c r="P2263" s="46"/>
      <c r="Q2263" s="46"/>
      <c r="R2263" s="46"/>
      <c r="S2263" s="46"/>
      <c r="T2263" s="46"/>
      <c r="U2263" s="46"/>
      <c r="V2263" s="46"/>
      <c r="W2263" s="46"/>
      <c r="X2263" s="11" t="str">
        <f>IF(COUNTBLANK(B2263:W2263)&gt;0,"NA",'batch classification'!J2269)</f>
        <v>NA</v>
      </c>
    </row>
    <row r="2264" spans="1:24" x14ac:dyDescent="0.25">
      <c r="A2264" s="45"/>
      <c r="B2264" s="46"/>
      <c r="C2264" s="46"/>
      <c r="D2264" s="46"/>
      <c r="E2264" s="46"/>
      <c r="F2264" s="46"/>
      <c r="G2264" s="46"/>
      <c r="H2264" s="46"/>
      <c r="I2264" s="46"/>
      <c r="J2264" s="46"/>
      <c r="K2264" s="46"/>
      <c r="L2264" s="46"/>
      <c r="M2264" s="46"/>
      <c r="N2264" s="46"/>
      <c r="O2264" s="46"/>
      <c r="P2264" s="46"/>
      <c r="Q2264" s="46"/>
      <c r="R2264" s="46"/>
      <c r="S2264" s="46"/>
      <c r="T2264" s="46"/>
      <c r="U2264" s="46"/>
      <c r="V2264" s="46"/>
      <c r="W2264" s="46"/>
      <c r="X2264" s="11" t="str">
        <f>IF(COUNTBLANK(B2264:W2264)&gt;0,"NA",'batch classification'!J2270)</f>
        <v>NA</v>
      </c>
    </row>
    <row r="2265" spans="1:24" x14ac:dyDescent="0.25">
      <c r="A2265" s="45"/>
      <c r="B2265" s="46"/>
      <c r="C2265" s="46"/>
      <c r="D2265" s="46"/>
      <c r="E2265" s="46"/>
      <c r="F2265" s="46"/>
      <c r="G2265" s="46"/>
      <c r="H2265" s="46"/>
      <c r="I2265" s="46"/>
      <c r="J2265" s="46"/>
      <c r="K2265" s="46"/>
      <c r="L2265" s="46"/>
      <c r="M2265" s="46"/>
      <c r="N2265" s="46"/>
      <c r="O2265" s="46"/>
      <c r="P2265" s="46"/>
      <c r="Q2265" s="46"/>
      <c r="R2265" s="46"/>
      <c r="S2265" s="46"/>
      <c r="T2265" s="46"/>
      <c r="U2265" s="46"/>
      <c r="V2265" s="46"/>
      <c r="W2265" s="46"/>
      <c r="X2265" s="11" t="str">
        <f>IF(COUNTBLANK(B2265:W2265)&gt;0,"NA",'batch classification'!J2271)</f>
        <v>NA</v>
      </c>
    </row>
    <row r="2266" spans="1:24" x14ac:dyDescent="0.25">
      <c r="A2266" s="45"/>
      <c r="B2266" s="46"/>
      <c r="C2266" s="46"/>
      <c r="D2266" s="46"/>
      <c r="E2266" s="46"/>
      <c r="F2266" s="46"/>
      <c r="G2266" s="46"/>
      <c r="H2266" s="46"/>
      <c r="I2266" s="46"/>
      <c r="J2266" s="46"/>
      <c r="K2266" s="46"/>
      <c r="L2266" s="46"/>
      <c r="M2266" s="46"/>
      <c r="N2266" s="46"/>
      <c r="O2266" s="46"/>
      <c r="P2266" s="46"/>
      <c r="Q2266" s="46"/>
      <c r="R2266" s="46"/>
      <c r="S2266" s="46"/>
      <c r="T2266" s="46"/>
      <c r="U2266" s="46"/>
      <c r="V2266" s="46"/>
      <c r="W2266" s="46"/>
      <c r="X2266" s="11" t="str">
        <f>IF(COUNTBLANK(B2266:W2266)&gt;0,"NA",'batch classification'!J2272)</f>
        <v>NA</v>
      </c>
    </row>
    <row r="2267" spans="1:24" x14ac:dyDescent="0.25">
      <c r="A2267" s="45"/>
      <c r="B2267" s="46"/>
      <c r="C2267" s="46"/>
      <c r="D2267" s="46"/>
      <c r="E2267" s="46"/>
      <c r="F2267" s="46"/>
      <c r="G2267" s="46"/>
      <c r="H2267" s="46"/>
      <c r="I2267" s="46"/>
      <c r="J2267" s="46"/>
      <c r="K2267" s="46"/>
      <c r="L2267" s="46"/>
      <c r="M2267" s="46"/>
      <c r="N2267" s="46"/>
      <c r="O2267" s="46"/>
      <c r="P2267" s="46"/>
      <c r="Q2267" s="46"/>
      <c r="R2267" s="46"/>
      <c r="S2267" s="46"/>
      <c r="T2267" s="46"/>
      <c r="U2267" s="46"/>
      <c r="V2267" s="46"/>
      <c r="W2267" s="46"/>
      <c r="X2267" s="11" t="str">
        <f>IF(COUNTBLANK(B2267:W2267)&gt;0,"NA",'batch classification'!J2273)</f>
        <v>NA</v>
      </c>
    </row>
    <row r="2268" spans="1:24" x14ac:dyDescent="0.25">
      <c r="A2268" s="45"/>
      <c r="B2268" s="46"/>
      <c r="C2268" s="46"/>
      <c r="D2268" s="46"/>
      <c r="E2268" s="46"/>
      <c r="F2268" s="46"/>
      <c r="G2268" s="46"/>
      <c r="H2268" s="46"/>
      <c r="I2268" s="46"/>
      <c r="J2268" s="46"/>
      <c r="K2268" s="46"/>
      <c r="L2268" s="46"/>
      <c r="M2268" s="46"/>
      <c r="N2268" s="46"/>
      <c r="O2268" s="46"/>
      <c r="P2268" s="46"/>
      <c r="Q2268" s="46"/>
      <c r="R2268" s="46"/>
      <c r="S2268" s="46"/>
      <c r="T2268" s="46"/>
      <c r="U2268" s="46"/>
      <c r="V2268" s="46"/>
      <c r="W2268" s="46"/>
      <c r="X2268" s="11" t="str">
        <f>IF(COUNTBLANK(B2268:W2268)&gt;0,"NA",'batch classification'!J2274)</f>
        <v>NA</v>
      </c>
    </row>
    <row r="2269" spans="1:24" x14ac:dyDescent="0.25">
      <c r="A2269" s="45"/>
      <c r="B2269" s="46"/>
      <c r="C2269" s="46"/>
      <c r="D2269" s="46"/>
      <c r="E2269" s="46"/>
      <c r="F2269" s="46"/>
      <c r="G2269" s="46"/>
      <c r="H2269" s="46"/>
      <c r="I2269" s="46"/>
      <c r="J2269" s="46"/>
      <c r="K2269" s="46"/>
      <c r="L2269" s="46"/>
      <c r="M2269" s="46"/>
      <c r="N2269" s="46"/>
      <c r="O2269" s="46"/>
      <c r="P2269" s="46"/>
      <c r="Q2269" s="46"/>
      <c r="R2269" s="46"/>
      <c r="S2269" s="46"/>
      <c r="T2269" s="46"/>
      <c r="U2269" s="46"/>
      <c r="V2269" s="46"/>
      <c r="W2269" s="46"/>
      <c r="X2269" s="11" t="str">
        <f>IF(COUNTBLANK(B2269:W2269)&gt;0,"NA",'batch classification'!J2275)</f>
        <v>NA</v>
      </c>
    </row>
    <row r="2270" spans="1:24" x14ac:dyDescent="0.25">
      <c r="A2270" s="45"/>
      <c r="B2270" s="46"/>
      <c r="C2270" s="46"/>
      <c r="D2270" s="46"/>
      <c r="E2270" s="46"/>
      <c r="F2270" s="46"/>
      <c r="G2270" s="46"/>
      <c r="H2270" s="46"/>
      <c r="I2270" s="46"/>
      <c r="J2270" s="46"/>
      <c r="K2270" s="46"/>
      <c r="L2270" s="46"/>
      <c r="M2270" s="46"/>
      <c r="N2270" s="46"/>
      <c r="O2270" s="46"/>
      <c r="P2270" s="46"/>
      <c r="Q2270" s="46"/>
      <c r="R2270" s="46"/>
      <c r="S2270" s="46"/>
      <c r="T2270" s="46"/>
      <c r="U2270" s="46"/>
      <c r="V2270" s="46"/>
      <c r="W2270" s="46"/>
      <c r="X2270" s="11" t="str">
        <f>IF(COUNTBLANK(B2270:W2270)&gt;0,"NA",'batch classification'!J2276)</f>
        <v>NA</v>
      </c>
    </row>
    <row r="2271" spans="1:24" x14ac:dyDescent="0.25">
      <c r="A2271" s="45"/>
      <c r="B2271" s="46"/>
      <c r="C2271" s="46"/>
      <c r="D2271" s="46"/>
      <c r="E2271" s="46"/>
      <c r="F2271" s="46"/>
      <c r="G2271" s="46"/>
      <c r="H2271" s="46"/>
      <c r="I2271" s="46"/>
      <c r="J2271" s="46"/>
      <c r="K2271" s="46"/>
      <c r="L2271" s="46"/>
      <c r="M2271" s="46"/>
      <c r="N2271" s="46"/>
      <c r="O2271" s="46"/>
      <c r="P2271" s="46"/>
      <c r="Q2271" s="46"/>
      <c r="R2271" s="46"/>
      <c r="S2271" s="46"/>
      <c r="T2271" s="46"/>
      <c r="U2271" s="46"/>
      <c r="V2271" s="46"/>
      <c r="W2271" s="46"/>
      <c r="X2271" s="11" t="str">
        <f>IF(COUNTBLANK(B2271:W2271)&gt;0,"NA",'batch classification'!J2277)</f>
        <v>NA</v>
      </c>
    </row>
    <row r="2272" spans="1:24" x14ac:dyDescent="0.25">
      <c r="A2272" s="45"/>
      <c r="B2272" s="46"/>
      <c r="C2272" s="46"/>
      <c r="D2272" s="46"/>
      <c r="E2272" s="46"/>
      <c r="F2272" s="46"/>
      <c r="G2272" s="46"/>
      <c r="H2272" s="46"/>
      <c r="I2272" s="46"/>
      <c r="J2272" s="46"/>
      <c r="K2272" s="46"/>
      <c r="L2272" s="46"/>
      <c r="M2272" s="46"/>
      <c r="N2272" s="46"/>
      <c r="O2272" s="46"/>
      <c r="P2272" s="46"/>
      <c r="Q2272" s="46"/>
      <c r="R2272" s="46"/>
      <c r="S2272" s="46"/>
      <c r="T2272" s="46"/>
      <c r="U2272" s="46"/>
      <c r="V2272" s="46"/>
      <c r="W2272" s="46"/>
      <c r="X2272" s="11" t="str">
        <f>IF(COUNTBLANK(B2272:W2272)&gt;0,"NA",'batch classification'!J2278)</f>
        <v>NA</v>
      </c>
    </row>
    <row r="2273" spans="1:24" x14ac:dyDescent="0.25">
      <c r="A2273" s="45"/>
      <c r="B2273" s="46"/>
      <c r="C2273" s="46"/>
      <c r="D2273" s="46"/>
      <c r="E2273" s="46"/>
      <c r="F2273" s="46"/>
      <c r="G2273" s="46"/>
      <c r="H2273" s="46"/>
      <c r="I2273" s="46"/>
      <c r="J2273" s="46"/>
      <c r="K2273" s="46"/>
      <c r="L2273" s="46"/>
      <c r="M2273" s="46"/>
      <c r="N2273" s="46"/>
      <c r="O2273" s="46"/>
      <c r="P2273" s="46"/>
      <c r="Q2273" s="46"/>
      <c r="R2273" s="46"/>
      <c r="S2273" s="46"/>
      <c r="T2273" s="46"/>
      <c r="U2273" s="46"/>
      <c r="V2273" s="46"/>
      <c r="W2273" s="46"/>
      <c r="X2273" s="11" t="str">
        <f>IF(COUNTBLANK(B2273:W2273)&gt;0,"NA",'batch classification'!J2279)</f>
        <v>NA</v>
      </c>
    </row>
    <row r="2274" spans="1:24" x14ac:dyDescent="0.25">
      <c r="A2274" s="45"/>
      <c r="B2274" s="46"/>
      <c r="C2274" s="46"/>
      <c r="D2274" s="46"/>
      <c r="E2274" s="46"/>
      <c r="F2274" s="46"/>
      <c r="G2274" s="46"/>
      <c r="H2274" s="46"/>
      <c r="I2274" s="46"/>
      <c r="J2274" s="46"/>
      <c r="K2274" s="46"/>
      <c r="L2274" s="46"/>
      <c r="M2274" s="46"/>
      <c r="N2274" s="46"/>
      <c r="O2274" s="46"/>
      <c r="P2274" s="46"/>
      <c r="Q2274" s="46"/>
      <c r="R2274" s="46"/>
      <c r="S2274" s="46"/>
      <c r="T2274" s="46"/>
      <c r="U2274" s="46"/>
      <c r="V2274" s="46"/>
      <c r="W2274" s="46"/>
      <c r="X2274" s="11" t="str">
        <f>IF(COUNTBLANK(B2274:W2274)&gt;0,"NA",'batch classification'!J2280)</f>
        <v>NA</v>
      </c>
    </row>
    <row r="2275" spans="1:24" x14ac:dyDescent="0.25">
      <c r="A2275" s="45"/>
      <c r="B2275" s="46"/>
      <c r="C2275" s="46"/>
      <c r="D2275" s="46"/>
      <c r="E2275" s="46"/>
      <c r="F2275" s="46"/>
      <c r="G2275" s="46"/>
      <c r="H2275" s="46"/>
      <c r="I2275" s="46"/>
      <c r="J2275" s="46"/>
      <c r="K2275" s="46"/>
      <c r="L2275" s="46"/>
      <c r="M2275" s="46"/>
      <c r="N2275" s="46"/>
      <c r="O2275" s="46"/>
      <c r="P2275" s="46"/>
      <c r="Q2275" s="46"/>
      <c r="R2275" s="46"/>
      <c r="S2275" s="46"/>
      <c r="T2275" s="46"/>
      <c r="U2275" s="46"/>
      <c r="V2275" s="46"/>
      <c r="W2275" s="46"/>
      <c r="X2275" s="11" t="str">
        <f>IF(COUNTBLANK(B2275:W2275)&gt;0,"NA",'batch classification'!J2281)</f>
        <v>NA</v>
      </c>
    </row>
    <row r="2276" spans="1:24" x14ac:dyDescent="0.25">
      <c r="A2276" s="45"/>
      <c r="B2276" s="46"/>
      <c r="C2276" s="46"/>
      <c r="D2276" s="46"/>
      <c r="E2276" s="46"/>
      <c r="F2276" s="46"/>
      <c r="G2276" s="46"/>
      <c r="H2276" s="46"/>
      <c r="I2276" s="46"/>
      <c r="J2276" s="46"/>
      <c r="K2276" s="46"/>
      <c r="L2276" s="46"/>
      <c r="M2276" s="46"/>
      <c r="N2276" s="46"/>
      <c r="O2276" s="46"/>
      <c r="P2276" s="46"/>
      <c r="Q2276" s="46"/>
      <c r="R2276" s="46"/>
      <c r="S2276" s="46"/>
      <c r="T2276" s="46"/>
      <c r="U2276" s="46"/>
      <c r="V2276" s="46"/>
      <c r="W2276" s="46"/>
      <c r="X2276" s="11" t="str">
        <f>IF(COUNTBLANK(B2276:W2276)&gt;0,"NA",'batch classification'!J2282)</f>
        <v>NA</v>
      </c>
    </row>
    <row r="2277" spans="1:24" x14ac:dyDescent="0.25">
      <c r="A2277" s="45"/>
      <c r="B2277" s="46"/>
      <c r="C2277" s="46"/>
      <c r="D2277" s="46"/>
      <c r="E2277" s="46"/>
      <c r="F2277" s="46"/>
      <c r="G2277" s="46"/>
      <c r="H2277" s="46"/>
      <c r="I2277" s="46"/>
      <c r="J2277" s="46"/>
      <c r="K2277" s="46"/>
      <c r="L2277" s="46"/>
      <c r="M2277" s="46"/>
      <c r="N2277" s="46"/>
      <c r="O2277" s="46"/>
      <c r="P2277" s="46"/>
      <c r="Q2277" s="46"/>
      <c r="R2277" s="46"/>
      <c r="S2277" s="46"/>
      <c r="T2277" s="46"/>
      <c r="U2277" s="46"/>
      <c r="V2277" s="46"/>
      <c r="W2277" s="46"/>
      <c r="X2277" s="11" t="str">
        <f>IF(COUNTBLANK(B2277:W2277)&gt;0,"NA",'batch classification'!J2283)</f>
        <v>NA</v>
      </c>
    </row>
    <row r="2278" spans="1:24" x14ac:dyDescent="0.25">
      <c r="A2278" s="45"/>
      <c r="B2278" s="46"/>
      <c r="C2278" s="46"/>
      <c r="D2278" s="46"/>
      <c r="E2278" s="46"/>
      <c r="F2278" s="46"/>
      <c r="G2278" s="46"/>
      <c r="H2278" s="46"/>
      <c r="I2278" s="46"/>
      <c r="J2278" s="46"/>
      <c r="K2278" s="46"/>
      <c r="L2278" s="46"/>
      <c r="M2278" s="46"/>
      <c r="N2278" s="46"/>
      <c r="O2278" s="46"/>
      <c r="P2278" s="46"/>
      <c r="Q2278" s="46"/>
      <c r="R2278" s="46"/>
      <c r="S2278" s="46"/>
      <c r="T2278" s="46"/>
      <c r="U2278" s="46"/>
      <c r="V2278" s="46"/>
      <c r="W2278" s="46"/>
      <c r="X2278" s="11" t="str">
        <f>IF(COUNTBLANK(B2278:W2278)&gt;0,"NA",'batch classification'!J2284)</f>
        <v>NA</v>
      </c>
    </row>
    <row r="2279" spans="1:24" x14ac:dyDescent="0.25">
      <c r="A2279" s="45"/>
      <c r="B2279" s="46"/>
      <c r="C2279" s="46"/>
      <c r="D2279" s="46"/>
      <c r="E2279" s="46"/>
      <c r="F2279" s="46"/>
      <c r="G2279" s="46"/>
      <c r="H2279" s="46"/>
      <c r="I2279" s="46"/>
      <c r="J2279" s="46"/>
      <c r="K2279" s="46"/>
      <c r="L2279" s="46"/>
      <c r="M2279" s="46"/>
      <c r="N2279" s="46"/>
      <c r="O2279" s="46"/>
      <c r="P2279" s="46"/>
      <c r="Q2279" s="46"/>
      <c r="R2279" s="46"/>
      <c r="S2279" s="46"/>
      <c r="T2279" s="46"/>
      <c r="U2279" s="46"/>
      <c r="V2279" s="46"/>
      <c r="W2279" s="46"/>
      <c r="X2279" s="11" t="str">
        <f>IF(COUNTBLANK(B2279:W2279)&gt;0,"NA",'batch classification'!J2285)</f>
        <v>NA</v>
      </c>
    </row>
    <row r="2280" spans="1:24" x14ac:dyDescent="0.25">
      <c r="A2280" s="45"/>
      <c r="B2280" s="46"/>
      <c r="C2280" s="46"/>
      <c r="D2280" s="46"/>
      <c r="E2280" s="46"/>
      <c r="F2280" s="46"/>
      <c r="G2280" s="46"/>
      <c r="H2280" s="46"/>
      <c r="I2280" s="46"/>
      <c r="J2280" s="46"/>
      <c r="K2280" s="46"/>
      <c r="L2280" s="46"/>
      <c r="M2280" s="46"/>
      <c r="N2280" s="46"/>
      <c r="O2280" s="46"/>
      <c r="P2280" s="46"/>
      <c r="Q2280" s="46"/>
      <c r="R2280" s="46"/>
      <c r="S2280" s="46"/>
      <c r="T2280" s="46"/>
      <c r="U2280" s="46"/>
      <c r="V2280" s="46"/>
      <c r="W2280" s="46"/>
      <c r="X2280" s="11" t="str">
        <f>IF(COUNTBLANK(B2280:W2280)&gt;0,"NA",'batch classification'!J2286)</f>
        <v>NA</v>
      </c>
    </row>
    <row r="2281" spans="1:24" x14ac:dyDescent="0.25">
      <c r="A2281" s="45"/>
      <c r="B2281" s="46"/>
      <c r="C2281" s="46"/>
      <c r="D2281" s="46"/>
      <c r="E2281" s="46"/>
      <c r="F2281" s="46"/>
      <c r="G2281" s="46"/>
      <c r="H2281" s="46"/>
      <c r="I2281" s="46"/>
      <c r="J2281" s="46"/>
      <c r="K2281" s="46"/>
      <c r="L2281" s="46"/>
      <c r="M2281" s="46"/>
      <c r="N2281" s="46"/>
      <c r="O2281" s="46"/>
      <c r="P2281" s="46"/>
      <c r="Q2281" s="46"/>
      <c r="R2281" s="46"/>
      <c r="S2281" s="46"/>
      <c r="T2281" s="46"/>
      <c r="U2281" s="46"/>
      <c r="V2281" s="46"/>
      <c r="W2281" s="46"/>
      <c r="X2281" s="11" t="str">
        <f>IF(COUNTBLANK(B2281:W2281)&gt;0,"NA",'batch classification'!J2287)</f>
        <v>NA</v>
      </c>
    </row>
    <row r="2282" spans="1:24" x14ac:dyDescent="0.25">
      <c r="A2282" s="45"/>
      <c r="B2282" s="46"/>
      <c r="C2282" s="46"/>
      <c r="D2282" s="46"/>
      <c r="E2282" s="46"/>
      <c r="F2282" s="46"/>
      <c r="G2282" s="46"/>
      <c r="H2282" s="46"/>
      <c r="I2282" s="46"/>
      <c r="J2282" s="46"/>
      <c r="K2282" s="46"/>
      <c r="L2282" s="46"/>
      <c r="M2282" s="46"/>
      <c r="N2282" s="46"/>
      <c r="O2282" s="46"/>
      <c r="P2282" s="46"/>
      <c r="Q2282" s="46"/>
      <c r="R2282" s="46"/>
      <c r="S2282" s="46"/>
      <c r="T2282" s="46"/>
      <c r="U2282" s="46"/>
      <c r="V2282" s="46"/>
      <c r="W2282" s="46"/>
      <c r="X2282" s="11" t="str">
        <f>IF(COUNTBLANK(B2282:W2282)&gt;0,"NA",'batch classification'!J2288)</f>
        <v>NA</v>
      </c>
    </row>
    <row r="2283" spans="1:24" x14ac:dyDescent="0.25">
      <c r="A2283" s="45"/>
      <c r="B2283" s="46"/>
      <c r="C2283" s="46"/>
      <c r="D2283" s="46"/>
      <c r="E2283" s="46"/>
      <c r="F2283" s="46"/>
      <c r="G2283" s="46"/>
      <c r="H2283" s="46"/>
      <c r="I2283" s="46"/>
      <c r="J2283" s="46"/>
      <c r="K2283" s="46"/>
      <c r="L2283" s="46"/>
      <c r="M2283" s="46"/>
      <c r="N2283" s="46"/>
      <c r="O2283" s="46"/>
      <c r="P2283" s="46"/>
      <c r="Q2283" s="46"/>
      <c r="R2283" s="46"/>
      <c r="S2283" s="46"/>
      <c r="T2283" s="46"/>
      <c r="U2283" s="46"/>
      <c r="V2283" s="46"/>
      <c r="W2283" s="46"/>
      <c r="X2283" s="11" t="str">
        <f>IF(COUNTBLANK(B2283:W2283)&gt;0,"NA",'batch classification'!J2289)</f>
        <v>NA</v>
      </c>
    </row>
    <row r="2284" spans="1:24" x14ac:dyDescent="0.25">
      <c r="A2284" s="45"/>
      <c r="B2284" s="46"/>
      <c r="C2284" s="46"/>
      <c r="D2284" s="46"/>
      <c r="E2284" s="46"/>
      <c r="F2284" s="46"/>
      <c r="G2284" s="46"/>
      <c r="H2284" s="46"/>
      <c r="I2284" s="46"/>
      <c r="J2284" s="46"/>
      <c r="K2284" s="46"/>
      <c r="L2284" s="46"/>
      <c r="M2284" s="46"/>
      <c r="N2284" s="46"/>
      <c r="O2284" s="46"/>
      <c r="P2284" s="46"/>
      <c r="Q2284" s="46"/>
      <c r="R2284" s="46"/>
      <c r="S2284" s="46"/>
      <c r="T2284" s="46"/>
      <c r="U2284" s="46"/>
      <c r="V2284" s="46"/>
      <c r="W2284" s="46"/>
      <c r="X2284" s="11" t="str">
        <f>IF(COUNTBLANK(B2284:W2284)&gt;0,"NA",'batch classification'!J2290)</f>
        <v>NA</v>
      </c>
    </row>
    <row r="2285" spans="1:24" x14ac:dyDescent="0.25">
      <c r="A2285" s="45"/>
      <c r="B2285" s="46"/>
      <c r="C2285" s="46"/>
      <c r="D2285" s="46"/>
      <c r="E2285" s="46"/>
      <c r="F2285" s="46"/>
      <c r="G2285" s="46"/>
      <c r="H2285" s="46"/>
      <c r="I2285" s="46"/>
      <c r="J2285" s="46"/>
      <c r="K2285" s="46"/>
      <c r="L2285" s="46"/>
      <c r="M2285" s="46"/>
      <c r="N2285" s="46"/>
      <c r="O2285" s="46"/>
      <c r="P2285" s="46"/>
      <c r="Q2285" s="46"/>
      <c r="R2285" s="46"/>
      <c r="S2285" s="46"/>
      <c r="T2285" s="46"/>
      <c r="U2285" s="46"/>
      <c r="V2285" s="46"/>
      <c r="W2285" s="46"/>
      <c r="X2285" s="11" t="str">
        <f>IF(COUNTBLANK(B2285:W2285)&gt;0,"NA",'batch classification'!J2291)</f>
        <v>NA</v>
      </c>
    </row>
    <row r="2286" spans="1:24" x14ac:dyDescent="0.25">
      <c r="A2286" s="45"/>
      <c r="B2286" s="46"/>
      <c r="C2286" s="46"/>
      <c r="D2286" s="46"/>
      <c r="E2286" s="46"/>
      <c r="F2286" s="46"/>
      <c r="G2286" s="46"/>
      <c r="H2286" s="46"/>
      <c r="I2286" s="46"/>
      <c r="J2286" s="46"/>
      <c r="K2286" s="46"/>
      <c r="L2286" s="46"/>
      <c r="M2286" s="46"/>
      <c r="N2286" s="46"/>
      <c r="O2286" s="46"/>
      <c r="P2286" s="46"/>
      <c r="Q2286" s="46"/>
      <c r="R2286" s="46"/>
      <c r="S2286" s="46"/>
      <c r="T2286" s="46"/>
      <c r="U2286" s="46"/>
      <c r="V2286" s="46"/>
      <c r="W2286" s="46"/>
      <c r="X2286" s="11" t="str">
        <f>IF(COUNTBLANK(B2286:W2286)&gt;0,"NA",'batch classification'!J2292)</f>
        <v>NA</v>
      </c>
    </row>
    <row r="2287" spans="1:24" x14ac:dyDescent="0.25">
      <c r="A2287" s="45"/>
      <c r="B2287" s="46"/>
      <c r="C2287" s="46"/>
      <c r="D2287" s="46"/>
      <c r="E2287" s="46"/>
      <c r="F2287" s="46"/>
      <c r="G2287" s="46"/>
      <c r="H2287" s="46"/>
      <c r="I2287" s="46"/>
      <c r="J2287" s="46"/>
      <c r="K2287" s="46"/>
      <c r="L2287" s="46"/>
      <c r="M2287" s="46"/>
      <c r="N2287" s="46"/>
      <c r="O2287" s="46"/>
      <c r="P2287" s="46"/>
      <c r="Q2287" s="46"/>
      <c r="R2287" s="46"/>
      <c r="S2287" s="46"/>
      <c r="T2287" s="46"/>
      <c r="U2287" s="46"/>
      <c r="V2287" s="46"/>
      <c r="W2287" s="46"/>
      <c r="X2287" s="11" t="str">
        <f>IF(COUNTBLANK(B2287:W2287)&gt;0,"NA",'batch classification'!J2293)</f>
        <v>NA</v>
      </c>
    </row>
    <row r="2288" spans="1:24" x14ac:dyDescent="0.25">
      <c r="A2288" s="45"/>
      <c r="B2288" s="46"/>
      <c r="C2288" s="46"/>
      <c r="D2288" s="46"/>
      <c r="E2288" s="46"/>
      <c r="F2288" s="46"/>
      <c r="G2288" s="46"/>
      <c r="H2288" s="46"/>
      <c r="I2288" s="46"/>
      <c r="J2288" s="46"/>
      <c r="K2288" s="46"/>
      <c r="L2288" s="46"/>
      <c r="M2288" s="46"/>
      <c r="N2288" s="46"/>
      <c r="O2288" s="46"/>
      <c r="P2288" s="46"/>
      <c r="Q2288" s="46"/>
      <c r="R2288" s="46"/>
      <c r="S2288" s="46"/>
      <c r="T2288" s="46"/>
      <c r="U2288" s="46"/>
      <c r="V2288" s="46"/>
      <c r="W2288" s="46"/>
      <c r="X2288" s="11" t="str">
        <f>IF(COUNTBLANK(B2288:W2288)&gt;0,"NA",'batch classification'!J2294)</f>
        <v>NA</v>
      </c>
    </row>
    <row r="2289" spans="1:24" x14ac:dyDescent="0.25">
      <c r="A2289" s="45"/>
      <c r="B2289" s="46"/>
      <c r="C2289" s="46"/>
      <c r="D2289" s="46"/>
      <c r="E2289" s="46"/>
      <c r="F2289" s="46"/>
      <c r="G2289" s="46"/>
      <c r="H2289" s="46"/>
      <c r="I2289" s="46"/>
      <c r="J2289" s="46"/>
      <c r="K2289" s="46"/>
      <c r="L2289" s="46"/>
      <c r="M2289" s="46"/>
      <c r="N2289" s="46"/>
      <c r="O2289" s="46"/>
      <c r="P2289" s="46"/>
      <c r="Q2289" s="46"/>
      <c r="R2289" s="46"/>
      <c r="S2289" s="46"/>
      <c r="T2289" s="46"/>
      <c r="U2289" s="46"/>
      <c r="V2289" s="46"/>
      <c r="W2289" s="46"/>
      <c r="X2289" s="11" t="str">
        <f>IF(COUNTBLANK(B2289:W2289)&gt;0,"NA",'batch classification'!J2295)</f>
        <v>NA</v>
      </c>
    </row>
    <row r="2290" spans="1:24" x14ac:dyDescent="0.25">
      <c r="A2290" s="45"/>
      <c r="B2290" s="46"/>
      <c r="C2290" s="46"/>
      <c r="D2290" s="46"/>
      <c r="E2290" s="46"/>
      <c r="F2290" s="46"/>
      <c r="G2290" s="46"/>
      <c r="H2290" s="46"/>
      <c r="I2290" s="46"/>
      <c r="J2290" s="46"/>
      <c r="K2290" s="46"/>
      <c r="L2290" s="46"/>
      <c r="M2290" s="46"/>
      <c r="N2290" s="46"/>
      <c r="O2290" s="46"/>
      <c r="P2290" s="46"/>
      <c r="Q2290" s="46"/>
      <c r="R2290" s="46"/>
      <c r="S2290" s="46"/>
      <c r="T2290" s="46"/>
      <c r="U2290" s="46"/>
      <c r="V2290" s="46"/>
      <c r="W2290" s="46"/>
      <c r="X2290" s="11" t="str">
        <f>IF(COUNTBLANK(B2290:W2290)&gt;0,"NA",'batch classification'!J2296)</f>
        <v>NA</v>
      </c>
    </row>
    <row r="2291" spans="1:24" x14ac:dyDescent="0.25">
      <c r="A2291" s="45"/>
      <c r="B2291" s="46"/>
      <c r="C2291" s="46"/>
      <c r="D2291" s="46"/>
      <c r="E2291" s="46"/>
      <c r="F2291" s="46"/>
      <c r="G2291" s="46"/>
      <c r="H2291" s="46"/>
      <c r="I2291" s="46"/>
      <c r="J2291" s="46"/>
      <c r="K2291" s="46"/>
      <c r="L2291" s="46"/>
      <c r="M2291" s="46"/>
      <c r="N2291" s="46"/>
      <c r="O2291" s="46"/>
      <c r="P2291" s="46"/>
      <c r="Q2291" s="46"/>
      <c r="R2291" s="46"/>
      <c r="S2291" s="46"/>
      <c r="T2291" s="46"/>
      <c r="U2291" s="46"/>
      <c r="V2291" s="46"/>
      <c r="W2291" s="46"/>
      <c r="X2291" s="11" t="str">
        <f>IF(COUNTBLANK(B2291:W2291)&gt;0,"NA",'batch classification'!J2297)</f>
        <v>NA</v>
      </c>
    </row>
    <row r="2292" spans="1:24" x14ac:dyDescent="0.25">
      <c r="A2292" s="45"/>
      <c r="B2292" s="46"/>
      <c r="C2292" s="46"/>
      <c r="D2292" s="46"/>
      <c r="E2292" s="46"/>
      <c r="F2292" s="46"/>
      <c r="G2292" s="46"/>
      <c r="H2292" s="46"/>
      <c r="I2292" s="46"/>
      <c r="J2292" s="46"/>
      <c r="K2292" s="46"/>
      <c r="L2292" s="46"/>
      <c r="M2292" s="46"/>
      <c r="N2292" s="46"/>
      <c r="O2292" s="46"/>
      <c r="P2292" s="46"/>
      <c r="Q2292" s="46"/>
      <c r="R2292" s="46"/>
      <c r="S2292" s="46"/>
      <c r="T2292" s="46"/>
      <c r="U2292" s="46"/>
      <c r="V2292" s="46"/>
      <c r="W2292" s="46"/>
      <c r="X2292" s="11" t="str">
        <f>IF(COUNTBLANK(B2292:W2292)&gt;0,"NA",'batch classification'!J2298)</f>
        <v>NA</v>
      </c>
    </row>
    <row r="2293" spans="1:24" x14ac:dyDescent="0.25">
      <c r="A2293" s="45"/>
      <c r="B2293" s="46"/>
      <c r="C2293" s="46"/>
      <c r="D2293" s="46"/>
      <c r="E2293" s="46"/>
      <c r="F2293" s="46"/>
      <c r="G2293" s="46"/>
      <c r="H2293" s="46"/>
      <c r="I2293" s="46"/>
      <c r="J2293" s="46"/>
      <c r="K2293" s="46"/>
      <c r="L2293" s="46"/>
      <c r="M2293" s="46"/>
      <c r="N2293" s="46"/>
      <c r="O2293" s="46"/>
      <c r="P2293" s="46"/>
      <c r="Q2293" s="46"/>
      <c r="R2293" s="46"/>
      <c r="S2293" s="46"/>
      <c r="T2293" s="46"/>
      <c r="U2293" s="46"/>
      <c r="V2293" s="46"/>
      <c r="W2293" s="46"/>
      <c r="X2293" s="11" t="str">
        <f>IF(COUNTBLANK(B2293:W2293)&gt;0,"NA",'batch classification'!J2299)</f>
        <v>NA</v>
      </c>
    </row>
    <row r="2294" spans="1:24" x14ac:dyDescent="0.25">
      <c r="A2294" s="45"/>
      <c r="B2294" s="46"/>
      <c r="C2294" s="46"/>
      <c r="D2294" s="46"/>
      <c r="E2294" s="46"/>
      <c r="F2294" s="46"/>
      <c r="G2294" s="46"/>
      <c r="H2294" s="46"/>
      <c r="I2294" s="46"/>
      <c r="J2294" s="46"/>
      <c r="K2294" s="46"/>
      <c r="L2294" s="46"/>
      <c r="M2294" s="46"/>
      <c r="N2294" s="46"/>
      <c r="O2294" s="46"/>
      <c r="P2294" s="46"/>
      <c r="Q2294" s="46"/>
      <c r="R2294" s="46"/>
      <c r="S2294" s="46"/>
      <c r="T2294" s="46"/>
      <c r="U2294" s="46"/>
      <c r="V2294" s="46"/>
      <c r="W2294" s="46"/>
      <c r="X2294" s="11" t="str">
        <f>IF(COUNTBLANK(B2294:W2294)&gt;0,"NA",'batch classification'!J2300)</f>
        <v>NA</v>
      </c>
    </row>
    <row r="2295" spans="1:24" x14ac:dyDescent="0.25">
      <c r="A2295" s="45"/>
      <c r="B2295" s="46"/>
      <c r="C2295" s="46"/>
      <c r="D2295" s="46"/>
      <c r="E2295" s="46"/>
      <c r="F2295" s="46"/>
      <c r="G2295" s="46"/>
      <c r="H2295" s="46"/>
      <c r="I2295" s="46"/>
      <c r="J2295" s="46"/>
      <c r="K2295" s="46"/>
      <c r="L2295" s="46"/>
      <c r="M2295" s="46"/>
      <c r="N2295" s="46"/>
      <c r="O2295" s="46"/>
      <c r="P2295" s="46"/>
      <c r="Q2295" s="46"/>
      <c r="R2295" s="46"/>
      <c r="S2295" s="46"/>
      <c r="T2295" s="46"/>
      <c r="U2295" s="46"/>
      <c r="V2295" s="46"/>
      <c r="W2295" s="46"/>
      <c r="X2295" s="11" t="str">
        <f>IF(COUNTBLANK(B2295:W2295)&gt;0,"NA",'batch classification'!J2301)</f>
        <v>NA</v>
      </c>
    </row>
    <row r="2296" spans="1:24" x14ac:dyDescent="0.25">
      <c r="A2296" s="45"/>
      <c r="B2296" s="46"/>
      <c r="C2296" s="46"/>
      <c r="D2296" s="46"/>
      <c r="E2296" s="46"/>
      <c r="F2296" s="46"/>
      <c r="G2296" s="46"/>
      <c r="H2296" s="46"/>
      <c r="I2296" s="46"/>
      <c r="J2296" s="46"/>
      <c r="K2296" s="46"/>
      <c r="L2296" s="46"/>
      <c r="M2296" s="46"/>
      <c r="N2296" s="46"/>
      <c r="O2296" s="46"/>
      <c r="P2296" s="46"/>
      <c r="Q2296" s="46"/>
      <c r="R2296" s="46"/>
      <c r="S2296" s="46"/>
      <c r="T2296" s="46"/>
      <c r="U2296" s="46"/>
      <c r="V2296" s="46"/>
      <c r="W2296" s="46"/>
      <c r="X2296" s="11" t="str">
        <f>IF(COUNTBLANK(B2296:W2296)&gt;0,"NA",'batch classification'!J2302)</f>
        <v>NA</v>
      </c>
    </row>
    <row r="2297" spans="1:24" x14ac:dyDescent="0.25">
      <c r="A2297" s="45"/>
      <c r="B2297" s="46"/>
      <c r="C2297" s="46"/>
      <c r="D2297" s="46"/>
      <c r="E2297" s="46"/>
      <c r="F2297" s="46"/>
      <c r="G2297" s="46"/>
      <c r="H2297" s="46"/>
      <c r="I2297" s="46"/>
      <c r="J2297" s="46"/>
      <c r="K2297" s="46"/>
      <c r="L2297" s="46"/>
      <c r="M2297" s="46"/>
      <c r="N2297" s="46"/>
      <c r="O2297" s="46"/>
      <c r="P2297" s="46"/>
      <c r="Q2297" s="46"/>
      <c r="R2297" s="46"/>
      <c r="S2297" s="46"/>
      <c r="T2297" s="46"/>
      <c r="U2297" s="46"/>
      <c r="V2297" s="46"/>
      <c r="W2297" s="46"/>
      <c r="X2297" s="11" t="str">
        <f>IF(COUNTBLANK(B2297:W2297)&gt;0,"NA",'batch classification'!J2303)</f>
        <v>NA</v>
      </c>
    </row>
    <row r="2298" spans="1:24" x14ac:dyDescent="0.25">
      <c r="A2298" s="45"/>
      <c r="B2298" s="46"/>
      <c r="C2298" s="46"/>
      <c r="D2298" s="46"/>
      <c r="E2298" s="46"/>
      <c r="F2298" s="46"/>
      <c r="G2298" s="46"/>
      <c r="H2298" s="46"/>
      <c r="I2298" s="46"/>
      <c r="J2298" s="46"/>
      <c r="K2298" s="46"/>
      <c r="L2298" s="46"/>
      <c r="M2298" s="46"/>
      <c r="N2298" s="46"/>
      <c r="O2298" s="46"/>
      <c r="P2298" s="46"/>
      <c r="Q2298" s="46"/>
      <c r="R2298" s="46"/>
      <c r="S2298" s="46"/>
      <c r="T2298" s="46"/>
      <c r="U2298" s="46"/>
      <c r="V2298" s="46"/>
      <c r="W2298" s="46"/>
      <c r="X2298" s="11" t="str">
        <f>IF(COUNTBLANK(B2298:W2298)&gt;0,"NA",'batch classification'!J2304)</f>
        <v>NA</v>
      </c>
    </row>
    <row r="2299" spans="1:24" x14ac:dyDescent="0.25">
      <c r="A2299" s="45"/>
      <c r="B2299" s="46"/>
      <c r="C2299" s="46"/>
      <c r="D2299" s="46"/>
      <c r="E2299" s="46"/>
      <c r="F2299" s="46"/>
      <c r="G2299" s="46"/>
      <c r="H2299" s="46"/>
      <c r="I2299" s="46"/>
      <c r="J2299" s="46"/>
      <c r="K2299" s="46"/>
      <c r="L2299" s="46"/>
      <c r="M2299" s="46"/>
      <c r="N2299" s="46"/>
      <c r="O2299" s="46"/>
      <c r="P2299" s="46"/>
      <c r="Q2299" s="46"/>
      <c r="R2299" s="46"/>
      <c r="S2299" s="46"/>
      <c r="T2299" s="46"/>
      <c r="U2299" s="46"/>
      <c r="V2299" s="46"/>
      <c r="W2299" s="46"/>
      <c r="X2299" s="11" t="str">
        <f>IF(COUNTBLANK(B2299:W2299)&gt;0,"NA",'batch classification'!J2305)</f>
        <v>NA</v>
      </c>
    </row>
    <row r="2300" spans="1:24" x14ac:dyDescent="0.25">
      <c r="A2300" s="45"/>
      <c r="B2300" s="46"/>
      <c r="C2300" s="46"/>
      <c r="D2300" s="46"/>
      <c r="E2300" s="46"/>
      <c r="F2300" s="46"/>
      <c r="G2300" s="46"/>
      <c r="H2300" s="46"/>
      <c r="I2300" s="46"/>
      <c r="J2300" s="46"/>
      <c r="K2300" s="46"/>
      <c r="L2300" s="46"/>
      <c r="M2300" s="46"/>
      <c r="N2300" s="46"/>
      <c r="O2300" s="46"/>
      <c r="P2300" s="46"/>
      <c r="Q2300" s="46"/>
      <c r="R2300" s="46"/>
      <c r="S2300" s="46"/>
      <c r="T2300" s="46"/>
      <c r="U2300" s="46"/>
      <c r="V2300" s="46"/>
      <c r="W2300" s="46"/>
      <c r="X2300" s="11" t="str">
        <f>IF(COUNTBLANK(B2300:W2300)&gt;0,"NA",'batch classification'!J2306)</f>
        <v>NA</v>
      </c>
    </row>
    <row r="2301" spans="1:24" x14ac:dyDescent="0.25">
      <c r="A2301" s="45"/>
      <c r="B2301" s="46"/>
      <c r="C2301" s="46"/>
      <c r="D2301" s="46"/>
      <c r="E2301" s="46"/>
      <c r="F2301" s="46"/>
      <c r="G2301" s="46"/>
      <c r="H2301" s="46"/>
      <c r="I2301" s="46"/>
      <c r="J2301" s="46"/>
      <c r="K2301" s="46"/>
      <c r="L2301" s="46"/>
      <c r="M2301" s="46"/>
      <c r="N2301" s="46"/>
      <c r="O2301" s="46"/>
      <c r="P2301" s="46"/>
      <c r="Q2301" s="46"/>
      <c r="R2301" s="46"/>
      <c r="S2301" s="46"/>
      <c r="T2301" s="46"/>
      <c r="U2301" s="46"/>
      <c r="V2301" s="46"/>
      <c r="W2301" s="46"/>
      <c r="X2301" s="11" t="str">
        <f>IF(COUNTBLANK(B2301:W2301)&gt;0,"NA",'batch classification'!J2307)</f>
        <v>NA</v>
      </c>
    </row>
    <row r="2302" spans="1:24" x14ac:dyDescent="0.25">
      <c r="A2302" s="45"/>
      <c r="B2302" s="46"/>
      <c r="C2302" s="46"/>
      <c r="D2302" s="46"/>
      <c r="E2302" s="46"/>
      <c r="F2302" s="46"/>
      <c r="G2302" s="46"/>
      <c r="H2302" s="46"/>
      <c r="I2302" s="46"/>
      <c r="J2302" s="46"/>
      <c r="K2302" s="46"/>
      <c r="L2302" s="46"/>
      <c r="M2302" s="46"/>
      <c r="N2302" s="46"/>
      <c r="O2302" s="46"/>
      <c r="P2302" s="46"/>
      <c r="Q2302" s="46"/>
      <c r="R2302" s="46"/>
      <c r="S2302" s="46"/>
      <c r="T2302" s="46"/>
      <c r="U2302" s="46"/>
      <c r="V2302" s="46"/>
      <c r="W2302" s="46"/>
      <c r="X2302" s="11" t="str">
        <f>IF(COUNTBLANK(B2302:W2302)&gt;0,"NA",'batch classification'!J2308)</f>
        <v>NA</v>
      </c>
    </row>
    <row r="2303" spans="1:24" x14ac:dyDescent="0.25">
      <c r="A2303" s="45"/>
      <c r="B2303" s="46"/>
      <c r="C2303" s="46"/>
      <c r="D2303" s="46"/>
      <c r="E2303" s="46"/>
      <c r="F2303" s="46"/>
      <c r="G2303" s="46"/>
      <c r="H2303" s="46"/>
      <c r="I2303" s="46"/>
      <c r="J2303" s="46"/>
      <c r="K2303" s="46"/>
      <c r="L2303" s="46"/>
      <c r="M2303" s="46"/>
      <c r="N2303" s="46"/>
      <c r="O2303" s="46"/>
      <c r="P2303" s="46"/>
      <c r="Q2303" s="46"/>
      <c r="R2303" s="46"/>
      <c r="S2303" s="46"/>
      <c r="T2303" s="46"/>
      <c r="U2303" s="46"/>
      <c r="V2303" s="46"/>
      <c r="W2303" s="46"/>
      <c r="X2303" s="11" t="str">
        <f>IF(COUNTBLANK(B2303:W2303)&gt;0,"NA",'batch classification'!J2309)</f>
        <v>NA</v>
      </c>
    </row>
    <row r="2304" spans="1:24" x14ac:dyDescent="0.25">
      <c r="A2304" s="45"/>
      <c r="B2304" s="46"/>
      <c r="C2304" s="46"/>
      <c r="D2304" s="46"/>
      <c r="E2304" s="46"/>
      <c r="F2304" s="46"/>
      <c r="G2304" s="46"/>
      <c r="H2304" s="46"/>
      <c r="I2304" s="46"/>
      <c r="J2304" s="46"/>
      <c r="K2304" s="46"/>
      <c r="L2304" s="46"/>
      <c r="M2304" s="46"/>
      <c r="N2304" s="46"/>
      <c r="O2304" s="46"/>
      <c r="P2304" s="46"/>
      <c r="Q2304" s="46"/>
      <c r="R2304" s="46"/>
      <c r="S2304" s="46"/>
      <c r="T2304" s="46"/>
      <c r="U2304" s="46"/>
      <c r="V2304" s="46"/>
      <c r="W2304" s="46"/>
      <c r="X2304" s="11" t="str">
        <f>IF(COUNTBLANK(B2304:W2304)&gt;0,"NA",'batch classification'!J2310)</f>
        <v>NA</v>
      </c>
    </row>
    <row r="2305" spans="1:24" x14ac:dyDescent="0.25">
      <c r="A2305" s="45"/>
      <c r="B2305" s="46"/>
      <c r="C2305" s="46"/>
      <c r="D2305" s="46"/>
      <c r="E2305" s="46"/>
      <c r="F2305" s="46"/>
      <c r="G2305" s="46"/>
      <c r="H2305" s="46"/>
      <c r="I2305" s="46"/>
      <c r="J2305" s="46"/>
      <c r="K2305" s="46"/>
      <c r="L2305" s="46"/>
      <c r="M2305" s="46"/>
      <c r="N2305" s="46"/>
      <c r="O2305" s="46"/>
      <c r="P2305" s="46"/>
      <c r="Q2305" s="46"/>
      <c r="R2305" s="46"/>
      <c r="S2305" s="46"/>
      <c r="T2305" s="46"/>
      <c r="U2305" s="46"/>
      <c r="V2305" s="46"/>
      <c r="W2305" s="46"/>
      <c r="X2305" s="11" t="str">
        <f>IF(COUNTBLANK(B2305:W2305)&gt;0,"NA",'batch classification'!J2311)</f>
        <v>NA</v>
      </c>
    </row>
    <row r="2306" spans="1:24" x14ac:dyDescent="0.25">
      <c r="A2306" s="45"/>
      <c r="B2306" s="46"/>
      <c r="C2306" s="46"/>
      <c r="D2306" s="46"/>
      <c r="E2306" s="46"/>
      <c r="F2306" s="46"/>
      <c r="G2306" s="46"/>
      <c r="H2306" s="46"/>
      <c r="I2306" s="46"/>
      <c r="J2306" s="46"/>
      <c r="K2306" s="46"/>
      <c r="L2306" s="46"/>
      <c r="M2306" s="46"/>
      <c r="N2306" s="46"/>
      <c r="O2306" s="46"/>
      <c r="P2306" s="46"/>
      <c r="Q2306" s="46"/>
      <c r="R2306" s="46"/>
      <c r="S2306" s="46"/>
      <c r="T2306" s="46"/>
      <c r="U2306" s="46"/>
      <c r="V2306" s="46"/>
      <c r="W2306" s="46"/>
      <c r="X2306" s="11" t="str">
        <f>IF(COUNTBLANK(B2306:W2306)&gt;0,"NA",'batch classification'!J2312)</f>
        <v>NA</v>
      </c>
    </row>
    <row r="2307" spans="1:24" x14ac:dyDescent="0.25">
      <c r="A2307" s="45"/>
      <c r="B2307" s="46"/>
      <c r="C2307" s="46"/>
      <c r="D2307" s="46"/>
      <c r="E2307" s="46"/>
      <c r="F2307" s="46"/>
      <c r="G2307" s="46"/>
      <c r="H2307" s="46"/>
      <c r="I2307" s="46"/>
      <c r="J2307" s="46"/>
      <c r="K2307" s="46"/>
      <c r="L2307" s="46"/>
      <c r="M2307" s="46"/>
      <c r="N2307" s="46"/>
      <c r="O2307" s="46"/>
      <c r="P2307" s="46"/>
      <c r="Q2307" s="46"/>
      <c r="R2307" s="46"/>
      <c r="S2307" s="46"/>
      <c r="T2307" s="46"/>
      <c r="U2307" s="46"/>
      <c r="V2307" s="46"/>
      <c r="W2307" s="46"/>
      <c r="X2307" s="11" t="str">
        <f>IF(COUNTBLANK(B2307:W2307)&gt;0,"NA",'batch classification'!J2313)</f>
        <v>NA</v>
      </c>
    </row>
    <row r="2308" spans="1:24" x14ac:dyDescent="0.25">
      <c r="A2308" s="45"/>
      <c r="B2308" s="46"/>
      <c r="C2308" s="46"/>
      <c r="D2308" s="46"/>
      <c r="E2308" s="46"/>
      <c r="F2308" s="46"/>
      <c r="G2308" s="46"/>
      <c r="H2308" s="46"/>
      <c r="I2308" s="46"/>
      <c r="J2308" s="46"/>
      <c r="K2308" s="46"/>
      <c r="L2308" s="46"/>
      <c r="M2308" s="46"/>
      <c r="N2308" s="46"/>
      <c r="O2308" s="46"/>
      <c r="P2308" s="46"/>
      <c r="Q2308" s="46"/>
      <c r="R2308" s="46"/>
      <c r="S2308" s="46"/>
      <c r="T2308" s="46"/>
      <c r="U2308" s="46"/>
      <c r="V2308" s="46"/>
      <c r="W2308" s="46"/>
      <c r="X2308" s="11" t="str">
        <f>IF(COUNTBLANK(B2308:W2308)&gt;0,"NA",'batch classification'!J2314)</f>
        <v>NA</v>
      </c>
    </row>
    <row r="2309" spans="1:24" x14ac:dyDescent="0.25">
      <c r="A2309" s="45"/>
      <c r="B2309" s="46"/>
      <c r="C2309" s="46"/>
      <c r="D2309" s="46"/>
      <c r="E2309" s="46"/>
      <c r="F2309" s="46"/>
      <c r="G2309" s="46"/>
      <c r="H2309" s="46"/>
      <c r="I2309" s="46"/>
      <c r="J2309" s="46"/>
      <c r="K2309" s="46"/>
      <c r="L2309" s="46"/>
      <c r="M2309" s="46"/>
      <c r="N2309" s="46"/>
      <c r="O2309" s="46"/>
      <c r="P2309" s="46"/>
      <c r="Q2309" s="46"/>
      <c r="R2309" s="46"/>
      <c r="S2309" s="46"/>
      <c r="T2309" s="46"/>
      <c r="U2309" s="46"/>
      <c r="V2309" s="46"/>
      <c r="W2309" s="46"/>
      <c r="X2309" s="11" t="str">
        <f>IF(COUNTBLANK(B2309:W2309)&gt;0,"NA",'batch classification'!J2315)</f>
        <v>NA</v>
      </c>
    </row>
    <row r="2310" spans="1:24" x14ac:dyDescent="0.25">
      <c r="A2310" s="45"/>
      <c r="B2310" s="46"/>
      <c r="C2310" s="46"/>
      <c r="D2310" s="46"/>
      <c r="E2310" s="46"/>
      <c r="F2310" s="46"/>
      <c r="G2310" s="46"/>
      <c r="H2310" s="46"/>
      <c r="I2310" s="46"/>
      <c r="J2310" s="46"/>
      <c r="K2310" s="46"/>
      <c r="L2310" s="46"/>
      <c r="M2310" s="46"/>
      <c r="N2310" s="46"/>
      <c r="O2310" s="46"/>
      <c r="P2310" s="46"/>
      <c r="Q2310" s="46"/>
      <c r="R2310" s="46"/>
      <c r="S2310" s="46"/>
      <c r="T2310" s="46"/>
      <c r="U2310" s="46"/>
      <c r="V2310" s="46"/>
      <c r="W2310" s="46"/>
      <c r="X2310" s="11" t="str">
        <f>IF(COUNTBLANK(B2310:W2310)&gt;0,"NA",'batch classification'!J2316)</f>
        <v>NA</v>
      </c>
    </row>
    <row r="2311" spans="1:24" x14ac:dyDescent="0.25">
      <c r="A2311" s="45"/>
      <c r="B2311" s="46"/>
      <c r="C2311" s="46"/>
      <c r="D2311" s="46"/>
      <c r="E2311" s="46"/>
      <c r="F2311" s="46"/>
      <c r="G2311" s="46"/>
      <c r="H2311" s="46"/>
      <c r="I2311" s="46"/>
      <c r="J2311" s="46"/>
      <c r="K2311" s="46"/>
      <c r="L2311" s="46"/>
      <c r="M2311" s="46"/>
      <c r="N2311" s="46"/>
      <c r="O2311" s="46"/>
      <c r="P2311" s="46"/>
      <c r="Q2311" s="46"/>
      <c r="R2311" s="46"/>
      <c r="S2311" s="46"/>
      <c r="T2311" s="46"/>
      <c r="U2311" s="46"/>
      <c r="V2311" s="46"/>
      <c r="W2311" s="46"/>
      <c r="X2311" s="11" t="str">
        <f>IF(COUNTBLANK(B2311:W2311)&gt;0,"NA",'batch classification'!J2317)</f>
        <v>NA</v>
      </c>
    </row>
    <row r="2312" spans="1:24" x14ac:dyDescent="0.25">
      <c r="A2312" s="45"/>
      <c r="B2312" s="46"/>
      <c r="C2312" s="46"/>
      <c r="D2312" s="46"/>
      <c r="E2312" s="46"/>
      <c r="F2312" s="46"/>
      <c r="G2312" s="46"/>
      <c r="H2312" s="46"/>
      <c r="I2312" s="46"/>
      <c r="J2312" s="46"/>
      <c r="K2312" s="46"/>
      <c r="L2312" s="46"/>
      <c r="M2312" s="46"/>
      <c r="N2312" s="46"/>
      <c r="O2312" s="46"/>
      <c r="P2312" s="46"/>
      <c r="Q2312" s="46"/>
      <c r="R2312" s="46"/>
      <c r="S2312" s="46"/>
      <c r="T2312" s="46"/>
      <c r="U2312" s="46"/>
      <c r="V2312" s="46"/>
      <c r="W2312" s="46"/>
      <c r="X2312" s="11" t="str">
        <f>IF(COUNTBLANK(B2312:W2312)&gt;0,"NA",'batch classification'!J2318)</f>
        <v>NA</v>
      </c>
    </row>
    <row r="2313" spans="1:24" x14ac:dyDescent="0.25">
      <c r="A2313" s="45"/>
      <c r="B2313" s="46"/>
      <c r="C2313" s="46"/>
      <c r="D2313" s="46"/>
      <c r="E2313" s="46"/>
      <c r="F2313" s="46"/>
      <c r="G2313" s="46"/>
      <c r="H2313" s="46"/>
      <c r="I2313" s="46"/>
      <c r="J2313" s="46"/>
      <c r="K2313" s="46"/>
      <c r="L2313" s="46"/>
      <c r="M2313" s="46"/>
      <c r="N2313" s="46"/>
      <c r="O2313" s="46"/>
      <c r="P2313" s="46"/>
      <c r="Q2313" s="46"/>
      <c r="R2313" s="46"/>
      <c r="S2313" s="46"/>
      <c r="T2313" s="46"/>
      <c r="U2313" s="46"/>
      <c r="V2313" s="46"/>
      <c r="W2313" s="46"/>
      <c r="X2313" s="11" t="str">
        <f>IF(COUNTBLANK(B2313:W2313)&gt;0,"NA",'batch classification'!J2319)</f>
        <v>NA</v>
      </c>
    </row>
    <row r="2314" spans="1:24" x14ac:dyDescent="0.25">
      <c r="A2314" s="45"/>
      <c r="B2314" s="46"/>
      <c r="C2314" s="46"/>
      <c r="D2314" s="46"/>
      <c r="E2314" s="46"/>
      <c r="F2314" s="46"/>
      <c r="G2314" s="46"/>
      <c r="H2314" s="46"/>
      <c r="I2314" s="46"/>
      <c r="J2314" s="46"/>
      <c r="K2314" s="46"/>
      <c r="L2314" s="46"/>
      <c r="M2314" s="46"/>
      <c r="N2314" s="46"/>
      <c r="O2314" s="46"/>
      <c r="P2314" s="46"/>
      <c r="Q2314" s="46"/>
      <c r="R2314" s="46"/>
      <c r="S2314" s="46"/>
      <c r="T2314" s="46"/>
      <c r="U2314" s="46"/>
      <c r="V2314" s="46"/>
      <c r="W2314" s="46"/>
      <c r="X2314" s="11" t="str">
        <f>IF(COUNTBLANK(B2314:W2314)&gt;0,"NA",'batch classification'!J2320)</f>
        <v>NA</v>
      </c>
    </row>
    <row r="2315" spans="1:24" x14ac:dyDescent="0.25">
      <c r="A2315" s="45"/>
      <c r="B2315" s="46"/>
      <c r="C2315" s="46"/>
      <c r="D2315" s="46"/>
      <c r="E2315" s="46"/>
      <c r="F2315" s="46"/>
      <c r="G2315" s="46"/>
      <c r="H2315" s="46"/>
      <c r="I2315" s="46"/>
      <c r="J2315" s="46"/>
      <c r="K2315" s="46"/>
      <c r="L2315" s="46"/>
      <c r="M2315" s="46"/>
      <c r="N2315" s="46"/>
      <c r="O2315" s="46"/>
      <c r="P2315" s="46"/>
      <c r="Q2315" s="46"/>
      <c r="R2315" s="46"/>
      <c r="S2315" s="46"/>
      <c r="T2315" s="46"/>
      <c r="U2315" s="46"/>
      <c r="V2315" s="46"/>
      <c r="W2315" s="46"/>
      <c r="X2315" s="11" t="str">
        <f>IF(COUNTBLANK(B2315:W2315)&gt;0,"NA",'batch classification'!J2321)</f>
        <v>NA</v>
      </c>
    </row>
    <row r="2316" spans="1:24" x14ac:dyDescent="0.25">
      <c r="A2316" s="45"/>
      <c r="B2316" s="46"/>
      <c r="C2316" s="46"/>
      <c r="D2316" s="46"/>
      <c r="E2316" s="46"/>
      <c r="F2316" s="46"/>
      <c r="G2316" s="46"/>
      <c r="H2316" s="46"/>
      <c r="I2316" s="46"/>
      <c r="J2316" s="46"/>
      <c r="K2316" s="46"/>
      <c r="L2316" s="46"/>
      <c r="M2316" s="46"/>
      <c r="N2316" s="46"/>
      <c r="O2316" s="46"/>
      <c r="P2316" s="46"/>
      <c r="Q2316" s="46"/>
      <c r="R2316" s="46"/>
      <c r="S2316" s="46"/>
      <c r="T2316" s="46"/>
      <c r="U2316" s="46"/>
      <c r="V2316" s="46"/>
      <c r="W2316" s="46"/>
      <c r="X2316" s="11" t="str">
        <f>IF(COUNTBLANK(B2316:W2316)&gt;0,"NA",'batch classification'!J2322)</f>
        <v>NA</v>
      </c>
    </row>
    <row r="2317" spans="1:24" x14ac:dyDescent="0.25">
      <c r="A2317" s="45"/>
      <c r="B2317" s="46"/>
      <c r="C2317" s="46"/>
      <c r="D2317" s="46"/>
      <c r="E2317" s="46"/>
      <c r="F2317" s="46"/>
      <c r="G2317" s="46"/>
      <c r="H2317" s="46"/>
      <c r="I2317" s="46"/>
      <c r="J2317" s="46"/>
      <c r="K2317" s="46"/>
      <c r="L2317" s="46"/>
      <c r="M2317" s="46"/>
      <c r="N2317" s="46"/>
      <c r="O2317" s="46"/>
      <c r="P2317" s="46"/>
      <c r="Q2317" s="46"/>
      <c r="R2317" s="46"/>
      <c r="S2317" s="46"/>
      <c r="T2317" s="46"/>
      <c r="U2317" s="46"/>
      <c r="V2317" s="46"/>
      <c r="W2317" s="46"/>
      <c r="X2317" s="11" t="str">
        <f>IF(COUNTBLANK(B2317:W2317)&gt;0,"NA",'batch classification'!J2323)</f>
        <v>NA</v>
      </c>
    </row>
    <row r="2318" spans="1:24" x14ac:dyDescent="0.25">
      <c r="A2318" s="45"/>
      <c r="B2318" s="46"/>
      <c r="C2318" s="46"/>
      <c r="D2318" s="46"/>
      <c r="E2318" s="46"/>
      <c r="F2318" s="46"/>
      <c r="G2318" s="46"/>
      <c r="H2318" s="46"/>
      <c r="I2318" s="46"/>
      <c r="J2318" s="46"/>
      <c r="K2318" s="46"/>
      <c r="L2318" s="46"/>
      <c r="M2318" s="46"/>
      <c r="N2318" s="46"/>
      <c r="O2318" s="46"/>
      <c r="P2318" s="46"/>
      <c r="Q2318" s="46"/>
      <c r="R2318" s="46"/>
      <c r="S2318" s="46"/>
      <c r="T2318" s="46"/>
      <c r="U2318" s="46"/>
      <c r="V2318" s="46"/>
      <c r="W2318" s="46"/>
      <c r="X2318" s="11" t="str">
        <f>IF(COUNTBLANK(B2318:W2318)&gt;0,"NA",'batch classification'!J2324)</f>
        <v>NA</v>
      </c>
    </row>
    <row r="2319" spans="1:24" x14ac:dyDescent="0.25">
      <c r="A2319" s="45"/>
      <c r="B2319" s="46"/>
      <c r="C2319" s="46"/>
      <c r="D2319" s="46"/>
      <c r="E2319" s="46"/>
      <c r="F2319" s="46"/>
      <c r="G2319" s="46"/>
      <c r="H2319" s="46"/>
      <c r="I2319" s="46"/>
      <c r="J2319" s="46"/>
      <c r="K2319" s="46"/>
      <c r="L2319" s="46"/>
      <c r="M2319" s="46"/>
      <c r="N2319" s="46"/>
      <c r="O2319" s="46"/>
      <c r="P2319" s="46"/>
      <c r="Q2319" s="46"/>
      <c r="R2319" s="46"/>
      <c r="S2319" s="46"/>
      <c r="T2319" s="46"/>
      <c r="U2319" s="46"/>
      <c r="V2319" s="46"/>
      <c r="W2319" s="46"/>
      <c r="X2319" s="11" t="str">
        <f>IF(COUNTBLANK(B2319:W2319)&gt;0,"NA",'batch classification'!J2325)</f>
        <v>NA</v>
      </c>
    </row>
    <row r="2320" spans="1:24" x14ac:dyDescent="0.25">
      <c r="A2320" s="45"/>
      <c r="B2320" s="46"/>
      <c r="C2320" s="46"/>
      <c r="D2320" s="46"/>
      <c r="E2320" s="46"/>
      <c r="F2320" s="46"/>
      <c r="G2320" s="46"/>
      <c r="H2320" s="46"/>
      <c r="I2320" s="46"/>
      <c r="J2320" s="46"/>
      <c r="K2320" s="46"/>
      <c r="L2320" s="46"/>
      <c r="M2320" s="46"/>
      <c r="N2320" s="46"/>
      <c r="O2320" s="46"/>
      <c r="P2320" s="46"/>
      <c r="Q2320" s="46"/>
      <c r="R2320" s="46"/>
      <c r="S2320" s="46"/>
      <c r="T2320" s="46"/>
      <c r="U2320" s="46"/>
      <c r="V2320" s="46"/>
      <c r="W2320" s="46"/>
      <c r="X2320" s="11" t="str">
        <f>IF(COUNTBLANK(B2320:W2320)&gt;0,"NA",'batch classification'!J2326)</f>
        <v>NA</v>
      </c>
    </row>
    <row r="2321" spans="1:24" x14ac:dyDescent="0.25">
      <c r="A2321" s="45"/>
      <c r="B2321" s="46"/>
      <c r="C2321" s="46"/>
      <c r="D2321" s="46"/>
      <c r="E2321" s="46"/>
      <c r="F2321" s="46"/>
      <c r="G2321" s="46"/>
      <c r="H2321" s="46"/>
      <c r="I2321" s="46"/>
      <c r="J2321" s="46"/>
      <c r="K2321" s="46"/>
      <c r="L2321" s="46"/>
      <c r="M2321" s="46"/>
      <c r="N2321" s="46"/>
      <c r="O2321" s="46"/>
      <c r="P2321" s="46"/>
      <c r="Q2321" s="46"/>
      <c r="R2321" s="46"/>
      <c r="S2321" s="46"/>
      <c r="T2321" s="46"/>
      <c r="U2321" s="46"/>
      <c r="V2321" s="46"/>
      <c r="W2321" s="46"/>
      <c r="X2321" s="11" t="str">
        <f>IF(COUNTBLANK(B2321:W2321)&gt;0,"NA",'batch classification'!J2327)</f>
        <v>NA</v>
      </c>
    </row>
    <row r="2322" spans="1:24" x14ac:dyDescent="0.25">
      <c r="A2322" s="45"/>
      <c r="B2322" s="46"/>
      <c r="C2322" s="46"/>
      <c r="D2322" s="46"/>
      <c r="E2322" s="46"/>
      <c r="F2322" s="46"/>
      <c r="G2322" s="46"/>
      <c r="H2322" s="46"/>
      <c r="I2322" s="46"/>
      <c r="J2322" s="46"/>
      <c r="K2322" s="46"/>
      <c r="L2322" s="46"/>
      <c r="M2322" s="46"/>
      <c r="N2322" s="46"/>
      <c r="O2322" s="46"/>
      <c r="P2322" s="46"/>
      <c r="Q2322" s="46"/>
      <c r="R2322" s="46"/>
      <c r="S2322" s="46"/>
      <c r="T2322" s="46"/>
      <c r="U2322" s="46"/>
      <c r="V2322" s="46"/>
      <c r="W2322" s="46"/>
      <c r="X2322" s="11" t="str">
        <f>IF(COUNTBLANK(B2322:W2322)&gt;0,"NA",'batch classification'!J2328)</f>
        <v>NA</v>
      </c>
    </row>
    <row r="2323" spans="1:24" x14ac:dyDescent="0.25">
      <c r="A2323" s="45"/>
      <c r="B2323" s="46"/>
      <c r="C2323" s="46"/>
      <c r="D2323" s="46"/>
      <c r="E2323" s="46"/>
      <c r="F2323" s="46"/>
      <c r="G2323" s="46"/>
      <c r="H2323" s="46"/>
      <c r="I2323" s="46"/>
      <c r="J2323" s="46"/>
      <c r="K2323" s="46"/>
      <c r="L2323" s="46"/>
      <c r="M2323" s="46"/>
      <c r="N2323" s="46"/>
      <c r="O2323" s="46"/>
      <c r="P2323" s="46"/>
      <c r="Q2323" s="46"/>
      <c r="R2323" s="46"/>
      <c r="S2323" s="46"/>
      <c r="T2323" s="46"/>
      <c r="U2323" s="46"/>
      <c r="V2323" s="46"/>
      <c r="W2323" s="46"/>
      <c r="X2323" s="11" t="str">
        <f>IF(COUNTBLANK(B2323:W2323)&gt;0,"NA",'batch classification'!J2329)</f>
        <v>NA</v>
      </c>
    </row>
    <row r="2324" spans="1:24" x14ac:dyDescent="0.25">
      <c r="A2324" s="45"/>
      <c r="B2324" s="46"/>
      <c r="C2324" s="46"/>
      <c r="D2324" s="46"/>
      <c r="E2324" s="46"/>
      <c r="F2324" s="46"/>
      <c r="G2324" s="46"/>
      <c r="H2324" s="46"/>
      <c r="I2324" s="46"/>
      <c r="J2324" s="46"/>
      <c r="K2324" s="46"/>
      <c r="L2324" s="46"/>
      <c r="M2324" s="46"/>
      <c r="N2324" s="46"/>
      <c r="O2324" s="46"/>
      <c r="P2324" s="46"/>
      <c r="Q2324" s="46"/>
      <c r="R2324" s="46"/>
      <c r="S2324" s="46"/>
      <c r="T2324" s="46"/>
      <c r="U2324" s="46"/>
      <c r="V2324" s="46"/>
      <c r="W2324" s="46"/>
      <c r="X2324" s="11" t="str">
        <f>IF(COUNTBLANK(B2324:W2324)&gt;0,"NA",'batch classification'!J2330)</f>
        <v>NA</v>
      </c>
    </row>
    <row r="2325" spans="1:24" x14ac:dyDescent="0.25">
      <c r="A2325" s="45"/>
      <c r="B2325" s="46"/>
      <c r="C2325" s="46"/>
      <c r="D2325" s="46"/>
      <c r="E2325" s="46"/>
      <c r="F2325" s="46"/>
      <c r="G2325" s="46"/>
      <c r="H2325" s="46"/>
      <c r="I2325" s="46"/>
      <c r="J2325" s="46"/>
      <c r="K2325" s="46"/>
      <c r="L2325" s="46"/>
      <c r="M2325" s="46"/>
      <c r="N2325" s="46"/>
      <c r="O2325" s="46"/>
      <c r="P2325" s="46"/>
      <c r="Q2325" s="46"/>
      <c r="R2325" s="46"/>
      <c r="S2325" s="46"/>
      <c r="T2325" s="46"/>
      <c r="U2325" s="46"/>
      <c r="V2325" s="46"/>
      <c r="W2325" s="46"/>
      <c r="X2325" s="11" t="str">
        <f>IF(COUNTBLANK(B2325:W2325)&gt;0,"NA",'batch classification'!J2331)</f>
        <v>NA</v>
      </c>
    </row>
    <row r="2326" spans="1:24" x14ac:dyDescent="0.25">
      <c r="A2326" s="45"/>
      <c r="B2326" s="46"/>
      <c r="C2326" s="46"/>
      <c r="D2326" s="46"/>
      <c r="E2326" s="46"/>
      <c r="F2326" s="46"/>
      <c r="G2326" s="46"/>
      <c r="H2326" s="46"/>
      <c r="I2326" s="46"/>
      <c r="J2326" s="46"/>
      <c r="K2326" s="46"/>
      <c r="L2326" s="46"/>
      <c r="M2326" s="46"/>
      <c r="N2326" s="46"/>
      <c r="O2326" s="46"/>
      <c r="P2326" s="46"/>
      <c r="Q2326" s="46"/>
      <c r="R2326" s="46"/>
      <c r="S2326" s="46"/>
      <c r="T2326" s="46"/>
      <c r="U2326" s="46"/>
      <c r="V2326" s="46"/>
      <c r="W2326" s="46"/>
      <c r="X2326" s="11" t="str">
        <f>IF(COUNTBLANK(B2326:W2326)&gt;0,"NA",'batch classification'!J2332)</f>
        <v>NA</v>
      </c>
    </row>
    <row r="2327" spans="1:24" x14ac:dyDescent="0.25">
      <c r="A2327" s="45"/>
      <c r="B2327" s="46"/>
      <c r="C2327" s="46"/>
      <c r="D2327" s="46"/>
      <c r="E2327" s="46"/>
      <c r="F2327" s="46"/>
      <c r="G2327" s="46"/>
      <c r="H2327" s="46"/>
      <c r="I2327" s="46"/>
      <c r="J2327" s="46"/>
      <c r="K2327" s="46"/>
      <c r="L2327" s="46"/>
      <c r="M2327" s="46"/>
      <c r="N2327" s="46"/>
      <c r="O2327" s="46"/>
      <c r="P2327" s="46"/>
      <c r="Q2327" s="46"/>
      <c r="R2327" s="46"/>
      <c r="S2327" s="46"/>
      <c r="T2327" s="46"/>
      <c r="U2327" s="46"/>
      <c r="V2327" s="46"/>
      <c r="W2327" s="46"/>
      <c r="X2327" s="11" t="str">
        <f>IF(COUNTBLANK(B2327:W2327)&gt;0,"NA",'batch classification'!J2333)</f>
        <v>NA</v>
      </c>
    </row>
    <row r="2328" spans="1:24" x14ac:dyDescent="0.25">
      <c r="A2328" s="45"/>
      <c r="B2328" s="46"/>
      <c r="C2328" s="46"/>
      <c r="D2328" s="46"/>
      <c r="E2328" s="46"/>
      <c r="F2328" s="46"/>
      <c r="G2328" s="46"/>
      <c r="H2328" s="46"/>
      <c r="I2328" s="46"/>
      <c r="J2328" s="46"/>
      <c r="K2328" s="46"/>
      <c r="L2328" s="46"/>
      <c r="M2328" s="46"/>
      <c r="N2328" s="46"/>
      <c r="O2328" s="46"/>
      <c r="P2328" s="46"/>
      <c r="Q2328" s="46"/>
      <c r="R2328" s="46"/>
      <c r="S2328" s="46"/>
      <c r="T2328" s="46"/>
      <c r="U2328" s="46"/>
      <c r="V2328" s="46"/>
      <c r="W2328" s="46"/>
      <c r="X2328" s="11" t="str">
        <f>IF(COUNTBLANK(B2328:W2328)&gt;0,"NA",'batch classification'!J2334)</f>
        <v>NA</v>
      </c>
    </row>
    <row r="2329" spans="1:24" x14ac:dyDescent="0.25">
      <c r="A2329" s="45"/>
      <c r="B2329" s="46"/>
      <c r="C2329" s="46"/>
      <c r="D2329" s="46"/>
      <c r="E2329" s="46"/>
      <c r="F2329" s="46"/>
      <c r="G2329" s="46"/>
      <c r="H2329" s="46"/>
      <c r="I2329" s="46"/>
      <c r="J2329" s="46"/>
      <c r="K2329" s="46"/>
      <c r="L2329" s="46"/>
      <c r="M2329" s="46"/>
      <c r="N2329" s="46"/>
      <c r="O2329" s="46"/>
      <c r="P2329" s="46"/>
      <c r="Q2329" s="46"/>
      <c r="R2329" s="46"/>
      <c r="S2329" s="46"/>
      <c r="T2329" s="46"/>
      <c r="U2329" s="46"/>
      <c r="V2329" s="46"/>
      <c r="W2329" s="46"/>
      <c r="X2329" s="11" t="str">
        <f>IF(COUNTBLANK(B2329:W2329)&gt;0,"NA",'batch classification'!J2335)</f>
        <v>NA</v>
      </c>
    </row>
    <row r="2330" spans="1:24" x14ac:dyDescent="0.25">
      <c r="A2330" s="45"/>
      <c r="B2330" s="46"/>
      <c r="C2330" s="46"/>
      <c r="D2330" s="46"/>
      <c r="E2330" s="46"/>
      <c r="F2330" s="46"/>
      <c r="G2330" s="46"/>
      <c r="H2330" s="46"/>
      <c r="I2330" s="46"/>
      <c r="J2330" s="46"/>
      <c r="K2330" s="46"/>
      <c r="L2330" s="46"/>
      <c r="M2330" s="46"/>
      <c r="N2330" s="46"/>
      <c r="O2330" s="46"/>
      <c r="P2330" s="46"/>
      <c r="Q2330" s="46"/>
      <c r="R2330" s="46"/>
      <c r="S2330" s="46"/>
      <c r="T2330" s="46"/>
      <c r="U2330" s="46"/>
      <c r="V2330" s="46"/>
      <c r="W2330" s="46"/>
      <c r="X2330" s="11" t="str">
        <f>IF(COUNTBLANK(B2330:W2330)&gt;0,"NA",'batch classification'!J2336)</f>
        <v>NA</v>
      </c>
    </row>
    <row r="2331" spans="1:24" x14ac:dyDescent="0.25">
      <c r="A2331" s="45"/>
      <c r="B2331" s="46"/>
      <c r="C2331" s="46"/>
      <c r="D2331" s="46"/>
      <c r="E2331" s="46"/>
      <c r="F2331" s="46"/>
      <c r="G2331" s="46"/>
      <c r="H2331" s="46"/>
      <c r="I2331" s="46"/>
      <c r="J2331" s="46"/>
      <c r="K2331" s="46"/>
      <c r="L2331" s="46"/>
      <c r="M2331" s="46"/>
      <c r="N2331" s="46"/>
      <c r="O2331" s="46"/>
      <c r="P2331" s="46"/>
      <c r="Q2331" s="46"/>
      <c r="R2331" s="46"/>
      <c r="S2331" s="46"/>
      <c r="T2331" s="46"/>
      <c r="U2331" s="46"/>
      <c r="V2331" s="46"/>
      <c r="W2331" s="46"/>
      <c r="X2331" s="11" t="str">
        <f>IF(COUNTBLANK(B2331:W2331)&gt;0,"NA",'batch classification'!J2337)</f>
        <v>NA</v>
      </c>
    </row>
    <row r="2332" spans="1:24" x14ac:dyDescent="0.25">
      <c r="A2332" s="45"/>
      <c r="B2332" s="46"/>
      <c r="C2332" s="46"/>
      <c r="D2332" s="46"/>
      <c r="E2332" s="46"/>
      <c r="F2332" s="46"/>
      <c r="G2332" s="46"/>
      <c r="H2332" s="46"/>
      <c r="I2332" s="46"/>
      <c r="J2332" s="46"/>
      <c r="K2332" s="46"/>
      <c r="L2332" s="46"/>
      <c r="M2332" s="46"/>
      <c r="N2332" s="46"/>
      <c r="O2332" s="46"/>
      <c r="P2332" s="46"/>
      <c r="Q2332" s="46"/>
      <c r="R2332" s="46"/>
      <c r="S2332" s="46"/>
      <c r="T2332" s="46"/>
      <c r="U2332" s="46"/>
      <c r="V2332" s="46"/>
      <c r="W2332" s="46"/>
      <c r="X2332" s="11" t="str">
        <f>IF(COUNTBLANK(B2332:W2332)&gt;0,"NA",'batch classification'!J2338)</f>
        <v>NA</v>
      </c>
    </row>
    <row r="2333" spans="1:24" x14ac:dyDescent="0.25">
      <c r="A2333" s="45"/>
      <c r="B2333" s="46"/>
      <c r="C2333" s="46"/>
      <c r="D2333" s="46"/>
      <c r="E2333" s="46"/>
      <c r="F2333" s="46"/>
      <c r="G2333" s="46"/>
      <c r="H2333" s="46"/>
      <c r="I2333" s="46"/>
      <c r="J2333" s="46"/>
      <c r="K2333" s="46"/>
      <c r="L2333" s="46"/>
      <c r="M2333" s="46"/>
      <c r="N2333" s="46"/>
      <c r="O2333" s="46"/>
      <c r="P2333" s="46"/>
      <c r="Q2333" s="46"/>
      <c r="R2333" s="46"/>
      <c r="S2333" s="46"/>
      <c r="T2333" s="46"/>
      <c r="U2333" s="46"/>
      <c r="V2333" s="46"/>
      <c r="W2333" s="46"/>
      <c r="X2333" s="11" t="str">
        <f>IF(COUNTBLANK(B2333:W2333)&gt;0,"NA",'batch classification'!J2339)</f>
        <v>NA</v>
      </c>
    </row>
    <row r="2334" spans="1:24" x14ac:dyDescent="0.25">
      <c r="A2334" s="45"/>
      <c r="B2334" s="46"/>
      <c r="C2334" s="46"/>
      <c r="D2334" s="46"/>
      <c r="E2334" s="46"/>
      <c r="F2334" s="46"/>
      <c r="G2334" s="46"/>
      <c r="H2334" s="46"/>
      <c r="I2334" s="46"/>
      <c r="J2334" s="46"/>
      <c r="K2334" s="46"/>
      <c r="L2334" s="46"/>
      <c r="M2334" s="46"/>
      <c r="N2334" s="46"/>
      <c r="O2334" s="46"/>
      <c r="P2334" s="46"/>
      <c r="Q2334" s="46"/>
      <c r="R2334" s="46"/>
      <c r="S2334" s="46"/>
      <c r="T2334" s="46"/>
      <c r="U2334" s="46"/>
      <c r="V2334" s="46"/>
      <c r="W2334" s="46"/>
      <c r="X2334" s="11" t="str">
        <f>IF(COUNTBLANK(B2334:W2334)&gt;0,"NA",'batch classification'!J2340)</f>
        <v>NA</v>
      </c>
    </row>
    <row r="2335" spans="1:24" x14ac:dyDescent="0.25">
      <c r="A2335" s="45"/>
      <c r="B2335" s="46"/>
      <c r="C2335" s="46"/>
      <c r="D2335" s="46"/>
      <c r="E2335" s="46"/>
      <c r="F2335" s="46"/>
      <c r="G2335" s="46"/>
      <c r="H2335" s="46"/>
      <c r="I2335" s="46"/>
      <c r="J2335" s="46"/>
      <c r="K2335" s="46"/>
      <c r="L2335" s="46"/>
      <c r="M2335" s="46"/>
      <c r="N2335" s="46"/>
      <c r="O2335" s="46"/>
      <c r="P2335" s="46"/>
      <c r="Q2335" s="46"/>
      <c r="R2335" s="46"/>
      <c r="S2335" s="46"/>
      <c r="T2335" s="46"/>
      <c r="U2335" s="46"/>
      <c r="V2335" s="46"/>
      <c r="W2335" s="46"/>
      <c r="X2335" s="11" t="str">
        <f>IF(COUNTBLANK(B2335:W2335)&gt;0,"NA",'batch classification'!J2341)</f>
        <v>NA</v>
      </c>
    </row>
    <row r="2336" spans="1:24" x14ac:dyDescent="0.25">
      <c r="A2336" s="45"/>
      <c r="B2336" s="46"/>
      <c r="C2336" s="46"/>
      <c r="D2336" s="46"/>
      <c r="E2336" s="46"/>
      <c r="F2336" s="46"/>
      <c r="G2336" s="46"/>
      <c r="H2336" s="46"/>
      <c r="I2336" s="46"/>
      <c r="J2336" s="46"/>
      <c r="K2336" s="46"/>
      <c r="L2336" s="46"/>
      <c r="M2336" s="46"/>
      <c r="N2336" s="46"/>
      <c r="O2336" s="46"/>
      <c r="P2336" s="46"/>
      <c r="Q2336" s="46"/>
      <c r="R2336" s="46"/>
      <c r="S2336" s="46"/>
      <c r="T2336" s="46"/>
      <c r="U2336" s="46"/>
      <c r="V2336" s="46"/>
      <c r="W2336" s="46"/>
      <c r="X2336" s="11" t="str">
        <f>IF(COUNTBLANK(B2336:W2336)&gt;0,"NA",'batch classification'!J2342)</f>
        <v>NA</v>
      </c>
    </row>
    <row r="2337" spans="1:24" x14ac:dyDescent="0.25">
      <c r="A2337" s="45"/>
      <c r="B2337" s="46"/>
      <c r="C2337" s="46"/>
      <c r="D2337" s="46"/>
      <c r="E2337" s="46"/>
      <c r="F2337" s="46"/>
      <c r="G2337" s="46"/>
      <c r="H2337" s="46"/>
      <c r="I2337" s="46"/>
      <c r="J2337" s="46"/>
      <c r="K2337" s="46"/>
      <c r="L2337" s="46"/>
      <c r="M2337" s="46"/>
      <c r="N2337" s="46"/>
      <c r="O2337" s="46"/>
      <c r="P2337" s="46"/>
      <c r="Q2337" s="46"/>
      <c r="R2337" s="46"/>
      <c r="S2337" s="46"/>
      <c r="T2337" s="46"/>
      <c r="U2337" s="46"/>
      <c r="V2337" s="46"/>
      <c r="W2337" s="46"/>
      <c r="X2337" s="11" t="str">
        <f>IF(COUNTBLANK(B2337:W2337)&gt;0,"NA",'batch classification'!J2343)</f>
        <v>NA</v>
      </c>
    </row>
    <row r="2338" spans="1:24" x14ac:dyDescent="0.25">
      <c r="A2338" s="45"/>
      <c r="B2338" s="46"/>
      <c r="C2338" s="46"/>
      <c r="D2338" s="46"/>
      <c r="E2338" s="46"/>
      <c r="F2338" s="46"/>
      <c r="G2338" s="46"/>
      <c r="H2338" s="46"/>
      <c r="I2338" s="46"/>
      <c r="J2338" s="46"/>
      <c r="K2338" s="46"/>
      <c r="L2338" s="46"/>
      <c r="M2338" s="46"/>
      <c r="N2338" s="46"/>
      <c r="O2338" s="46"/>
      <c r="P2338" s="46"/>
      <c r="Q2338" s="46"/>
      <c r="R2338" s="46"/>
      <c r="S2338" s="46"/>
      <c r="T2338" s="46"/>
      <c r="U2338" s="46"/>
      <c r="V2338" s="46"/>
      <c r="W2338" s="46"/>
      <c r="X2338" s="11" t="str">
        <f>IF(COUNTBLANK(B2338:W2338)&gt;0,"NA",'batch classification'!J2344)</f>
        <v>NA</v>
      </c>
    </row>
    <row r="2339" spans="1:24" x14ac:dyDescent="0.25">
      <c r="A2339" s="45"/>
      <c r="B2339" s="46"/>
      <c r="C2339" s="46"/>
      <c r="D2339" s="46"/>
      <c r="E2339" s="46"/>
      <c r="F2339" s="46"/>
      <c r="G2339" s="46"/>
      <c r="H2339" s="46"/>
      <c r="I2339" s="46"/>
      <c r="J2339" s="46"/>
      <c r="K2339" s="46"/>
      <c r="L2339" s="46"/>
      <c r="M2339" s="46"/>
      <c r="N2339" s="46"/>
      <c r="O2339" s="46"/>
      <c r="P2339" s="46"/>
      <c r="Q2339" s="46"/>
      <c r="R2339" s="46"/>
      <c r="S2339" s="46"/>
      <c r="T2339" s="46"/>
      <c r="U2339" s="46"/>
      <c r="V2339" s="46"/>
      <c r="W2339" s="46"/>
      <c r="X2339" s="11" t="str">
        <f>IF(COUNTBLANK(B2339:W2339)&gt;0,"NA",'batch classification'!J2345)</f>
        <v>NA</v>
      </c>
    </row>
    <row r="2340" spans="1:24" x14ac:dyDescent="0.25">
      <c r="A2340" s="45"/>
      <c r="B2340" s="46"/>
      <c r="C2340" s="46"/>
      <c r="D2340" s="46"/>
      <c r="E2340" s="46"/>
      <c r="F2340" s="46"/>
      <c r="G2340" s="46"/>
      <c r="H2340" s="46"/>
      <c r="I2340" s="46"/>
      <c r="J2340" s="46"/>
      <c r="K2340" s="46"/>
      <c r="L2340" s="46"/>
      <c r="M2340" s="46"/>
      <c r="N2340" s="46"/>
      <c r="O2340" s="46"/>
      <c r="P2340" s="46"/>
      <c r="Q2340" s="46"/>
      <c r="R2340" s="46"/>
      <c r="S2340" s="46"/>
      <c r="T2340" s="46"/>
      <c r="U2340" s="46"/>
      <c r="V2340" s="46"/>
      <c r="W2340" s="46"/>
      <c r="X2340" s="11" t="str">
        <f>IF(COUNTBLANK(B2340:W2340)&gt;0,"NA",'batch classification'!J2346)</f>
        <v>NA</v>
      </c>
    </row>
    <row r="2341" spans="1:24" x14ac:dyDescent="0.25">
      <c r="A2341" s="45"/>
      <c r="B2341" s="46"/>
      <c r="C2341" s="46"/>
      <c r="D2341" s="46"/>
      <c r="E2341" s="46"/>
      <c r="F2341" s="46"/>
      <c r="G2341" s="46"/>
      <c r="H2341" s="46"/>
      <c r="I2341" s="46"/>
      <c r="J2341" s="46"/>
      <c r="K2341" s="46"/>
      <c r="L2341" s="46"/>
      <c r="M2341" s="46"/>
      <c r="N2341" s="46"/>
      <c r="O2341" s="46"/>
      <c r="P2341" s="46"/>
      <c r="Q2341" s="46"/>
      <c r="R2341" s="46"/>
      <c r="S2341" s="46"/>
      <c r="T2341" s="46"/>
      <c r="U2341" s="46"/>
      <c r="V2341" s="46"/>
      <c r="W2341" s="46"/>
      <c r="X2341" s="11" t="str">
        <f>IF(COUNTBLANK(B2341:W2341)&gt;0,"NA",'batch classification'!J2347)</f>
        <v>NA</v>
      </c>
    </row>
    <row r="2342" spans="1:24" x14ac:dyDescent="0.25">
      <c r="A2342" s="45"/>
      <c r="B2342" s="46"/>
      <c r="C2342" s="46"/>
      <c r="D2342" s="46"/>
      <c r="E2342" s="46"/>
      <c r="F2342" s="46"/>
      <c r="G2342" s="46"/>
      <c r="H2342" s="46"/>
      <c r="I2342" s="46"/>
      <c r="J2342" s="46"/>
      <c r="K2342" s="46"/>
      <c r="L2342" s="46"/>
      <c r="M2342" s="46"/>
      <c r="N2342" s="46"/>
      <c r="O2342" s="46"/>
      <c r="P2342" s="46"/>
      <c r="Q2342" s="46"/>
      <c r="R2342" s="46"/>
      <c r="S2342" s="46"/>
      <c r="T2342" s="46"/>
      <c r="U2342" s="46"/>
      <c r="V2342" s="46"/>
      <c r="W2342" s="46"/>
      <c r="X2342" s="11" t="str">
        <f>IF(COUNTBLANK(B2342:W2342)&gt;0,"NA",'batch classification'!J2348)</f>
        <v>NA</v>
      </c>
    </row>
    <row r="2343" spans="1:24" x14ac:dyDescent="0.25">
      <c r="A2343" s="45"/>
      <c r="B2343" s="46"/>
      <c r="C2343" s="46"/>
      <c r="D2343" s="46"/>
      <c r="E2343" s="46"/>
      <c r="F2343" s="46"/>
      <c r="G2343" s="46"/>
      <c r="H2343" s="46"/>
      <c r="I2343" s="46"/>
      <c r="J2343" s="46"/>
      <c r="K2343" s="46"/>
      <c r="L2343" s="46"/>
      <c r="M2343" s="46"/>
      <c r="N2343" s="46"/>
      <c r="O2343" s="46"/>
      <c r="P2343" s="46"/>
      <c r="Q2343" s="46"/>
      <c r="R2343" s="46"/>
      <c r="S2343" s="46"/>
      <c r="T2343" s="46"/>
      <c r="U2343" s="46"/>
      <c r="V2343" s="46"/>
      <c r="W2343" s="46"/>
      <c r="X2343" s="11" t="str">
        <f>IF(COUNTBLANK(B2343:W2343)&gt;0,"NA",'batch classification'!J2349)</f>
        <v>NA</v>
      </c>
    </row>
    <row r="2344" spans="1:24" x14ac:dyDescent="0.25">
      <c r="A2344" s="45"/>
      <c r="B2344" s="46"/>
      <c r="C2344" s="46"/>
      <c r="D2344" s="46"/>
      <c r="E2344" s="46"/>
      <c r="F2344" s="46"/>
      <c r="G2344" s="46"/>
      <c r="H2344" s="46"/>
      <c r="I2344" s="46"/>
      <c r="J2344" s="46"/>
      <c r="K2344" s="46"/>
      <c r="L2344" s="46"/>
      <c r="M2344" s="46"/>
      <c r="N2344" s="46"/>
      <c r="O2344" s="46"/>
      <c r="P2344" s="46"/>
      <c r="Q2344" s="46"/>
      <c r="R2344" s="46"/>
      <c r="S2344" s="46"/>
      <c r="T2344" s="46"/>
      <c r="U2344" s="46"/>
      <c r="V2344" s="46"/>
      <c r="W2344" s="46"/>
      <c r="X2344" s="11" t="str">
        <f>IF(COUNTBLANK(B2344:W2344)&gt;0,"NA",'batch classification'!J2350)</f>
        <v>NA</v>
      </c>
    </row>
    <row r="2345" spans="1:24" x14ac:dyDescent="0.25">
      <c r="A2345" s="45"/>
      <c r="B2345" s="46"/>
      <c r="C2345" s="46"/>
      <c r="D2345" s="46"/>
      <c r="E2345" s="46"/>
      <c r="F2345" s="46"/>
      <c r="G2345" s="46"/>
      <c r="H2345" s="46"/>
      <c r="I2345" s="46"/>
      <c r="J2345" s="46"/>
      <c r="K2345" s="46"/>
      <c r="L2345" s="46"/>
      <c r="M2345" s="46"/>
      <c r="N2345" s="46"/>
      <c r="O2345" s="46"/>
      <c r="P2345" s="46"/>
      <c r="Q2345" s="46"/>
      <c r="R2345" s="46"/>
      <c r="S2345" s="46"/>
      <c r="T2345" s="46"/>
      <c r="U2345" s="46"/>
      <c r="V2345" s="46"/>
      <c r="W2345" s="46"/>
      <c r="X2345" s="11" t="str">
        <f>IF(COUNTBLANK(B2345:W2345)&gt;0,"NA",'batch classification'!J2351)</f>
        <v>NA</v>
      </c>
    </row>
    <row r="2346" spans="1:24" x14ac:dyDescent="0.25">
      <c r="A2346" s="45"/>
      <c r="B2346" s="46"/>
      <c r="C2346" s="46"/>
      <c r="D2346" s="46"/>
      <c r="E2346" s="46"/>
      <c r="F2346" s="46"/>
      <c r="G2346" s="46"/>
      <c r="H2346" s="46"/>
      <c r="I2346" s="46"/>
      <c r="J2346" s="46"/>
      <c r="K2346" s="46"/>
      <c r="L2346" s="46"/>
      <c r="M2346" s="46"/>
      <c r="N2346" s="46"/>
      <c r="O2346" s="46"/>
      <c r="P2346" s="46"/>
      <c r="Q2346" s="46"/>
      <c r="R2346" s="46"/>
      <c r="S2346" s="46"/>
      <c r="T2346" s="46"/>
      <c r="U2346" s="46"/>
      <c r="V2346" s="46"/>
      <c r="W2346" s="46"/>
      <c r="X2346" s="11" t="str">
        <f>IF(COUNTBLANK(B2346:W2346)&gt;0,"NA",'batch classification'!J2352)</f>
        <v>NA</v>
      </c>
    </row>
    <row r="2347" spans="1:24" x14ac:dyDescent="0.25">
      <c r="A2347" s="45"/>
      <c r="B2347" s="46"/>
      <c r="C2347" s="46"/>
      <c r="D2347" s="46"/>
      <c r="E2347" s="46"/>
      <c r="F2347" s="46"/>
      <c r="G2347" s="46"/>
      <c r="H2347" s="46"/>
      <c r="I2347" s="46"/>
      <c r="J2347" s="46"/>
      <c r="K2347" s="46"/>
      <c r="L2347" s="46"/>
      <c r="M2347" s="46"/>
      <c r="N2347" s="46"/>
      <c r="O2347" s="46"/>
      <c r="P2347" s="46"/>
      <c r="Q2347" s="46"/>
      <c r="R2347" s="46"/>
      <c r="S2347" s="46"/>
      <c r="T2347" s="46"/>
      <c r="U2347" s="46"/>
      <c r="V2347" s="46"/>
      <c r="W2347" s="46"/>
      <c r="X2347" s="11" t="str">
        <f>IF(COUNTBLANK(B2347:W2347)&gt;0,"NA",'batch classification'!J2353)</f>
        <v>NA</v>
      </c>
    </row>
    <row r="2348" spans="1:24" x14ac:dyDescent="0.25">
      <c r="A2348" s="45"/>
      <c r="B2348" s="46"/>
      <c r="C2348" s="46"/>
      <c r="D2348" s="46"/>
      <c r="E2348" s="46"/>
      <c r="F2348" s="46"/>
      <c r="G2348" s="46"/>
      <c r="H2348" s="46"/>
      <c r="I2348" s="46"/>
      <c r="J2348" s="46"/>
      <c r="K2348" s="46"/>
      <c r="L2348" s="46"/>
      <c r="M2348" s="46"/>
      <c r="N2348" s="46"/>
      <c r="O2348" s="46"/>
      <c r="P2348" s="46"/>
      <c r="Q2348" s="46"/>
      <c r="R2348" s="46"/>
      <c r="S2348" s="46"/>
      <c r="T2348" s="46"/>
      <c r="U2348" s="46"/>
      <c r="V2348" s="46"/>
      <c r="W2348" s="46"/>
      <c r="X2348" s="11" t="str">
        <f>IF(COUNTBLANK(B2348:W2348)&gt;0,"NA",'batch classification'!J2354)</f>
        <v>NA</v>
      </c>
    </row>
    <row r="2349" spans="1:24" x14ac:dyDescent="0.25">
      <c r="A2349" s="45"/>
      <c r="B2349" s="46"/>
      <c r="C2349" s="46"/>
      <c r="D2349" s="46"/>
      <c r="E2349" s="46"/>
      <c r="F2349" s="46"/>
      <c r="G2349" s="46"/>
      <c r="H2349" s="46"/>
      <c r="I2349" s="46"/>
      <c r="J2349" s="46"/>
      <c r="K2349" s="46"/>
      <c r="L2349" s="46"/>
      <c r="M2349" s="46"/>
      <c r="N2349" s="46"/>
      <c r="O2349" s="46"/>
      <c r="P2349" s="46"/>
      <c r="Q2349" s="46"/>
      <c r="R2349" s="46"/>
      <c r="S2349" s="46"/>
      <c r="T2349" s="46"/>
      <c r="U2349" s="46"/>
      <c r="V2349" s="46"/>
      <c r="W2349" s="46"/>
      <c r="X2349" s="11" t="str">
        <f>IF(COUNTBLANK(B2349:W2349)&gt;0,"NA",'batch classification'!J2355)</f>
        <v>NA</v>
      </c>
    </row>
    <row r="2350" spans="1:24" x14ac:dyDescent="0.25">
      <c r="A2350" s="45"/>
      <c r="B2350" s="46"/>
      <c r="C2350" s="46"/>
      <c r="D2350" s="46"/>
      <c r="E2350" s="46"/>
      <c r="F2350" s="46"/>
      <c r="G2350" s="46"/>
      <c r="H2350" s="46"/>
      <c r="I2350" s="46"/>
      <c r="J2350" s="46"/>
      <c r="K2350" s="46"/>
      <c r="L2350" s="46"/>
      <c r="M2350" s="46"/>
      <c r="N2350" s="46"/>
      <c r="O2350" s="46"/>
      <c r="P2350" s="46"/>
      <c r="Q2350" s="46"/>
      <c r="R2350" s="46"/>
      <c r="S2350" s="46"/>
      <c r="T2350" s="46"/>
      <c r="U2350" s="46"/>
      <c r="V2350" s="46"/>
      <c r="W2350" s="46"/>
      <c r="X2350" s="11" t="str">
        <f>IF(COUNTBLANK(B2350:W2350)&gt;0,"NA",'batch classification'!J2356)</f>
        <v>NA</v>
      </c>
    </row>
    <row r="2351" spans="1:24" x14ac:dyDescent="0.25">
      <c r="A2351" s="45"/>
      <c r="B2351" s="46"/>
      <c r="C2351" s="46"/>
      <c r="D2351" s="46"/>
      <c r="E2351" s="46"/>
      <c r="F2351" s="46"/>
      <c r="G2351" s="46"/>
      <c r="H2351" s="46"/>
      <c r="I2351" s="46"/>
      <c r="J2351" s="46"/>
      <c r="K2351" s="46"/>
      <c r="L2351" s="46"/>
      <c r="M2351" s="46"/>
      <c r="N2351" s="46"/>
      <c r="O2351" s="46"/>
      <c r="P2351" s="46"/>
      <c r="Q2351" s="46"/>
      <c r="R2351" s="46"/>
      <c r="S2351" s="46"/>
      <c r="T2351" s="46"/>
      <c r="U2351" s="46"/>
      <c r="V2351" s="46"/>
      <c r="W2351" s="46"/>
      <c r="X2351" s="11" t="str">
        <f>IF(COUNTBLANK(B2351:W2351)&gt;0,"NA",'batch classification'!J2357)</f>
        <v>NA</v>
      </c>
    </row>
    <row r="2352" spans="1:24" x14ac:dyDescent="0.25">
      <c r="A2352" s="45"/>
      <c r="B2352" s="46"/>
      <c r="C2352" s="46"/>
      <c r="D2352" s="46"/>
      <c r="E2352" s="46"/>
      <c r="F2352" s="46"/>
      <c r="G2352" s="46"/>
      <c r="H2352" s="46"/>
      <c r="I2352" s="46"/>
      <c r="J2352" s="46"/>
      <c r="K2352" s="46"/>
      <c r="L2352" s="46"/>
      <c r="M2352" s="46"/>
      <c r="N2352" s="46"/>
      <c r="O2352" s="46"/>
      <c r="P2352" s="46"/>
      <c r="Q2352" s="46"/>
      <c r="R2352" s="46"/>
      <c r="S2352" s="46"/>
      <c r="T2352" s="46"/>
      <c r="U2352" s="46"/>
      <c r="V2352" s="46"/>
      <c r="W2352" s="46"/>
      <c r="X2352" s="11" t="str">
        <f>IF(COUNTBLANK(B2352:W2352)&gt;0,"NA",'batch classification'!J2358)</f>
        <v>NA</v>
      </c>
    </row>
    <row r="2353" spans="1:24" x14ac:dyDescent="0.25">
      <c r="A2353" s="45"/>
      <c r="B2353" s="46"/>
      <c r="C2353" s="46"/>
      <c r="D2353" s="46"/>
      <c r="E2353" s="46"/>
      <c r="F2353" s="46"/>
      <c r="G2353" s="46"/>
      <c r="H2353" s="46"/>
      <c r="I2353" s="46"/>
      <c r="J2353" s="46"/>
      <c r="K2353" s="46"/>
      <c r="L2353" s="46"/>
      <c r="M2353" s="46"/>
      <c r="N2353" s="46"/>
      <c r="O2353" s="46"/>
      <c r="P2353" s="46"/>
      <c r="Q2353" s="46"/>
      <c r="R2353" s="46"/>
      <c r="S2353" s="46"/>
      <c r="T2353" s="46"/>
      <c r="U2353" s="46"/>
      <c r="V2353" s="46"/>
      <c r="W2353" s="46"/>
      <c r="X2353" s="11" t="str">
        <f>IF(COUNTBLANK(B2353:W2353)&gt;0,"NA",'batch classification'!J2359)</f>
        <v>NA</v>
      </c>
    </row>
    <row r="2354" spans="1:24" x14ac:dyDescent="0.25">
      <c r="A2354" s="45"/>
      <c r="B2354" s="46"/>
      <c r="C2354" s="46"/>
      <c r="D2354" s="46"/>
      <c r="E2354" s="46"/>
      <c r="F2354" s="46"/>
      <c r="G2354" s="46"/>
      <c r="H2354" s="46"/>
      <c r="I2354" s="46"/>
      <c r="J2354" s="46"/>
      <c r="K2354" s="46"/>
      <c r="L2354" s="46"/>
      <c r="M2354" s="46"/>
      <c r="N2354" s="46"/>
      <c r="O2354" s="46"/>
      <c r="P2354" s="46"/>
      <c r="Q2354" s="46"/>
      <c r="R2354" s="46"/>
      <c r="S2354" s="46"/>
      <c r="T2354" s="46"/>
      <c r="U2354" s="46"/>
      <c r="V2354" s="46"/>
      <c r="W2354" s="46"/>
      <c r="X2354" s="11" t="str">
        <f>IF(COUNTBLANK(B2354:W2354)&gt;0,"NA",'batch classification'!J2360)</f>
        <v>NA</v>
      </c>
    </row>
    <row r="2355" spans="1:24" x14ac:dyDescent="0.25">
      <c r="A2355" s="45"/>
      <c r="B2355" s="46"/>
      <c r="C2355" s="46"/>
      <c r="D2355" s="46"/>
      <c r="E2355" s="46"/>
      <c r="F2355" s="46"/>
      <c r="G2355" s="46"/>
      <c r="H2355" s="46"/>
      <c r="I2355" s="46"/>
      <c r="J2355" s="46"/>
      <c r="K2355" s="46"/>
      <c r="L2355" s="46"/>
      <c r="M2355" s="46"/>
      <c r="N2355" s="46"/>
      <c r="O2355" s="46"/>
      <c r="P2355" s="46"/>
      <c r="Q2355" s="46"/>
      <c r="R2355" s="46"/>
      <c r="S2355" s="46"/>
      <c r="T2355" s="46"/>
      <c r="U2355" s="46"/>
      <c r="V2355" s="46"/>
      <c r="W2355" s="46"/>
      <c r="X2355" s="11" t="str">
        <f>IF(COUNTBLANK(B2355:W2355)&gt;0,"NA",'batch classification'!J2361)</f>
        <v>NA</v>
      </c>
    </row>
    <row r="2356" spans="1:24" x14ac:dyDescent="0.25">
      <c r="A2356" s="45"/>
      <c r="B2356" s="46"/>
      <c r="C2356" s="46"/>
      <c r="D2356" s="46"/>
      <c r="E2356" s="46"/>
      <c r="F2356" s="46"/>
      <c r="G2356" s="46"/>
      <c r="H2356" s="46"/>
      <c r="I2356" s="46"/>
      <c r="J2356" s="46"/>
      <c r="K2356" s="46"/>
      <c r="L2356" s="46"/>
      <c r="M2356" s="46"/>
      <c r="N2356" s="46"/>
      <c r="O2356" s="46"/>
      <c r="P2356" s="46"/>
      <c r="Q2356" s="46"/>
      <c r="R2356" s="46"/>
      <c r="S2356" s="46"/>
      <c r="T2356" s="46"/>
      <c r="U2356" s="46"/>
      <c r="V2356" s="46"/>
      <c r="W2356" s="46"/>
      <c r="X2356" s="11" t="str">
        <f>IF(COUNTBLANK(B2356:W2356)&gt;0,"NA",'batch classification'!J2362)</f>
        <v>NA</v>
      </c>
    </row>
    <row r="2357" spans="1:24" x14ac:dyDescent="0.25">
      <c r="A2357" s="45"/>
      <c r="B2357" s="46"/>
      <c r="C2357" s="46"/>
      <c r="D2357" s="46"/>
      <c r="E2357" s="46"/>
      <c r="F2357" s="46"/>
      <c r="G2357" s="46"/>
      <c r="H2357" s="46"/>
      <c r="I2357" s="46"/>
      <c r="J2357" s="46"/>
      <c r="K2357" s="46"/>
      <c r="L2357" s="46"/>
      <c r="M2357" s="46"/>
      <c r="N2357" s="46"/>
      <c r="O2357" s="46"/>
      <c r="P2357" s="46"/>
      <c r="Q2357" s="46"/>
      <c r="R2357" s="46"/>
      <c r="S2357" s="46"/>
      <c r="T2357" s="46"/>
      <c r="U2357" s="46"/>
      <c r="V2357" s="46"/>
      <c r="W2357" s="46"/>
      <c r="X2357" s="11" t="str">
        <f>IF(COUNTBLANK(B2357:W2357)&gt;0,"NA",'batch classification'!J2363)</f>
        <v>NA</v>
      </c>
    </row>
    <row r="2358" spans="1:24" x14ac:dyDescent="0.25">
      <c r="A2358" s="45"/>
      <c r="B2358" s="46"/>
      <c r="C2358" s="46"/>
      <c r="D2358" s="46"/>
      <c r="E2358" s="46"/>
      <c r="F2358" s="46"/>
      <c r="G2358" s="46"/>
      <c r="H2358" s="46"/>
      <c r="I2358" s="46"/>
      <c r="J2358" s="46"/>
      <c r="K2358" s="46"/>
      <c r="L2358" s="46"/>
      <c r="M2358" s="46"/>
      <c r="N2358" s="46"/>
      <c r="O2358" s="46"/>
      <c r="P2358" s="46"/>
      <c r="Q2358" s="46"/>
      <c r="R2358" s="46"/>
      <c r="S2358" s="46"/>
      <c r="T2358" s="46"/>
      <c r="U2358" s="46"/>
      <c r="V2358" s="46"/>
      <c r="W2358" s="46"/>
      <c r="X2358" s="11" t="str">
        <f>IF(COUNTBLANK(B2358:W2358)&gt;0,"NA",'batch classification'!J2364)</f>
        <v>NA</v>
      </c>
    </row>
    <row r="2359" spans="1:24" x14ac:dyDescent="0.25">
      <c r="A2359" s="45"/>
      <c r="B2359" s="46"/>
      <c r="C2359" s="46"/>
      <c r="D2359" s="46"/>
      <c r="E2359" s="46"/>
      <c r="F2359" s="46"/>
      <c r="G2359" s="46"/>
      <c r="H2359" s="46"/>
      <c r="I2359" s="46"/>
      <c r="J2359" s="46"/>
      <c r="K2359" s="46"/>
      <c r="L2359" s="46"/>
      <c r="M2359" s="46"/>
      <c r="N2359" s="46"/>
      <c r="O2359" s="46"/>
      <c r="P2359" s="46"/>
      <c r="Q2359" s="46"/>
      <c r="R2359" s="46"/>
      <c r="S2359" s="46"/>
      <c r="T2359" s="46"/>
      <c r="U2359" s="46"/>
      <c r="V2359" s="46"/>
      <c r="W2359" s="46"/>
      <c r="X2359" s="11" t="str">
        <f>IF(COUNTBLANK(B2359:W2359)&gt;0,"NA",'batch classification'!J2365)</f>
        <v>NA</v>
      </c>
    </row>
    <row r="2360" spans="1:24" x14ac:dyDescent="0.25">
      <c r="A2360" s="45"/>
      <c r="B2360" s="46"/>
      <c r="C2360" s="46"/>
      <c r="D2360" s="46"/>
      <c r="E2360" s="46"/>
      <c r="F2360" s="46"/>
      <c r="G2360" s="46"/>
      <c r="H2360" s="46"/>
      <c r="I2360" s="46"/>
      <c r="J2360" s="46"/>
      <c r="K2360" s="46"/>
      <c r="L2360" s="46"/>
      <c r="M2360" s="46"/>
      <c r="N2360" s="46"/>
      <c r="O2360" s="46"/>
      <c r="P2360" s="46"/>
      <c r="Q2360" s="46"/>
      <c r="R2360" s="46"/>
      <c r="S2360" s="46"/>
      <c r="T2360" s="46"/>
      <c r="U2360" s="46"/>
      <c r="V2360" s="46"/>
      <c r="W2360" s="46"/>
      <c r="X2360" s="11" t="str">
        <f>IF(COUNTBLANK(B2360:W2360)&gt;0,"NA",'batch classification'!J2366)</f>
        <v>NA</v>
      </c>
    </row>
    <row r="2361" spans="1:24" x14ac:dyDescent="0.25">
      <c r="A2361" s="45"/>
      <c r="B2361" s="46"/>
      <c r="C2361" s="46"/>
      <c r="D2361" s="46"/>
      <c r="E2361" s="46"/>
      <c r="F2361" s="46"/>
      <c r="G2361" s="46"/>
      <c r="H2361" s="46"/>
      <c r="I2361" s="46"/>
      <c r="J2361" s="46"/>
      <c r="K2361" s="46"/>
      <c r="L2361" s="46"/>
      <c r="M2361" s="46"/>
      <c r="N2361" s="46"/>
      <c r="O2361" s="46"/>
      <c r="P2361" s="46"/>
      <c r="Q2361" s="46"/>
      <c r="R2361" s="46"/>
      <c r="S2361" s="46"/>
      <c r="T2361" s="46"/>
      <c r="U2361" s="46"/>
      <c r="V2361" s="46"/>
      <c r="W2361" s="46"/>
      <c r="X2361" s="11" t="str">
        <f>IF(COUNTBLANK(B2361:W2361)&gt;0,"NA",'batch classification'!J2367)</f>
        <v>NA</v>
      </c>
    </row>
    <row r="2362" spans="1:24" x14ac:dyDescent="0.25">
      <c r="A2362" s="45"/>
      <c r="B2362" s="46"/>
      <c r="C2362" s="46"/>
      <c r="D2362" s="46"/>
      <c r="E2362" s="46"/>
      <c r="F2362" s="46"/>
      <c r="G2362" s="46"/>
      <c r="H2362" s="46"/>
      <c r="I2362" s="46"/>
      <c r="J2362" s="46"/>
      <c r="K2362" s="46"/>
      <c r="L2362" s="46"/>
      <c r="M2362" s="46"/>
      <c r="N2362" s="46"/>
      <c r="O2362" s="46"/>
      <c r="P2362" s="46"/>
      <c r="Q2362" s="46"/>
      <c r="R2362" s="46"/>
      <c r="S2362" s="46"/>
      <c r="T2362" s="46"/>
      <c r="U2362" s="46"/>
      <c r="V2362" s="46"/>
      <c r="W2362" s="46"/>
      <c r="X2362" s="11" t="str">
        <f>IF(COUNTBLANK(B2362:W2362)&gt;0,"NA",'batch classification'!J2368)</f>
        <v>NA</v>
      </c>
    </row>
    <row r="2363" spans="1:24" x14ac:dyDescent="0.25">
      <c r="A2363" s="45"/>
      <c r="B2363" s="46"/>
      <c r="C2363" s="46"/>
      <c r="D2363" s="46"/>
      <c r="E2363" s="46"/>
      <c r="F2363" s="46"/>
      <c r="G2363" s="46"/>
      <c r="H2363" s="46"/>
      <c r="I2363" s="46"/>
      <c r="J2363" s="46"/>
      <c r="K2363" s="46"/>
      <c r="L2363" s="46"/>
      <c r="M2363" s="46"/>
      <c r="N2363" s="46"/>
      <c r="O2363" s="46"/>
      <c r="P2363" s="46"/>
      <c r="Q2363" s="46"/>
      <c r="R2363" s="46"/>
      <c r="S2363" s="46"/>
      <c r="T2363" s="46"/>
      <c r="U2363" s="46"/>
      <c r="V2363" s="46"/>
      <c r="W2363" s="46"/>
      <c r="X2363" s="11" t="str">
        <f>IF(COUNTBLANK(B2363:W2363)&gt;0,"NA",'batch classification'!J2369)</f>
        <v>NA</v>
      </c>
    </row>
    <row r="2364" spans="1:24" x14ac:dyDescent="0.25">
      <c r="A2364" s="45"/>
      <c r="B2364" s="46"/>
      <c r="C2364" s="46"/>
      <c r="D2364" s="46"/>
      <c r="E2364" s="46"/>
      <c r="F2364" s="46"/>
      <c r="G2364" s="46"/>
      <c r="H2364" s="46"/>
      <c r="I2364" s="46"/>
      <c r="J2364" s="46"/>
      <c r="K2364" s="46"/>
      <c r="L2364" s="46"/>
      <c r="M2364" s="46"/>
      <c r="N2364" s="46"/>
      <c r="O2364" s="46"/>
      <c r="P2364" s="46"/>
      <c r="Q2364" s="46"/>
      <c r="R2364" s="46"/>
      <c r="S2364" s="46"/>
      <c r="T2364" s="46"/>
      <c r="U2364" s="46"/>
      <c r="V2364" s="46"/>
      <c r="W2364" s="46"/>
      <c r="X2364" s="11" t="str">
        <f>IF(COUNTBLANK(B2364:W2364)&gt;0,"NA",'batch classification'!J2370)</f>
        <v>NA</v>
      </c>
    </row>
    <row r="2365" spans="1:24" x14ac:dyDescent="0.25">
      <c r="A2365" s="45"/>
      <c r="B2365" s="46"/>
      <c r="C2365" s="46"/>
      <c r="D2365" s="46"/>
      <c r="E2365" s="46"/>
      <c r="F2365" s="46"/>
      <c r="G2365" s="46"/>
      <c r="H2365" s="46"/>
      <c r="I2365" s="46"/>
      <c r="J2365" s="46"/>
      <c r="K2365" s="46"/>
      <c r="L2365" s="46"/>
      <c r="M2365" s="46"/>
      <c r="N2365" s="46"/>
      <c r="O2365" s="46"/>
      <c r="P2365" s="46"/>
      <c r="Q2365" s="46"/>
      <c r="R2365" s="46"/>
      <c r="S2365" s="46"/>
      <c r="T2365" s="46"/>
      <c r="U2365" s="46"/>
      <c r="V2365" s="46"/>
      <c r="W2365" s="46"/>
      <c r="X2365" s="11" t="str">
        <f>IF(COUNTBLANK(B2365:W2365)&gt;0,"NA",'batch classification'!J2371)</f>
        <v>NA</v>
      </c>
    </row>
    <row r="2366" spans="1:24" x14ac:dyDescent="0.25">
      <c r="A2366" s="45"/>
      <c r="B2366" s="46"/>
      <c r="C2366" s="46"/>
      <c r="D2366" s="46"/>
      <c r="E2366" s="46"/>
      <c r="F2366" s="46"/>
      <c r="G2366" s="46"/>
      <c r="H2366" s="46"/>
      <c r="I2366" s="46"/>
      <c r="J2366" s="46"/>
      <c r="K2366" s="46"/>
      <c r="L2366" s="46"/>
      <c r="M2366" s="46"/>
      <c r="N2366" s="46"/>
      <c r="O2366" s="46"/>
      <c r="P2366" s="46"/>
      <c r="Q2366" s="46"/>
      <c r="R2366" s="46"/>
      <c r="S2366" s="46"/>
      <c r="T2366" s="46"/>
      <c r="U2366" s="46"/>
      <c r="V2366" s="46"/>
      <c r="W2366" s="46"/>
      <c r="X2366" s="11" t="str">
        <f>IF(COUNTBLANK(B2366:W2366)&gt;0,"NA",'batch classification'!J2372)</f>
        <v>NA</v>
      </c>
    </row>
    <row r="2367" spans="1:24" x14ac:dyDescent="0.25">
      <c r="A2367" s="45"/>
      <c r="B2367" s="46"/>
      <c r="C2367" s="46"/>
      <c r="D2367" s="46"/>
      <c r="E2367" s="46"/>
      <c r="F2367" s="46"/>
      <c r="G2367" s="46"/>
      <c r="H2367" s="46"/>
      <c r="I2367" s="46"/>
      <c r="J2367" s="46"/>
      <c r="K2367" s="46"/>
      <c r="L2367" s="46"/>
      <c r="M2367" s="46"/>
      <c r="N2367" s="46"/>
      <c r="O2367" s="46"/>
      <c r="P2367" s="46"/>
      <c r="Q2367" s="46"/>
      <c r="R2367" s="46"/>
      <c r="S2367" s="46"/>
      <c r="T2367" s="46"/>
      <c r="U2367" s="46"/>
      <c r="V2367" s="46"/>
      <c r="W2367" s="46"/>
      <c r="X2367" s="11" t="str">
        <f>IF(COUNTBLANK(B2367:W2367)&gt;0,"NA",'batch classification'!J2373)</f>
        <v>NA</v>
      </c>
    </row>
    <row r="2368" spans="1:24" x14ac:dyDescent="0.25">
      <c r="A2368" s="45"/>
      <c r="B2368" s="46"/>
      <c r="C2368" s="46"/>
      <c r="D2368" s="46"/>
      <c r="E2368" s="46"/>
      <c r="F2368" s="46"/>
      <c r="G2368" s="46"/>
      <c r="H2368" s="46"/>
      <c r="I2368" s="46"/>
      <c r="J2368" s="46"/>
      <c r="K2368" s="46"/>
      <c r="L2368" s="46"/>
      <c r="M2368" s="46"/>
      <c r="N2368" s="46"/>
      <c r="O2368" s="46"/>
      <c r="P2368" s="46"/>
      <c r="Q2368" s="46"/>
      <c r="R2368" s="46"/>
      <c r="S2368" s="46"/>
      <c r="T2368" s="46"/>
      <c r="U2368" s="46"/>
      <c r="V2368" s="46"/>
      <c r="W2368" s="46"/>
      <c r="X2368" s="11" t="str">
        <f>IF(COUNTBLANK(B2368:W2368)&gt;0,"NA",'batch classification'!J2374)</f>
        <v>NA</v>
      </c>
    </row>
    <row r="2369" spans="1:24" x14ac:dyDescent="0.25">
      <c r="A2369" s="45"/>
      <c r="B2369" s="46"/>
      <c r="C2369" s="46"/>
      <c r="D2369" s="46"/>
      <c r="E2369" s="46"/>
      <c r="F2369" s="46"/>
      <c r="G2369" s="46"/>
      <c r="H2369" s="46"/>
      <c r="I2369" s="46"/>
      <c r="J2369" s="46"/>
      <c r="K2369" s="46"/>
      <c r="L2369" s="46"/>
      <c r="M2369" s="46"/>
      <c r="N2369" s="46"/>
      <c r="O2369" s="46"/>
      <c r="P2369" s="46"/>
      <c r="Q2369" s="46"/>
      <c r="R2369" s="46"/>
      <c r="S2369" s="46"/>
      <c r="T2369" s="46"/>
      <c r="U2369" s="46"/>
      <c r="V2369" s="46"/>
      <c r="W2369" s="46"/>
      <c r="X2369" s="11" t="str">
        <f>IF(COUNTBLANK(B2369:W2369)&gt;0,"NA",'batch classification'!J2375)</f>
        <v>NA</v>
      </c>
    </row>
    <row r="2370" spans="1:24" x14ac:dyDescent="0.25">
      <c r="A2370" s="45"/>
      <c r="B2370" s="46"/>
      <c r="C2370" s="46"/>
      <c r="D2370" s="46"/>
      <c r="E2370" s="46"/>
      <c r="F2370" s="46"/>
      <c r="G2370" s="46"/>
      <c r="H2370" s="46"/>
      <c r="I2370" s="46"/>
      <c r="J2370" s="46"/>
      <c r="K2370" s="46"/>
      <c r="L2370" s="46"/>
      <c r="M2370" s="46"/>
      <c r="N2370" s="46"/>
      <c r="O2370" s="46"/>
      <c r="P2370" s="46"/>
      <c r="Q2370" s="46"/>
      <c r="R2370" s="46"/>
      <c r="S2370" s="46"/>
      <c r="T2370" s="46"/>
      <c r="U2370" s="46"/>
      <c r="V2370" s="46"/>
      <c r="W2370" s="46"/>
      <c r="X2370" s="11" t="str">
        <f>IF(COUNTBLANK(B2370:W2370)&gt;0,"NA",'batch classification'!J2376)</f>
        <v>NA</v>
      </c>
    </row>
    <row r="2371" spans="1:24" x14ac:dyDescent="0.25">
      <c r="A2371" s="45"/>
      <c r="B2371" s="46"/>
      <c r="C2371" s="46"/>
      <c r="D2371" s="46"/>
      <c r="E2371" s="46"/>
      <c r="F2371" s="46"/>
      <c r="G2371" s="46"/>
      <c r="H2371" s="46"/>
      <c r="I2371" s="46"/>
      <c r="J2371" s="46"/>
      <c r="K2371" s="46"/>
      <c r="L2371" s="46"/>
      <c r="M2371" s="46"/>
      <c r="N2371" s="46"/>
      <c r="O2371" s="46"/>
      <c r="P2371" s="46"/>
      <c r="Q2371" s="46"/>
      <c r="R2371" s="46"/>
      <c r="S2371" s="46"/>
      <c r="T2371" s="46"/>
      <c r="U2371" s="46"/>
      <c r="V2371" s="46"/>
      <c r="W2371" s="46"/>
      <c r="X2371" s="11" t="str">
        <f>IF(COUNTBLANK(B2371:W2371)&gt;0,"NA",'batch classification'!J2377)</f>
        <v>NA</v>
      </c>
    </row>
    <row r="2372" spans="1:24" x14ac:dyDescent="0.25">
      <c r="A2372" s="45"/>
      <c r="B2372" s="46"/>
      <c r="C2372" s="46"/>
      <c r="D2372" s="46"/>
      <c r="E2372" s="46"/>
      <c r="F2372" s="46"/>
      <c r="G2372" s="46"/>
      <c r="H2372" s="46"/>
      <c r="I2372" s="46"/>
      <c r="J2372" s="46"/>
      <c r="K2372" s="46"/>
      <c r="L2372" s="46"/>
      <c r="M2372" s="46"/>
      <c r="N2372" s="46"/>
      <c r="O2372" s="46"/>
      <c r="P2372" s="46"/>
      <c r="Q2372" s="46"/>
      <c r="R2372" s="46"/>
      <c r="S2372" s="46"/>
      <c r="T2372" s="46"/>
      <c r="U2372" s="46"/>
      <c r="V2372" s="46"/>
      <c r="W2372" s="46"/>
      <c r="X2372" s="11" t="str">
        <f>IF(COUNTBLANK(B2372:W2372)&gt;0,"NA",'batch classification'!J2378)</f>
        <v>NA</v>
      </c>
    </row>
    <row r="2373" spans="1:24" x14ac:dyDescent="0.25">
      <c r="A2373" s="45"/>
      <c r="B2373" s="46"/>
      <c r="C2373" s="46"/>
      <c r="D2373" s="46"/>
      <c r="E2373" s="46"/>
      <c r="F2373" s="46"/>
      <c r="G2373" s="46"/>
      <c r="H2373" s="46"/>
      <c r="I2373" s="46"/>
      <c r="J2373" s="46"/>
      <c r="K2373" s="46"/>
      <c r="L2373" s="46"/>
      <c r="M2373" s="46"/>
      <c r="N2373" s="46"/>
      <c r="O2373" s="46"/>
      <c r="P2373" s="46"/>
      <c r="Q2373" s="46"/>
      <c r="R2373" s="46"/>
      <c r="S2373" s="46"/>
      <c r="T2373" s="46"/>
      <c r="U2373" s="46"/>
      <c r="V2373" s="46"/>
      <c r="W2373" s="46"/>
      <c r="X2373" s="11" t="str">
        <f>IF(COUNTBLANK(B2373:W2373)&gt;0,"NA",'batch classification'!J2379)</f>
        <v>NA</v>
      </c>
    </row>
    <row r="2374" spans="1:24" x14ac:dyDescent="0.25">
      <c r="A2374" s="45"/>
      <c r="B2374" s="46"/>
      <c r="C2374" s="46"/>
      <c r="D2374" s="46"/>
      <c r="E2374" s="46"/>
      <c r="F2374" s="46"/>
      <c r="G2374" s="46"/>
      <c r="H2374" s="46"/>
      <c r="I2374" s="46"/>
      <c r="J2374" s="46"/>
      <c r="K2374" s="46"/>
      <c r="L2374" s="46"/>
      <c r="M2374" s="46"/>
      <c r="N2374" s="46"/>
      <c r="O2374" s="46"/>
      <c r="P2374" s="46"/>
      <c r="Q2374" s="46"/>
      <c r="R2374" s="46"/>
      <c r="S2374" s="46"/>
      <c r="T2374" s="46"/>
      <c r="U2374" s="46"/>
      <c r="V2374" s="46"/>
      <c r="W2374" s="46"/>
      <c r="X2374" s="11" t="str">
        <f>IF(COUNTBLANK(B2374:W2374)&gt;0,"NA",'batch classification'!J2380)</f>
        <v>NA</v>
      </c>
    </row>
    <row r="2375" spans="1:24" x14ac:dyDescent="0.25">
      <c r="A2375" s="45"/>
      <c r="B2375" s="46"/>
      <c r="C2375" s="46"/>
      <c r="D2375" s="46"/>
      <c r="E2375" s="46"/>
      <c r="F2375" s="46"/>
      <c r="G2375" s="46"/>
      <c r="H2375" s="46"/>
      <c r="I2375" s="46"/>
      <c r="J2375" s="46"/>
      <c r="K2375" s="46"/>
      <c r="L2375" s="46"/>
      <c r="M2375" s="46"/>
      <c r="N2375" s="46"/>
      <c r="O2375" s="46"/>
      <c r="P2375" s="46"/>
      <c r="Q2375" s="46"/>
      <c r="R2375" s="46"/>
      <c r="S2375" s="46"/>
      <c r="T2375" s="46"/>
      <c r="U2375" s="46"/>
      <c r="V2375" s="46"/>
      <c r="W2375" s="46"/>
      <c r="X2375" s="11" t="str">
        <f>IF(COUNTBLANK(B2375:W2375)&gt;0,"NA",'batch classification'!J2381)</f>
        <v>NA</v>
      </c>
    </row>
    <row r="2376" spans="1:24" x14ac:dyDescent="0.25">
      <c r="A2376" s="45"/>
      <c r="B2376" s="46"/>
      <c r="C2376" s="46"/>
      <c r="D2376" s="46"/>
      <c r="E2376" s="46"/>
      <c r="F2376" s="46"/>
      <c r="G2376" s="46"/>
      <c r="H2376" s="46"/>
      <c r="I2376" s="46"/>
      <c r="J2376" s="46"/>
      <c r="K2376" s="46"/>
      <c r="L2376" s="46"/>
      <c r="M2376" s="46"/>
      <c r="N2376" s="46"/>
      <c r="O2376" s="46"/>
      <c r="P2376" s="46"/>
      <c r="Q2376" s="46"/>
      <c r="R2376" s="46"/>
      <c r="S2376" s="46"/>
      <c r="T2376" s="46"/>
      <c r="U2376" s="46"/>
      <c r="V2376" s="46"/>
      <c r="W2376" s="46"/>
      <c r="X2376" s="11" t="str">
        <f>IF(COUNTBLANK(B2376:W2376)&gt;0,"NA",'batch classification'!J2382)</f>
        <v>NA</v>
      </c>
    </row>
    <row r="2377" spans="1:24" x14ac:dyDescent="0.25">
      <c r="A2377" s="45"/>
      <c r="B2377" s="46"/>
      <c r="C2377" s="46"/>
      <c r="D2377" s="46"/>
      <c r="E2377" s="46"/>
      <c r="F2377" s="46"/>
      <c r="G2377" s="46"/>
      <c r="H2377" s="46"/>
      <c r="I2377" s="46"/>
      <c r="J2377" s="46"/>
      <c r="K2377" s="46"/>
      <c r="L2377" s="46"/>
      <c r="M2377" s="46"/>
      <c r="N2377" s="46"/>
      <c r="O2377" s="46"/>
      <c r="P2377" s="46"/>
      <c r="Q2377" s="46"/>
      <c r="R2377" s="46"/>
      <c r="S2377" s="46"/>
      <c r="T2377" s="46"/>
      <c r="U2377" s="46"/>
      <c r="V2377" s="46"/>
      <c r="W2377" s="46"/>
      <c r="X2377" s="11" t="str">
        <f>IF(COUNTBLANK(B2377:W2377)&gt;0,"NA",'batch classification'!J2383)</f>
        <v>NA</v>
      </c>
    </row>
    <row r="2378" spans="1:24" x14ac:dyDescent="0.25">
      <c r="A2378" s="45"/>
      <c r="B2378" s="46"/>
      <c r="C2378" s="46"/>
      <c r="D2378" s="46"/>
      <c r="E2378" s="46"/>
      <c r="F2378" s="46"/>
      <c r="G2378" s="46"/>
      <c r="H2378" s="46"/>
      <c r="I2378" s="46"/>
      <c r="J2378" s="46"/>
      <c r="K2378" s="46"/>
      <c r="L2378" s="46"/>
      <c r="M2378" s="46"/>
      <c r="N2378" s="46"/>
      <c r="O2378" s="46"/>
      <c r="P2378" s="46"/>
      <c r="Q2378" s="46"/>
      <c r="R2378" s="46"/>
      <c r="S2378" s="46"/>
      <c r="T2378" s="46"/>
      <c r="U2378" s="46"/>
      <c r="V2378" s="46"/>
      <c r="W2378" s="46"/>
      <c r="X2378" s="11" t="str">
        <f>IF(COUNTBLANK(B2378:W2378)&gt;0,"NA",'batch classification'!J2384)</f>
        <v>NA</v>
      </c>
    </row>
    <row r="2379" spans="1:24" x14ac:dyDescent="0.25">
      <c r="A2379" s="45"/>
      <c r="B2379" s="46"/>
      <c r="C2379" s="46"/>
      <c r="D2379" s="46"/>
      <c r="E2379" s="46"/>
      <c r="F2379" s="46"/>
      <c r="G2379" s="46"/>
      <c r="H2379" s="46"/>
      <c r="I2379" s="46"/>
      <c r="J2379" s="46"/>
      <c r="K2379" s="46"/>
      <c r="L2379" s="46"/>
      <c r="M2379" s="46"/>
      <c r="N2379" s="46"/>
      <c r="O2379" s="46"/>
      <c r="P2379" s="46"/>
      <c r="Q2379" s="46"/>
      <c r="R2379" s="46"/>
      <c r="S2379" s="46"/>
      <c r="T2379" s="46"/>
      <c r="U2379" s="46"/>
      <c r="V2379" s="46"/>
      <c r="W2379" s="46"/>
      <c r="X2379" s="11" t="str">
        <f>IF(COUNTBLANK(B2379:W2379)&gt;0,"NA",'batch classification'!J2385)</f>
        <v>NA</v>
      </c>
    </row>
    <row r="2380" spans="1:24" x14ac:dyDescent="0.25">
      <c r="A2380" s="45"/>
      <c r="B2380" s="46"/>
      <c r="C2380" s="46"/>
      <c r="D2380" s="46"/>
      <c r="E2380" s="46"/>
      <c r="F2380" s="46"/>
      <c r="G2380" s="46"/>
      <c r="H2380" s="46"/>
      <c r="I2380" s="46"/>
      <c r="J2380" s="46"/>
      <c r="K2380" s="46"/>
      <c r="L2380" s="46"/>
      <c r="M2380" s="46"/>
      <c r="N2380" s="46"/>
      <c r="O2380" s="46"/>
      <c r="P2380" s="46"/>
      <c r="Q2380" s="46"/>
      <c r="R2380" s="46"/>
      <c r="S2380" s="46"/>
      <c r="T2380" s="46"/>
      <c r="U2380" s="46"/>
      <c r="V2380" s="46"/>
      <c r="W2380" s="46"/>
      <c r="X2380" s="11" t="str">
        <f>IF(COUNTBLANK(B2380:W2380)&gt;0,"NA",'batch classification'!J2386)</f>
        <v>NA</v>
      </c>
    </row>
    <row r="2381" spans="1:24" x14ac:dyDescent="0.25">
      <c r="A2381" s="45"/>
      <c r="B2381" s="46"/>
      <c r="C2381" s="46"/>
      <c r="D2381" s="46"/>
      <c r="E2381" s="46"/>
      <c r="F2381" s="46"/>
      <c r="G2381" s="46"/>
      <c r="H2381" s="46"/>
      <c r="I2381" s="46"/>
      <c r="J2381" s="46"/>
      <c r="K2381" s="46"/>
      <c r="L2381" s="46"/>
      <c r="M2381" s="46"/>
      <c r="N2381" s="46"/>
      <c r="O2381" s="46"/>
      <c r="P2381" s="46"/>
      <c r="Q2381" s="46"/>
      <c r="R2381" s="46"/>
      <c r="S2381" s="46"/>
      <c r="T2381" s="46"/>
      <c r="U2381" s="46"/>
      <c r="V2381" s="46"/>
      <c r="W2381" s="46"/>
      <c r="X2381" s="11" t="str">
        <f>IF(COUNTBLANK(B2381:W2381)&gt;0,"NA",'batch classification'!J2387)</f>
        <v>NA</v>
      </c>
    </row>
    <row r="2382" spans="1:24" x14ac:dyDescent="0.25">
      <c r="A2382" s="45"/>
      <c r="B2382" s="46"/>
      <c r="C2382" s="46"/>
      <c r="D2382" s="46"/>
      <c r="E2382" s="46"/>
      <c r="F2382" s="46"/>
      <c r="G2382" s="46"/>
      <c r="H2382" s="46"/>
      <c r="I2382" s="46"/>
      <c r="J2382" s="46"/>
      <c r="K2382" s="46"/>
      <c r="L2382" s="46"/>
      <c r="M2382" s="46"/>
      <c r="N2382" s="46"/>
      <c r="O2382" s="46"/>
      <c r="P2382" s="46"/>
      <c r="Q2382" s="46"/>
      <c r="R2382" s="46"/>
      <c r="S2382" s="46"/>
      <c r="T2382" s="46"/>
      <c r="U2382" s="46"/>
      <c r="V2382" s="46"/>
      <c r="W2382" s="46"/>
      <c r="X2382" s="11" t="str">
        <f>IF(COUNTBLANK(B2382:W2382)&gt;0,"NA",'batch classification'!J2388)</f>
        <v>NA</v>
      </c>
    </row>
    <row r="2383" spans="1:24" x14ac:dyDescent="0.25">
      <c r="A2383" s="45"/>
      <c r="B2383" s="46"/>
      <c r="C2383" s="46"/>
      <c r="D2383" s="46"/>
      <c r="E2383" s="46"/>
      <c r="F2383" s="46"/>
      <c r="G2383" s="46"/>
      <c r="H2383" s="46"/>
      <c r="I2383" s="46"/>
      <c r="J2383" s="46"/>
      <c r="K2383" s="46"/>
      <c r="L2383" s="46"/>
      <c r="M2383" s="46"/>
      <c r="N2383" s="46"/>
      <c r="O2383" s="46"/>
      <c r="P2383" s="46"/>
      <c r="Q2383" s="46"/>
      <c r="R2383" s="46"/>
      <c r="S2383" s="46"/>
      <c r="T2383" s="46"/>
      <c r="U2383" s="46"/>
      <c r="V2383" s="46"/>
      <c r="W2383" s="46"/>
      <c r="X2383" s="11" t="str">
        <f>IF(COUNTBLANK(B2383:W2383)&gt;0,"NA",'batch classification'!J2389)</f>
        <v>NA</v>
      </c>
    </row>
    <row r="2384" spans="1:24" x14ac:dyDescent="0.25">
      <c r="A2384" s="45"/>
      <c r="B2384" s="46"/>
      <c r="C2384" s="46"/>
      <c r="D2384" s="46"/>
      <c r="E2384" s="46"/>
      <c r="F2384" s="46"/>
      <c r="G2384" s="46"/>
      <c r="H2384" s="46"/>
      <c r="I2384" s="46"/>
      <c r="J2384" s="46"/>
      <c r="K2384" s="46"/>
      <c r="L2384" s="46"/>
      <c r="M2384" s="46"/>
      <c r="N2384" s="46"/>
      <c r="O2384" s="46"/>
      <c r="P2384" s="46"/>
      <c r="Q2384" s="46"/>
      <c r="R2384" s="46"/>
      <c r="S2384" s="46"/>
      <c r="T2384" s="46"/>
      <c r="U2384" s="46"/>
      <c r="V2384" s="46"/>
      <c r="W2384" s="46"/>
      <c r="X2384" s="11" t="str">
        <f>IF(COUNTBLANK(B2384:W2384)&gt;0,"NA",'batch classification'!J2390)</f>
        <v>NA</v>
      </c>
    </row>
    <row r="2385" spans="1:24" x14ac:dyDescent="0.25">
      <c r="A2385" s="45"/>
      <c r="B2385" s="46"/>
      <c r="C2385" s="46"/>
      <c r="D2385" s="46"/>
      <c r="E2385" s="46"/>
      <c r="F2385" s="46"/>
      <c r="G2385" s="46"/>
      <c r="H2385" s="46"/>
      <c r="I2385" s="46"/>
      <c r="J2385" s="46"/>
      <c r="K2385" s="46"/>
      <c r="L2385" s="46"/>
      <c r="M2385" s="46"/>
      <c r="N2385" s="46"/>
      <c r="O2385" s="46"/>
      <c r="P2385" s="46"/>
      <c r="Q2385" s="46"/>
      <c r="R2385" s="46"/>
      <c r="S2385" s="46"/>
      <c r="T2385" s="46"/>
      <c r="U2385" s="46"/>
      <c r="V2385" s="46"/>
      <c r="W2385" s="46"/>
      <c r="X2385" s="11" t="str">
        <f>IF(COUNTBLANK(B2385:W2385)&gt;0,"NA",'batch classification'!J2391)</f>
        <v>NA</v>
      </c>
    </row>
    <row r="2386" spans="1:24" x14ac:dyDescent="0.25">
      <c r="A2386" s="45"/>
      <c r="B2386" s="46"/>
      <c r="C2386" s="46"/>
      <c r="D2386" s="46"/>
      <c r="E2386" s="46"/>
      <c r="F2386" s="46"/>
      <c r="G2386" s="46"/>
      <c r="H2386" s="46"/>
      <c r="I2386" s="46"/>
      <c r="J2386" s="46"/>
      <c r="K2386" s="46"/>
      <c r="L2386" s="46"/>
      <c r="M2386" s="46"/>
      <c r="N2386" s="46"/>
      <c r="O2386" s="46"/>
      <c r="P2386" s="46"/>
      <c r="Q2386" s="46"/>
      <c r="R2386" s="46"/>
      <c r="S2386" s="46"/>
      <c r="T2386" s="46"/>
      <c r="U2386" s="46"/>
      <c r="V2386" s="46"/>
      <c r="W2386" s="46"/>
      <c r="X2386" s="11" t="str">
        <f>IF(COUNTBLANK(B2386:W2386)&gt;0,"NA",'batch classification'!J2392)</f>
        <v>NA</v>
      </c>
    </row>
    <row r="2387" spans="1:24" x14ac:dyDescent="0.25">
      <c r="A2387" s="45"/>
      <c r="B2387" s="46"/>
      <c r="C2387" s="46"/>
      <c r="D2387" s="46"/>
      <c r="E2387" s="46"/>
      <c r="F2387" s="46"/>
      <c r="G2387" s="46"/>
      <c r="H2387" s="46"/>
      <c r="I2387" s="46"/>
      <c r="J2387" s="46"/>
      <c r="K2387" s="46"/>
      <c r="L2387" s="46"/>
      <c r="M2387" s="46"/>
      <c r="N2387" s="46"/>
      <c r="O2387" s="46"/>
      <c r="P2387" s="46"/>
      <c r="Q2387" s="46"/>
      <c r="R2387" s="46"/>
      <c r="S2387" s="46"/>
      <c r="T2387" s="46"/>
      <c r="U2387" s="46"/>
      <c r="V2387" s="46"/>
      <c r="W2387" s="46"/>
      <c r="X2387" s="11" t="str">
        <f>IF(COUNTBLANK(B2387:W2387)&gt;0,"NA",'batch classification'!J2393)</f>
        <v>NA</v>
      </c>
    </row>
    <row r="2388" spans="1:24" x14ac:dyDescent="0.25">
      <c r="A2388" s="45"/>
      <c r="B2388" s="46"/>
      <c r="C2388" s="46"/>
      <c r="D2388" s="46"/>
      <c r="E2388" s="46"/>
      <c r="F2388" s="46"/>
      <c r="G2388" s="46"/>
      <c r="H2388" s="46"/>
      <c r="I2388" s="46"/>
      <c r="J2388" s="46"/>
      <c r="K2388" s="46"/>
      <c r="L2388" s="46"/>
      <c r="M2388" s="46"/>
      <c r="N2388" s="46"/>
      <c r="O2388" s="46"/>
      <c r="P2388" s="46"/>
      <c r="Q2388" s="46"/>
      <c r="R2388" s="46"/>
      <c r="S2388" s="46"/>
      <c r="T2388" s="46"/>
      <c r="U2388" s="46"/>
      <c r="V2388" s="46"/>
      <c r="W2388" s="46"/>
      <c r="X2388" s="11" t="str">
        <f>IF(COUNTBLANK(B2388:W2388)&gt;0,"NA",'batch classification'!J2394)</f>
        <v>NA</v>
      </c>
    </row>
    <row r="2389" spans="1:24" x14ac:dyDescent="0.25">
      <c r="A2389" s="45"/>
      <c r="B2389" s="46"/>
      <c r="C2389" s="46"/>
      <c r="D2389" s="46"/>
      <c r="E2389" s="46"/>
      <c r="F2389" s="46"/>
      <c r="G2389" s="46"/>
      <c r="H2389" s="46"/>
      <c r="I2389" s="46"/>
      <c r="J2389" s="46"/>
      <c r="K2389" s="46"/>
      <c r="L2389" s="46"/>
      <c r="M2389" s="46"/>
      <c r="N2389" s="46"/>
      <c r="O2389" s="46"/>
      <c r="P2389" s="46"/>
      <c r="Q2389" s="46"/>
      <c r="R2389" s="46"/>
      <c r="S2389" s="46"/>
      <c r="T2389" s="46"/>
      <c r="U2389" s="46"/>
      <c r="V2389" s="46"/>
      <c r="W2389" s="46"/>
      <c r="X2389" s="11" t="str">
        <f>IF(COUNTBLANK(B2389:W2389)&gt;0,"NA",'batch classification'!J2395)</f>
        <v>NA</v>
      </c>
    </row>
    <row r="2390" spans="1:24" x14ac:dyDescent="0.25">
      <c r="A2390" s="45"/>
      <c r="B2390" s="46"/>
      <c r="C2390" s="46"/>
      <c r="D2390" s="46"/>
      <c r="E2390" s="46"/>
      <c r="F2390" s="46"/>
      <c r="G2390" s="46"/>
      <c r="H2390" s="46"/>
      <c r="I2390" s="46"/>
      <c r="J2390" s="46"/>
      <c r="K2390" s="46"/>
      <c r="L2390" s="46"/>
      <c r="M2390" s="46"/>
      <c r="N2390" s="46"/>
      <c r="O2390" s="46"/>
      <c r="P2390" s="46"/>
      <c r="Q2390" s="46"/>
      <c r="R2390" s="46"/>
      <c r="S2390" s="46"/>
      <c r="T2390" s="46"/>
      <c r="U2390" s="46"/>
      <c r="V2390" s="46"/>
      <c r="W2390" s="46"/>
      <c r="X2390" s="11" t="str">
        <f>IF(COUNTBLANK(B2390:W2390)&gt;0,"NA",'batch classification'!J2396)</f>
        <v>NA</v>
      </c>
    </row>
    <row r="2391" spans="1:24" x14ac:dyDescent="0.25">
      <c r="A2391" s="45"/>
      <c r="B2391" s="46"/>
      <c r="C2391" s="46"/>
      <c r="D2391" s="46"/>
      <c r="E2391" s="46"/>
      <c r="F2391" s="46"/>
      <c r="G2391" s="46"/>
      <c r="H2391" s="46"/>
      <c r="I2391" s="46"/>
      <c r="J2391" s="46"/>
      <c r="K2391" s="46"/>
      <c r="L2391" s="46"/>
      <c r="M2391" s="46"/>
      <c r="N2391" s="46"/>
      <c r="O2391" s="46"/>
      <c r="P2391" s="46"/>
      <c r="Q2391" s="46"/>
      <c r="R2391" s="46"/>
      <c r="S2391" s="46"/>
      <c r="T2391" s="46"/>
      <c r="U2391" s="46"/>
      <c r="V2391" s="46"/>
      <c r="W2391" s="46"/>
      <c r="X2391" s="11" t="str">
        <f>IF(COUNTBLANK(B2391:W2391)&gt;0,"NA",'batch classification'!J2397)</f>
        <v>NA</v>
      </c>
    </row>
    <row r="2392" spans="1:24" x14ac:dyDescent="0.25">
      <c r="A2392" s="45"/>
      <c r="B2392" s="46"/>
      <c r="C2392" s="46"/>
      <c r="D2392" s="46"/>
      <c r="E2392" s="46"/>
      <c r="F2392" s="46"/>
      <c r="G2392" s="46"/>
      <c r="H2392" s="46"/>
      <c r="I2392" s="46"/>
      <c r="J2392" s="46"/>
      <c r="K2392" s="46"/>
      <c r="L2392" s="46"/>
      <c r="M2392" s="46"/>
      <c r="N2392" s="46"/>
      <c r="O2392" s="46"/>
      <c r="P2392" s="46"/>
      <c r="Q2392" s="46"/>
      <c r="R2392" s="46"/>
      <c r="S2392" s="46"/>
      <c r="T2392" s="46"/>
      <c r="U2392" s="46"/>
      <c r="V2392" s="46"/>
      <c r="W2392" s="46"/>
      <c r="X2392" s="11" t="str">
        <f>IF(COUNTBLANK(B2392:W2392)&gt;0,"NA",'batch classification'!J2398)</f>
        <v>NA</v>
      </c>
    </row>
    <row r="2393" spans="1:24" x14ac:dyDescent="0.25">
      <c r="A2393" s="45"/>
      <c r="B2393" s="46"/>
      <c r="C2393" s="46"/>
      <c r="D2393" s="46"/>
      <c r="E2393" s="46"/>
      <c r="F2393" s="46"/>
      <c r="G2393" s="46"/>
      <c r="H2393" s="46"/>
      <c r="I2393" s="46"/>
      <c r="J2393" s="46"/>
      <c r="K2393" s="46"/>
      <c r="L2393" s="46"/>
      <c r="M2393" s="46"/>
      <c r="N2393" s="46"/>
      <c r="O2393" s="46"/>
      <c r="P2393" s="46"/>
      <c r="Q2393" s="46"/>
      <c r="R2393" s="46"/>
      <c r="S2393" s="46"/>
      <c r="T2393" s="46"/>
      <c r="U2393" s="46"/>
      <c r="V2393" s="46"/>
      <c r="W2393" s="46"/>
      <c r="X2393" s="11" t="str">
        <f>IF(COUNTBLANK(B2393:W2393)&gt;0,"NA",'batch classification'!J2399)</f>
        <v>NA</v>
      </c>
    </row>
    <row r="2394" spans="1:24" x14ac:dyDescent="0.25">
      <c r="A2394" s="45"/>
      <c r="B2394" s="46"/>
      <c r="C2394" s="46"/>
      <c r="D2394" s="46"/>
      <c r="E2394" s="46"/>
      <c r="F2394" s="46"/>
      <c r="G2394" s="46"/>
      <c r="H2394" s="46"/>
      <c r="I2394" s="46"/>
      <c r="J2394" s="46"/>
      <c r="K2394" s="46"/>
      <c r="L2394" s="46"/>
      <c r="M2394" s="46"/>
      <c r="N2394" s="46"/>
      <c r="O2394" s="46"/>
      <c r="P2394" s="46"/>
      <c r="Q2394" s="46"/>
      <c r="R2394" s="46"/>
      <c r="S2394" s="46"/>
      <c r="T2394" s="46"/>
      <c r="U2394" s="46"/>
      <c r="V2394" s="46"/>
      <c r="W2394" s="46"/>
      <c r="X2394" s="11" t="str">
        <f>IF(COUNTBLANK(B2394:W2394)&gt;0,"NA",'batch classification'!J2400)</f>
        <v>NA</v>
      </c>
    </row>
    <row r="2395" spans="1:24" x14ac:dyDescent="0.25">
      <c r="A2395" s="45"/>
      <c r="B2395" s="46"/>
      <c r="C2395" s="46"/>
      <c r="D2395" s="46"/>
      <c r="E2395" s="46"/>
      <c r="F2395" s="46"/>
      <c r="G2395" s="46"/>
      <c r="H2395" s="46"/>
      <c r="I2395" s="46"/>
      <c r="J2395" s="46"/>
      <c r="K2395" s="46"/>
      <c r="L2395" s="46"/>
      <c r="M2395" s="46"/>
      <c r="N2395" s="46"/>
      <c r="O2395" s="46"/>
      <c r="P2395" s="46"/>
      <c r="Q2395" s="46"/>
      <c r="R2395" s="46"/>
      <c r="S2395" s="46"/>
      <c r="T2395" s="46"/>
      <c r="U2395" s="46"/>
      <c r="V2395" s="46"/>
      <c r="W2395" s="46"/>
      <c r="X2395" s="11" t="str">
        <f>IF(COUNTBLANK(B2395:W2395)&gt;0,"NA",'batch classification'!J2401)</f>
        <v>NA</v>
      </c>
    </row>
    <row r="2396" spans="1:24" x14ac:dyDescent="0.25">
      <c r="A2396" s="45"/>
      <c r="B2396" s="46"/>
      <c r="C2396" s="46"/>
      <c r="D2396" s="46"/>
      <c r="E2396" s="46"/>
      <c r="F2396" s="46"/>
      <c r="G2396" s="46"/>
      <c r="H2396" s="46"/>
      <c r="I2396" s="46"/>
      <c r="J2396" s="46"/>
      <c r="K2396" s="46"/>
      <c r="L2396" s="46"/>
      <c r="M2396" s="46"/>
      <c r="N2396" s="46"/>
      <c r="O2396" s="46"/>
      <c r="P2396" s="46"/>
      <c r="Q2396" s="46"/>
      <c r="R2396" s="46"/>
      <c r="S2396" s="46"/>
      <c r="T2396" s="46"/>
      <c r="U2396" s="46"/>
      <c r="V2396" s="46"/>
      <c r="W2396" s="46"/>
      <c r="X2396" s="11" t="str">
        <f>IF(COUNTBLANK(B2396:W2396)&gt;0,"NA",'batch classification'!J2402)</f>
        <v>NA</v>
      </c>
    </row>
    <row r="2397" spans="1:24" x14ac:dyDescent="0.25">
      <c r="A2397" s="45"/>
      <c r="B2397" s="46"/>
      <c r="C2397" s="46"/>
      <c r="D2397" s="46"/>
      <c r="E2397" s="46"/>
      <c r="F2397" s="46"/>
      <c r="G2397" s="46"/>
      <c r="H2397" s="46"/>
      <c r="I2397" s="46"/>
      <c r="J2397" s="46"/>
      <c r="K2397" s="46"/>
      <c r="L2397" s="46"/>
      <c r="M2397" s="46"/>
      <c r="N2397" s="46"/>
      <c r="O2397" s="46"/>
      <c r="P2397" s="46"/>
      <c r="Q2397" s="46"/>
      <c r="R2397" s="46"/>
      <c r="S2397" s="46"/>
      <c r="T2397" s="46"/>
      <c r="U2397" s="46"/>
      <c r="V2397" s="46"/>
      <c r="W2397" s="46"/>
      <c r="X2397" s="11" t="str">
        <f>IF(COUNTBLANK(B2397:W2397)&gt;0,"NA",'batch classification'!J2403)</f>
        <v>NA</v>
      </c>
    </row>
    <row r="2398" spans="1:24" x14ac:dyDescent="0.25">
      <c r="A2398" s="45"/>
      <c r="B2398" s="46"/>
      <c r="C2398" s="46"/>
      <c r="D2398" s="46"/>
      <c r="E2398" s="46"/>
      <c r="F2398" s="46"/>
      <c r="G2398" s="46"/>
      <c r="H2398" s="46"/>
      <c r="I2398" s="46"/>
      <c r="J2398" s="46"/>
      <c r="K2398" s="46"/>
      <c r="L2398" s="46"/>
      <c r="M2398" s="46"/>
      <c r="N2398" s="46"/>
      <c r="O2398" s="46"/>
      <c r="P2398" s="46"/>
      <c r="Q2398" s="46"/>
      <c r="R2398" s="46"/>
      <c r="S2398" s="46"/>
      <c r="T2398" s="46"/>
      <c r="U2398" s="46"/>
      <c r="V2398" s="46"/>
      <c r="W2398" s="46"/>
      <c r="X2398" s="11" t="str">
        <f>IF(COUNTBLANK(B2398:W2398)&gt;0,"NA",'batch classification'!J2404)</f>
        <v>NA</v>
      </c>
    </row>
    <row r="2399" spans="1:24" x14ac:dyDescent="0.25">
      <c r="A2399" s="45"/>
      <c r="B2399" s="46"/>
      <c r="C2399" s="46"/>
      <c r="D2399" s="46"/>
      <c r="E2399" s="46"/>
      <c r="F2399" s="46"/>
      <c r="G2399" s="46"/>
      <c r="H2399" s="46"/>
      <c r="I2399" s="46"/>
      <c r="J2399" s="46"/>
      <c r="K2399" s="46"/>
      <c r="L2399" s="46"/>
      <c r="M2399" s="46"/>
      <c r="N2399" s="46"/>
      <c r="O2399" s="46"/>
      <c r="P2399" s="46"/>
      <c r="Q2399" s="46"/>
      <c r="R2399" s="46"/>
      <c r="S2399" s="46"/>
      <c r="T2399" s="46"/>
      <c r="U2399" s="46"/>
      <c r="V2399" s="46"/>
      <c r="W2399" s="46"/>
      <c r="X2399" s="11" t="str">
        <f>IF(COUNTBLANK(B2399:W2399)&gt;0,"NA",'batch classification'!J2405)</f>
        <v>NA</v>
      </c>
    </row>
    <row r="2400" spans="1:24" x14ac:dyDescent="0.25">
      <c r="A2400" s="45"/>
      <c r="B2400" s="46"/>
      <c r="C2400" s="46"/>
      <c r="D2400" s="46"/>
      <c r="E2400" s="46"/>
      <c r="F2400" s="46"/>
      <c r="G2400" s="46"/>
      <c r="H2400" s="46"/>
      <c r="I2400" s="46"/>
      <c r="J2400" s="46"/>
      <c r="K2400" s="46"/>
      <c r="L2400" s="46"/>
      <c r="M2400" s="46"/>
      <c r="N2400" s="46"/>
      <c r="O2400" s="46"/>
      <c r="P2400" s="46"/>
      <c r="Q2400" s="46"/>
      <c r="R2400" s="46"/>
      <c r="S2400" s="46"/>
      <c r="T2400" s="46"/>
      <c r="U2400" s="46"/>
      <c r="V2400" s="46"/>
      <c r="W2400" s="46"/>
      <c r="X2400" s="11" t="str">
        <f>IF(COUNTBLANK(B2400:W2400)&gt;0,"NA",'batch classification'!J2406)</f>
        <v>NA</v>
      </c>
    </row>
    <row r="2401" spans="1:24" x14ac:dyDescent="0.25">
      <c r="A2401" s="45"/>
      <c r="B2401" s="46"/>
      <c r="C2401" s="46"/>
      <c r="D2401" s="46"/>
      <c r="E2401" s="46"/>
      <c r="F2401" s="46"/>
      <c r="G2401" s="46"/>
      <c r="H2401" s="46"/>
      <c r="I2401" s="46"/>
      <c r="J2401" s="46"/>
      <c r="K2401" s="46"/>
      <c r="L2401" s="46"/>
      <c r="M2401" s="46"/>
      <c r="N2401" s="46"/>
      <c r="O2401" s="46"/>
      <c r="P2401" s="46"/>
      <c r="Q2401" s="46"/>
      <c r="R2401" s="46"/>
      <c r="S2401" s="46"/>
      <c r="T2401" s="46"/>
      <c r="U2401" s="46"/>
      <c r="V2401" s="46"/>
      <c r="W2401" s="46"/>
      <c r="X2401" s="11" t="str">
        <f>IF(COUNTBLANK(B2401:W2401)&gt;0,"NA",'batch classification'!J2407)</f>
        <v>NA</v>
      </c>
    </row>
    <row r="2402" spans="1:24" x14ac:dyDescent="0.25">
      <c r="A2402" s="45"/>
      <c r="B2402" s="46"/>
      <c r="C2402" s="46"/>
      <c r="D2402" s="46"/>
      <c r="E2402" s="46"/>
      <c r="F2402" s="46"/>
      <c r="G2402" s="46"/>
      <c r="H2402" s="46"/>
      <c r="I2402" s="46"/>
      <c r="J2402" s="46"/>
      <c r="K2402" s="46"/>
      <c r="L2402" s="46"/>
      <c r="M2402" s="46"/>
      <c r="N2402" s="46"/>
      <c r="O2402" s="46"/>
      <c r="P2402" s="46"/>
      <c r="Q2402" s="46"/>
      <c r="R2402" s="46"/>
      <c r="S2402" s="46"/>
      <c r="T2402" s="46"/>
      <c r="U2402" s="46"/>
      <c r="V2402" s="46"/>
      <c r="W2402" s="46"/>
      <c r="X2402" s="11" t="str">
        <f>IF(COUNTBLANK(B2402:W2402)&gt;0,"NA",'batch classification'!J2408)</f>
        <v>NA</v>
      </c>
    </row>
    <row r="2403" spans="1:24" x14ac:dyDescent="0.25">
      <c r="A2403" s="45"/>
      <c r="B2403" s="46"/>
      <c r="C2403" s="46"/>
      <c r="D2403" s="46"/>
      <c r="E2403" s="46"/>
      <c r="F2403" s="46"/>
      <c r="G2403" s="46"/>
      <c r="H2403" s="46"/>
      <c r="I2403" s="46"/>
      <c r="J2403" s="46"/>
      <c r="K2403" s="46"/>
      <c r="L2403" s="46"/>
      <c r="M2403" s="46"/>
      <c r="N2403" s="46"/>
      <c r="O2403" s="46"/>
      <c r="P2403" s="46"/>
      <c r="Q2403" s="46"/>
      <c r="R2403" s="46"/>
      <c r="S2403" s="46"/>
      <c r="T2403" s="46"/>
      <c r="U2403" s="46"/>
      <c r="V2403" s="46"/>
      <c r="W2403" s="46"/>
      <c r="X2403" s="11" t="str">
        <f>IF(COUNTBLANK(B2403:W2403)&gt;0,"NA",'batch classification'!J2409)</f>
        <v>NA</v>
      </c>
    </row>
    <row r="2404" spans="1:24" x14ac:dyDescent="0.25">
      <c r="A2404" s="45"/>
      <c r="B2404" s="46"/>
      <c r="C2404" s="46"/>
      <c r="D2404" s="46"/>
      <c r="E2404" s="46"/>
      <c r="F2404" s="46"/>
      <c r="G2404" s="46"/>
      <c r="H2404" s="46"/>
      <c r="I2404" s="46"/>
      <c r="J2404" s="46"/>
      <c r="K2404" s="46"/>
      <c r="L2404" s="46"/>
      <c r="M2404" s="46"/>
      <c r="N2404" s="46"/>
      <c r="O2404" s="46"/>
      <c r="P2404" s="46"/>
      <c r="Q2404" s="46"/>
      <c r="R2404" s="46"/>
      <c r="S2404" s="46"/>
      <c r="T2404" s="46"/>
      <c r="U2404" s="46"/>
      <c r="V2404" s="46"/>
      <c r="W2404" s="46"/>
      <c r="X2404" s="11" t="str">
        <f>IF(COUNTBLANK(B2404:W2404)&gt;0,"NA",'batch classification'!J2410)</f>
        <v>NA</v>
      </c>
    </row>
    <row r="2405" spans="1:24" x14ac:dyDescent="0.25">
      <c r="A2405" s="45"/>
      <c r="B2405" s="46"/>
      <c r="C2405" s="46"/>
      <c r="D2405" s="46"/>
      <c r="E2405" s="46"/>
      <c r="F2405" s="46"/>
      <c r="G2405" s="46"/>
      <c r="H2405" s="46"/>
      <c r="I2405" s="46"/>
      <c r="J2405" s="46"/>
      <c r="K2405" s="46"/>
      <c r="L2405" s="46"/>
      <c r="M2405" s="46"/>
      <c r="N2405" s="46"/>
      <c r="O2405" s="46"/>
      <c r="P2405" s="46"/>
      <c r="Q2405" s="46"/>
      <c r="R2405" s="46"/>
      <c r="S2405" s="46"/>
      <c r="T2405" s="46"/>
      <c r="U2405" s="46"/>
      <c r="V2405" s="46"/>
      <c r="W2405" s="46"/>
      <c r="X2405" s="11" t="str">
        <f>IF(COUNTBLANK(B2405:W2405)&gt;0,"NA",'batch classification'!J2411)</f>
        <v>NA</v>
      </c>
    </row>
    <row r="2406" spans="1:24" x14ac:dyDescent="0.25">
      <c r="A2406" s="45"/>
      <c r="B2406" s="46"/>
      <c r="C2406" s="46"/>
      <c r="D2406" s="46"/>
      <c r="E2406" s="46"/>
      <c r="F2406" s="46"/>
      <c r="G2406" s="46"/>
      <c r="H2406" s="46"/>
      <c r="I2406" s="46"/>
      <c r="J2406" s="46"/>
      <c r="K2406" s="46"/>
      <c r="L2406" s="46"/>
      <c r="M2406" s="46"/>
      <c r="N2406" s="46"/>
      <c r="O2406" s="46"/>
      <c r="P2406" s="46"/>
      <c r="Q2406" s="46"/>
      <c r="R2406" s="46"/>
      <c r="S2406" s="46"/>
      <c r="T2406" s="46"/>
      <c r="U2406" s="46"/>
      <c r="V2406" s="46"/>
      <c r="W2406" s="46"/>
      <c r="X2406" s="11" t="str">
        <f>IF(COUNTBLANK(B2406:W2406)&gt;0,"NA",'batch classification'!J2412)</f>
        <v>NA</v>
      </c>
    </row>
    <row r="2407" spans="1:24" x14ac:dyDescent="0.25">
      <c r="A2407" s="45"/>
      <c r="B2407" s="46"/>
      <c r="C2407" s="46"/>
      <c r="D2407" s="46"/>
      <c r="E2407" s="46"/>
      <c r="F2407" s="46"/>
      <c r="G2407" s="46"/>
      <c r="H2407" s="46"/>
      <c r="I2407" s="46"/>
      <c r="J2407" s="46"/>
      <c r="K2407" s="46"/>
      <c r="L2407" s="46"/>
      <c r="M2407" s="46"/>
      <c r="N2407" s="46"/>
      <c r="O2407" s="46"/>
      <c r="P2407" s="46"/>
      <c r="Q2407" s="46"/>
      <c r="R2407" s="46"/>
      <c r="S2407" s="46"/>
      <c r="T2407" s="46"/>
      <c r="U2407" s="46"/>
      <c r="V2407" s="46"/>
      <c r="W2407" s="46"/>
      <c r="X2407" s="11" t="str">
        <f>IF(COUNTBLANK(B2407:W2407)&gt;0,"NA",'batch classification'!J2413)</f>
        <v>NA</v>
      </c>
    </row>
    <row r="2408" spans="1:24" x14ac:dyDescent="0.25">
      <c r="A2408" s="45"/>
      <c r="B2408" s="46"/>
      <c r="C2408" s="46"/>
      <c r="D2408" s="46"/>
      <c r="E2408" s="46"/>
      <c r="F2408" s="46"/>
      <c r="G2408" s="46"/>
      <c r="H2408" s="46"/>
      <c r="I2408" s="46"/>
      <c r="J2408" s="46"/>
      <c r="K2408" s="46"/>
      <c r="L2408" s="46"/>
      <c r="M2408" s="46"/>
      <c r="N2408" s="46"/>
      <c r="O2408" s="46"/>
      <c r="P2408" s="46"/>
      <c r="Q2408" s="46"/>
      <c r="R2408" s="46"/>
      <c r="S2408" s="46"/>
      <c r="T2408" s="46"/>
      <c r="U2408" s="46"/>
      <c r="V2408" s="46"/>
      <c r="W2408" s="46"/>
      <c r="X2408" s="11" t="str">
        <f>IF(COUNTBLANK(B2408:W2408)&gt;0,"NA",'batch classification'!J2414)</f>
        <v>NA</v>
      </c>
    </row>
    <row r="2409" spans="1:24" x14ac:dyDescent="0.25">
      <c r="A2409" s="45"/>
      <c r="B2409" s="46"/>
      <c r="C2409" s="46"/>
      <c r="D2409" s="46"/>
      <c r="E2409" s="46"/>
      <c r="F2409" s="46"/>
      <c r="G2409" s="46"/>
      <c r="H2409" s="46"/>
      <c r="I2409" s="46"/>
      <c r="J2409" s="46"/>
      <c r="K2409" s="46"/>
      <c r="L2409" s="46"/>
      <c r="M2409" s="46"/>
      <c r="N2409" s="46"/>
      <c r="O2409" s="46"/>
      <c r="P2409" s="46"/>
      <c r="Q2409" s="46"/>
      <c r="R2409" s="46"/>
      <c r="S2409" s="46"/>
      <c r="T2409" s="46"/>
      <c r="U2409" s="46"/>
      <c r="V2409" s="46"/>
      <c r="W2409" s="46"/>
      <c r="X2409" s="11" t="str">
        <f>IF(COUNTBLANK(B2409:W2409)&gt;0,"NA",'batch classification'!J2415)</f>
        <v>NA</v>
      </c>
    </row>
    <row r="2410" spans="1:24" x14ac:dyDescent="0.25">
      <c r="A2410" s="45"/>
      <c r="B2410" s="46"/>
      <c r="C2410" s="46"/>
      <c r="D2410" s="46"/>
      <c r="E2410" s="46"/>
      <c r="F2410" s="46"/>
      <c r="G2410" s="46"/>
      <c r="H2410" s="46"/>
      <c r="I2410" s="46"/>
      <c r="J2410" s="46"/>
      <c r="K2410" s="46"/>
      <c r="L2410" s="46"/>
      <c r="M2410" s="46"/>
      <c r="N2410" s="46"/>
      <c r="O2410" s="46"/>
      <c r="P2410" s="46"/>
      <c r="Q2410" s="46"/>
      <c r="R2410" s="46"/>
      <c r="S2410" s="46"/>
      <c r="T2410" s="46"/>
      <c r="U2410" s="46"/>
      <c r="V2410" s="46"/>
      <c r="W2410" s="46"/>
      <c r="X2410" s="11" t="str">
        <f>IF(COUNTBLANK(B2410:W2410)&gt;0,"NA",'batch classification'!J2416)</f>
        <v>NA</v>
      </c>
    </row>
    <row r="2411" spans="1:24" x14ac:dyDescent="0.25">
      <c r="A2411" s="45"/>
      <c r="B2411" s="46"/>
      <c r="C2411" s="46"/>
      <c r="D2411" s="46"/>
      <c r="E2411" s="46"/>
      <c r="F2411" s="46"/>
      <c r="G2411" s="46"/>
      <c r="H2411" s="46"/>
      <c r="I2411" s="46"/>
      <c r="J2411" s="46"/>
      <c r="K2411" s="46"/>
      <c r="L2411" s="46"/>
      <c r="M2411" s="46"/>
      <c r="N2411" s="46"/>
      <c r="O2411" s="46"/>
      <c r="P2411" s="46"/>
      <c r="Q2411" s="46"/>
      <c r="R2411" s="46"/>
      <c r="S2411" s="46"/>
      <c r="T2411" s="46"/>
      <c r="U2411" s="46"/>
      <c r="V2411" s="46"/>
      <c r="W2411" s="46"/>
      <c r="X2411" s="11" t="str">
        <f>IF(COUNTBLANK(B2411:W2411)&gt;0,"NA",'batch classification'!J2417)</f>
        <v>NA</v>
      </c>
    </row>
    <row r="2412" spans="1:24" x14ac:dyDescent="0.25">
      <c r="A2412" s="45"/>
      <c r="B2412" s="46"/>
      <c r="C2412" s="46"/>
      <c r="D2412" s="46"/>
      <c r="E2412" s="46"/>
      <c r="F2412" s="46"/>
      <c r="G2412" s="46"/>
      <c r="H2412" s="46"/>
      <c r="I2412" s="46"/>
      <c r="J2412" s="46"/>
      <c r="K2412" s="46"/>
      <c r="L2412" s="46"/>
      <c r="M2412" s="46"/>
      <c r="N2412" s="46"/>
      <c r="O2412" s="46"/>
      <c r="P2412" s="46"/>
      <c r="Q2412" s="46"/>
      <c r="R2412" s="46"/>
      <c r="S2412" s="46"/>
      <c r="T2412" s="46"/>
      <c r="U2412" s="46"/>
      <c r="V2412" s="46"/>
      <c r="W2412" s="46"/>
      <c r="X2412" s="11" t="str">
        <f>IF(COUNTBLANK(B2412:W2412)&gt;0,"NA",'batch classification'!J2418)</f>
        <v>NA</v>
      </c>
    </row>
    <row r="2413" spans="1:24" x14ac:dyDescent="0.25">
      <c r="A2413" s="45"/>
      <c r="B2413" s="46"/>
      <c r="C2413" s="46"/>
      <c r="D2413" s="46"/>
      <c r="E2413" s="46"/>
      <c r="F2413" s="46"/>
      <c r="G2413" s="46"/>
      <c r="H2413" s="46"/>
      <c r="I2413" s="46"/>
      <c r="J2413" s="46"/>
      <c r="K2413" s="46"/>
      <c r="L2413" s="46"/>
      <c r="M2413" s="46"/>
      <c r="N2413" s="46"/>
      <c r="O2413" s="46"/>
      <c r="P2413" s="46"/>
      <c r="Q2413" s="46"/>
      <c r="R2413" s="46"/>
      <c r="S2413" s="46"/>
      <c r="T2413" s="46"/>
      <c r="U2413" s="46"/>
      <c r="V2413" s="46"/>
      <c r="W2413" s="46"/>
      <c r="X2413" s="11" t="str">
        <f>IF(COUNTBLANK(B2413:W2413)&gt;0,"NA",'batch classification'!J2419)</f>
        <v>NA</v>
      </c>
    </row>
    <row r="2414" spans="1:24" x14ac:dyDescent="0.25">
      <c r="A2414" s="45"/>
      <c r="B2414" s="46"/>
      <c r="C2414" s="46"/>
      <c r="D2414" s="46"/>
      <c r="E2414" s="46"/>
      <c r="F2414" s="46"/>
      <c r="G2414" s="46"/>
      <c r="H2414" s="46"/>
      <c r="I2414" s="46"/>
      <c r="J2414" s="46"/>
      <c r="K2414" s="46"/>
      <c r="L2414" s="46"/>
      <c r="M2414" s="46"/>
      <c r="N2414" s="46"/>
      <c r="O2414" s="46"/>
      <c r="P2414" s="46"/>
      <c r="Q2414" s="46"/>
      <c r="R2414" s="46"/>
      <c r="S2414" s="46"/>
      <c r="T2414" s="46"/>
      <c r="U2414" s="46"/>
      <c r="V2414" s="46"/>
      <c r="W2414" s="46"/>
      <c r="X2414" s="11" t="str">
        <f>IF(COUNTBLANK(B2414:W2414)&gt;0,"NA",'batch classification'!J2420)</f>
        <v>NA</v>
      </c>
    </row>
    <row r="2415" spans="1:24" x14ac:dyDescent="0.25">
      <c r="A2415" s="45"/>
      <c r="B2415" s="46"/>
      <c r="C2415" s="46"/>
      <c r="D2415" s="46"/>
      <c r="E2415" s="46"/>
      <c r="F2415" s="46"/>
      <c r="G2415" s="46"/>
      <c r="H2415" s="46"/>
      <c r="I2415" s="46"/>
      <c r="J2415" s="46"/>
      <c r="K2415" s="46"/>
      <c r="L2415" s="46"/>
      <c r="M2415" s="46"/>
      <c r="N2415" s="46"/>
      <c r="O2415" s="46"/>
      <c r="P2415" s="46"/>
      <c r="Q2415" s="46"/>
      <c r="R2415" s="46"/>
      <c r="S2415" s="46"/>
      <c r="T2415" s="46"/>
      <c r="U2415" s="46"/>
      <c r="V2415" s="46"/>
      <c r="W2415" s="46"/>
      <c r="X2415" s="11" t="str">
        <f>IF(COUNTBLANK(B2415:W2415)&gt;0,"NA",'batch classification'!J2421)</f>
        <v>NA</v>
      </c>
    </row>
    <row r="2416" spans="1:24" x14ac:dyDescent="0.25">
      <c r="A2416" s="45"/>
      <c r="B2416" s="46"/>
      <c r="C2416" s="46"/>
      <c r="D2416" s="46"/>
      <c r="E2416" s="46"/>
      <c r="F2416" s="46"/>
      <c r="G2416" s="46"/>
      <c r="H2416" s="46"/>
      <c r="I2416" s="46"/>
      <c r="J2416" s="46"/>
      <c r="K2416" s="46"/>
      <c r="L2416" s="46"/>
      <c r="M2416" s="46"/>
      <c r="N2416" s="46"/>
      <c r="O2416" s="46"/>
      <c r="P2416" s="46"/>
      <c r="Q2416" s="46"/>
      <c r="R2416" s="46"/>
      <c r="S2416" s="46"/>
      <c r="T2416" s="46"/>
      <c r="U2416" s="46"/>
      <c r="V2416" s="46"/>
      <c r="W2416" s="46"/>
      <c r="X2416" s="11" t="str">
        <f>IF(COUNTBLANK(B2416:W2416)&gt;0,"NA",'batch classification'!J2422)</f>
        <v>NA</v>
      </c>
    </row>
    <row r="2417" spans="1:24" x14ac:dyDescent="0.25">
      <c r="A2417" s="45"/>
      <c r="B2417" s="46"/>
      <c r="C2417" s="46"/>
      <c r="D2417" s="46"/>
      <c r="E2417" s="46"/>
      <c r="F2417" s="46"/>
      <c r="G2417" s="46"/>
      <c r="H2417" s="46"/>
      <c r="I2417" s="46"/>
      <c r="J2417" s="46"/>
      <c r="K2417" s="46"/>
      <c r="L2417" s="46"/>
      <c r="M2417" s="46"/>
      <c r="N2417" s="46"/>
      <c r="O2417" s="46"/>
      <c r="P2417" s="46"/>
      <c r="Q2417" s="46"/>
      <c r="R2417" s="46"/>
      <c r="S2417" s="46"/>
      <c r="T2417" s="46"/>
      <c r="U2417" s="46"/>
      <c r="V2417" s="46"/>
      <c r="W2417" s="46"/>
      <c r="X2417" s="11" t="str">
        <f>IF(COUNTBLANK(B2417:W2417)&gt;0,"NA",'batch classification'!J2423)</f>
        <v>NA</v>
      </c>
    </row>
    <row r="2418" spans="1:24" x14ac:dyDescent="0.25">
      <c r="A2418" s="45"/>
      <c r="B2418" s="46"/>
      <c r="C2418" s="46"/>
      <c r="D2418" s="46"/>
      <c r="E2418" s="46"/>
      <c r="F2418" s="46"/>
      <c r="G2418" s="46"/>
      <c r="H2418" s="46"/>
      <c r="I2418" s="46"/>
      <c r="J2418" s="46"/>
      <c r="K2418" s="46"/>
      <c r="L2418" s="46"/>
      <c r="M2418" s="46"/>
      <c r="N2418" s="46"/>
      <c r="O2418" s="46"/>
      <c r="P2418" s="46"/>
      <c r="Q2418" s="46"/>
      <c r="R2418" s="46"/>
      <c r="S2418" s="46"/>
      <c r="T2418" s="46"/>
      <c r="U2418" s="46"/>
      <c r="V2418" s="46"/>
      <c r="W2418" s="46"/>
      <c r="X2418" s="11" t="str">
        <f>IF(COUNTBLANK(B2418:W2418)&gt;0,"NA",'batch classification'!J2424)</f>
        <v>NA</v>
      </c>
    </row>
    <row r="2419" spans="1:24" x14ac:dyDescent="0.25">
      <c r="A2419" s="45"/>
      <c r="B2419" s="46"/>
      <c r="C2419" s="46"/>
      <c r="D2419" s="46"/>
      <c r="E2419" s="46"/>
      <c r="F2419" s="46"/>
      <c r="G2419" s="46"/>
      <c r="H2419" s="46"/>
      <c r="I2419" s="46"/>
      <c r="J2419" s="46"/>
      <c r="K2419" s="46"/>
      <c r="L2419" s="46"/>
      <c r="M2419" s="46"/>
      <c r="N2419" s="46"/>
      <c r="O2419" s="46"/>
      <c r="P2419" s="46"/>
      <c r="Q2419" s="46"/>
      <c r="R2419" s="46"/>
      <c r="S2419" s="46"/>
      <c r="T2419" s="46"/>
      <c r="U2419" s="46"/>
      <c r="V2419" s="46"/>
      <c r="W2419" s="46"/>
      <c r="X2419" s="11" t="str">
        <f>IF(COUNTBLANK(B2419:W2419)&gt;0,"NA",'batch classification'!J2425)</f>
        <v>NA</v>
      </c>
    </row>
    <row r="2420" spans="1:24" x14ac:dyDescent="0.25">
      <c r="A2420" s="45"/>
      <c r="B2420" s="46"/>
      <c r="C2420" s="46"/>
      <c r="D2420" s="46"/>
      <c r="E2420" s="46"/>
      <c r="F2420" s="46"/>
      <c r="G2420" s="46"/>
      <c r="H2420" s="46"/>
      <c r="I2420" s="46"/>
      <c r="J2420" s="46"/>
      <c r="K2420" s="46"/>
      <c r="L2420" s="46"/>
      <c r="M2420" s="46"/>
      <c r="N2420" s="46"/>
      <c r="O2420" s="46"/>
      <c r="P2420" s="46"/>
      <c r="Q2420" s="46"/>
      <c r="R2420" s="46"/>
      <c r="S2420" s="46"/>
      <c r="T2420" s="46"/>
      <c r="U2420" s="46"/>
      <c r="V2420" s="46"/>
      <c r="W2420" s="46"/>
      <c r="X2420" s="11" t="str">
        <f>IF(COUNTBLANK(B2420:W2420)&gt;0,"NA",'batch classification'!J2426)</f>
        <v>NA</v>
      </c>
    </row>
    <row r="2421" spans="1:24" x14ac:dyDescent="0.25">
      <c r="A2421" s="45"/>
      <c r="B2421" s="46"/>
      <c r="C2421" s="46"/>
      <c r="D2421" s="46"/>
      <c r="E2421" s="46"/>
      <c r="F2421" s="46"/>
      <c r="G2421" s="46"/>
      <c r="H2421" s="46"/>
      <c r="I2421" s="46"/>
      <c r="J2421" s="46"/>
      <c r="K2421" s="46"/>
      <c r="L2421" s="46"/>
      <c r="M2421" s="46"/>
      <c r="N2421" s="46"/>
      <c r="O2421" s="46"/>
      <c r="P2421" s="46"/>
      <c r="Q2421" s="46"/>
      <c r="R2421" s="46"/>
      <c r="S2421" s="46"/>
      <c r="T2421" s="46"/>
      <c r="U2421" s="46"/>
      <c r="V2421" s="46"/>
      <c r="W2421" s="46"/>
      <c r="X2421" s="11" t="str">
        <f>IF(COUNTBLANK(B2421:W2421)&gt;0,"NA",'batch classification'!J2427)</f>
        <v>NA</v>
      </c>
    </row>
    <row r="2422" spans="1:24" x14ac:dyDescent="0.25">
      <c r="A2422" s="45"/>
      <c r="B2422" s="46"/>
      <c r="C2422" s="46"/>
      <c r="D2422" s="46"/>
      <c r="E2422" s="46"/>
      <c r="F2422" s="46"/>
      <c r="G2422" s="46"/>
      <c r="H2422" s="46"/>
      <c r="I2422" s="46"/>
      <c r="J2422" s="46"/>
      <c r="K2422" s="46"/>
      <c r="L2422" s="46"/>
      <c r="M2422" s="46"/>
      <c r="N2422" s="46"/>
      <c r="O2422" s="46"/>
      <c r="P2422" s="46"/>
      <c r="Q2422" s="46"/>
      <c r="R2422" s="46"/>
      <c r="S2422" s="46"/>
      <c r="T2422" s="46"/>
      <c r="U2422" s="46"/>
      <c r="V2422" s="46"/>
      <c r="W2422" s="46"/>
      <c r="X2422" s="11" t="str">
        <f>IF(COUNTBLANK(B2422:W2422)&gt;0,"NA",'batch classification'!J2428)</f>
        <v>NA</v>
      </c>
    </row>
    <row r="2423" spans="1:24" x14ac:dyDescent="0.25">
      <c r="A2423" s="45"/>
      <c r="B2423" s="46"/>
      <c r="C2423" s="46"/>
      <c r="D2423" s="46"/>
      <c r="E2423" s="46"/>
      <c r="F2423" s="46"/>
      <c r="G2423" s="46"/>
      <c r="H2423" s="46"/>
      <c r="I2423" s="46"/>
      <c r="J2423" s="46"/>
      <c r="K2423" s="46"/>
      <c r="L2423" s="46"/>
      <c r="M2423" s="46"/>
      <c r="N2423" s="46"/>
      <c r="O2423" s="46"/>
      <c r="P2423" s="46"/>
      <c r="Q2423" s="46"/>
      <c r="R2423" s="46"/>
      <c r="S2423" s="46"/>
      <c r="T2423" s="46"/>
      <c r="U2423" s="46"/>
      <c r="V2423" s="46"/>
      <c r="W2423" s="46"/>
      <c r="X2423" s="11" t="str">
        <f>IF(COUNTBLANK(B2423:W2423)&gt;0,"NA",'batch classification'!J2429)</f>
        <v>NA</v>
      </c>
    </row>
    <row r="2424" spans="1:24" x14ac:dyDescent="0.25">
      <c r="A2424" s="45"/>
      <c r="B2424" s="46"/>
      <c r="C2424" s="46"/>
      <c r="D2424" s="46"/>
      <c r="E2424" s="46"/>
      <c r="F2424" s="46"/>
      <c r="G2424" s="46"/>
      <c r="H2424" s="46"/>
      <c r="I2424" s="46"/>
      <c r="J2424" s="46"/>
      <c r="K2424" s="46"/>
      <c r="L2424" s="46"/>
      <c r="M2424" s="46"/>
      <c r="N2424" s="46"/>
      <c r="O2424" s="46"/>
      <c r="P2424" s="46"/>
      <c r="Q2424" s="46"/>
      <c r="R2424" s="46"/>
      <c r="S2424" s="46"/>
      <c r="T2424" s="46"/>
      <c r="U2424" s="46"/>
      <c r="V2424" s="46"/>
      <c r="W2424" s="46"/>
      <c r="X2424" s="11" t="str">
        <f>IF(COUNTBLANK(B2424:W2424)&gt;0,"NA",'batch classification'!J2430)</f>
        <v>NA</v>
      </c>
    </row>
    <row r="2425" spans="1:24" x14ac:dyDescent="0.25">
      <c r="A2425" s="45"/>
      <c r="B2425" s="46"/>
      <c r="C2425" s="46"/>
      <c r="D2425" s="46"/>
      <c r="E2425" s="46"/>
      <c r="F2425" s="46"/>
      <c r="G2425" s="46"/>
      <c r="H2425" s="46"/>
      <c r="I2425" s="46"/>
      <c r="J2425" s="46"/>
      <c r="K2425" s="46"/>
      <c r="L2425" s="46"/>
      <c r="M2425" s="46"/>
      <c r="N2425" s="46"/>
      <c r="O2425" s="46"/>
      <c r="P2425" s="46"/>
      <c r="Q2425" s="46"/>
      <c r="R2425" s="46"/>
      <c r="S2425" s="46"/>
      <c r="T2425" s="46"/>
      <c r="U2425" s="46"/>
      <c r="V2425" s="46"/>
      <c r="W2425" s="46"/>
      <c r="X2425" s="11" t="str">
        <f>IF(COUNTBLANK(B2425:W2425)&gt;0,"NA",'batch classification'!J2431)</f>
        <v>NA</v>
      </c>
    </row>
    <row r="2426" spans="1:24" x14ac:dyDescent="0.25">
      <c r="A2426" s="45"/>
      <c r="B2426" s="46"/>
      <c r="C2426" s="46"/>
      <c r="D2426" s="46"/>
      <c r="E2426" s="46"/>
      <c r="F2426" s="46"/>
      <c r="G2426" s="46"/>
      <c r="H2426" s="46"/>
      <c r="I2426" s="46"/>
      <c r="J2426" s="46"/>
      <c r="K2426" s="46"/>
      <c r="L2426" s="46"/>
      <c r="M2426" s="46"/>
      <c r="N2426" s="46"/>
      <c r="O2426" s="46"/>
      <c r="P2426" s="46"/>
      <c r="Q2426" s="46"/>
      <c r="R2426" s="46"/>
      <c r="S2426" s="46"/>
      <c r="T2426" s="46"/>
      <c r="U2426" s="46"/>
      <c r="V2426" s="46"/>
      <c r="W2426" s="46"/>
      <c r="X2426" s="11" t="str">
        <f>IF(COUNTBLANK(B2426:W2426)&gt;0,"NA",'batch classification'!J2432)</f>
        <v>NA</v>
      </c>
    </row>
    <row r="2427" spans="1:24" x14ac:dyDescent="0.25">
      <c r="A2427" s="45"/>
      <c r="B2427" s="46"/>
      <c r="C2427" s="46"/>
      <c r="D2427" s="46"/>
      <c r="E2427" s="46"/>
      <c r="F2427" s="46"/>
      <c r="G2427" s="46"/>
      <c r="H2427" s="46"/>
      <c r="I2427" s="46"/>
      <c r="J2427" s="46"/>
      <c r="K2427" s="46"/>
      <c r="L2427" s="46"/>
      <c r="M2427" s="46"/>
      <c r="N2427" s="46"/>
      <c r="O2427" s="46"/>
      <c r="P2427" s="46"/>
      <c r="Q2427" s="46"/>
      <c r="R2427" s="46"/>
      <c r="S2427" s="46"/>
      <c r="T2427" s="46"/>
      <c r="U2427" s="46"/>
      <c r="V2427" s="46"/>
      <c r="W2427" s="46"/>
      <c r="X2427" s="11" t="str">
        <f>IF(COUNTBLANK(B2427:W2427)&gt;0,"NA",'batch classification'!J2433)</f>
        <v>NA</v>
      </c>
    </row>
    <row r="2428" spans="1:24" x14ac:dyDescent="0.25">
      <c r="A2428" s="45"/>
      <c r="B2428" s="46"/>
      <c r="C2428" s="46"/>
      <c r="D2428" s="46"/>
      <c r="E2428" s="46"/>
      <c r="F2428" s="46"/>
      <c r="G2428" s="46"/>
      <c r="H2428" s="46"/>
      <c r="I2428" s="46"/>
      <c r="J2428" s="46"/>
      <c r="K2428" s="46"/>
      <c r="L2428" s="46"/>
      <c r="M2428" s="46"/>
      <c r="N2428" s="46"/>
      <c r="O2428" s="46"/>
      <c r="P2428" s="46"/>
      <c r="Q2428" s="46"/>
      <c r="R2428" s="46"/>
      <c r="S2428" s="46"/>
      <c r="T2428" s="46"/>
      <c r="U2428" s="46"/>
      <c r="V2428" s="46"/>
      <c r="W2428" s="46"/>
      <c r="X2428" s="11" t="str">
        <f>IF(COUNTBLANK(B2428:W2428)&gt;0,"NA",'batch classification'!J2434)</f>
        <v>NA</v>
      </c>
    </row>
    <row r="2429" spans="1:24" x14ac:dyDescent="0.25">
      <c r="A2429" s="45"/>
      <c r="B2429" s="46"/>
      <c r="C2429" s="46"/>
      <c r="D2429" s="46"/>
      <c r="E2429" s="46"/>
      <c r="F2429" s="46"/>
      <c r="G2429" s="46"/>
      <c r="H2429" s="46"/>
      <c r="I2429" s="46"/>
      <c r="J2429" s="46"/>
      <c r="K2429" s="46"/>
      <c r="L2429" s="46"/>
      <c r="M2429" s="46"/>
      <c r="N2429" s="46"/>
      <c r="O2429" s="46"/>
      <c r="P2429" s="46"/>
      <c r="Q2429" s="46"/>
      <c r="R2429" s="46"/>
      <c r="S2429" s="46"/>
      <c r="T2429" s="46"/>
      <c r="U2429" s="46"/>
      <c r="V2429" s="46"/>
      <c r="W2429" s="46"/>
      <c r="X2429" s="11" t="str">
        <f>IF(COUNTBLANK(B2429:W2429)&gt;0,"NA",'batch classification'!J2435)</f>
        <v>NA</v>
      </c>
    </row>
    <row r="2430" spans="1:24" x14ac:dyDescent="0.25">
      <c r="A2430" s="45"/>
      <c r="B2430" s="46"/>
      <c r="C2430" s="46"/>
      <c r="D2430" s="46"/>
      <c r="E2430" s="46"/>
      <c r="F2430" s="46"/>
      <c r="G2430" s="46"/>
      <c r="H2430" s="46"/>
      <c r="I2430" s="46"/>
      <c r="J2430" s="46"/>
      <c r="K2430" s="46"/>
      <c r="L2430" s="46"/>
      <c r="M2430" s="46"/>
      <c r="N2430" s="46"/>
      <c r="O2430" s="46"/>
      <c r="P2430" s="46"/>
      <c r="Q2430" s="46"/>
      <c r="R2430" s="46"/>
      <c r="S2430" s="46"/>
      <c r="T2430" s="46"/>
      <c r="U2430" s="46"/>
      <c r="V2430" s="46"/>
      <c r="W2430" s="46"/>
      <c r="X2430" s="11" t="str">
        <f>IF(COUNTBLANK(B2430:W2430)&gt;0,"NA",'batch classification'!J2436)</f>
        <v>NA</v>
      </c>
    </row>
    <row r="2431" spans="1:24" x14ac:dyDescent="0.25">
      <c r="A2431" s="45"/>
      <c r="B2431" s="46"/>
      <c r="C2431" s="46"/>
      <c r="D2431" s="46"/>
      <c r="E2431" s="46"/>
      <c r="F2431" s="46"/>
      <c r="G2431" s="46"/>
      <c r="H2431" s="46"/>
      <c r="I2431" s="46"/>
      <c r="J2431" s="46"/>
      <c r="K2431" s="46"/>
      <c r="L2431" s="46"/>
      <c r="M2431" s="46"/>
      <c r="N2431" s="46"/>
      <c r="O2431" s="46"/>
      <c r="P2431" s="46"/>
      <c r="Q2431" s="46"/>
      <c r="R2431" s="46"/>
      <c r="S2431" s="46"/>
      <c r="T2431" s="46"/>
      <c r="U2431" s="46"/>
      <c r="V2431" s="46"/>
      <c r="W2431" s="46"/>
      <c r="X2431" s="11" t="str">
        <f>IF(COUNTBLANK(B2431:W2431)&gt;0,"NA",'batch classification'!J2437)</f>
        <v>NA</v>
      </c>
    </row>
    <row r="2432" spans="1:24" x14ac:dyDescent="0.25">
      <c r="A2432" s="45"/>
      <c r="B2432" s="46"/>
      <c r="C2432" s="46"/>
      <c r="D2432" s="46"/>
      <c r="E2432" s="46"/>
      <c r="F2432" s="46"/>
      <c r="G2432" s="46"/>
      <c r="H2432" s="46"/>
      <c r="I2432" s="46"/>
      <c r="J2432" s="46"/>
      <c r="K2432" s="46"/>
      <c r="L2432" s="46"/>
      <c r="M2432" s="46"/>
      <c r="N2432" s="46"/>
      <c r="O2432" s="46"/>
      <c r="P2432" s="46"/>
      <c r="Q2432" s="46"/>
      <c r="R2432" s="46"/>
      <c r="S2432" s="46"/>
      <c r="T2432" s="46"/>
      <c r="U2432" s="46"/>
      <c r="V2432" s="46"/>
      <c r="W2432" s="46"/>
      <c r="X2432" s="11" t="str">
        <f>IF(COUNTBLANK(B2432:W2432)&gt;0,"NA",'batch classification'!J2438)</f>
        <v>NA</v>
      </c>
    </row>
    <row r="2433" spans="1:24" x14ac:dyDescent="0.25">
      <c r="A2433" s="45"/>
      <c r="B2433" s="46"/>
      <c r="C2433" s="46"/>
      <c r="D2433" s="46"/>
      <c r="E2433" s="46"/>
      <c r="F2433" s="46"/>
      <c r="G2433" s="46"/>
      <c r="H2433" s="46"/>
      <c r="I2433" s="46"/>
      <c r="J2433" s="46"/>
      <c r="K2433" s="46"/>
      <c r="L2433" s="46"/>
      <c r="M2433" s="46"/>
      <c r="N2433" s="46"/>
      <c r="O2433" s="46"/>
      <c r="P2433" s="46"/>
      <c r="Q2433" s="46"/>
      <c r="R2433" s="46"/>
      <c r="S2433" s="46"/>
      <c r="T2433" s="46"/>
      <c r="U2433" s="46"/>
      <c r="V2433" s="46"/>
      <c r="W2433" s="46"/>
      <c r="X2433" s="11" t="str">
        <f>IF(COUNTBLANK(B2433:W2433)&gt;0,"NA",'batch classification'!J2439)</f>
        <v>NA</v>
      </c>
    </row>
    <row r="2434" spans="1:24" x14ac:dyDescent="0.25">
      <c r="A2434" s="45"/>
      <c r="B2434" s="46"/>
      <c r="C2434" s="46"/>
      <c r="D2434" s="46"/>
      <c r="E2434" s="46"/>
      <c r="F2434" s="46"/>
      <c r="G2434" s="46"/>
      <c r="H2434" s="46"/>
      <c r="I2434" s="46"/>
      <c r="J2434" s="46"/>
      <c r="K2434" s="46"/>
      <c r="L2434" s="46"/>
      <c r="M2434" s="46"/>
      <c r="N2434" s="46"/>
      <c r="O2434" s="46"/>
      <c r="P2434" s="46"/>
      <c r="Q2434" s="46"/>
      <c r="R2434" s="46"/>
      <c r="S2434" s="46"/>
      <c r="T2434" s="46"/>
      <c r="U2434" s="46"/>
      <c r="V2434" s="46"/>
      <c r="W2434" s="46"/>
      <c r="X2434" s="11" t="str">
        <f>IF(COUNTBLANK(B2434:W2434)&gt;0,"NA",'batch classification'!J2440)</f>
        <v>NA</v>
      </c>
    </row>
    <row r="2435" spans="1:24" x14ac:dyDescent="0.25">
      <c r="A2435" s="45"/>
      <c r="B2435" s="46"/>
      <c r="C2435" s="46"/>
      <c r="D2435" s="46"/>
      <c r="E2435" s="46"/>
      <c r="F2435" s="46"/>
      <c r="G2435" s="46"/>
      <c r="H2435" s="46"/>
      <c r="I2435" s="46"/>
      <c r="J2435" s="46"/>
      <c r="K2435" s="46"/>
      <c r="L2435" s="46"/>
      <c r="M2435" s="46"/>
      <c r="N2435" s="46"/>
      <c r="O2435" s="46"/>
      <c r="P2435" s="46"/>
      <c r="Q2435" s="46"/>
      <c r="R2435" s="46"/>
      <c r="S2435" s="46"/>
      <c r="T2435" s="46"/>
      <c r="U2435" s="46"/>
      <c r="V2435" s="46"/>
      <c r="W2435" s="46"/>
      <c r="X2435" s="11" t="str">
        <f>IF(COUNTBLANK(B2435:W2435)&gt;0,"NA",'batch classification'!J2441)</f>
        <v>NA</v>
      </c>
    </row>
    <row r="2436" spans="1:24" x14ac:dyDescent="0.25">
      <c r="A2436" s="45"/>
      <c r="B2436" s="46"/>
      <c r="C2436" s="46"/>
      <c r="D2436" s="46"/>
      <c r="E2436" s="46"/>
      <c r="F2436" s="46"/>
      <c r="G2436" s="46"/>
      <c r="H2436" s="46"/>
      <c r="I2436" s="46"/>
      <c r="J2436" s="46"/>
      <c r="K2436" s="46"/>
      <c r="L2436" s="46"/>
      <c r="M2436" s="46"/>
      <c r="N2436" s="46"/>
      <c r="O2436" s="46"/>
      <c r="P2436" s="46"/>
      <c r="Q2436" s="46"/>
      <c r="R2436" s="46"/>
      <c r="S2436" s="46"/>
      <c r="T2436" s="46"/>
      <c r="U2436" s="46"/>
      <c r="V2436" s="46"/>
      <c r="W2436" s="46"/>
      <c r="X2436" s="11" t="str">
        <f>IF(COUNTBLANK(B2436:W2436)&gt;0,"NA",'batch classification'!J2442)</f>
        <v>NA</v>
      </c>
    </row>
    <row r="2437" spans="1:24" x14ac:dyDescent="0.25">
      <c r="A2437" s="45"/>
      <c r="B2437" s="46"/>
      <c r="C2437" s="46"/>
      <c r="D2437" s="46"/>
      <c r="E2437" s="46"/>
      <c r="F2437" s="46"/>
      <c r="G2437" s="46"/>
      <c r="H2437" s="46"/>
      <c r="I2437" s="46"/>
      <c r="J2437" s="46"/>
      <c r="K2437" s="46"/>
      <c r="L2437" s="46"/>
      <c r="M2437" s="46"/>
      <c r="N2437" s="46"/>
      <c r="O2437" s="46"/>
      <c r="P2437" s="46"/>
      <c r="Q2437" s="46"/>
      <c r="R2437" s="46"/>
      <c r="S2437" s="46"/>
      <c r="T2437" s="46"/>
      <c r="U2437" s="46"/>
      <c r="V2437" s="46"/>
      <c r="W2437" s="46"/>
      <c r="X2437" s="11" t="str">
        <f>IF(COUNTBLANK(B2437:W2437)&gt;0,"NA",'batch classification'!J2443)</f>
        <v>NA</v>
      </c>
    </row>
    <row r="2438" spans="1:24" x14ac:dyDescent="0.25">
      <c r="A2438" s="45"/>
      <c r="B2438" s="46"/>
      <c r="C2438" s="46"/>
      <c r="D2438" s="46"/>
      <c r="E2438" s="46"/>
      <c r="F2438" s="46"/>
      <c r="G2438" s="46"/>
      <c r="H2438" s="46"/>
      <c r="I2438" s="46"/>
      <c r="J2438" s="46"/>
      <c r="K2438" s="46"/>
      <c r="L2438" s="46"/>
      <c r="M2438" s="46"/>
      <c r="N2438" s="46"/>
      <c r="O2438" s="46"/>
      <c r="P2438" s="46"/>
      <c r="Q2438" s="46"/>
      <c r="R2438" s="46"/>
      <c r="S2438" s="46"/>
      <c r="T2438" s="46"/>
      <c r="U2438" s="46"/>
      <c r="V2438" s="46"/>
      <c r="W2438" s="46"/>
      <c r="X2438" s="11" t="str">
        <f>IF(COUNTBLANK(B2438:W2438)&gt;0,"NA",'batch classification'!J2444)</f>
        <v>NA</v>
      </c>
    </row>
    <row r="2439" spans="1:24" x14ac:dyDescent="0.25">
      <c r="A2439" s="45"/>
      <c r="B2439" s="46"/>
      <c r="C2439" s="46"/>
      <c r="D2439" s="46"/>
      <c r="E2439" s="46"/>
      <c r="F2439" s="46"/>
      <c r="G2439" s="46"/>
      <c r="H2439" s="46"/>
      <c r="I2439" s="46"/>
      <c r="J2439" s="46"/>
      <c r="K2439" s="46"/>
      <c r="L2439" s="46"/>
      <c r="M2439" s="46"/>
      <c r="N2439" s="46"/>
      <c r="O2439" s="46"/>
      <c r="P2439" s="46"/>
      <c r="Q2439" s="46"/>
      <c r="R2439" s="46"/>
      <c r="S2439" s="46"/>
      <c r="T2439" s="46"/>
      <c r="U2439" s="46"/>
      <c r="V2439" s="46"/>
      <c r="W2439" s="46"/>
      <c r="X2439" s="11" t="str">
        <f>IF(COUNTBLANK(B2439:W2439)&gt;0,"NA",'batch classification'!J2445)</f>
        <v>NA</v>
      </c>
    </row>
    <row r="2440" spans="1:24" x14ac:dyDescent="0.25">
      <c r="A2440" s="45"/>
      <c r="B2440" s="46"/>
      <c r="C2440" s="46"/>
      <c r="D2440" s="46"/>
      <c r="E2440" s="46"/>
      <c r="F2440" s="46"/>
      <c r="G2440" s="46"/>
      <c r="H2440" s="46"/>
      <c r="I2440" s="46"/>
      <c r="J2440" s="46"/>
      <c r="K2440" s="46"/>
      <c r="L2440" s="46"/>
      <c r="M2440" s="46"/>
      <c r="N2440" s="46"/>
      <c r="O2440" s="46"/>
      <c r="P2440" s="46"/>
      <c r="Q2440" s="46"/>
      <c r="R2440" s="46"/>
      <c r="S2440" s="46"/>
      <c r="T2440" s="46"/>
      <c r="U2440" s="46"/>
      <c r="V2440" s="46"/>
      <c r="W2440" s="46"/>
      <c r="X2440" s="11" t="str">
        <f>IF(COUNTBLANK(B2440:W2440)&gt;0,"NA",'batch classification'!J2446)</f>
        <v>NA</v>
      </c>
    </row>
    <row r="2441" spans="1:24" x14ac:dyDescent="0.25">
      <c r="A2441" s="45"/>
      <c r="B2441" s="46"/>
      <c r="C2441" s="46"/>
      <c r="D2441" s="46"/>
      <c r="E2441" s="46"/>
      <c r="F2441" s="46"/>
      <c r="G2441" s="46"/>
      <c r="H2441" s="46"/>
      <c r="I2441" s="46"/>
      <c r="J2441" s="46"/>
      <c r="K2441" s="46"/>
      <c r="L2441" s="46"/>
      <c r="M2441" s="46"/>
      <c r="N2441" s="46"/>
      <c r="O2441" s="46"/>
      <c r="P2441" s="46"/>
      <c r="Q2441" s="46"/>
      <c r="R2441" s="46"/>
      <c r="S2441" s="46"/>
      <c r="T2441" s="46"/>
      <c r="U2441" s="46"/>
      <c r="V2441" s="46"/>
      <c r="W2441" s="46"/>
      <c r="X2441" s="11" t="str">
        <f>IF(COUNTBLANK(B2441:W2441)&gt;0,"NA",'batch classification'!J2447)</f>
        <v>NA</v>
      </c>
    </row>
    <row r="2442" spans="1:24" x14ac:dyDescent="0.25">
      <c r="A2442" s="45"/>
      <c r="B2442" s="46"/>
      <c r="C2442" s="46"/>
      <c r="D2442" s="46"/>
      <c r="E2442" s="46"/>
      <c r="F2442" s="46"/>
      <c r="G2442" s="46"/>
      <c r="H2442" s="46"/>
      <c r="I2442" s="46"/>
      <c r="J2442" s="46"/>
      <c r="K2442" s="46"/>
      <c r="L2442" s="46"/>
      <c r="M2442" s="46"/>
      <c r="N2442" s="46"/>
      <c r="O2442" s="46"/>
      <c r="P2442" s="46"/>
      <c r="Q2442" s="46"/>
      <c r="R2442" s="46"/>
      <c r="S2442" s="46"/>
      <c r="T2442" s="46"/>
      <c r="U2442" s="46"/>
      <c r="V2442" s="46"/>
      <c r="W2442" s="46"/>
      <c r="X2442" s="11" t="str">
        <f>IF(COUNTBLANK(B2442:W2442)&gt;0,"NA",'batch classification'!J2448)</f>
        <v>NA</v>
      </c>
    </row>
    <row r="2443" spans="1:24" x14ac:dyDescent="0.25">
      <c r="A2443" s="45"/>
      <c r="B2443" s="46"/>
      <c r="C2443" s="46"/>
      <c r="D2443" s="46"/>
      <c r="E2443" s="46"/>
      <c r="F2443" s="46"/>
      <c r="G2443" s="46"/>
      <c r="H2443" s="46"/>
      <c r="I2443" s="46"/>
      <c r="J2443" s="46"/>
      <c r="K2443" s="46"/>
      <c r="L2443" s="46"/>
      <c r="M2443" s="46"/>
      <c r="N2443" s="46"/>
      <c r="O2443" s="46"/>
      <c r="P2443" s="46"/>
      <c r="Q2443" s="46"/>
      <c r="R2443" s="46"/>
      <c r="S2443" s="46"/>
      <c r="T2443" s="46"/>
      <c r="U2443" s="46"/>
      <c r="V2443" s="46"/>
      <c r="W2443" s="46"/>
      <c r="X2443" s="11" t="str">
        <f>IF(COUNTBLANK(B2443:W2443)&gt;0,"NA",'batch classification'!J2449)</f>
        <v>NA</v>
      </c>
    </row>
    <row r="2444" spans="1:24" x14ac:dyDescent="0.25">
      <c r="A2444" s="45"/>
      <c r="B2444" s="46"/>
      <c r="C2444" s="46"/>
      <c r="D2444" s="46"/>
      <c r="E2444" s="46"/>
      <c r="F2444" s="46"/>
      <c r="G2444" s="46"/>
      <c r="H2444" s="46"/>
      <c r="I2444" s="46"/>
      <c r="J2444" s="46"/>
      <c r="K2444" s="46"/>
      <c r="L2444" s="46"/>
      <c r="M2444" s="46"/>
      <c r="N2444" s="46"/>
      <c r="O2444" s="46"/>
      <c r="P2444" s="46"/>
      <c r="Q2444" s="46"/>
      <c r="R2444" s="46"/>
      <c r="S2444" s="46"/>
      <c r="T2444" s="46"/>
      <c r="U2444" s="46"/>
      <c r="V2444" s="46"/>
      <c r="W2444" s="46"/>
      <c r="X2444" s="11" t="str">
        <f>IF(COUNTBLANK(B2444:W2444)&gt;0,"NA",'batch classification'!J2450)</f>
        <v>NA</v>
      </c>
    </row>
    <row r="2445" spans="1:24" x14ac:dyDescent="0.25">
      <c r="A2445" s="45"/>
      <c r="B2445" s="46"/>
      <c r="C2445" s="46"/>
      <c r="D2445" s="46"/>
      <c r="E2445" s="46"/>
      <c r="F2445" s="46"/>
      <c r="G2445" s="46"/>
      <c r="H2445" s="46"/>
      <c r="I2445" s="46"/>
      <c r="J2445" s="46"/>
      <c r="K2445" s="46"/>
      <c r="L2445" s="46"/>
      <c r="M2445" s="46"/>
      <c r="N2445" s="46"/>
      <c r="O2445" s="46"/>
      <c r="P2445" s="46"/>
      <c r="Q2445" s="46"/>
      <c r="R2445" s="46"/>
      <c r="S2445" s="46"/>
      <c r="T2445" s="46"/>
      <c r="U2445" s="46"/>
      <c r="V2445" s="46"/>
      <c r="W2445" s="46"/>
      <c r="X2445" s="11" t="str">
        <f>IF(COUNTBLANK(B2445:W2445)&gt;0,"NA",'batch classification'!J2451)</f>
        <v>NA</v>
      </c>
    </row>
    <row r="2446" spans="1:24" x14ac:dyDescent="0.25">
      <c r="A2446" s="45"/>
      <c r="B2446" s="46"/>
      <c r="C2446" s="46"/>
      <c r="D2446" s="46"/>
      <c r="E2446" s="46"/>
      <c r="F2446" s="46"/>
      <c r="G2446" s="46"/>
      <c r="H2446" s="46"/>
      <c r="I2446" s="46"/>
      <c r="J2446" s="46"/>
      <c r="K2446" s="46"/>
      <c r="L2446" s="46"/>
      <c r="M2446" s="46"/>
      <c r="N2446" s="46"/>
      <c r="O2446" s="46"/>
      <c r="P2446" s="46"/>
      <c r="Q2446" s="46"/>
      <c r="R2446" s="46"/>
      <c r="S2446" s="46"/>
      <c r="T2446" s="46"/>
      <c r="U2446" s="46"/>
      <c r="V2446" s="46"/>
      <c r="W2446" s="46"/>
      <c r="X2446" s="11" t="str">
        <f>IF(COUNTBLANK(B2446:W2446)&gt;0,"NA",'batch classification'!J2452)</f>
        <v>NA</v>
      </c>
    </row>
    <row r="2447" spans="1:24" x14ac:dyDescent="0.25">
      <c r="A2447" s="45"/>
      <c r="B2447" s="46"/>
      <c r="C2447" s="46"/>
      <c r="D2447" s="46"/>
      <c r="E2447" s="46"/>
      <c r="F2447" s="46"/>
      <c r="G2447" s="46"/>
      <c r="H2447" s="46"/>
      <c r="I2447" s="46"/>
      <c r="J2447" s="46"/>
      <c r="K2447" s="46"/>
      <c r="L2447" s="46"/>
      <c r="M2447" s="46"/>
      <c r="N2447" s="46"/>
      <c r="O2447" s="46"/>
      <c r="P2447" s="46"/>
      <c r="Q2447" s="46"/>
      <c r="R2447" s="46"/>
      <c r="S2447" s="46"/>
      <c r="T2447" s="46"/>
      <c r="U2447" s="46"/>
      <c r="V2447" s="46"/>
      <c r="W2447" s="46"/>
      <c r="X2447" s="11" t="str">
        <f>IF(COUNTBLANK(B2447:W2447)&gt;0,"NA",'batch classification'!J2453)</f>
        <v>NA</v>
      </c>
    </row>
    <row r="2448" spans="1:24" x14ac:dyDescent="0.25">
      <c r="A2448" s="45"/>
      <c r="B2448" s="46"/>
      <c r="C2448" s="46"/>
      <c r="D2448" s="46"/>
      <c r="E2448" s="46"/>
      <c r="F2448" s="46"/>
      <c r="G2448" s="46"/>
      <c r="H2448" s="46"/>
      <c r="I2448" s="46"/>
      <c r="J2448" s="46"/>
      <c r="K2448" s="46"/>
      <c r="L2448" s="46"/>
      <c r="M2448" s="46"/>
      <c r="N2448" s="46"/>
      <c r="O2448" s="46"/>
      <c r="P2448" s="46"/>
      <c r="Q2448" s="46"/>
      <c r="R2448" s="46"/>
      <c r="S2448" s="46"/>
      <c r="T2448" s="46"/>
      <c r="U2448" s="46"/>
      <c r="V2448" s="46"/>
      <c r="W2448" s="46"/>
      <c r="X2448" s="11" t="str">
        <f>IF(COUNTBLANK(B2448:W2448)&gt;0,"NA",'batch classification'!J2454)</f>
        <v>NA</v>
      </c>
    </row>
    <row r="2449" spans="1:24" x14ac:dyDescent="0.25">
      <c r="A2449" s="45"/>
      <c r="B2449" s="46"/>
      <c r="C2449" s="46"/>
      <c r="D2449" s="46"/>
      <c r="E2449" s="46"/>
      <c r="F2449" s="46"/>
      <c r="G2449" s="46"/>
      <c r="H2449" s="46"/>
      <c r="I2449" s="46"/>
      <c r="J2449" s="46"/>
      <c r="K2449" s="46"/>
      <c r="L2449" s="46"/>
      <c r="M2449" s="46"/>
      <c r="N2449" s="46"/>
      <c r="O2449" s="46"/>
      <c r="P2449" s="46"/>
      <c r="Q2449" s="46"/>
      <c r="R2449" s="46"/>
      <c r="S2449" s="46"/>
      <c r="T2449" s="46"/>
      <c r="U2449" s="46"/>
      <c r="V2449" s="46"/>
      <c r="W2449" s="46"/>
      <c r="X2449" s="11" t="str">
        <f>IF(COUNTBLANK(B2449:W2449)&gt;0,"NA",'batch classification'!J2455)</f>
        <v>NA</v>
      </c>
    </row>
    <row r="2450" spans="1:24" x14ac:dyDescent="0.25">
      <c r="A2450" s="45"/>
      <c r="B2450" s="46"/>
      <c r="C2450" s="46"/>
      <c r="D2450" s="46"/>
      <c r="E2450" s="46"/>
      <c r="F2450" s="46"/>
      <c r="G2450" s="46"/>
      <c r="H2450" s="46"/>
      <c r="I2450" s="46"/>
      <c r="J2450" s="46"/>
      <c r="K2450" s="46"/>
      <c r="L2450" s="46"/>
      <c r="M2450" s="46"/>
      <c r="N2450" s="46"/>
      <c r="O2450" s="46"/>
      <c r="P2450" s="46"/>
      <c r="Q2450" s="46"/>
      <c r="R2450" s="46"/>
      <c r="S2450" s="46"/>
      <c r="T2450" s="46"/>
      <c r="U2450" s="46"/>
      <c r="V2450" s="46"/>
      <c r="W2450" s="46"/>
      <c r="X2450" s="11" t="str">
        <f>IF(COUNTBLANK(B2450:W2450)&gt;0,"NA",'batch classification'!J2456)</f>
        <v>NA</v>
      </c>
    </row>
    <row r="2451" spans="1:24" x14ac:dyDescent="0.25">
      <c r="A2451" s="45"/>
      <c r="B2451" s="46"/>
      <c r="C2451" s="46"/>
      <c r="D2451" s="46"/>
      <c r="E2451" s="46"/>
      <c r="F2451" s="46"/>
      <c r="G2451" s="46"/>
      <c r="H2451" s="46"/>
      <c r="I2451" s="46"/>
      <c r="J2451" s="46"/>
      <c r="K2451" s="46"/>
      <c r="L2451" s="46"/>
      <c r="M2451" s="46"/>
      <c r="N2451" s="46"/>
      <c r="O2451" s="46"/>
      <c r="P2451" s="46"/>
      <c r="Q2451" s="46"/>
      <c r="R2451" s="46"/>
      <c r="S2451" s="46"/>
      <c r="T2451" s="46"/>
      <c r="U2451" s="46"/>
      <c r="V2451" s="46"/>
      <c r="W2451" s="46"/>
      <c r="X2451" s="11" t="str">
        <f>IF(COUNTBLANK(B2451:W2451)&gt;0,"NA",'batch classification'!J2457)</f>
        <v>NA</v>
      </c>
    </row>
    <row r="2452" spans="1:24" x14ac:dyDescent="0.25">
      <c r="A2452" s="45"/>
      <c r="B2452" s="46"/>
      <c r="C2452" s="46"/>
      <c r="D2452" s="46"/>
      <c r="E2452" s="46"/>
      <c r="F2452" s="46"/>
      <c r="G2452" s="46"/>
      <c r="H2452" s="46"/>
      <c r="I2452" s="46"/>
      <c r="J2452" s="46"/>
      <c r="K2452" s="46"/>
      <c r="L2452" s="46"/>
      <c r="M2452" s="46"/>
      <c r="N2452" s="46"/>
      <c r="O2452" s="46"/>
      <c r="P2452" s="46"/>
      <c r="Q2452" s="46"/>
      <c r="R2452" s="46"/>
      <c r="S2452" s="46"/>
      <c r="T2452" s="46"/>
      <c r="U2452" s="46"/>
      <c r="V2452" s="46"/>
      <c r="W2452" s="46"/>
      <c r="X2452" s="11" t="str">
        <f>IF(COUNTBLANK(B2452:W2452)&gt;0,"NA",'batch classification'!J2458)</f>
        <v>NA</v>
      </c>
    </row>
    <row r="2453" spans="1:24" x14ac:dyDescent="0.25">
      <c r="A2453" s="45"/>
      <c r="B2453" s="46"/>
      <c r="C2453" s="46"/>
      <c r="D2453" s="46"/>
      <c r="E2453" s="46"/>
      <c r="F2453" s="46"/>
      <c r="G2453" s="46"/>
      <c r="H2453" s="46"/>
      <c r="I2453" s="46"/>
      <c r="J2453" s="46"/>
      <c r="K2453" s="46"/>
      <c r="L2453" s="46"/>
      <c r="M2453" s="46"/>
      <c r="N2453" s="46"/>
      <c r="O2453" s="46"/>
      <c r="P2453" s="46"/>
      <c r="Q2453" s="46"/>
      <c r="R2453" s="46"/>
      <c r="S2453" s="46"/>
      <c r="T2453" s="46"/>
      <c r="U2453" s="46"/>
      <c r="V2453" s="46"/>
      <c r="W2453" s="46"/>
      <c r="X2453" s="11" t="str">
        <f>IF(COUNTBLANK(B2453:W2453)&gt;0,"NA",'batch classification'!J2459)</f>
        <v>NA</v>
      </c>
    </row>
    <row r="2454" spans="1:24" x14ac:dyDescent="0.25">
      <c r="A2454" s="45"/>
      <c r="B2454" s="46"/>
      <c r="C2454" s="46"/>
      <c r="D2454" s="46"/>
      <c r="E2454" s="46"/>
      <c r="F2454" s="46"/>
      <c r="G2454" s="46"/>
      <c r="H2454" s="46"/>
      <c r="I2454" s="46"/>
      <c r="J2454" s="46"/>
      <c r="K2454" s="46"/>
      <c r="L2454" s="46"/>
      <c r="M2454" s="46"/>
      <c r="N2454" s="46"/>
      <c r="O2454" s="46"/>
      <c r="P2454" s="46"/>
      <c r="Q2454" s="46"/>
      <c r="R2454" s="46"/>
      <c r="S2454" s="46"/>
      <c r="T2454" s="46"/>
      <c r="U2454" s="46"/>
      <c r="V2454" s="46"/>
      <c r="W2454" s="46"/>
      <c r="X2454" s="11" t="str">
        <f>IF(COUNTBLANK(B2454:W2454)&gt;0,"NA",'batch classification'!J2460)</f>
        <v>NA</v>
      </c>
    </row>
    <row r="2455" spans="1:24" x14ac:dyDescent="0.25">
      <c r="A2455" s="45"/>
      <c r="B2455" s="46"/>
      <c r="C2455" s="46"/>
      <c r="D2455" s="46"/>
      <c r="E2455" s="46"/>
      <c r="F2455" s="46"/>
      <c r="G2455" s="46"/>
      <c r="H2455" s="46"/>
      <c r="I2455" s="46"/>
      <c r="J2455" s="46"/>
      <c r="K2455" s="46"/>
      <c r="L2455" s="46"/>
      <c r="M2455" s="46"/>
      <c r="N2455" s="46"/>
      <c r="O2455" s="46"/>
      <c r="P2455" s="46"/>
      <c r="Q2455" s="46"/>
      <c r="R2455" s="46"/>
      <c r="S2455" s="46"/>
      <c r="T2455" s="46"/>
      <c r="U2455" s="46"/>
      <c r="V2455" s="46"/>
      <c r="W2455" s="46"/>
      <c r="X2455" s="11" t="str">
        <f>IF(COUNTBLANK(B2455:W2455)&gt;0,"NA",'batch classification'!J2461)</f>
        <v>NA</v>
      </c>
    </row>
    <row r="2456" spans="1:24" x14ac:dyDescent="0.25">
      <c r="A2456" s="45"/>
      <c r="B2456" s="46"/>
      <c r="C2456" s="46"/>
      <c r="D2456" s="46"/>
      <c r="E2456" s="46"/>
      <c r="F2456" s="46"/>
      <c r="G2456" s="46"/>
      <c r="H2456" s="46"/>
      <c r="I2456" s="46"/>
      <c r="J2456" s="46"/>
      <c r="K2456" s="46"/>
      <c r="L2456" s="46"/>
      <c r="M2456" s="46"/>
      <c r="N2456" s="46"/>
      <c r="O2456" s="46"/>
      <c r="P2456" s="46"/>
      <c r="Q2456" s="46"/>
      <c r="R2456" s="46"/>
      <c r="S2456" s="46"/>
      <c r="T2456" s="46"/>
      <c r="U2456" s="46"/>
      <c r="V2456" s="46"/>
      <c r="W2456" s="46"/>
      <c r="X2456" s="11" t="str">
        <f>IF(COUNTBLANK(B2456:W2456)&gt;0,"NA",'batch classification'!J2462)</f>
        <v>NA</v>
      </c>
    </row>
    <row r="2457" spans="1:24" x14ac:dyDescent="0.25">
      <c r="A2457" s="45"/>
      <c r="B2457" s="46"/>
      <c r="C2457" s="46"/>
      <c r="D2457" s="46"/>
      <c r="E2457" s="46"/>
      <c r="F2457" s="46"/>
      <c r="G2457" s="46"/>
      <c r="H2457" s="46"/>
      <c r="I2457" s="46"/>
      <c r="J2457" s="46"/>
      <c r="K2457" s="46"/>
      <c r="L2457" s="46"/>
      <c r="M2457" s="46"/>
      <c r="N2457" s="46"/>
      <c r="O2457" s="46"/>
      <c r="P2457" s="46"/>
      <c r="Q2457" s="46"/>
      <c r="R2457" s="46"/>
      <c r="S2457" s="46"/>
      <c r="T2457" s="46"/>
      <c r="U2457" s="46"/>
      <c r="V2457" s="46"/>
      <c r="W2457" s="46"/>
      <c r="X2457" s="11" t="str">
        <f>IF(COUNTBLANK(B2457:W2457)&gt;0,"NA",'batch classification'!J2463)</f>
        <v>NA</v>
      </c>
    </row>
    <row r="2458" spans="1:24" x14ac:dyDescent="0.25">
      <c r="A2458" s="45"/>
      <c r="B2458" s="46"/>
      <c r="C2458" s="46"/>
      <c r="D2458" s="46"/>
      <c r="E2458" s="46"/>
      <c r="F2458" s="46"/>
      <c r="G2458" s="46"/>
      <c r="H2458" s="46"/>
      <c r="I2458" s="46"/>
      <c r="J2458" s="46"/>
      <c r="K2458" s="46"/>
      <c r="L2458" s="46"/>
      <c r="M2458" s="46"/>
      <c r="N2458" s="46"/>
      <c r="O2458" s="46"/>
      <c r="P2458" s="46"/>
      <c r="Q2458" s="46"/>
      <c r="R2458" s="46"/>
      <c r="S2458" s="46"/>
      <c r="T2458" s="46"/>
      <c r="U2458" s="46"/>
      <c r="V2458" s="46"/>
      <c r="W2458" s="46"/>
      <c r="X2458" s="11" t="str">
        <f>IF(COUNTBLANK(B2458:W2458)&gt;0,"NA",'batch classification'!J2464)</f>
        <v>NA</v>
      </c>
    </row>
    <row r="2459" spans="1:24" x14ac:dyDescent="0.25">
      <c r="A2459" s="45"/>
      <c r="B2459" s="46"/>
      <c r="C2459" s="46"/>
      <c r="D2459" s="46"/>
      <c r="E2459" s="46"/>
      <c r="F2459" s="46"/>
      <c r="G2459" s="46"/>
      <c r="H2459" s="46"/>
      <c r="I2459" s="46"/>
      <c r="J2459" s="46"/>
      <c r="K2459" s="46"/>
      <c r="L2459" s="46"/>
      <c r="M2459" s="46"/>
      <c r="N2459" s="46"/>
      <c r="O2459" s="46"/>
      <c r="P2459" s="46"/>
      <c r="Q2459" s="46"/>
      <c r="R2459" s="46"/>
      <c r="S2459" s="46"/>
      <c r="T2459" s="46"/>
      <c r="U2459" s="46"/>
      <c r="V2459" s="46"/>
      <c r="W2459" s="46"/>
      <c r="X2459" s="11" t="str">
        <f>IF(COUNTBLANK(B2459:W2459)&gt;0,"NA",'batch classification'!J2465)</f>
        <v>NA</v>
      </c>
    </row>
    <row r="2460" spans="1:24" x14ac:dyDescent="0.25">
      <c r="A2460" s="45"/>
      <c r="B2460" s="46"/>
      <c r="C2460" s="46"/>
      <c r="D2460" s="46"/>
      <c r="E2460" s="46"/>
      <c r="F2460" s="46"/>
      <c r="G2460" s="46"/>
      <c r="H2460" s="46"/>
      <c r="I2460" s="46"/>
      <c r="J2460" s="46"/>
      <c r="K2460" s="46"/>
      <c r="L2460" s="46"/>
      <c r="M2460" s="46"/>
      <c r="N2460" s="46"/>
      <c r="O2460" s="46"/>
      <c r="P2460" s="46"/>
      <c r="Q2460" s="46"/>
      <c r="R2460" s="46"/>
      <c r="S2460" s="46"/>
      <c r="T2460" s="46"/>
      <c r="U2460" s="46"/>
      <c r="V2460" s="46"/>
      <c r="W2460" s="46"/>
      <c r="X2460" s="11" t="str">
        <f>IF(COUNTBLANK(B2460:W2460)&gt;0,"NA",'batch classification'!J2466)</f>
        <v>NA</v>
      </c>
    </row>
    <row r="2461" spans="1:24" x14ac:dyDescent="0.25">
      <c r="A2461" s="45"/>
      <c r="B2461" s="46"/>
      <c r="C2461" s="46"/>
      <c r="D2461" s="46"/>
      <c r="E2461" s="46"/>
      <c r="F2461" s="46"/>
      <c r="G2461" s="46"/>
      <c r="H2461" s="46"/>
      <c r="I2461" s="46"/>
      <c r="J2461" s="46"/>
      <c r="K2461" s="46"/>
      <c r="L2461" s="46"/>
      <c r="M2461" s="46"/>
      <c r="N2461" s="46"/>
      <c r="O2461" s="46"/>
      <c r="P2461" s="46"/>
      <c r="Q2461" s="46"/>
      <c r="R2461" s="46"/>
      <c r="S2461" s="46"/>
      <c r="T2461" s="46"/>
      <c r="U2461" s="46"/>
      <c r="V2461" s="46"/>
      <c r="W2461" s="46"/>
      <c r="X2461" s="11" t="str">
        <f>IF(COUNTBLANK(B2461:W2461)&gt;0,"NA",'batch classification'!J2467)</f>
        <v>NA</v>
      </c>
    </row>
    <row r="2462" spans="1:24" x14ac:dyDescent="0.25">
      <c r="A2462" s="45"/>
      <c r="B2462" s="46"/>
      <c r="C2462" s="46"/>
      <c r="D2462" s="46"/>
      <c r="E2462" s="46"/>
      <c r="F2462" s="46"/>
      <c r="G2462" s="46"/>
      <c r="H2462" s="46"/>
      <c r="I2462" s="46"/>
      <c r="J2462" s="46"/>
      <c r="K2462" s="46"/>
      <c r="L2462" s="46"/>
      <c r="M2462" s="46"/>
      <c r="N2462" s="46"/>
      <c r="O2462" s="46"/>
      <c r="P2462" s="46"/>
      <c r="Q2462" s="46"/>
      <c r="R2462" s="46"/>
      <c r="S2462" s="46"/>
      <c r="T2462" s="46"/>
      <c r="U2462" s="46"/>
      <c r="V2462" s="46"/>
      <c r="W2462" s="46"/>
      <c r="X2462" s="11" t="str">
        <f>IF(COUNTBLANK(B2462:W2462)&gt;0,"NA",'batch classification'!J2468)</f>
        <v>NA</v>
      </c>
    </row>
    <row r="2463" spans="1:24" x14ac:dyDescent="0.25">
      <c r="A2463" s="45"/>
      <c r="B2463" s="46"/>
      <c r="C2463" s="46"/>
      <c r="D2463" s="46"/>
      <c r="E2463" s="46"/>
      <c r="F2463" s="46"/>
      <c r="G2463" s="46"/>
      <c r="H2463" s="46"/>
      <c r="I2463" s="46"/>
      <c r="J2463" s="46"/>
      <c r="K2463" s="46"/>
      <c r="L2463" s="46"/>
      <c r="M2463" s="46"/>
      <c r="N2463" s="46"/>
      <c r="O2463" s="46"/>
      <c r="P2463" s="46"/>
      <c r="Q2463" s="46"/>
      <c r="R2463" s="46"/>
      <c r="S2463" s="46"/>
      <c r="T2463" s="46"/>
      <c r="U2463" s="46"/>
      <c r="V2463" s="46"/>
      <c r="W2463" s="46"/>
      <c r="X2463" s="11" t="str">
        <f>IF(COUNTBLANK(B2463:W2463)&gt;0,"NA",'batch classification'!J2469)</f>
        <v>NA</v>
      </c>
    </row>
    <row r="2464" spans="1:24" x14ac:dyDescent="0.25">
      <c r="A2464" s="45"/>
      <c r="B2464" s="46"/>
      <c r="C2464" s="46"/>
      <c r="D2464" s="46"/>
      <c r="E2464" s="46"/>
      <c r="F2464" s="46"/>
      <c r="G2464" s="46"/>
      <c r="H2464" s="46"/>
      <c r="I2464" s="46"/>
      <c r="J2464" s="46"/>
      <c r="K2464" s="46"/>
      <c r="L2464" s="46"/>
      <c r="M2464" s="46"/>
      <c r="N2464" s="46"/>
      <c r="O2464" s="46"/>
      <c r="P2464" s="46"/>
      <c r="Q2464" s="46"/>
      <c r="R2464" s="46"/>
      <c r="S2464" s="46"/>
      <c r="T2464" s="46"/>
      <c r="U2464" s="46"/>
      <c r="V2464" s="46"/>
      <c r="W2464" s="46"/>
      <c r="X2464" s="11" t="str">
        <f>IF(COUNTBLANK(B2464:W2464)&gt;0,"NA",'batch classification'!J2470)</f>
        <v>NA</v>
      </c>
    </row>
    <row r="2465" spans="1:24" x14ac:dyDescent="0.25">
      <c r="A2465" s="45"/>
      <c r="B2465" s="46"/>
      <c r="C2465" s="46"/>
      <c r="D2465" s="46"/>
      <c r="E2465" s="46"/>
      <c r="F2465" s="46"/>
      <c r="G2465" s="46"/>
      <c r="H2465" s="46"/>
      <c r="I2465" s="46"/>
      <c r="J2465" s="46"/>
      <c r="K2465" s="46"/>
      <c r="L2465" s="46"/>
      <c r="M2465" s="46"/>
      <c r="N2465" s="46"/>
      <c r="O2465" s="46"/>
      <c r="P2465" s="46"/>
      <c r="Q2465" s="46"/>
      <c r="R2465" s="46"/>
      <c r="S2465" s="46"/>
      <c r="T2465" s="46"/>
      <c r="U2465" s="46"/>
      <c r="V2465" s="46"/>
      <c r="W2465" s="46"/>
      <c r="X2465" s="11" t="str">
        <f>IF(COUNTBLANK(B2465:W2465)&gt;0,"NA",'batch classification'!J2471)</f>
        <v>NA</v>
      </c>
    </row>
    <row r="2466" spans="1:24" x14ac:dyDescent="0.25">
      <c r="A2466" s="45"/>
      <c r="B2466" s="46"/>
      <c r="C2466" s="46"/>
      <c r="D2466" s="46"/>
      <c r="E2466" s="46"/>
      <c r="F2466" s="46"/>
      <c r="G2466" s="46"/>
      <c r="H2466" s="46"/>
      <c r="I2466" s="46"/>
      <c r="J2466" s="46"/>
      <c r="K2466" s="46"/>
      <c r="L2466" s="46"/>
      <c r="M2466" s="46"/>
      <c r="N2466" s="46"/>
      <c r="O2466" s="46"/>
      <c r="P2466" s="46"/>
      <c r="Q2466" s="46"/>
      <c r="R2466" s="46"/>
      <c r="S2466" s="46"/>
      <c r="T2466" s="46"/>
      <c r="U2466" s="46"/>
      <c r="V2466" s="46"/>
      <c r="W2466" s="46"/>
      <c r="X2466" s="11" t="str">
        <f>IF(COUNTBLANK(B2466:W2466)&gt;0,"NA",'batch classification'!J2472)</f>
        <v>NA</v>
      </c>
    </row>
    <row r="2467" spans="1:24" x14ac:dyDescent="0.25">
      <c r="A2467" s="45"/>
      <c r="B2467" s="46"/>
      <c r="C2467" s="46"/>
      <c r="D2467" s="46"/>
      <c r="E2467" s="46"/>
      <c r="F2467" s="46"/>
      <c r="G2467" s="46"/>
      <c r="H2467" s="46"/>
      <c r="I2467" s="46"/>
      <c r="J2467" s="46"/>
      <c r="K2467" s="46"/>
      <c r="L2467" s="46"/>
      <c r="M2467" s="46"/>
      <c r="N2467" s="46"/>
      <c r="O2467" s="46"/>
      <c r="P2467" s="46"/>
      <c r="Q2467" s="46"/>
      <c r="R2467" s="46"/>
      <c r="S2467" s="46"/>
      <c r="T2467" s="46"/>
      <c r="U2467" s="46"/>
      <c r="V2467" s="46"/>
      <c r="W2467" s="46"/>
      <c r="X2467" s="11" t="str">
        <f>IF(COUNTBLANK(B2467:W2467)&gt;0,"NA",'batch classification'!J2473)</f>
        <v>NA</v>
      </c>
    </row>
    <row r="2468" spans="1:24" x14ac:dyDescent="0.25">
      <c r="A2468" s="45"/>
      <c r="B2468" s="46"/>
      <c r="C2468" s="46"/>
      <c r="D2468" s="46"/>
      <c r="E2468" s="46"/>
      <c r="F2468" s="46"/>
      <c r="G2468" s="46"/>
      <c r="H2468" s="46"/>
      <c r="I2468" s="46"/>
      <c r="J2468" s="46"/>
      <c r="K2468" s="46"/>
      <c r="L2468" s="46"/>
      <c r="M2468" s="46"/>
      <c r="N2468" s="46"/>
      <c r="O2468" s="46"/>
      <c r="P2468" s="46"/>
      <c r="Q2468" s="46"/>
      <c r="R2468" s="46"/>
      <c r="S2468" s="46"/>
      <c r="T2468" s="46"/>
      <c r="U2468" s="46"/>
      <c r="V2468" s="46"/>
      <c r="W2468" s="46"/>
      <c r="X2468" s="11" t="str">
        <f>IF(COUNTBLANK(B2468:W2468)&gt;0,"NA",'batch classification'!J2474)</f>
        <v>NA</v>
      </c>
    </row>
    <row r="2469" spans="1:24" x14ac:dyDescent="0.25">
      <c r="A2469" s="45"/>
      <c r="B2469" s="46"/>
      <c r="C2469" s="46"/>
      <c r="D2469" s="46"/>
      <c r="E2469" s="46"/>
      <c r="F2469" s="46"/>
      <c r="G2469" s="46"/>
      <c r="H2469" s="46"/>
      <c r="I2469" s="46"/>
      <c r="J2469" s="46"/>
      <c r="K2469" s="46"/>
      <c r="L2469" s="46"/>
      <c r="M2469" s="46"/>
      <c r="N2469" s="46"/>
      <c r="O2469" s="46"/>
      <c r="P2469" s="46"/>
      <c r="Q2469" s="46"/>
      <c r="R2469" s="46"/>
      <c r="S2469" s="46"/>
      <c r="T2469" s="46"/>
      <c r="U2469" s="46"/>
      <c r="V2469" s="46"/>
      <c r="W2469" s="46"/>
      <c r="X2469" s="11" t="str">
        <f>IF(COUNTBLANK(B2469:W2469)&gt;0,"NA",'batch classification'!J2475)</f>
        <v>NA</v>
      </c>
    </row>
    <row r="2470" spans="1:24" x14ac:dyDescent="0.25">
      <c r="A2470" s="45"/>
      <c r="B2470" s="46"/>
      <c r="C2470" s="46"/>
      <c r="D2470" s="46"/>
      <c r="E2470" s="46"/>
      <c r="F2470" s="46"/>
      <c r="G2470" s="46"/>
      <c r="H2470" s="46"/>
      <c r="I2470" s="46"/>
      <c r="J2470" s="46"/>
      <c r="K2470" s="46"/>
      <c r="L2470" s="46"/>
      <c r="M2470" s="46"/>
      <c r="N2470" s="46"/>
      <c r="O2470" s="46"/>
      <c r="P2470" s="46"/>
      <c r="Q2470" s="46"/>
      <c r="R2470" s="46"/>
      <c r="S2470" s="46"/>
      <c r="T2470" s="46"/>
      <c r="U2470" s="46"/>
      <c r="V2470" s="46"/>
      <c r="W2470" s="46"/>
      <c r="X2470" s="11" t="str">
        <f>IF(COUNTBLANK(B2470:W2470)&gt;0,"NA",'batch classification'!J2476)</f>
        <v>NA</v>
      </c>
    </row>
    <row r="2471" spans="1:24" x14ac:dyDescent="0.25">
      <c r="A2471" s="45"/>
      <c r="B2471" s="46"/>
      <c r="C2471" s="46"/>
      <c r="D2471" s="46"/>
      <c r="E2471" s="46"/>
      <c r="F2471" s="46"/>
      <c r="G2471" s="46"/>
      <c r="H2471" s="46"/>
      <c r="I2471" s="46"/>
      <c r="J2471" s="46"/>
      <c r="K2471" s="46"/>
      <c r="L2471" s="46"/>
      <c r="M2471" s="46"/>
      <c r="N2471" s="46"/>
      <c r="O2471" s="46"/>
      <c r="P2471" s="46"/>
      <c r="Q2471" s="46"/>
      <c r="R2471" s="46"/>
      <c r="S2471" s="46"/>
      <c r="T2471" s="46"/>
      <c r="U2471" s="46"/>
      <c r="V2471" s="46"/>
      <c r="W2471" s="46"/>
      <c r="X2471" s="11" t="str">
        <f>IF(COUNTBLANK(B2471:W2471)&gt;0,"NA",'batch classification'!J2477)</f>
        <v>NA</v>
      </c>
    </row>
    <row r="2472" spans="1:24" x14ac:dyDescent="0.25">
      <c r="A2472" s="45"/>
      <c r="B2472" s="46"/>
      <c r="C2472" s="46"/>
      <c r="D2472" s="46"/>
      <c r="E2472" s="46"/>
      <c r="F2472" s="46"/>
      <c r="G2472" s="46"/>
      <c r="H2472" s="46"/>
      <c r="I2472" s="46"/>
      <c r="J2472" s="46"/>
      <c r="K2472" s="46"/>
      <c r="L2472" s="46"/>
      <c r="M2472" s="46"/>
      <c r="N2472" s="46"/>
      <c r="O2472" s="46"/>
      <c r="P2472" s="46"/>
      <c r="Q2472" s="46"/>
      <c r="R2472" s="46"/>
      <c r="S2472" s="46"/>
      <c r="T2472" s="46"/>
      <c r="U2472" s="46"/>
      <c r="V2472" s="46"/>
      <c r="W2472" s="46"/>
      <c r="X2472" s="11" t="str">
        <f>IF(COUNTBLANK(B2472:W2472)&gt;0,"NA",'batch classification'!J2478)</f>
        <v>NA</v>
      </c>
    </row>
    <row r="2473" spans="1:24" x14ac:dyDescent="0.25">
      <c r="A2473" s="45"/>
      <c r="B2473" s="46"/>
      <c r="C2473" s="46"/>
      <c r="D2473" s="46"/>
      <c r="E2473" s="46"/>
      <c r="F2473" s="46"/>
      <c r="G2473" s="46"/>
      <c r="H2473" s="46"/>
      <c r="I2473" s="46"/>
      <c r="J2473" s="46"/>
      <c r="K2473" s="46"/>
      <c r="L2473" s="46"/>
      <c r="M2473" s="46"/>
      <c r="N2473" s="46"/>
      <c r="O2473" s="46"/>
      <c r="P2473" s="46"/>
      <c r="Q2473" s="46"/>
      <c r="R2473" s="46"/>
      <c r="S2473" s="46"/>
      <c r="T2473" s="46"/>
      <c r="U2473" s="46"/>
      <c r="V2473" s="46"/>
      <c r="W2473" s="46"/>
      <c r="X2473" s="11" t="str">
        <f>IF(COUNTBLANK(B2473:W2473)&gt;0,"NA",'batch classification'!J2479)</f>
        <v>NA</v>
      </c>
    </row>
    <row r="2474" spans="1:24" x14ac:dyDescent="0.25">
      <c r="A2474" s="45"/>
      <c r="B2474" s="46"/>
      <c r="C2474" s="46"/>
      <c r="D2474" s="46"/>
      <c r="E2474" s="46"/>
      <c r="F2474" s="46"/>
      <c r="G2474" s="46"/>
      <c r="H2474" s="46"/>
      <c r="I2474" s="46"/>
      <c r="J2474" s="46"/>
      <c r="K2474" s="46"/>
      <c r="L2474" s="46"/>
      <c r="M2474" s="46"/>
      <c r="N2474" s="46"/>
      <c r="O2474" s="46"/>
      <c r="P2474" s="46"/>
      <c r="Q2474" s="46"/>
      <c r="R2474" s="46"/>
      <c r="S2474" s="46"/>
      <c r="T2474" s="46"/>
      <c r="U2474" s="46"/>
      <c r="V2474" s="46"/>
      <c r="W2474" s="46"/>
      <c r="X2474" s="11" t="str">
        <f>IF(COUNTBLANK(B2474:W2474)&gt;0,"NA",'batch classification'!J2480)</f>
        <v>NA</v>
      </c>
    </row>
    <row r="2475" spans="1:24" x14ac:dyDescent="0.25">
      <c r="A2475" s="45"/>
      <c r="B2475" s="46"/>
      <c r="C2475" s="46"/>
      <c r="D2475" s="46"/>
      <c r="E2475" s="46"/>
      <c r="F2475" s="46"/>
      <c r="G2475" s="46"/>
      <c r="H2475" s="46"/>
      <c r="I2475" s="46"/>
      <c r="J2475" s="46"/>
      <c r="K2475" s="46"/>
      <c r="L2475" s="46"/>
      <c r="M2475" s="46"/>
      <c r="N2475" s="46"/>
      <c r="O2475" s="46"/>
      <c r="P2475" s="46"/>
      <c r="Q2475" s="46"/>
      <c r="R2475" s="46"/>
      <c r="S2475" s="46"/>
      <c r="T2475" s="46"/>
      <c r="U2475" s="46"/>
      <c r="V2475" s="46"/>
      <c r="W2475" s="46"/>
      <c r="X2475" s="11" t="str">
        <f>IF(COUNTBLANK(B2475:W2475)&gt;0,"NA",'batch classification'!J2481)</f>
        <v>NA</v>
      </c>
    </row>
    <row r="2476" spans="1:24" x14ac:dyDescent="0.25">
      <c r="A2476" s="45"/>
      <c r="B2476" s="46"/>
      <c r="C2476" s="46"/>
      <c r="D2476" s="46"/>
      <c r="E2476" s="46"/>
      <c r="F2476" s="46"/>
      <c r="G2476" s="46"/>
      <c r="H2476" s="46"/>
      <c r="I2476" s="46"/>
      <c r="J2476" s="46"/>
      <c r="K2476" s="46"/>
      <c r="L2476" s="46"/>
      <c r="M2476" s="46"/>
      <c r="N2476" s="46"/>
      <c r="O2476" s="46"/>
      <c r="P2476" s="46"/>
      <c r="Q2476" s="46"/>
      <c r="R2476" s="46"/>
      <c r="S2476" s="46"/>
      <c r="T2476" s="46"/>
      <c r="U2476" s="46"/>
      <c r="V2476" s="46"/>
      <c r="W2476" s="46"/>
      <c r="X2476" s="11" t="str">
        <f>IF(COUNTBLANK(B2476:W2476)&gt;0,"NA",'batch classification'!J2482)</f>
        <v>NA</v>
      </c>
    </row>
    <row r="2477" spans="1:24" x14ac:dyDescent="0.25">
      <c r="A2477" s="45"/>
      <c r="B2477" s="46"/>
      <c r="C2477" s="46"/>
      <c r="D2477" s="46"/>
      <c r="E2477" s="46"/>
      <c r="F2477" s="46"/>
      <c r="G2477" s="46"/>
      <c r="H2477" s="46"/>
      <c r="I2477" s="46"/>
      <c r="J2477" s="46"/>
      <c r="K2477" s="46"/>
      <c r="L2477" s="46"/>
      <c r="M2477" s="46"/>
      <c r="N2477" s="46"/>
      <c r="O2477" s="46"/>
      <c r="P2477" s="46"/>
      <c r="Q2477" s="46"/>
      <c r="R2477" s="46"/>
      <c r="S2477" s="46"/>
      <c r="T2477" s="46"/>
      <c r="U2477" s="46"/>
      <c r="V2477" s="46"/>
      <c r="W2477" s="46"/>
      <c r="X2477" s="11" t="str">
        <f>IF(COUNTBLANK(B2477:W2477)&gt;0,"NA",'batch classification'!J2483)</f>
        <v>NA</v>
      </c>
    </row>
    <row r="2478" spans="1:24" x14ac:dyDescent="0.25">
      <c r="A2478" s="45"/>
      <c r="B2478" s="46"/>
      <c r="C2478" s="46"/>
      <c r="D2478" s="46"/>
      <c r="E2478" s="46"/>
      <c r="F2478" s="46"/>
      <c r="G2478" s="46"/>
      <c r="H2478" s="46"/>
      <c r="I2478" s="46"/>
      <c r="J2478" s="46"/>
      <c r="K2478" s="46"/>
      <c r="L2478" s="46"/>
      <c r="M2478" s="46"/>
      <c r="N2478" s="46"/>
      <c r="O2478" s="46"/>
      <c r="P2478" s="46"/>
      <c r="Q2478" s="46"/>
      <c r="R2478" s="46"/>
      <c r="S2478" s="46"/>
      <c r="T2478" s="46"/>
      <c r="U2478" s="46"/>
      <c r="V2478" s="46"/>
      <c r="W2478" s="46"/>
      <c r="X2478" s="11" t="str">
        <f>IF(COUNTBLANK(B2478:W2478)&gt;0,"NA",'batch classification'!J2484)</f>
        <v>NA</v>
      </c>
    </row>
    <row r="2479" spans="1:24" x14ac:dyDescent="0.25">
      <c r="A2479" s="45"/>
      <c r="B2479" s="46"/>
      <c r="C2479" s="46"/>
      <c r="D2479" s="46"/>
      <c r="E2479" s="46"/>
      <c r="F2479" s="46"/>
      <c r="G2479" s="46"/>
      <c r="H2479" s="46"/>
      <c r="I2479" s="46"/>
      <c r="J2479" s="46"/>
      <c r="K2479" s="46"/>
      <c r="L2479" s="46"/>
      <c r="M2479" s="46"/>
      <c r="N2479" s="46"/>
      <c r="O2479" s="46"/>
      <c r="P2479" s="46"/>
      <c r="Q2479" s="46"/>
      <c r="R2479" s="46"/>
      <c r="S2479" s="46"/>
      <c r="T2479" s="46"/>
      <c r="U2479" s="46"/>
      <c r="V2479" s="46"/>
      <c r="W2479" s="46"/>
      <c r="X2479" s="11" t="str">
        <f>IF(COUNTBLANK(B2479:W2479)&gt;0,"NA",'batch classification'!J2485)</f>
        <v>NA</v>
      </c>
    </row>
    <row r="2480" spans="1:24" x14ac:dyDescent="0.25">
      <c r="A2480" s="45"/>
      <c r="B2480" s="46"/>
      <c r="C2480" s="46"/>
      <c r="D2480" s="46"/>
      <c r="E2480" s="46"/>
      <c r="F2480" s="46"/>
      <c r="G2480" s="46"/>
      <c r="H2480" s="46"/>
      <c r="I2480" s="46"/>
      <c r="J2480" s="46"/>
      <c r="K2480" s="46"/>
      <c r="L2480" s="46"/>
      <c r="M2480" s="46"/>
      <c r="N2480" s="46"/>
      <c r="O2480" s="46"/>
      <c r="P2480" s="46"/>
      <c r="Q2480" s="46"/>
      <c r="R2480" s="46"/>
      <c r="S2480" s="46"/>
      <c r="T2480" s="46"/>
      <c r="U2480" s="46"/>
      <c r="V2480" s="46"/>
      <c r="W2480" s="46"/>
      <c r="X2480" s="11" t="str">
        <f>IF(COUNTBLANK(B2480:W2480)&gt;0,"NA",'batch classification'!J2486)</f>
        <v>NA</v>
      </c>
    </row>
    <row r="2481" spans="1:24" x14ac:dyDescent="0.25">
      <c r="A2481" s="45"/>
      <c r="B2481" s="46"/>
      <c r="C2481" s="46"/>
      <c r="D2481" s="46"/>
      <c r="E2481" s="46"/>
      <c r="F2481" s="46"/>
      <c r="G2481" s="46"/>
      <c r="H2481" s="46"/>
      <c r="I2481" s="46"/>
      <c r="J2481" s="46"/>
      <c r="K2481" s="46"/>
      <c r="L2481" s="46"/>
      <c r="M2481" s="46"/>
      <c r="N2481" s="46"/>
      <c r="O2481" s="46"/>
      <c r="P2481" s="46"/>
      <c r="Q2481" s="46"/>
      <c r="R2481" s="46"/>
      <c r="S2481" s="46"/>
      <c r="T2481" s="46"/>
      <c r="U2481" s="46"/>
      <c r="V2481" s="46"/>
      <c r="W2481" s="46"/>
      <c r="X2481" s="11" t="str">
        <f>IF(COUNTBLANK(B2481:W2481)&gt;0,"NA",'batch classification'!J2487)</f>
        <v>NA</v>
      </c>
    </row>
    <row r="2482" spans="1:24" x14ac:dyDescent="0.25">
      <c r="A2482" s="45"/>
      <c r="B2482" s="46"/>
      <c r="C2482" s="46"/>
      <c r="D2482" s="46"/>
      <c r="E2482" s="46"/>
      <c r="F2482" s="46"/>
      <c r="G2482" s="46"/>
      <c r="H2482" s="46"/>
      <c r="I2482" s="46"/>
      <c r="J2482" s="46"/>
      <c r="K2482" s="46"/>
      <c r="L2482" s="46"/>
      <c r="M2482" s="46"/>
      <c r="N2482" s="46"/>
      <c r="O2482" s="46"/>
      <c r="P2482" s="46"/>
      <c r="Q2482" s="46"/>
      <c r="R2482" s="46"/>
      <c r="S2482" s="46"/>
      <c r="T2482" s="46"/>
      <c r="U2482" s="46"/>
      <c r="V2482" s="46"/>
      <c r="W2482" s="46"/>
      <c r="X2482" s="11" t="str">
        <f>IF(COUNTBLANK(B2482:W2482)&gt;0,"NA",'batch classification'!J2488)</f>
        <v>NA</v>
      </c>
    </row>
    <row r="2483" spans="1:24" x14ac:dyDescent="0.25">
      <c r="A2483" s="45"/>
      <c r="B2483" s="46"/>
      <c r="C2483" s="46"/>
      <c r="D2483" s="46"/>
      <c r="E2483" s="46"/>
      <c r="F2483" s="46"/>
      <c r="G2483" s="46"/>
      <c r="H2483" s="46"/>
      <c r="I2483" s="46"/>
      <c r="J2483" s="46"/>
      <c r="K2483" s="46"/>
      <c r="L2483" s="46"/>
      <c r="M2483" s="46"/>
      <c r="N2483" s="46"/>
      <c r="O2483" s="46"/>
      <c r="P2483" s="46"/>
      <c r="Q2483" s="46"/>
      <c r="R2483" s="46"/>
      <c r="S2483" s="46"/>
      <c r="T2483" s="46"/>
      <c r="U2483" s="46"/>
      <c r="V2483" s="46"/>
      <c r="W2483" s="46"/>
      <c r="X2483" s="11" t="str">
        <f>IF(COUNTBLANK(B2483:W2483)&gt;0,"NA",'batch classification'!J2489)</f>
        <v>NA</v>
      </c>
    </row>
    <row r="2484" spans="1:24" x14ac:dyDescent="0.25">
      <c r="A2484" s="45"/>
      <c r="B2484" s="46"/>
      <c r="C2484" s="46"/>
      <c r="D2484" s="46"/>
      <c r="E2484" s="46"/>
      <c r="F2484" s="46"/>
      <c r="G2484" s="46"/>
      <c r="H2484" s="46"/>
      <c r="I2484" s="46"/>
      <c r="J2484" s="46"/>
      <c r="K2484" s="46"/>
      <c r="L2484" s="46"/>
      <c r="M2484" s="46"/>
      <c r="N2484" s="46"/>
      <c r="O2484" s="46"/>
      <c r="P2484" s="46"/>
      <c r="Q2484" s="46"/>
      <c r="R2484" s="46"/>
      <c r="S2484" s="46"/>
      <c r="T2484" s="46"/>
      <c r="U2484" s="46"/>
      <c r="V2484" s="46"/>
      <c r="W2484" s="46"/>
      <c r="X2484" s="11" t="str">
        <f>IF(COUNTBLANK(B2484:W2484)&gt;0,"NA",'batch classification'!J2490)</f>
        <v>NA</v>
      </c>
    </row>
    <row r="2485" spans="1:24" x14ac:dyDescent="0.25">
      <c r="A2485" s="45"/>
      <c r="B2485" s="46"/>
      <c r="C2485" s="46"/>
      <c r="D2485" s="46"/>
      <c r="E2485" s="46"/>
      <c r="F2485" s="46"/>
      <c r="G2485" s="46"/>
      <c r="H2485" s="46"/>
      <c r="I2485" s="46"/>
      <c r="J2485" s="46"/>
      <c r="K2485" s="46"/>
      <c r="L2485" s="46"/>
      <c r="M2485" s="46"/>
      <c r="N2485" s="46"/>
      <c r="O2485" s="46"/>
      <c r="P2485" s="46"/>
      <c r="Q2485" s="46"/>
      <c r="R2485" s="46"/>
      <c r="S2485" s="46"/>
      <c r="T2485" s="46"/>
      <c r="U2485" s="46"/>
      <c r="V2485" s="46"/>
      <c r="W2485" s="46"/>
      <c r="X2485" s="11" t="str">
        <f>IF(COUNTBLANK(B2485:W2485)&gt;0,"NA",'batch classification'!J2491)</f>
        <v>NA</v>
      </c>
    </row>
    <row r="2486" spans="1:24" x14ac:dyDescent="0.25">
      <c r="A2486" s="45"/>
      <c r="B2486" s="46"/>
      <c r="C2486" s="46"/>
      <c r="D2486" s="46"/>
      <c r="E2486" s="46"/>
      <c r="F2486" s="46"/>
      <c r="G2486" s="46"/>
      <c r="H2486" s="46"/>
      <c r="I2486" s="46"/>
      <c r="J2486" s="46"/>
      <c r="K2486" s="46"/>
      <c r="L2486" s="46"/>
      <c r="M2486" s="46"/>
      <c r="N2486" s="46"/>
      <c r="O2486" s="46"/>
      <c r="P2486" s="46"/>
      <c r="Q2486" s="46"/>
      <c r="R2486" s="46"/>
      <c r="S2486" s="46"/>
      <c r="T2486" s="46"/>
      <c r="U2486" s="46"/>
      <c r="V2486" s="46"/>
      <c r="W2486" s="46"/>
      <c r="X2486" s="11" t="str">
        <f>IF(COUNTBLANK(B2486:W2486)&gt;0,"NA",'batch classification'!J2492)</f>
        <v>NA</v>
      </c>
    </row>
    <row r="2487" spans="1:24" x14ac:dyDescent="0.25">
      <c r="A2487" s="45"/>
      <c r="B2487" s="46"/>
      <c r="C2487" s="46"/>
      <c r="D2487" s="46"/>
      <c r="E2487" s="46"/>
      <c r="F2487" s="46"/>
      <c r="G2487" s="46"/>
      <c r="H2487" s="46"/>
      <c r="I2487" s="46"/>
      <c r="J2487" s="46"/>
      <c r="K2487" s="46"/>
      <c r="L2487" s="46"/>
      <c r="M2487" s="46"/>
      <c r="N2487" s="46"/>
      <c r="O2487" s="46"/>
      <c r="P2487" s="46"/>
      <c r="Q2487" s="46"/>
      <c r="R2487" s="46"/>
      <c r="S2487" s="46"/>
      <c r="T2487" s="46"/>
      <c r="U2487" s="46"/>
      <c r="V2487" s="46"/>
      <c r="W2487" s="46"/>
      <c r="X2487" s="11" t="str">
        <f>IF(COUNTBLANK(B2487:W2487)&gt;0,"NA",'batch classification'!J2493)</f>
        <v>NA</v>
      </c>
    </row>
    <row r="2488" spans="1:24" x14ac:dyDescent="0.25">
      <c r="A2488" s="45"/>
      <c r="B2488" s="46"/>
      <c r="C2488" s="46"/>
      <c r="D2488" s="46"/>
      <c r="E2488" s="46"/>
      <c r="F2488" s="46"/>
      <c r="G2488" s="46"/>
      <c r="H2488" s="46"/>
      <c r="I2488" s="46"/>
      <c r="J2488" s="46"/>
      <c r="K2488" s="46"/>
      <c r="L2488" s="46"/>
      <c r="M2488" s="46"/>
      <c r="N2488" s="46"/>
      <c r="O2488" s="46"/>
      <c r="P2488" s="46"/>
      <c r="Q2488" s="46"/>
      <c r="R2488" s="46"/>
      <c r="S2488" s="46"/>
      <c r="T2488" s="46"/>
      <c r="U2488" s="46"/>
      <c r="V2488" s="46"/>
      <c r="W2488" s="46"/>
      <c r="X2488" s="11" t="str">
        <f>IF(COUNTBLANK(B2488:W2488)&gt;0,"NA",'batch classification'!J2494)</f>
        <v>NA</v>
      </c>
    </row>
    <row r="2489" spans="1:24" x14ac:dyDescent="0.25">
      <c r="A2489" s="45"/>
      <c r="B2489" s="46"/>
      <c r="C2489" s="46"/>
      <c r="D2489" s="46"/>
      <c r="E2489" s="46"/>
      <c r="F2489" s="46"/>
      <c r="G2489" s="46"/>
      <c r="H2489" s="46"/>
      <c r="I2489" s="46"/>
      <c r="J2489" s="46"/>
      <c r="K2489" s="46"/>
      <c r="L2489" s="46"/>
      <c r="M2489" s="46"/>
      <c r="N2489" s="46"/>
      <c r="O2489" s="46"/>
      <c r="P2489" s="46"/>
      <c r="Q2489" s="46"/>
      <c r="R2489" s="46"/>
      <c r="S2489" s="46"/>
      <c r="T2489" s="46"/>
      <c r="U2489" s="46"/>
      <c r="V2489" s="46"/>
      <c r="W2489" s="46"/>
      <c r="X2489" s="11" t="str">
        <f>IF(COUNTBLANK(B2489:W2489)&gt;0,"NA",'batch classification'!J2495)</f>
        <v>NA</v>
      </c>
    </row>
    <row r="2490" spans="1:24" x14ac:dyDescent="0.25">
      <c r="A2490" s="45"/>
      <c r="B2490" s="46"/>
      <c r="C2490" s="46"/>
      <c r="D2490" s="46"/>
      <c r="E2490" s="46"/>
      <c r="F2490" s="46"/>
      <c r="G2490" s="46"/>
      <c r="H2490" s="46"/>
      <c r="I2490" s="46"/>
      <c r="J2490" s="46"/>
      <c r="K2490" s="46"/>
      <c r="L2490" s="46"/>
      <c r="M2490" s="46"/>
      <c r="N2490" s="46"/>
      <c r="O2490" s="46"/>
      <c r="P2490" s="46"/>
      <c r="Q2490" s="46"/>
      <c r="R2490" s="46"/>
      <c r="S2490" s="46"/>
      <c r="T2490" s="46"/>
      <c r="U2490" s="46"/>
      <c r="V2490" s="46"/>
      <c r="W2490" s="46"/>
      <c r="X2490" s="11" t="str">
        <f>IF(COUNTBLANK(B2490:W2490)&gt;0,"NA",'batch classification'!J2496)</f>
        <v>NA</v>
      </c>
    </row>
    <row r="2491" spans="1:24" x14ac:dyDescent="0.25">
      <c r="A2491" s="45"/>
      <c r="B2491" s="46"/>
      <c r="C2491" s="46"/>
      <c r="D2491" s="46"/>
      <c r="E2491" s="46"/>
      <c r="F2491" s="46"/>
      <c r="G2491" s="46"/>
      <c r="H2491" s="46"/>
      <c r="I2491" s="46"/>
      <c r="J2491" s="46"/>
      <c r="K2491" s="46"/>
      <c r="L2491" s="46"/>
      <c r="M2491" s="46"/>
      <c r="N2491" s="46"/>
      <c r="O2491" s="46"/>
      <c r="P2491" s="46"/>
      <c r="Q2491" s="46"/>
      <c r="R2491" s="46"/>
      <c r="S2491" s="46"/>
      <c r="T2491" s="46"/>
      <c r="U2491" s="46"/>
      <c r="V2491" s="46"/>
      <c r="W2491" s="46"/>
      <c r="X2491" s="11" t="str">
        <f>IF(COUNTBLANK(B2491:W2491)&gt;0,"NA",'batch classification'!J2497)</f>
        <v>NA</v>
      </c>
    </row>
    <row r="2492" spans="1:24" x14ac:dyDescent="0.25">
      <c r="A2492" s="45"/>
      <c r="B2492" s="46"/>
      <c r="C2492" s="46"/>
      <c r="D2492" s="46"/>
      <c r="E2492" s="46"/>
      <c r="F2492" s="46"/>
      <c r="G2492" s="46"/>
      <c r="H2492" s="46"/>
      <c r="I2492" s="46"/>
      <c r="J2492" s="46"/>
      <c r="K2492" s="46"/>
      <c r="L2492" s="46"/>
      <c r="M2492" s="46"/>
      <c r="N2492" s="46"/>
      <c r="O2492" s="46"/>
      <c r="P2492" s="46"/>
      <c r="Q2492" s="46"/>
      <c r="R2492" s="46"/>
      <c r="S2492" s="46"/>
      <c r="T2492" s="46"/>
      <c r="U2492" s="46"/>
      <c r="V2492" s="46"/>
      <c r="W2492" s="46"/>
      <c r="X2492" s="11" t="str">
        <f>IF(COUNTBLANK(B2492:W2492)&gt;0,"NA",'batch classification'!J2498)</f>
        <v>NA</v>
      </c>
    </row>
    <row r="2493" spans="1:24" x14ac:dyDescent="0.25">
      <c r="A2493" s="45"/>
      <c r="B2493" s="46"/>
      <c r="C2493" s="46"/>
      <c r="D2493" s="46"/>
      <c r="E2493" s="46"/>
      <c r="F2493" s="46"/>
      <c r="G2493" s="46"/>
      <c r="H2493" s="46"/>
      <c r="I2493" s="46"/>
      <c r="J2493" s="46"/>
      <c r="K2493" s="46"/>
      <c r="L2493" s="46"/>
      <c r="M2493" s="46"/>
      <c r="N2493" s="46"/>
      <c r="O2493" s="46"/>
      <c r="P2493" s="46"/>
      <c r="Q2493" s="46"/>
      <c r="R2493" s="46"/>
      <c r="S2493" s="46"/>
      <c r="T2493" s="46"/>
      <c r="U2493" s="46"/>
      <c r="V2493" s="46"/>
      <c r="W2493" s="46"/>
      <c r="X2493" s="11" t="str">
        <f>IF(COUNTBLANK(B2493:W2493)&gt;0,"NA",'batch classification'!J2499)</f>
        <v>NA</v>
      </c>
    </row>
    <row r="2494" spans="1:24" x14ac:dyDescent="0.25">
      <c r="A2494" s="45"/>
      <c r="B2494" s="46"/>
      <c r="C2494" s="46"/>
      <c r="D2494" s="46"/>
      <c r="E2494" s="46"/>
      <c r="F2494" s="46"/>
      <c r="G2494" s="46"/>
      <c r="H2494" s="46"/>
      <c r="I2494" s="46"/>
      <c r="J2494" s="46"/>
      <c r="K2494" s="46"/>
      <c r="L2494" s="46"/>
      <c r="M2494" s="46"/>
      <c r="N2494" s="46"/>
      <c r="O2494" s="46"/>
      <c r="P2494" s="46"/>
      <c r="Q2494" s="46"/>
      <c r="R2494" s="46"/>
      <c r="S2494" s="46"/>
      <c r="T2494" s="46"/>
      <c r="U2494" s="46"/>
      <c r="V2494" s="46"/>
      <c r="W2494" s="46"/>
      <c r="X2494" s="11" t="str">
        <f>IF(COUNTBLANK(B2494:W2494)&gt;0,"NA",'batch classification'!J2500)</f>
        <v>NA</v>
      </c>
    </row>
    <row r="2495" spans="1:24" x14ac:dyDescent="0.25">
      <c r="A2495" s="45"/>
      <c r="B2495" s="46"/>
      <c r="C2495" s="46"/>
      <c r="D2495" s="46"/>
      <c r="E2495" s="46"/>
      <c r="F2495" s="46"/>
      <c r="G2495" s="46"/>
      <c r="H2495" s="46"/>
      <c r="I2495" s="46"/>
      <c r="J2495" s="46"/>
      <c r="K2495" s="46"/>
      <c r="L2495" s="46"/>
      <c r="M2495" s="46"/>
      <c r="N2495" s="46"/>
      <c r="O2495" s="46"/>
      <c r="P2495" s="46"/>
      <c r="Q2495" s="46"/>
      <c r="R2495" s="46"/>
      <c r="S2495" s="46"/>
      <c r="T2495" s="46"/>
      <c r="U2495" s="46"/>
      <c r="V2495" s="46"/>
      <c r="W2495" s="46"/>
      <c r="X2495" s="11" t="str">
        <f>IF(COUNTBLANK(B2495:W2495)&gt;0,"NA",'batch classification'!J2501)</f>
        <v>NA</v>
      </c>
    </row>
    <row r="2496" spans="1:24" x14ac:dyDescent="0.25">
      <c r="A2496" s="45"/>
      <c r="B2496" s="46"/>
      <c r="C2496" s="46"/>
      <c r="D2496" s="46"/>
      <c r="E2496" s="46"/>
      <c r="F2496" s="46"/>
      <c r="G2496" s="46"/>
      <c r="H2496" s="46"/>
      <c r="I2496" s="46"/>
      <c r="J2496" s="46"/>
      <c r="K2496" s="46"/>
      <c r="L2496" s="46"/>
      <c r="M2496" s="46"/>
      <c r="N2496" s="46"/>
      <c r="O2496" s="46"/>
      <c r="P2496" s="46"/>
      <c r="Q2496" s="46"/>
      <c r="R2496" s="46"/>
      <c r="S2496" s="46"/>
      <c r="T2496" s="46"/>
      <c r="U2496" s="46"/>
      <c r="V2496" s="46"/>
      <c r="W2496" s="46"/>
      <c r="X2496" s="11" t="str">
        <f>IF(COUNTBLANK(B2496:W2496)&gt;0,"NA",'batch classification'!J2502)</f>
        <v>NA</v>
      </c>
    </row>
    <row r="2497" spans="1:24" x14ac:dyDescent="0.25">
      <c r="A2497" s="45"/>
      <c r="B2497" s="46"/>
      <c r="C2497" s="46"/>
      <c r="D2497" s="46"/>
      <c r="E2497" s="46"/>
      <c r="F2497" s="46"/>
      <c r="G2497" s="46"/>
      <c r="H2497" s="46"/>
      <c r="I2497" s="46"/>
      <c r="J2497" s="46"/>
      <c r="K2497" s="46"/>
      <c r="L2497" s="46"/>
      <c r="M2497" s="46"/>
      <c r="N2497" s="46"/>
      <c r="O2497" s="46"/>
      <c r="P2497" s="46"/>
      <c r="Q2497" s="46"/>
      <c r="R2497" s="46"/>
      <c r="S2497" s="46"/>
      <c r="T2497" s="46"/>
      <c r="U2497" s="46"/>
      <c r="V2497" s="46"/>
      <c r="W2497" s="46"/>
      <c r="X2497" s="11" t="str">
        <f>IF(COUNTBLANK(B2497:W2497)&gt;0,"NA",'batch classification'!J2503)</f>
        <v>NA</v>
      </c>
    </row>
    <row r="2498" spans="1:24" x14ac:dyDescent="0.25">
      <c r="A2498" s="45"/>
      <c r="B2498" s="46"/>
      <c r="C2498" s="46"/>
      <c r="D2498" s="46"/>
      <c r="E2498" s="46"/>
      <c r="F2498" s="46"/>
      <c r="G2498" s="46"/>
      <c r="H2498" s="46"/>
      <c r="I2498" s="46"/>
      <c r="J2498" s="46"/>
      <c r="K2498" s="46"/>
      <c r="L2498" s="46"/>
      <c r="M2498" s="46"/>
      <c r="N2498" s="46"/>
      <c r="O2498" s="46"/>
      <c r="P2498" s="46"/>
      <c r="Q2498" s="46"/>
      <c r="R2498" s="46"/>
      <c r="S2498" s="46"/>
      <c r="T2498" s="46"/>
      <c r="U2498" s="46"/>
      <c r="V2498" s="46"/>
      <c r="W2498" s="46"/>
      <c r="X2498" s="11" t="str">
        <f>IF(COUNTBLANK(B2498:W2498)&gt;0,"NA",'batch classification'!J2504)</f>
        <v>NA</v>
      </c>
    </row>
    <row r="2499" spans="1:24" x14ac:dyDescent="0.25">
      <c r="A2499" s="45"/>
      <c r="B2499" s="46"/>
      <c r="C2499" s="46"/>
      <c r="D2499" s="46"/>
      <c r="E2499" s="46"/>
      <c r="F2499" s="46"/>
      <c r="G2499" s="46"/>
      <c r="H2499" s="46"/>
      <c r="I2499" s="46"/>
      <c r="J2499" s="46"/>
      <c r="K2499" s="46"/>
      <c r="L2499" s="46"/>
      <c r="M2499" s="46"/>
      <c r="N2499" s="46"/>
      <c r="O2499" s="46"/>
      <c r="P2499" s="46"/>
      <c r="Q2499" s="46"/>
      <c r="R2499" s="46"/>
      <c r="S2499" s="46"/>
      <c r="T2499" s="46"/>
      <c r="U2499" s="46"/>
      <c r="V2499" s="46"/>
      <c r="W2499" s="46"/>
      <c r="X2499" s="11" t="str">
        <f>IF(COUNTBLANK(B2499:W2499)&gt;0,"NA",'batch classification'!J2505)</f>
        <v>NA</v>
      </c>
    </row>
    <row r="2500" spans="1:24" x14ac:dyDescent="0.25">
      <c r="A2500" s="45"/>
      <c r="B2500" s="46"/>
      <c r="C2500" s="46"/>
      <c r="D2500" s="46"/>
      <c r="E2500" s="46"/>
      <c r="F2500" s="46"/>
      <c r="G2500" s="46"/>
      <c r="H2500" s="46"/>
      <c r="I2500" s="46"/>
      <c r="J2500" s="46"/>
      <c r="K2500" s="46"/>
      <c r="L2500" s="46"/>
      <c r="M2500" s="46"/>
      <c r="N2500" s="46"/>
      <c r="O2500" s="46"/>
      <c r="P2500" s="46"/>
      <c r="Q2500" s="46"/>
      <c r="R2500" s="46"/>
      <c r="S2500" s="46"/>
      <c r="T2500" s="46"/>
      <c r="U2500" s="46"/>
      <c r="V2500" s="46"/>
      <c r="W2500" s="46"/>
      <c r="X2500" s="11" t="str">
        <f>IF(COUNTBLANK(B2500:W2500)&gt;0,"NA",'batch classification'!J2506)</f>
        <v>NA</v>
      </c>
    </row>
    <row r="2501" spans="1:24" x14ac:dyDescent="0.25">
      <c r="A2501" s="45"/>
      <c r="B2501" s="46"/>
      <c r="C2501" s="46"/>
      <c r="D2501" s="46"/>
      <c r="E2501" s="46"/>
      <c r="F2501" s="46"/>
      <c r="G2501" s="46"/>
      <c r="H2501" s="46"/>
      <c r="I2501" s="46"/>
      <c r="J2501" s="46"/>
      <c r="K2501" s="46"/>
      <c r="L2501" s="46"/>
      <c r="M2501" s="46"/>
      <c r="N2501" s="46"/>
      <c r="O2501" s="46"/>
      <c r="P2501" s="46"/>
      <c r="Q2501" s="46"/>
      <c r="R2501" s="46"/>
      <c r="S2501" s="46"/>
      <c r="T2501" s="46"/>
      <c r="U2501" s="46"/>
      <c r="V2501" s="46"/>
      <c r="W2501" s="46"/>
      <c r="X2501" s="11" t="str">
        <f>IF(COUNTBLANK(B2501:W2501)&gt;0,"NA",'batch classification'!J2507)</f>
        <v>NA</v>
      </c>
    </row>
    <row r="2502" spans="1:24" x14ac:dyDescent="0.25">
      <c r="A2502" s="45"/>
      <c r="B2502" s="46"/>
      <c r="C2502" s="46"/>
      <c r="D2502" s="46"/>
      <c r="E2502" s="46"/>
      <c r="F2502" s="46"/>
      <c r="G2502" s="46"/>
      <c r="H2502" s="46"/>
      <c r="I2502" s="46"/>
      <c r="J2502" s="46"/>
      <c r="K2502" s="46"/>
      <c r="L2502" s="46"/>
      <c r="M2502" s="46"/>
      <c r="N2502" s="46"/>
      <c r="O2502" s="46"/>
      <c r="P2502" s="46"/>
      <c r="Q2502" s="46"/>
      <c r="R2502" s="46"/>
      <c r="S2502" s="46"/>
      <c r="T2502" s="46"/>
      <c r="U2502" s="46"/>
      <c r="V2502" s="46"/>
      <c r="W2502" s="46"/>
      <c r="X2502" s="11" t="str">
        <f>IF(COUNTBLANK(B2502:W2502)&gt;0,"NA",'batch classification'!J2508)</f>
        <v>NA</v>
      </c>
    </row>
    <row r="2503" spans="1:24" x14ac:dyDescent="0.25">
      <c r="A2503" s="45"/>
      <c r="B2503" s="46"/>
      <c r="C2503" s="46"/>
      <c r="D2503" s="46"/>
      <c r="E2503" s="46"/>
      <c r="F2503" s="46"/>
      <c r="G2503" s="46"/>
      <c r="H2503" s="46"/>
      <c r="I2503" s="46"/>
      <c r="J2503" s="46"/>
      <c r="K2503" s="46"/>
      <c r="L2503" s="46"/>
      <c r="M2503" s="46"/>
      <c r="N2503" s="46"/>
      <c r="O2503" s="46"/>
      <c r="P2503" s="46"/>
      <c r="Q2503" s="46"/>
      <c r="R2503" s="46"/>
      <c r="S2503" s="46"/>
      <c r="T2503" s="46"/>
      <c r="U2503" s="46"/>
      <c r="V2503" s="46"/>
      <c r="W2503" s="46"/>
      <c r="X2503" s="11" t="str">
        <f>IF(COUNTBLANK(B2503:W2503)&gt;0,"NA",'batch classification'!J2509)</f>
        <v>NA</v>
      </c>
    </row>
    <row r="2504" spans="1:24" x14ac:dyDescent="0.25">
      <c r="A2504" s="45"/>
      <c r="B2504" s="46"/>
      <c r="C2504" s="46"/>
      <c r="D2504" s="46"/>
      <c r="E2504" s="46"/>
      <c r="F2504" s="46"/>
      <c r="G2504" s="46"/>
      <c r="H2504" s="46"/>
      <c r="I2504" s="46"/>
      <c r="J2504" s="46"/>
      <c r="K2504" s="46"/>
      <c r="L2504" s="46"/>
      <c r="M2504" s="46"/>
      <c r="N2504" s="46"/>
      <c r="O2504" s="46"/>
      <c r="P2504" s="46"/>
      <c r="Q2504" s="46"/>
      <c r="R2504" s="46"/>
      <c r="S2504" s="46"/>
      <c r="T2504" s="46"/>
      <c r="U2504" s="46"/>
      <c r="V2504" s="46"/>
      <c r="W2504" s="46"/>
      <c r="X2504" s="11" t="str">
        <f>IF(COUNTBLANK(B2504:W2504)&gt;0,"NA",'batch classification'!J2510)</f>
        <v>NA</v>
      </c>
    </row>
    <row r="2505" spans="1:24" x14ac:dyDescent="0.25">
      <c r="A2505" s="45"/>
      <c r="B2505" s="46"/>
      <c r="C2505" s="46"/>
      <c r="D2505" s="46"/>
      <c r="E2505" s="46"/>
      <c r="F2505" s="46"/>
      <c r="G2505" s="46"/>
      <c r="H2505" s="46"/>
      <c r="I2505" s="46"/>
      <c r="J2505" s="46"/>
      <c r="K2505" s="46"/>
      <c r="L2505" s="46"/>
      <c r="M2505" s="46"/>
      <c r="N2505" s="46"/>
      <c r="O2505" s="46"/>
      <c r="P2505" s="46"/>
      <c r="Q2505" s="46"/>
      <c r="R2505" s="46"/>
      <c r="S2505" s="46"/>
      <c r="T2505" s="46"/>
      <c r="U2505" s="46"/>
      <c r="V2505" s="46"/>
      <c r="W2505" s="46"/>
      <c r="X2505" s="11" t="str">
        <f>IF(COUNTBLANK(B2505:W2505)&gt;0,"NA",'batch classification'!J2511)</f>
        <v>NA</v>
      </c>
    </row>
    <row r="2506" spans="1:24" x14ac:dyDescent="0.25">
      <c r="A2506" s="45"/>
      <c r="B2506" s="46"/>
      <c r="C2506" s="46"/>
      <c r="D2506" s="46"/>
      <c r="E2506" s="46"/>
      <c r="F2506" s="46"/>
      <c r="G2506" s="46"/>
      <c r="H2506" s="46"/>
      <c r="I2506" s="46"/>
      <c r="J2506" s="46"/>
      <c r="K2506" s="46"/>
      <c r="L2506" s="46"/>
      <c r="M2506" s="46"/>
      <c r="N2506" s="46"/>
      <c r="O2506" s="46"/>
      <c r="P2506" s="46"/>
      <c r="Q2506" s="46"/>
      <c r="R2506" s="46"/>
      <c r="S2506" s="46"/>
      <c r="T2506" s="46"/>
      <c r="U2506" s="46"/>
      <c r="V2506" s="46"/>
      <c r="W2506" s="46"/>
      <c r="X2506" s="11" t="str">
        <f>IF(COUNTBLANK(B2506:W2506)&gt;0,"NA",'batch classification'!J2512)</f>
        <v>NA</v>
      </c>
    </row>
    <row r="2507" spans="1:24" x14ac:dyDescent="0.25">
      <c r="A2507" s="45"/>
      <c r="B2507" s="46"/>
      <c r="C2507" s="46"/>
      <c r="D2507" s="46"/>
      <c r="E2507" s="46"/>
      <c r="F2507" s="46"/>
      <c r="G2507" s="46"/>
      <c r="H2507" s="46"/>
      <c r="I2507" s="46"/>
      <c r="J2507" s="46"/>
      <c r="K2507" s="46"/>
      <c r="L2507" s="46"/>
      <c r="M2507" s="46"/>
      <c r="N2507" s="46"/>
      <c r="O2507" s="46"/>
      <c r="P2507" s="46"/>
      <c r="Q2507" s="46"/>
      <c r="R2507" s="46"/>
      <c r="S2507" s="46"/>
      <c r="T2507" s="46"/>
      <c r="U2507" s="46"/>
      <c r="V2507" s="46"/>
      <c r="W2507" s="46"/>
      <c r="X2507" s="11" t="str">
        <f>IF(COUNTBLANK(B2507:W2507)&gt;0,"NA",'batch classification'!J2513)</f>
        <v>NA</v>
      </c>
    </row>
    <row r="2508" spans="1:24" x14ac:dyDescent="0.25">
      <c r="A2508" s="45"/>
      <c r="B2508" s="46"/>
      <c r="C2508" s="46"/>
      <c r="D2508" s="46"/>
      <c r="E2508" s="46"/>
      <c r="F2508" s="46"/>
      <c r="G2508" s="46"/>
      <c r="H2508" s="46"/>
      <c r="I2508" s="46"/>
      <c r="J2508" s="46"/>
      <c r="K2508" s="46"/>
      <c r="L2508" s="46"/>
      <c r="M2508" s="46"/>
      <c r="N2508" s="46"/>
      <c r="O2508" s="46"/>
      <c r="P2508" s="46"/>
      <c r="Q2508" s="46"/>
      <c r="R2508" s="46"/>
      <c r="S2508" s="46"/>
      <c r="T2508" s="46"/>
      <c r="U2508" s="46"/>
      <c r="V2508" s="46"/>
      <c r="W2508" s="46"/>
      <c r="X2508" s="11" t="str">
        <f>IF(COUNTBLANK(B2508:W2508)&gt;0,"NA",'batch classification'!J2514)</f>
        <v>NA</v>
      </c>
    </row>
    <row r="2509" spans="1:24" x14ac:dyDescent="0.25">
      <c r="A2509" s="45"/>
      <c r="B2509" s="46"/>
      <c r="C2509" s="46"/>
      <c r="D2509" s="46"/>
      <c r="E2509" s="46"/>
      <c r="F2509" s="46"/>
      <c r="G2509" s="46"/>
      <c r="H2509" s="46"/>
      <c r="I2509" s="46"/>
      <c r="J2509" s="46"/>
      <c r="K2509" s="46"/>
      <c r="L2509" s="46"/>
      <c r="M2509" s="46"/>
      <c r="N2509" s="46"/>
      <c r="O2509" s="46"/>
      <c r="P2509" s="46"/>
      <c r="Q2509" s="46"/>
      <c r="R2509" s="46"/>
      <c r="S2509" s="46"/>
      <c r="T2509" s="46"/>
      <c r="U2509" s="46"/>
      <c r="V2509" s="46"/>
      <c r="W2509" s="46"/>
      <c r="X2509" s="11" t="str">
        <f>IF(COUNTBLANK(B2509:W2509)&gt;0,"NA",'batch classification'!J2515)</f>
        <v>NA</v>
      </c>
    </row>
    <row r="2510" spans="1:24" x14ac:dyDescent="0.25">
      <c r="A2510" s="45"/>
      <c r="B2510" s="46"/>
      <c r="C2510" s="46"/>
      <c r="D2510" s="46"/>
      <c r="E2510" s="46"/>
      <c r="F2510" s="46"/>
      <c r="G2510" s="46"/>
      <c r="H2510" s="46"/>
      <c r="I2510" s="46"/>
      <c r="J2510" s="46"/>
      <c r="K2510" s="46"/>
      <c r="L2510" s="46"/>
      <c r="M2510" s="46"/>
      <c r="N2510" s="46"/>
      <c r="O2510" s="46"/>
      <c r="P2510" s="46"/>
      <c r="Q2510" s="46"/>
      <c r="R2510" s="46"/>
      <c r="S2510" s="46"/>
      <c r="T2510" s="46"/>
      <c r="U2510" s="46"/>
      <c r="V2510" s="46"/>
      <c r="W2510" s="46"/>
      <c r="X2510" s="11" t="str">
        <f>IF(COUNTBLANK(B2510:W2510)&gt;0,"NA",'batch classification'!J2516)</f>
        <v>NA</v>
      </c>
    </row>
    <row r="2511" spans="1:24" x14ac:dyDescent="0.25">
      <c r="A2511" s="45"/>
      <c r="B2511" s="46"/>
      <c r="C2511" s="46"/>
      <c r="D2511" s="46"/>
      <c r="E2511" s="46"/>
      <c r="F2511" s="46"/>
      <c r="G2511" s="46"/>
      <c r="H2511" s="46"/>
      <c r="I2511" s="46"/>
      <c r="J2511" s="46"/>
      <c r="K2511" s="46"/>
      <c r="L2511" s="46"/>
      <c r="M2511" s="46"/>
      <c r="N2511" s="46"/>
      <c r="O2511" s="46"/>
      <c r="P2511" s="46"/>
      <c r="Q2511" s="46"/>
      <c r="R2511" s="46"/>
      <c r="S2511" s="46"/>
      <c r="T2511" s="46"/>
      <c r="U2511" s="46"/>
      <c r="V2511" s="46"/>
      <c r="W2511" s="46"/>
      <c r="X2511" s="11" t="str">
        <f>IF(COUNTBLANK(B2511:W2511)&gt;0,"NA",'batch classification'!J2517)</f>
        <v>NA</v>
      </c>
    </row>
    <row r="2512" spans="1:24" x14ac:dyDescent="0.25">
      <c r="A2512" s="45"/>
      <c r="B2512" s="46"/>
      <c r="C2512" s="46"/>
      <c r="D2512" s="46"/>
      <c r="E2512" s="46"/>
      <c r="F2512" s="46"/>
      <c r="G2512" s="46"/>
      <c r="H2512" s="46"/>
      <c r="I2512" s="46"/>
      <c r="J2512" s="46"/>
      <c r="K2512" s="46"/>
      <c r="L2512" s="46"/>
      <c r="M2512" s="46"/>
      <c r="N2512" s="46"/>
      <c r="O2512" s="46"/>
      <c r="P2512" s="46"/>
      <c r="Q2512" s="46"/>
      <c r="R2512" s="46"/>
      <c r="S2512" s="46"/>
      <c r="T2512" s="46"/>
      <c r="U2512" s="46"/>
      <c r="V2512" s="46"/>
      <c r="W2512" s="46"/>
      <c r="X2512" s="11" t="str">
        <f>IF(COUNTBLANK(B2512:W2512)&gt;0,"NA",'batch classification'!J2518)</f>
        <v>NA</v>
      </c>
    </row>
    <row r="2513" spans="1:24" x14ac:dyDescent="0.25">
      <c r="A2513" s="45"/>
      <c r="B2513" s="46"/>
      <c r="C2513" s="46"/>
      <c r="D2513" s="46"/>
      <c r="E2513" s="46"/>
      <c r="F2513" s="46"/>
      <c r="G2513" s="46"/>
      <c r="H2513" s="46"/>
      <c r="I2513" s="46"/>
      <c r="J2513" s="46"/>
      <c r="K2513" s="46"/>
      <c r="L2513" s="46"/>
      <c r="M2513" s="46"/>
      <c r="N2513" s="46"/>
      <c r="O2513" s="46"/>
      <c r="P2513" s="46"/>
      <c r="Q2513" s="46"/>
      <c r="R2513" s="46"/>
      <c r="S2513" s="46"/>
      <c r="T2513" s="46"/>
      <c r="U2513" s="46"/>
      <c r="V2513" s="46"/>
      <c r="W2513" s="46"/>
      <c r="X2513" s="11" t="str">
        <f>IF(COUNTBLANK(B2513:W2513)&gt;0,"NA",'batch classification'!J2519)</f>
        <v>NA</v>
      </c>
    </row>
    <row r="2514" spans="1:24" x14ac:dyDescent="0.25">
      <c r="A2514" s="45"/>
      <c r="B2514" s="46"/>
      <c r="C2514" s="46"/>
      <c r="D2514" s="46"/>
      <c r="E2514" s="46"/>
      <c r="F2514" s="46"/>
      <c r="G2514" s="46"/>
      <c r="H2514" s="46"/>
      <c r="I2514" s="46"/>
      <c r="J2514" s="46"/>
      <c r="K2514" s="46"/>
      <c r="L2514" s="46"/>
      <c r="M2514" s="46"/>
      <c r="N2514" s="46"/>
      <c r="O2514" s="46"/>
      <c r="P2514" s="46"/>
      <c r="Q2514" s="46"/>
      <c r="R2514" s="46"/>
      <c r="S2514" s="46"/>
      <c r="T2514" s="46"/>
      <c r="U2514" s="46"/>
      <c r="V2514" s="46"/>
      <c r="W2514" s="46"/>
      <c r="X2514" s="11" t="str">
        <f>IF(COUNTBLANK(B2514:W2514)&gt;0,"NA",'batch classification'!J2520)</f>
        <v>NA</v>
      </c>
    </row>
    <row r="2515" spans="1:24" x14ac:dyDescent="0.25">
      <c r="A2515" s="45"/>
      <c r="B2515" s="46"/>
      <c r="C2515" s="46"/>
      <c r="D2515" s="46"/>
      <c r="E2515" s="46"/>
      <c r="F2515" s="46"/>
      <c r="G2515" s="46"/>
      <c r="H2515" s="46"/>
      <c r="I2515" s="46"/>
      <c r="J2515" s="46"/>
      <c r="K2515" s="46"/>
      <c r="L2515" s="46"/>
      <c r="M2515" s="46"/>
      <c r="N2515" s="46"/>
      <c r="O2515" s="46"/>
      <c r="P2515" s="46"/>
      <c r="Q2515" s="46"/>
      <c r="R2515" s="46"/>
      <c r="S2515" s="46"/>
      <c r="T2515" s="46"/>
      <c r="U2515" s="46"/>
      <c r="V2515" s="46"/>
      <c r="W2515" s="46"/>
      <c r="X2515" s="11" t="str">
        <f>IF(COUNTBLANK(B2515:W2515)&gt;0,"NA",'batch classification'!J2521)</f>
        <v>NA</v>
      </c>
    </row>
    <row r="2516" spans="1:24" x14ac:dyDescent="0.25">
      <c r="A2516" s="45"/>
      <c r="B2516" s="46"/>
      <c r="C2516" s="46"/>
      <c r="D2516" s="46"/>
      <c r="E2516" s="46"/>
      <c r="F2516" s="46"/>
      <c r="G2516" s="46"/>
      <c r="H2516" s="46"/>
      <c r="I2516" s="46"/>
      <c r="J2516" s="46"/>
      <c r="K2516" s="46"/>
      <c r="L2516" s="46"/>
      <c r="M2516" s="46"/>
      <c r="N2516" s="46"/>
      <c r="O2516" s="46"/>
      <c r="P2516" s="46"/>
      <c r="Q2516" s="46"/>
      <c r="R2516" s="46"/>
      <c r="S2516" s="46"/>
      <c r="T2516" s="46"/>
      <c r="U2516" s="46"/>
      <c r="V2516" s="46"/>
      <c r="W2516" s="46"/>
      <c r="X2516" s="11" t="str">
        <f>IF(COUNTBLANK(B2516:W2516)&gt;0,"NA",'batch classification'!J2522)</f>
        <v>NA</v>
      </c>
    </row>
    <row r="2517" spans="1:24" x14ac:dyDescent="0.25">
      <c r="A2517" s="45"/>
      <c r="B2517" s="46"/>
      <c r="C2517" s="46"/>
      <c r="D2517" s="46"/>
      <c r="E2517" s="46"/>
      <c r="F2517" s="46"/>
      <c r="G2517" s="46"/>
      <c r="H2517" s="46"/>
      <c r="I2517" s="46"/>
      <c r="J2517" s="46"/>
      <c r="K2517" s="46"/>
      <c r="L2517" s="46"/>
      <c r="M2517" s="46"/>
      <c r="N2517" s="46"/>
      <c r="O2517" s="46"/>
      <c r="P2517" s="46"/>
      <c r="Q2517" s="46"/>
      <c r="R2517" s="46"/>
      <c r="S2517" s="46"/>
      <c r="T2517" s="46"/>
      <c r="U2517" s="46"/>
      <c r="V2517" s="46"/>
      <c r="W2517" s="46"/>
      <c r="X2517" s="11" t="str">
        <f>IF(COUNTBLANK(B2517:W2517)&gt;0,"NA",'batch classification'!J2523)</f>
        <v>NA</v>
      </c>
    </row>
    <row r="2518" spans="1:24" x14ac:dyDescent="0.25">
      <c r="A2518" s="45"/>
      <c r="B2518" s="46"/>
      <c r="C2518" s="46"/>
      <c r="D2518" s="46"/>
      <c r="E2518" s="46"/>
      <c r="F2518" s="46"/>
      <c r="G2518" s="46"/>
      <c r="H2518" s="46"/>
      <c r="I2518" s="46"/>
      <c r="J2518" s="46"/>
      <c r="K2518" s="46"/>
      <c r="L2518" s="46"/>
      <c r="M2518" s="46"/>
      <c r="N2518" s="46"/>
      <c r="O2518" s="46"/>
      <c r="P2518" s="46"/>
      <c r="Q2518" s="46"/>
      <c r="R2518" s="46"/>
      <c r="S2518" s="46"/>
      <c r="T2518" s="46"/>
      <c r="U2518" s="46"/>
      <c r="V2518" s="46"/>
      <c r="W2518" s="46"/>
      <c r="X2518" s="11" t="str">
        <f>IF(COUNTBLANK(B2518:W2518)&gt;0,"NA",'batch classification'!J2524)</f>
        <v>NA</v>
      </c>
    </row>
    <row r="2519" spans="1:24" x14ac:dyDescent="0.25">
      <c r="A2519" s="45"/>
      <c r="B2519" s="46"/>
      <c r="C2519" s="46"/>
      <c r="D2519" s="46"/>
      <c r="E2519" s="46"/>
      <c r="F2519" s="46"/>
      <c r="G2519" s="46"/>
      <c r="H2519" s="46"/>
      <c r="I2519" s="46"/>
      <c r="J2519" s="46"/>
      <c r="K2519" s="46"/>
      <c r="L2519" s="46"/>
      <c r="M2519" s="46"/>
      <c r="N2519" s="46"/>
      <c r="O2519" s="46"/>
      <c r="P2519" s="46"/>
      <c r="Q2519" s="46"/>
      <c r="R2519" s="46"/>
      <c r="S2519" s="46"/>
      <c r="T2519" s="46"/>
      <c r="U2519" s="46"/>
      <c r="V2519" s="46"/>
      <c r="W2519" s="46"/>
      <c r="X2519" s="11" t="str">
        <f>IF(COUNTBLANK(B2519:W2519)&gt;0,"NA",'batch classification'!J2525)</f>
        <v>NA</v>
      </c>
    </row>
    <row r="2520" spans="1:24" x14ac:dyDescent="0.25">
      <c r="A2520" s="45"/>
      <c r="B2520" s="46"/>
      <c r="C2520" s="46"/>
      <c r="D2520" s="46"/>
      <c r="E2520" s="46"/>
      <c r="F2520" s="46"/>
      <c r="G2520" s="46"/>
      <c r="H2520" s="46"/>
      <c r="I2520" s="46"/>
      <c r="J2520" s="46"/>
      <c r="K2520" s="46"/>
      <c r="L2520" s="46"/>
      <c r="M2520" s="46"/>
      <c r="N2520" s="46"/>
      <c r="O2520" s="46"/>
      <c r="P2520" s="46"/>
      <c r="Q2520" s="46"/>
      <c r="R2520" s="46"/>
      <c r="S2520" s="46"/>
      <c r="T2520" s="46"/>
      <c r="U2520" s="46"/>
      <c r="V2520" s="46"/>
      <c r="W2520" s="46"/>
      <c r="X2520" s="11" t="str">
        <f>IF(COUNTBLANK(B2520:W2520)&gt;0,"NA",'batch classification'!J2526)</f>
        <v>NA</v>
      </c>
    </row>
    <row r="2521" spans="1:24" x14ac:dyDescent="0.25">
      <c r="A2521" s="45"/>
      <c r="B2521" s="46"/>
      <c r="C2521" s="46"/>
      <c r="D2521" s="46"/>
      <c r="E2521" s="46"/>
      <c r="F2521" s="46"/>
      <c r="G2521" s="46"/>
      <c r="H2521" s="46"/>
      <c r="I2521" s="46"/>
      <c r="J2521" s="46"/>
      <c r="K2521" s="46"/>
      <c r="L2521" s="46"/>
      <c r="M2521" s="46"/>
      <c r="N2521" s="46"/>
      <c r="O2521" s="46"/>
      <c r="P2521" s="46"/>
      <c r="Q2521" s="46"/>
      <c r="R2521" s="46"/>
      <c r="S2521" s="46"/>
      <c r="T2521" s="46"/>
      <c r="U2521" s="46"/>
      <c r="V2521" s="46"/>
      <c r="W2521" s="46"/>
      <c r="X2521" s="11" t="str">
        <f>IF(COUNTBLANK(B2521:W2521)&gt;0,"NA",'batch classification'!J2527)</f>
        <v>NA</v>
      </c>
    </row>
    <row r="2522" spans="1:24" x14ac:dyDescent="0.25">
      <c r="A2522" s="45"/>
      <c r="B2522" s="46"/>
      <c r="C2522" s="46"/>
      <c r="D2522" s="46"/>
      <c r="E2522" s="46"/>
      <c r="F2522" s="46"/>
      <c r="G2522" s="46"/>
      <c r="H2522" s="46"/>
      <c r="I2522" s="46"/>
      <c r="J2522" s="46"/>
      <c r="K2522" s="46"/>
      <c r="L2522" s="46"/>
      <c r="M2522" s="46"/>
      <c r="N2522" s="46"/>
      <c r="O2522" s="46"/>
      <c r="P2522" s="46"/>
      <c r="Q2522" s="46"/>
      <c r="R2522" s="46"/>
      <c r="S2522" s="46"/>
      <c r="T2522" s="46"/>
      <c r="U2522" s="46"/>
      <c r="V2522" s="46"/>
      <c r="W2522" s="46"/>
      <c r="X2522" s="11" t="str">
        <f>IF(COUNTBLANK(B2522:W2522)&gt;0,"NA",'batch classification'!J2528)</f>
        <v>NA</v>
      </c>
    </row>
    <row r="2523" spans="1:24" x14ac:dyDescent="0.25">
      <c r="A2523" s="45"/>
      <c r="B2523" s="46"/>
      <c r="C2523" s="46"/>
      <c r="D2523" s="46"/>
      <c r="E2523" s="46"/>
      <c r="F2523" s="46"/>
      <c r="G2523" s="46"/>
      <c r="H2523" s="46"/>
      <c r="I2523" s="46"/>
      <c r="J2523" s="46"/>
      <c r="K2523" s="46"/>
      <c r="L2523" s="46"/>
      <c r="M2523" s="46"/>
      <c r="N2523" s="46"/>
      <c r="O2523" s="46"/>
      <c r="P2523" s="46"/>
      <c r="Q2523" s="46"/>
      <c r="R2523" s="46"/>
      <c r="S2523" s="46"/>
      <c r="T2523" s="46"/>
      <c r="U2523" s="46"/>
      <c r="V2523" s="46"/>
      <c r="W2523" s="46"/>
      <c r="X2523" s="11" t="str">
        <f>IF(COUNTBLANK(B2523:W2523)&gt;0,"NA",'batch classification'!J2529)</f>
        <v>NA</v>
      </c>
    </row>
    <row r="2524" spans="1:24" x14ac:dyDescent="0.25">
      <c r="A2524" s="45"/>
      <c r="B2524" s="46"/>
      <c r="C2524" s="46"/>
      <c r="D2524" s="46"/>
      <c r="E2524" s="46"/>
      <c r="F2524" s="46"/>
      <c r="G2524" s="46"/>
      <c r="H2524" s="46"/>
      <c r="I2524" s="46"/>
      <c r="J2524" s="46"/>
      <c r="K2524" s="46"/>
      <c r="L2524" s="46"/>
      <c r="M2524" s="46"/>
      <c r="N2524" s="46"/>
      <c r="O2524" s="46"/>
      <c r="P2524" s="46"/>
      <c r="Q2524" s="46"/>
      <c r="R2524" s="46"/>
      <c r="S2524" s="46"/>
      <c r="T2524" s="46"/>
      <c r="U2524" s="46"/>
      <c r="V2524" s="46"/>
      <c r="W2524" s="46"/>
      <c r="X2524" s="11" t="str">
        <f>IF(COUNTBLANK(B2524:W2524)&gt;0,"NA",'batch classification'!J2530)</f>
        <v>NA</v>
      </c>
    </row>
    <row r="2525" spans="1:24" x14ac:dyDescent="0.25">
      <c r="A2525" s="45"/>
      <c r="B2525" s="46"/>
      <c r="C2525" s="46"/>
      <c r="D2525" s="46"/>
      <c r="E2525" s="46"/>
      <c r="F2525" s="46"/>
      <c r="G2525" s="46"/>
      <c r="H2525" s="46"/>
      <c r="I2525" s="46"/>
      <c r="J2525" s="46"/>
      <c r="K2525" s="46"/>
      <c r="L2525" s="46"/>
      <c r="M2525" s="46"/>
      <c r="N2525" s="46"/>
      <c r="O2525" s="46"/>
      <c r="P2525" s="46"/>
      <c r="Q2525" s="46"/>
      <c r="R2525" s="46"/>
      <c r="S2525" s="46"/>
      <c r="T2525" s="46"/>
      <c r="U2525" s="46"/>
      <c r="V2525" s="46"/>
      <c r="W2525" s="46"/>
      <c r="X2525" s="11" t="str">
        <f>IF(COUNTBLANK(B2525:W2525)&gt;0,"NA",'batch classification'!J2531)</f>
        <v>NA</v>
      </c>
    </row>
    <row r="2526" spans="1:24" x14ac:dyDescent="0.25">
      <c r="A2526" s="45"/>
      <c r="B2526" s="46"/>
      <c r="C2526" s="46"/>
      <c r="D2526" s="46"/>
      <c r="E2526" s="46"/>
      <c r="F2526" s="46"/>
      <c r="G2526" s="46"/>
      <c r="H2526" s="46"/>
      <c r="I2526" s="46"/>
      <c r="J2526" s="46"/>
      <c r="K2526" s="46"/>
      <c r="L2526" s="46"/>
      <c r="M2526" s="46"/>
      <c r="N2526" s="46"/>
      <c r="O2526" s="46"/>
      <c r="P2526" s="46"/>
      <c r="Q2526" s="46"/>
      <c r="R2526" s="46"/>
      <c r="S2526" s="46"/>
      <c r="T2526" s="46"/>
      <c r="U2526" s="46"/>
      <c r="V2526" s="46"/>
      <c r="W2526" s="46"/>
      <c r="X2526" s="11" t="str">
        <f>IF(COUNTBLANK(B2526:W2526)&gt;0,"NA",'batch classification'!J2532)</f>
        <v>NA</v>
      </c>
    </row>
    <row r="2527" spans="1:24" x14ac:dyDescent="0.25">
      <c r="A2527" s="45"/>
      <c r="B2527" s="46"/>
      <c r="C2527" s="46"/>
      <c r="D2527" s="46"/>
      <c r="E2527" s="46"/>
      <c r="F2527" s="46"/>
      <c r="G2527" s="46"/>
      <c r="H2527" s="46"/>
      <c r="I2527" s="46"/>
      <c r="J2527" s="46"/>
      <c r="K2527" s="46"/>
      <c r="L2527" s="46"/>
      <c r="M2527" s="46"/>
      <c r="N2527" s="46"/>
      <c r="O2527" s="46"/>
      <c r="P2527" s="46"/>
      <c r="Q2527" s="46"/>
      <c r="R2527" s="46"/>
      <c r="S2527" s="46"/>
      <c r="T2527" s="46"/>
      <c r="U2527" s="46"/>
      <c r="V2527" s="46"/>
      <c r="W2527" s="46"/>
      <c r="X2527" s="11" t="str">
        <f>IF(COUNTBLANK(B2527:W2527)&gt;0,"NA",'batch classification'!J2533)</f>
        <v>NA</v>
      </c>
    </row>
    <row r="2528" spans="1:24" x14ac:dyDescent="0.25">
      <c r="A2528" s="45"/>
      <c r="B2528" s="46"/>
      <c r="C2528" s="46"/>
      <c r="D2528" s="46"/>
      <c r="E2528" s="46"/>
      <c r="F2528" s="46"/>
      <c r="G2528" s="46"/>
      <c r="H2528" s="46"/>
      <c r="I2528" s="46"/>
      <c r="J2528" s="46"/>
      <c r="K2528" s="46"/>
      <c r="L2528" s="46"/>
      <c r="M2528" s="46"/>
      <c r="N2528" s="46"/>
      <c r="O2528" s="46"/>
      <c r="P2528" s="46"/>
      <c r="Q2528" s="46"/>
      <c r="R2528" s="46"/>
      <c r="S2528" s="46"/>
      <c r="T2528" s="46"/>
      <c r="U2528" s="46"/>
      <c r="V2528" s="46"/>
      <c r="W2528" s="46"/>
      <c r="X2528" s="11" t="str">
        <f>IF(COUNTBLANK(B2528:W2528)&gt;0,"NA",'batch classification'!J2534)</f>
        <v>NA</v>
      </c>
    </row>
    <row r="2529" spans="1:24" x14ac:dyDescent="0.25">
      <c r="A2529" s="45"/>
      <c r="B2529" s="46"/>
      <c r="C2529" s="46"/>
      <c r="D2529" s="46"/>
      <c r="E2529" s="46"/>
      <c r="F2529" s="46"/>
      <c r="G2529" s="46"/>
      <c r="H2529" s="46"/>
      <c r="I2529" s="46"/>
      <c r="J2529" s="46"/>
      <c r="K2529" s="46"/>
      <c r="L2529" s="46"/>
      <c r="M2529" s="46"/>
      <c r="N2529" s="46"/>
      <c r="O2529" s="46"/>
      <c r="P2529" s="46"/>
      <c r="Q2529" s="46"/>
      <c r="R2529" s="46"/>
      <c r="S2529" s="46"/>
      <c r="T2529" s="46"/>
      <c r="U2529" s="46"/>
      <c r="V2529" s="46"/>
      <c r="W2529" s="46"/>
      <c r="X2529" s="11" t="str">
        <f>IF(COUNTBLANK(B2529:W2529)&gt;0,"NA",'batch classification'!J2535)</f>
        <v>NA</v>
      </c>
    </row>
    <row r="2530" spans="1:24" x14ac:dyDescent="0.25">
      <c r="A2530" s="45"/>
      <c r="B2530" s="46"/>
      <c r="C2530" s="46"/>
      <c r="D2530" s="46"/>
      <c r="E2530" s="46"/>
      <c r="F2530" s="46"/>
      <c r="G2530" s="46"/>
      <c r="H2530" s="46"/>
      <c r="I2530" s="46"/>
      <c r="J2530" s="46"/>
      <c r="K2530" s="46"/>
      <c r="L2530" s="46"/>
      <c r="M2530" s="46"/>
      <c r="N2530" s="46"/>
      <c r="O2530" s="46"/>
      <c r="P2530" s="46"/>
      <c r="Q2530" s="46"/>
      <c r="R2530" s="46"/>
      <c r="S2530" s="46"/>
      <c r="T2530" s="46"/>
      <c r="U2530" s="46"/>
      <c r="V2530" s="46"/>
      <c r="W2530" s="46"/>
      <c r="X2530" s="11" t="str">
        <f>IF(COUNTBLANK(B2530:W2530)&gt;0,"NA",'batch classification'!J2536)</f>
        <v>NA</v>
      </c>
    </row>
    <row r="2531" spans="1:24" x14ac:dyDescent="0.25">
      <c r="A2531" s="45"/>
      <c r="B2531" s="46"/>
      <c r="C2531" s="46"/>
      <c r="D2531" s="46"/>
      <c r="E2531" s="46"/>
      <c r="F2531" s="46"/>
      <c r="G2531" s="46"/>
      <c r="H2531" s="46"/>
      <c r="I2531" s="46"/>
      <c r="J2531" s="46"/>
      <c r="K2531" s="46"/>
      <c r="L2531" s="46"/>
      <c r="M2531" s="46"/>
      <c r="N2531" s="46"/>
      <c r="O2531" s="46"/>
      <c r="P2531" s="46"/>
      <c r="Q2531" s="46"/>
      <c r="R2531" s="46"/>
      <c r="S2531" s="46"/>
      <c r="T2531" s="46"/>
      <c r="U2531" s="46"/>
      <c r="V2531" s="46"/>
      <c r="W2531" s="46"/>
      <c r="X2531" s="11" t="str">
        <f>IF(COUNTBLANK(B2531:W2531)&gt;0,"NA",'batch classification'!J2537)</f>
        <v>NA</v>
      </c>
    </row>
    <row r="2532" spans="1:24" x14ac:dyDescent="0.25">
      <c r="A2532" s="45"/>
      <c r="B2532" s="46"/>
      <c r="C2532" s="46"/>
      <c r="D2532" s="46"/>
      <c r="E2532" s="46"/>
      <c r="F2532" s="46"/>
      <c r="G2532" s="46"/>
      <c r="H2532" s="46"/>
      <c r="I2532" s="46"/>
      <c r="J2532" s="46"/>
      <c r="K2532" s="46"/>
      <c r="L2532" s="46"/>
      <c r="M2532" s="46"/>
      <c r="N2532" s="46"/>
      <c r="O2532" s="46"/>
      <c r="P2532" s="46"/>
      <c r="Q2532" s="46"/>
      <c r="R2532" s="46"/>
      <c r="S2532" s="46"/>
      <c r="T2532" s="46"/>
      <c r="U2532" s="46"/>
      <c r="V2532" s="46"/>
      <c r="W2532" s="46"/>
      <c r="X2532" s="11" t="str">
        <f>IF(COUNTBLANK(B2532:W2532)&gt;0,"NA",'batch classification'!J2538)</f>
        <v>NA</v>
      </c>
    </row>
    <row r="2533" spans="1:24" x14ac:dyDescent="0.25">
      <c r="A2533" s="45"/>
      <c r="B2533" s="46"/>
      <c r="C2533" s="46"/>
      <c r="D2533" s="46"/>
      <c r="E2533" s="46"/>
      <c r="F2533" s="46"/>
      <c r="G2533" s="46"/>
      <c r="H2533" s="46"/>
      <c r="I2533" s="46"/>
      <c r="J2533" s="46"/>
      <c r="K2533" s="46"/>
      <c r="L2533" s="46"/>
      <c r="M2533" s="46"/>
      <c r="N2533" s="46"/>
      <c r="O2533" s="46"/>
      <c r="P2533" s="46"/>
      <c r="Q2533" s="46"/>
      <c r="R2533" s="46"/>
      <c r="S2533" s="46"/>
      <c r="T2533" s="46"/>
      <c r="U2533" s="46"/>
      <c r="V2533" s="46"/>
      <c r="W2533" s="46"/>
      <c r="X2533" s="11" t="str">
        <f>IF(COUNTBLANK(B2533:W2533)&gt;0,"NA",'batch classification'!J2539)</f>
        <v>NA</v>
      </c>
    </row>
    <row r="2534" spans="1:24" x14ac:dyDescent="0.25">
      <c r="A2534" s="45"/>
      <c r="B2534" s="46"/>
      <c r="C2534" s="46"/>
      <c r="D2534" s="46"/>
      <c r="E2534" s="46"/>
      <c r="F2534" s="46"/>
      <c r="G2534" s="46"/>
      <c r="H2534" s="46"/>
      <c r="I2534" s="46"/>
      <c r="J2534" s="46"/>
      <c r="K2534" s="46"/>
      <c r="L2534" s="46"/>
      <c r="M2534" s="46"/>
      <c r="N2534" s="46"/>
      <c r="O2534" s="46"/>
      <c r="P2534" s="46"/>
      <c r="Q2534" s="46"/>
      <c r="R2534" s="46"/>
      <c r="S2534" s="46"/>
      <c r="T2534" s="46"/>
      <c r="U2534" s="46"/>
      <c r="V2534" s="46"/>
      <c r="W2534" s="46"/>
      <c r="X2534" s="11" t="str">
        <f>IF(COUNTBLANK(B2534:W2534)&gt;0,"NA",'batch classification'!J2540)</f>
        <v>NA</v>
      </c>
    </row>
    <row r="2535" spans="1:24" x14ac:dyDescent="0.25">
      <c r="A2535" s="45"/>
      <c r="B2535" s="46"/>
      <c r="C2535" s="46"/>
      <c r="D2535" s="46"/>
      <c r="E2535" s="46"/>
      <c r="F2535" s="46"/>
      <c r="G2535" s="46"/>
      <c r="H2535" s="46"/>
      <c r="I2535" s="46"/>
      <c r="J2535" s="46"/>
      <c r="K2535" s="46"/>
      <c r="L2535" s="46"/>
      <c r="M2535" s="46"/>
      <c r="N2535" s="46"/>
      <c r="O2535" s="46"/>
      <c r="P2535" s="46"/>
      <c r="Q2535" s="46"/>
      <c r="R2535" s="46"/>
      <c r="S2535" s="46"/>
      <c r="T2535" s="46"/>
      <c r="U2535" s="46"/>
      <c r="V2535" s="46"/>
      <c r="W2535" s="46"/>
      <c r="X2535" s="11" t="str">
        <f>IF(COUNTBLANK(B2535:W2535)&gt;0,"NA",'batch classification'!J2541)</f>
        <v>NA</v>
      </c>
    </row>
    <row r="2536" spans="1:24" x14ac:dyDescent="0.25">
      <c r="A2536" s="45"/>
      <c r="B2536" s="46"/>
      <c r="C2536" s="46"/>
      <c r="D2536" s="46"/>
      <c r="E2536" s="46"/>
      <c r="F2536" s="46"/>
      <c r="G2536" s="46"/>
      <c r="H2536" s="46"/>
      <c r="I2536" s="46"/>
      <c r="J2536" s="46"/>
      <c r="K2536" s="46"/>
      <c r="L2536" s="46"/>
      <c r="M2536" s="46"/>
      <c r="N2536" s="46"/>
      <c r="O2536" s="46"/>
      <c r="P2536" s="46"/>
      <c r="Q2536" s="46"/>
      <c r="R2536" s="46"/>
      <c r="S2536" s="46"/>
      <c r="T2536" s="46"/>
      <c r="U2536" s="46"/>
      <c r="V2536" s="46"/>
      <c r="W2536" s="46"/>
      <c r="X2536" s="11" t="str">
        <f>IF(COUNTBLANK(B2536:W2536)&gt;0,"NA",'batch classification'!J2542)</f>
        <v>NA</v>
      </c>
    </row>
    <row r="2537" spans="1:24" x14ac:dyDescent="0.25">
      <c r="A2537" s="45"/>
      <c r="B2537" s="46"/>
      <c r="C2537" s="46"/>
      <c r="D2537" s="46"/>
      <c r="E2537" s="46"/>
      <c r="F2537" s="46"/>
      <c r="G2537" s="46"/>
      <c r="H2537" s="46"/>
      <c r="I2537" s="46"/>
      <c r="J2537" s="46"/>
      <c r="K2537" s="46"/>
      <c r="L2537" s="46"/>
      <c r="M2537" s="46"/>
      <c r="N2537" s="46"/>
      <c r="O2537" s="46"/>
      <c r="P2537" s="46"/>
      <c r="Q2537" s="46"/>
      <c r="R2537" s="46"/>
      <c r="S2537" s="46"/>
      <c r="T2537" s="46"/>
      <c r="U2537" s="46"/>
      <c r="V2537" s="46"/>
      <c r="W2537" s="46"/>
      <c r="X2537" s="11" t="str">
        <f>IF(COUNTBLANK(B2537:W2537)&gt;0,"NA",'batch classification'!J2543)</f>
        <v>NA</v>
      </c>
    </row>
    <row r="2538" spans="1:24" x14ac:dyDescent="0.25">
      <c r="A2538" s="45"/>
      <c r="B2538" s="46"/>
      <c r="C2538" s="46"/>
      <c r="D2538" s="46"/>
      <c r="E2538" s="46"/>
      <c r="F2538" s="46"/>
      <c r="G2538" s="46"/>
      <c r="H2538" s="46"/>
      <c r="I2538" s="46"/>
      <c r="J2538" s="46"/>
      <c r="K2538" s="46"/>
      <c r="L2538" s="46"/>
      <c r="M2538" s="46"/>
      <c r="N2538" s="46"/>
      <c r="O2538" s="46"/>
      <c r="P2538" s="46"/>
      <c r="Q2538" s="46"/>
      <c r="R2538" s="46"/>
      <c r="S2538" s="46"/>
      <c r="T2538" s="46"/>
      <c r="U2538" s="46"/>
      <c r="V2538" s="46"/>
      <c r="W2538" s="46"/>
      <c r="X2538" s="11" t="str">
        <f>IF(COUNTBLANK(B2538:W2538)&gt;0,"NA",'batch classification'!J2544)</f>
        <v>NA</v>
      </c>
    </row>
    <row r="2539" spans="1:24" x14ac:dyDescent="0.25">
      <c r="A2539" s="45"/>
      <c r="B2539" s="46"/>
      <c r="C2539" s="46"/>
      <c r="D2539" s="46"/>
      <c r="E2539" s="46"/>
      <c r="F2539" s="46"/>
      <c r="G2539" s="46"/>
      <c r="H2539" s="46"/>
      <c r="I2539" s="46"/>
      <c r="J2539" s="46"/>
      <c r="K2539" s="46"/>
      <c r="L2539" s="46"/>
      <c r="M2539" s="46"/>
      <c r="N2539" s="46"/>
      <c r="O2539" s="46"/>
      <c r="P2539" s="46"/>
      <c r="Q2539" s="46"/>
      <c r="R2539" s="46"/>
      <c r="S2539" s="46"/>
      <c r="T2539" s="46"/>
      <c r="U2539" s="46"/>
      <c r="V2539" s="46"/>
      <c r="W2539" s="46"/>
      <c r="X2539" s="11" t="str">
        <f>IF(COUNTBLANK(B2539:W2539)&gt;0,"NA",'batch classification'!J2545)</f>
        <v>NA</v>
      </c>
    </row>
    <row r="2540" spans="1:24" x14ac:dyDescent="0.25">
      <c r="A2540" s="45"/>
      <c r="B2540" s="46"/>
      <c r="C2540" s="46"/>
      <c r="D2540" s="46"/>
      <c r="E2540" s="46"/>
      <c r="F2540" s="46"/>
      <c r="G2540" s="46"/>
      <c r="H2540" s="46"/>
      <c r="I2540" s="46"/>
      <c r="J2540" s="46"/>
      <c r="K2540" s="46"/>
      <c r="L2540" s="46"/>
      <c r="M2540" s="46"/>
      <c r="N2540" s="46"/>
      <c r="O2540" s="46"/>
      <c r="P2540" s="46"/>
      <c r="Q2540" s="46"/>
      <c r="R2540" s="46"/>
      <c r="S2540" s="46"/>
      <c r="T2540" s="46"/>
      <c r="U2540" s="46"/>
      <c r="V2540" s="46"/>
      <c r="W2540" s="46"/>
      <c r="X2540" s="11" t="str">
        <f>IF(COUNTBLANK(B2540:W2540)&gt;0,"NA",'batch classification'!J2546)</f>
        <v>NA</v>
      </c>
    </row>
    <row r="2541" spans="1:24" x14ac:dyDescent="0.25">
      <c r="A2541" s="45"/>
      <c r="B2541" s="46"/>
      <c r="C2541" s="46"/>
      <c r="D2541" s="46"/>
      <c r="E2541" s="46"/>
      <c r="F2541" s="46"/>
      <c r="G2541" s="46"/>
      <c r="H2541" s="46"/>
      <c r="I2541" s="46"/>
      <c r="J2541" s="46"/>
      <c r="K2541" s="46"/>
      <c r="L2541" s="46"/>
      <c r="M2541" s="46"/>
      <c r="N2541" s="46"/>
      <c r="O2541" s="46"/>
      <c r="P2541" s="46"/>
      <c r="Q2541" s="46"/>
      <c r="R2541" s="46"/>
      <c r="S2541" s="46"/>
      <c r="T2541" s="46"/>
      <c r="U2541" s="46"/>
      <c r="V2541" s="46"/>
      <c r="W2541" s="46"/>
      <c r="X2541" s="11" t="str">
        <f>IF(COUNTBLANK(B2541:W2541)&gt;0,"NA",'batch classification'!J2547)</f>
        <v>NA</v>
      </c>
    </row>
    <row r="2542" spans="1:24" x14ac:dyDescent="0.25">
      <c r="A2542" s="45"/>
      <c r="B2542" s="46"/>
      <c r="C2542" s="46"/>
      <c r="D2542" s="46"/>
      <c r="E2542" s="46"/>
      <c r="F2542" s="46"/>
      <c r="G2542" s="46"/>
      <c r="H2542" s="46"/>
      <c r="I2542" s="46"/>
      <c r="J2542" s="46"/>
      <c r="K2542" s="46"/>
      <c r="L2542" s="46"/>
      <c r="M2542" s="46"/>
      <c r="N2542" s="46"/>
      <c r="O2542" s="46"/>
      <c r="P2542" s="46"/>
      <c r="Q2542" s="46"/>
      <c r="R2542" s="46"/>
      <c r="S2542" s="46"/>
      <c r="T2542" s="46"/>
      <c r="U2542" s="46"/>
      <c r="V2542" s="46"/>
      <c r="W2542" s="46"/>
      <c r="X2542" s="11" t="str">
        <f>IF(COUNTBLANK(B2542:W2542)&gt;0,"NA",'batch classification'!J2548)</f>
        <v>NA</v>
      </c>
    </row>
    <row r="2543" spans="1:24" x14ac:dyDescent="0.25">
      <c r="A2543" s="45"/>
      <c r="B2543" s="46"/>
      <c r="C2543" s="46"/>
      <c r="D2543" s="46"/>
      <c r="E2543" s="46"/>
      <c r="F2543" s="46"/>
      <c r="G2543" s="46"/>
      <c r="H2543" s="46"/>
      <c r="I2543" s="46"/>
      <c r="J2543" s="46"/>
      <c r="K2543" s="46"/>
      <c r="L2543" s="46"/>
      <c r="M2543" s="46"/>
      <c r="N2543" s="46"/>
      <c r="O2543" s="46"/>
      <c r="P2543" s="46"/>
      <c r="Q2543" s="46"/>
      <c r="R2543" s="46"/>
      <c r="S2543" s="46"/>
      <c r="T2543" s="46"/>
      <c r="U2543" s="46"/>
      <c r="V2543" s="46"/>
      <c r="W2543" s="46"/>
      <c r="X2543" s="11" t="str">
        <f>IF(COUNTBLANK(B2543:W2543)&gt;0,"NA",'batch classification'!J2549)</f>
        <v>NA</v>
      </c>
    </row>
    <row r="2544" spans="1:24" x14ac:dyDescent="0.25">
      <c r="A2544" s="45"/>
      <c r="B2544" s="46"/>
      <c r="C2544" s="46"/>
      <c r="D2544" s="46"/>
      <c r="E2544" s="46"/>
      <c r="F2544" s="46"/>
      <c r="G2544" s="46"/>
      <c r="H2544" s="46"/>
      <c r="I2544" s="46"/>
      <c r="J2544" s="46"/>
      <c r="K2544" s="46"/>
      <c r="L2544" s="46"/>
      <c r="M2544" s="46"/>
      <c r="N2544" s="46"/>
      <c r="O2544" s="46"/>
      <c r="P2544" s="46"/>
      <c r="Q2544" s="46"/>
      <c r="R2544" s="46"/>
      <c r="S2544" s="46"/>
      <c r="T2544" s="46"/>
      <c r="U2544" s="46"/>
      <c r="V2544" s="46"/>
      <c r="W2544" s="46"/>
      <c r="X2544" s="11" t="str">
        <f>IF(COUNTBLANK(B2544:W2544)&gt;0,"NA",'batch classification'!J2550)</f>
        <v>NA</v>
      </c>
    </row>
    <row r="2545" spans="1:24" x14ac:dyDescent="0.25">
      <c r="A2545" s="45"/>
      <c r="B2545" s="46"/>
      <c r="C2545" s="46"/>
      <c r="D2545" s="46"/>
      <c r="E2545" s="46"/>
      <c r="F2545" s="46"/>
      <c r="G2545" s="46"/>
      <c r="H2545" s="46"/>
      <c r="I2545" s="46"/>
      <c r="J2545" s="46"/>
      <c r="K2545" s="46"/>
      <c r="L2545" s="46"/>
      <c r="M2545" s="46"/>
      <c r="N2545" s="46"/>
      <c r="O2545" s="46"/>
      <c r="P2545" s="46"/>
      <c r="Q2545" s="46"/>
      <c r="R2545" s="46"/>
      <c r="S2545" s="46"/>
      <c r="T2545" s="46"/>
      <c r="U2545" s="46"/>
      <c r="V2545" s="46"/>
      <c r="W2545" s="46"/>
      <c r="X2545" s="11" t="str">
        <f>IF(COUNTBLANK(B2545:W2545)&gt;0,"NA",'batch classification'!J2551)</f>
        <v>NA</v>
      </c>
    </row>
    <row r="2546" spans="1:24" x14ac:dyDescent="0.25">
      <c r="A2546" s="45"/>
      <c r="B2546" s="46"/>
      <c r="C2546" s="46"/>
      <c r="D2546" s="46"/>
      <c r="E2546" s="46"/>
      <c r="F2546" s="46"/>
      <c r="G2546" s="46"/>
      <c r="H2546" s="46"/>
      <c r="I2546" s="46"/>
      <c r="J2546" s="46"/>
      <c r="K2546" s="46"/>
      <c r="L2546" s="46"/>
      <c r="M2546" s="46"/>
      <c r="N2546" s="46"/>
      <c r="O2546" s="46"/>
      <c r="P2546" s="46"/>
      <c r="Q2546" s="46"/>
      <c r="R2546" s="46"/>
      <c r="S2546" s="46"/>
      <c r="T2546" s="46"/>
      <c r="U2546" s="46"/>
      <c r="V2546" s="46"/>
      <c r="W2546" s="46"/>
      <c r="X2546" s="11" t="str">
        <f>IF(COUNTBLANK(B2546:W2546)&gt;0,"NA",'batch classification'!J2552)</f>
        <v>NA</v>
      </c>
    </row>
    <row r="2547" spans="1:24" x14ac:dyDescent="0.25">
      <c r="A2547" s="45"/>
      <c r="B2547" s="46"/>
      <c r="C2547" s="46"/>
      <c r="D2547" s="46"/>
      <c r="E2547" s="46"/>
      <c r="F2547" s="46"/>
      <c r="G2547" s="46"/>
      <c r="H2547" s="46"/>
      <c r="I2547" s="46"/>
      <c r="J2547" s="46"/>
      <c r="K2547" s="46"/>
      <c r="L2547" s="46"/>
      <c r="M2547" s="46"/>
      <c r="N2547" s="46"/>
      <c r="O2547" s="46"/>
      <c r="P2547" s="46"/>
      <c r="Q2547" s="46"/>
      <c r="R2547" s="46"/>
      <c r="S2547" s="46"/>
      <c r="T2547" s="46"/>
      <c r="U2547" s="46"/>
      <c r="V2547" s="46"/>
      <c r="W2547" s="46"/>
      <c r="X2547" s="11" t="str">
        <f>IF(COUNTBLANK(B2547:W2547)&gt;0,"NA",'batch classification'!J2553)</f>
        <v>NA</v>
      </c>
    </row>
    <row r="2548" spans="1:24" x14ac:dyDescent="0.25">
      <c r="A2548" s="45"/>
      <c r="B2548" s="46"/>
      <c r="C2548" s="46"/>
      <c r="D2548" s="46"/>
      <c r="E2548" s="46"/>
      <c r="F2548" s="46"/>
      <c r="G2548" s="46"/>
      <c r="H2548" s="46"/>
      <c r="I2548" s="46"/>
      <c r="J2548" s="46"/>
      <c r="K2548" s="46"/>
      <c r="L2548" s="46"/>
      <c r="M2548" s="46"/>
      <c r="N2548" s="46"/>
      <c r="O2548" s="46"/>
      <c r="P2548" s="46"/>
      <c r="Q2548" s="46"/>
      <c r="R2548" s="46"/>
      <c r="S2548" s="46"/>
      <c r="T2548" s="46"/>
      <c r="U2548" s="46"/>
      <c r="V2548" s="46"/>
      <c r="W2548" s="46"/>
      <c r="X2548" s="11" t="str">
        <f>IF(COUNTBLANK(B2548:W2548)&gt;0,"NA",'batch classification'!J2554)</f>
        <v>NA</v>
      </c>
    </row>
    <row r="2549" spans="1:24" x14ac:dyDescent="0.25">
      <c r="A2549" s="45"/>
      <c r="B2549" s="46"/>
      <c r="C2549" s="46"/>
      <c r="D2549" s="46"/>
      <c r="E2549" s="46"/>
      <c r="F2549" s="46"/>
      <c r="G2549" s="46"/>
      <c r="H2549" s="46"/>
      <c r="I2549" s="46"/>
      <c r="J2549" s="46"/>
      <c r="K2549" s="46"/>
      <c r="L2549" s="46"/>
      <c r="M2549" s="46"/>
      <c r="N2549" s="46"/>
      <c r="O2549" s="46"/>
      <c r="P2549" s="46"/>
      <c r="Q2549" s="46"/>
      <c r="R2549" s="46"/>
      <c r="S2549" s="46"/>
      <c r="T2549" s="46"/>
      <c r="U2549" s="46"/>
      <c r="V2549" s="46"/>
      <c r="W2549" s="46"/>
      <c r="X2549" s="11" t="str">
        <f>IF(COUNTBLANK(B2549:W2549)&gt;0,"NA",'batch classification'!J2555)</f>
        <v>NA</v>
      </c>
    </row>
    <row r="2550" spans="1:24" x14ac:dyDescent="0.25">
      <c r="A2550" s="45"/>
      <c r="B2550" s="46"/>
      <c r="C2550" s="46"/>
      <c r="D2550" s="46"/>
      <c r="E2550" s="46"/>
      <c r="F2550" s="46"/>
      <c r="G2550" s="46"/>
      <c r="H2550" s="46"/>
      <c r="I2550" s="46"/>
      <c r="J2550" s="46"/>
      <c r="K2550" s="46"/>
      <c r="L2550" s="46"/>
      <c r="M2550" s="46"/>
      <c r="N2550" s="46"/>
      <c r="O2550" s="46"/>
      <c r="P2550" s="46"/>
      <c r="Q2550" s="46"/>
      <c r="R2550" s="46"/>
      <c r="S2550" s="46"/>
      <c r="T2550" s="46"/>
      <c r="U2550" s="46"/>
      <c r="V2550" s="46"/>
      <c r="W2550" s="46"/>
      <c r="X2550" s="11" t="str">
        <f>IF(COUNTBLANK(B2550:W2550)&gt;0,"NA",'batch classification'!J2556)</f>
        <v>NA</v>
      </c>
    </row>
    <row r="2551" spans="1:24" x14ac:dyDescent="0.25">
      <c r="A2551" s="45"/>
      <c r="B2551" s="46"/>
      <c r="C2551" s="46"/>
      <c r="D2551" s="46"/>
      <c r="E2551" s="46"/>
      <c r="F2551" s="46"/>
      <c r="G2551" s="46"/>
      <c r="H2551" s="46"/>
      <c r="I2551" s="46"/>
      <c r="J2551" s="46"/>
      <c r="K2551" s="46"/>
      <c r="L2551" s="46"/>
      <c r="M2551" s="46"/>
      <c r="N2551" s="46"/>
      <c r="O2551" s="46"/>
      <c r="P2551" s="46"/>
      <c r="Q2551" s="46"/>
      <c r="R2551" s="46"/>
      <c r="S2551" s="46"/>
      <c r="T2551" s="46"/>
      <c r="U2551" s="46"/>
      <c r="V2551" s="46"/>
      <c r="W2551" s="46"/>
      <c r="X2551" s="11" t="str">
        <f>IF(COUNTBLANK(B2551:W2551)&gt;0,"NA",'batch classification'!J2557)</f>
        <v>NA</v>
      </c>
    </row>
    <row r="2552" spans="1:24" x14ac:dyDescent="0.25">
      <c r="A2552" s="45"/>
      <c r="B2552" s="46"/>
      <c r="C2552" s="46"/>
      <c r="D2552" s="46"/>
      <c r="E2552" s="46"/>
      <c r="F2552" s="46"/>
      <c r="G2552" s="46"/>
      <c r="H2552" s="46"/>
      <c r="I2552" s="46"/>
      <c r="J2552" s="46"/>
      <c r="K2552" s="46"/>
      <c r="L2552" s="46"/>
      <c r="M2552" s="46"/>
      <c r="N2552" s="46"/>
      <c r="O2552" s="46"/>
      <c r="P2552" s="46"/>
      <c r="Q2552" s="46"/>
      <c r="R2552" s="46"/>
      <c r="S2552" s="46"/>
      <c r="T2552" s="46"/>
      <c r="U2552" s="46"/>
      <c r="V2552" s="46"/>
      <c r="W2552" s="46"/>
      <c r="X2552" s="11" t="str">
        <f>IF(COUNTBLANK(B2552:W2552)&gt;0,"NA",'batch classification'!J2558)</f>
        <v>NA</v>
      </c>
    </row>
    <row r="2553" spans="1:24" x14ac:dyDescent="0.25">
      <c r="A2553" s="45"/>
      <c r="B2553" s="46"/>
      <c r="C2553" s="46"/>
      <c r="D2553" s="46"/>
      <c r="E2553" s="46"/>
      <c r="F2553" s="46"/>
      <c r="G2553" s="46"/>
      <c r="H2553" s="46"/>
      <c r="I2553" s="46"/>
      <c r="J2553" s="46"/>
      <c r="K2553" s="46"/>
      <c r="L2553" s="46"/>
      <c r="M2553" s="46"/>
      <c r="N2553" s="46"/>
      <c r="O2553" s="46"/>
      <c r="P2553" s="46"/>
      <c r="Q2553" s="46"/>
      <c r="R2553" s="46"/>
      <c r="S2553" s="46"/>
      <c r="T2553" s="46"/>
      <c r="U2553" s="46"/>
      <c r="V2553" s="46"/>
      <c r="W2553" s="46"/>
      <c r="X2553" s="11" t="str">
        <f>IF(COUNTBLANK(B2553:W2553)&gt;0,"NA",'batch classification'!J2559)</f>
        <v>NA</v>
      </c>
    </row>
    <row r="2554" spans="1:24" x14ac:dyDescent="0.25">
      <c r="A2554" s="45"/>
      <c r="B2554" s="46"/>
      <c r="C2554" s="46"/>
      <c r="D2554" s="46"/>
      <c r="E2554" s="46"/>
      <c r="F2554" s="46"/>
      <c r="G2554" s="46"/>
      <c r="H2554" s="46"/>
      <c r="I2554" s="46"/>
      <c r="J2554" s="46"/>
      <c r="K2554" s="46"/>
      <c r="L2554" s="46"/>
      <c r="M2554" s="46"/>
      <c r="N2554" s="46"/>
      <c r="O2554" s="46"/>
      <c r="P2554" s="46"/>
      <c r="Q2554" s="46"/>
      <c r="R2554" s="46"/>
      <c r="S2554" s="46"/>
      <c r="T2554" s="46"/>
      <c r="U2554" s="46"/>
      <c r="V2554" s="46"/>
      <c r="W2554" s="46"/>
      <c r="X2554" s="11" t="str">
        <f>IF(COUNTBLANK(B2554:W2554)&gt;0,"NA",'batch classification'!J2560)</f>
        <v>NA</v>
      </c>
    </row>
    <row r="2555" spans="1:24" x14ac:dyDescent="0.25">
      <c r="A2555" s="45"/>
      <c r="B2555" s="46"/>
      <c r="C2555" s="46"/>
      <c r="D2555" s="46"/>
      <c r="E2555" s="46"/>
      <c r="F2555" s="46"/>
      <c r="G2555" s="46"/>
      <c r="H2555" s="46"/>
      <c r="I2555" s="46"/>
      <c r="J2555" s="46"/>
      <c r="K2555" s="46"/>
      <c r="L2555" s="46"/>
      <c r="M2555" s="46"/>
      <c r="N2555" s="46"/>
      <c r="O2555" s="46"/>
      <c r="P2555" s="46"/>
      <c r="Q2555" s="46"/>
      <c r="R2555" s="46"/>
      <c r="S2555" s="46"/>
      <c r="T2555" s="46"/>
      <c r="U2555" s="46"/>
      <c r="V2555" s="46"/>
      <c r="W2555" s="46"/>
      <c r="X2555" s="11" t="str">
        <f>IF(COUNTBLANK(B2555:W2555)&gt;0,"NA",'batch classification'!J2561)</f>
        <v>NA</v>
      </c>
    </row>
    <row r="2556" spans="1:24" x14ac:dyDescent="0.25">
      <c r="A2556" s="45"/>
      <c r="B2556" s="46"/>
      <c r="C2556" s="46"/>
      <c r="D2556" s="46"/>
      <c r="E2556" s="46"/>
      <c r="F2556" s="46"/>
      <c r="G2556" s="46"/>
      <c r="H2556" s="46"/>
      <c r="I2556" s="46"/>
      <c r="J2556" s="46"/>
      <c r="K2556" s="46"/>
      <c r="L2556" s="46"/>
      <c r="M2556" s="46"/>
      <c r="N2556" s="46"/>
      <c r="O2556" s="46"/>
      <c r="P2556" s="46"/>
      <c r="Q2556" s="46"/>
      <c r="R2556" s="46"/>
      <c r="S2556" s="46"/>
      <c r="T2556" s="46"/>
      <c r="U2556" s="46"/>
      <c r="V2556" s="46"/>
      <c r="W2556" s="46"/>
      <c r="X2556" s="11" t="str">
        <f>IF(COUNTBLANK(B2556:W2556)&gt;0,"NA",'batch classification'!J2562)</f>
        <v>NA</v>
      </c>
    </row>
    <row r="2557" spans="1:24" x14ac:dyDescent="0.25">
      <c r="A2557" s="45"/>
      <c r="B2557" s="46"/>
      <c r="C2557" s="46"/>
      <c r="D2557" s="46"/>
      <c r="E2557" s="46"/>
      <c r="F2557" s="46"/>
      <c r="G2557" s="46"/>
      <c r="H2557" s="46"/>
      <c r="I2557" s="46"/>
      <c r="J2557" s="46"/>
      <c r="K2557" s="46"/>
      <c r="L2557" s="46"/>
      <c r="M2557" s="46"/>
      <c r="N2557" s="46"/>
      <c r="O2557" s="46"/>
      <c r="P2557" s="46"/>
      <c r="Q2557" s="46"/>
      <c r="R2557" s="46"/>
      <c r="S2557" s="46"/>
      <c r="T2557" s="46"/>
      <c r="U2557" s="46"/>
      <c r="V2557" s="46"/>
      <c r="W2557" s="46"/>
      <c r="X2557" s="11" t="str">
        <f>IF(COUNTBLANK(B2557:W2557)&gt;0,"NA",'batch classification'!J2563)</f>
        <v>NA</v>
      </c>
    </row>
    <row r="2558" spans="1:24" x14ac:dyDescent="0.25">
      <c r="A2558" s="45"/>
      <c r="B2558" s="46"/>
      <c r="C2558" s="46"/>
      <c r="D2558" s="46"/>
      <c r="E2558" s="46"/>
      <c r="F2558" s="46"/>
      <c r="G2558" s="46"/>
      <c r="H2558" s="46"/>
      <c r="I2558" s="46"/>
      <c r="J2558" s="46"/>
      <c r="K2558" s="46"/>
      <c r="L2558" s="46"/>
      <c r="M2558" s="46"/>
      <c r="N2558" s="46"/>
      <c r="O2558" s="46"/>
      <c r="P2558" s="46"/>
      <c r="Q2558" s="46"/>
      <c r="R2558" s="46"/>
      <c r="S2558" s="46"/>
      <c r="T2558" s="46"/>
      <c r="U2558" s="46"/>
      <c r="V2558" s="46"/>
      <c r="W2558" s="46"/>
      <c r="X2558" s="11" t="str">
        <f>IF(COUNTBLANK(B2558:W2558)&gt;0,"NA",'batch classification'!J2564)</f>
        <v>NA</v>
      </c>
    </row>
    <row r="2559" spans="1:24" x14ac:dyDescent="0.25">
      <c r="A2559" s="45"/>
      <c r="B2559" s="46"/>
      <c r="C2559" s="46"/>
      <c r="D2559" s="46"/>
      <c r="E2559" s="46"/>
      <c r="F2559" s="46"/>
      <c r="G2559" s="46"/>
      <c r="H2559" s="46"/>
      <c r="I2559" s="46"/>
      <c r="J2559" s="46"/>
      <c r="K2559" s="46"/>
      <c r="L2559" s="46"/>
      <c r="M2559" s="46"/>
      <c r="N2559" s="46"/>
      <c r="O2559" s="46"/>
      <c r="P2559" s="46"/>
      <c r="Q2559" s="46"/>
      <c r="R2559" s="46"/>
      <c r="S2559" s="46"/>
      <c r="T2559" s="46"/>
      <c r="U2559" s="46"/>
      <c r="V2559" s="46"/>
      <c r="W2559" s="46"/>
      <c r="X2559" s="11" t="str">
        <f>IF(COUNTBLANK(B2559:W2559)&gt;0,"NA",'batch classification'!J2565)</f>
        <v>NA</v>
      </c>
    </row>
    <row r="2560" spans="1:24" x14ac:dyDescent="0.25">
      <c r="A2560" s="45"/>
      <c r="B2560" s="46"/>
      <c r="C2560" s="46"/>
      <c r="D2560" s="46"/>
      <c r="E2560" s="46"/>
      <c r="F2560" s="46"/>
      <c r="G2560" s="46"/>
      <c r="H2560" s="46"/>
      <c r="I2560" s="46"/>
      <c r="J2560" s="46"/>
      <c r="K2560" s="46"/>
      <c r="L2560" s="46"/>
      <c r="M2560" s="46"/>
      <c r="N2560" s="46"/>
      <c r="O2560" s="46"/>
      <c r="P2560" s="46"/>
      <c r="Q2560" s="46"/>
      <c r="R2560" s="46"/>
      <c r="S2560" s="46"/>
      <c r="T2560" s="46"/>
      <c r="U2560" s="46"/>
      <c r="V2560" s="46"/>
      <c r="W2560" s="46"/>
      <c r="X2560" s="11" t="str">
        <f>IF(COUNTBLANK(B2560:W2560)&gt;0,"NA",'batch classification'!J2566)</f>
        <v>NA</v>
      </c>
    </row>
    <row r="2561" spans="1:24" x14ac:dyDescent="0.25">
      <c r="A2561" s="45"/>
      <c r="B2561" s="46"/>
      <c r="C2561" s="46"/>
      <c r="D2561" s="46"/>
      <c r="E2561" s="46"/>
      <c r="F2561" s="46"/>
      <c r="G2561" s="46"/>
      <c r="H2561" s="46"/>
      <c r="I2561" s="46"/>
      <c r="J2561" s="46"/>
      <c r="K2561" s="46"/>
      <c r="L2561" s="46"/>
      <c r="M2561" s="46"/>
      <c r="N2561" s="46"/>
      <c r="O2561" s="46"/>
      <c r="P2561" s="46"/>
      <c r="Q2561" s="46"/>
      <c r="R2561" s="46"/>
      <c r="S2561" s="46"/>
      <c r="T2561" s="46"/>
      <c r="U2561" s="46"/>
      <c r="V2561" s="46"/>
      <c r="W2561" s="46"/>
      <c r="X2561" s="11" t="str">
        <f>IF(COUNTBLANK(B2561:W2561)&gt;0,"NA",'batch classification'!J2567)</f>
        <v>NA</v>
      </c>
    </row>
    <row r="2562" spans="1:24" x14ac:dyDescent="0.25">
      <c r="A2562" s="45"/>
      <c r="B2562" s="46"/>
      <c r="C2562" s="46"/>
      <c r="D2562" s="46"/>
      <c r="E2562" s="46"/>
      <c r="F2562" s="46"/>
      <c r="G2562" s="46"/>
      <c r="H2562" s="46"/>
      <c r="I2562" s="46"/>
      <c r="J2562" s="46"/>
      <c r="K2562" s="46"/>
      <c r="L2562" s="46"/>
      <c r="M2562" s="46"/>
      <c r="N2562" s="46"/>
      <c r="O2562" s="46"/>
      <c r="P2562" s="46"/>
      <c r="Q2562" s="46"/>
      <c r="R2562" s="46"/>
      <c r="S2562" s="46"/>
      <c r="T2562" s="46"/>
      <c r="U2562" s="46"/>
      <c r="V2562" s="46"/>
      <c r="W2562" s="46"/>
      <c r="X2562" s="11" t="str">
        <f>IF(COUNTBLANK(B2562:W2562)&gt;0,"NA",'batch classification'!J2568)</f>
        <v>NA</v>
      </c>
    </row>
    <row r="2563" spans="1:24" x14ac:dyDescent="0.25">
      <c r="A2563" s="45"/>
      <c r="B2563" s="46"/>
      <c r="C2563" s="46"/>
      <c r="D2563" s="46"/>
      <c r="E2563" s="46"/>
      <c r="F2563" s="46"/>
      <c r="G2563" s="46"/>
      <c r="H2563" s="46"/>
      <c r="I2563" s="46"/>
      <c r="J2563" s="46"/>
      <c r="K2563" s="46"/>
      <c r="L2563" s="46"/>
      <c r="M2563" s="46"/>
      <c r="N2563" s="46"/>
      <c r="O2563" s="46"/>
      <c r="P2563" s="46"/>
      <c r="Q2563" s="46"/>
      <c r="R2563" s="46"/>
      <c r="S2563" s="46"/>
      <c r="T2563" s="46"/>
      <c r="U2563" s="46"/>
      <c r="V2563" s="46"/>
      <c r="W2563" s="46"/>
      <c r="X2563" s="11" t="str">
        <f>IF(COUNTBLANK(B2563:W2563)&gt;0,"NA",'batch classification'!J2569)</f>
        <v>NA</v>
      </c>
    </row>
    <row r="2564" spans="1:24" x14ac:dyDescent="0.25">
      <c r="A2564" s="45"/>
      <c r="B2564" s="46"/>
      <c r="C2564" s="46"/>
      <c r="D2564" s="46"/>
      <c r="E2564" s="46"/>
      <c r="F2564" s="46"/>
      <c r="G2564" s="46"/>
      <c r="H2564" s="46"/>
      <c r="I2564" s="46"/>
      <c r="J2564" s="46"/>
      <c r="K2564" s="46"/>
      <c r="L2564" s="46"/>
      <c r="M2564" s="46"/>
      <c r="N2564" s="46"/>
      <c r="O2564" s="46"/>
      <c r="P2564" s="46"/>
      <c r="Q2564" s="46"/>
      <c r="R2564" s="46"/>
      <c r="S2564" s="46"/>
      <c r="T2564" s="46"/>
      <c r="U2564" s="46"/>
      <c r="V2564" s="46"/>
      <c r="W2564" s="46"/>
      <c r="X2564" s="11" t="str">
        <f>IF(COUNTBLANK(B2564:W2564)&gt;0,"NA",'batch classification'!J2570)</f>
        <v>NA</v>
      </c>
    </row>
    <row r="2565" spans="1:24" x14ac:dyDescent="0.25">
      <c r="A2565" s="45"/>
      <c r="B2565" s="46"/>
      <c r="C2565" s="46"/>
      <c r="D2565" s="46"/>
      <c r="E2565" s="46"/>
      <c r="F2565" s="46"/>
      <c r="G2565" s="46"/>
      <c r="H2565" s="46"/>
      <c r="I2565" s="46"/>
      <c r="J2565" s="46"/>
      <c r="K2565" s="46"/>
      <c r="L2565" s="46"/>
      <c r="M2565" s="46"/>
      <c r="N2565" s="46"/>
      <c r="O2565" s="46"/>
      <c r="P2565" s="46"/>
      <c r="Q2565" s="46"/>
      <c r="R2565" s="46"/>
      <c r="S2565" s="46"/>
      <c r="T2565" s="46"/>
      <c r="U2565" s="46"/>
      <c r="V2565" s="46"/>
      <c r="W2565" s="46"/>
      <c r="X2565" s="11" t="str">
        <f>IF(COUNTBLANK(B2565:W2565)&gt;0,"NA",'batch classification'!J2571)</f>
        <v>NA</v>
      </c>
    </row>
    <row r="2566" spans="1:24" x14ac:dyDescent="0.25">
      <c r="A2566" s="45"/>
      <c r="B2566" s="46"/>
      <c r="C2566" s="46"/>
      <c r="D2566" s="46"/>
      <c r="E2566" s="46"/>
      <c r="F2566" s="46"/>
      <c r="G2566" s="46"/>
      <c r="H2566" s="46"/>
      <c r="I2566" s="46"/>
      <c r="J2566" s="46"/>
      <c r="K2566" s="46"/>
      <c r="L2566" s="46"/>
      <c r="M2566" s="46"/>
      <c r="N2566" s="46"/>
      <c r="O2566" s="46"/>
      <c r="P2566" s="46"/>
      <c r="Q2566" s="46"/>
      <c r="R2566" s="46"/>
      <c r="S2566" s="46"/>
      <c r="T2566" s="46"/>
      <c r="U2566" s="46"/>
      <c r="V2566" s="46"/>
      <c r="W2566" s="46"/>
      <c r="X2566" s="11" t="str">
        <f>IF(COUNTBLANK(B2566:W2566)&gt;0,"NA",'batch classification'!J2572)</f>
        <v>NA</v>
      </c>
    </row>
    <row r="2567" spans="1:24" x14ac:dyDescent="0.25">
      <c r="A2567" s="45"/>
      <c r="B2567" s="46"/>
      <c r="C2567" s="46"/>
      <c r="D2567" s="46"/>
      <c r="E2567" s="46"/>
      <c r="F2567" s="46"/>
      <c r="G2567" s="46"/>
      <c r="H2567" s="46"/>
      <c r="I2567" s="46"/>
      <c r="J2567" s="46"/>
      <c r="K2567" s="46"/>
      <c r="L2567" s="46"/>
      <c r="M2567" s="46"/>
      <c r="N2567" s="46"/>
      <c r="O2567" s="46"/>
      <c r="P2567" s="46"/>
      <c r="Q2567" s="46"/>
      <c r="R2567" s="46"/>
      <c r="S2567" s="46"/>
      <c r="T2567" s="46"/>
      <c r="U2567" s="46"/>
      <c r="V2567" s="46"/>
      <c r="W2567" s="46"/>
      <c r="X2567" s="11" t="str">
        <f>IF(COUNTBLANK(B2567:W2567)&gt;0,"NA",'batch classification'!J2573)</f>
        <v>NA</v>
      </c>
    </row>
    <row r="2568" spans="1:24" x14ac:dyDescent="0.25">
      <c r="A2568" s="45"/>
      <c r="B2568" s="46"/>
      <c r="C2568" s="46"/>
      <c r="D2568" s="46"/>
      <c r="E2568" s="46"/>
      <c r="F2568" s="46"/>
      <c r="G2568" s="46"/>
      <c r="H2568" s="46"/>
      <c r="I2568" s="46"/>
      <c r="J2568" s="46"/>
      <c r="K2568" s="46"/>
      <c r="L2568" s="46"/>
      <c r="M2568" s="46"/>
      <c r="N2568" s="46"/>
      <c r="O2568" s="46"/>
      <c r="P2568" s="46"/>
      <c r="Q2568" s="46"/>
      <c r="R2568" s="46"/>
      <c r="S2568" s="46"/>
      <c r="T2568" s="46"/>
      <c r="U2568" s="46"/>
      <c r="V2568" s="46"/>
      <c r="W2568" s="46"/>
      <c r="X2568" s="11" t="str">
        <f>IF(COUNTBLANK(B2568:W2568)&gt;0,"NA",'batch classification'!J2574)</f>
        <v>NA</v>
      </c>
    </row>
    <row r="2569" spans="1:24" x14ac:dyDescent="0.25">
      <c r="A2569" s="45"/>
      <c r="B2569" s="46"/>
      <c r="C2569" s="46"/>
      <c r="D2569" s="46"/>
      <c r="E2569" s="46"/>
      <c r="F2569" s="46"/>
      <c r="G2569" s="46"/>
      <c r="H2569" s="46"/>
      <c r="I2569" s="46"/>
      <c r="J2569" s="46"/>
      <c r="K2569" s="46"/>
      <c r="L2569" s="46"/>
      <c r="M2569" s="46"/>
      <c r="N2569" s="46"/>
      <c r="O2569" s="46"/>
      <c r="P2569" s="46"/>
      <c r="Q2569" s="46"/>
      <c r="R2569" s="46"/>
      <c r="S2569" s="46"/>
      <c r="T2569" s="46"/>
      <c r="U2569" s="46"/>
      <c r="V2569" s="46"/>
      <c r="W2569" s="46"/>
      <c r="X2569" s="11" t="str">
        <f>IF(COUNTBLANK(B2569:W2569)&gt;0,"NA",'batch classification'!J2575)</f>
        <v>NA</v>
      </c>
    </row>
    <row r="2570" spans="1:24" x14ac:dyDescent="0.25">
      <c r="A2570" s="45"/>
      <c r="B2570" s="46"/>
      <c r="C2570" s="46"/>
      <c r="D2570" s="46"/>
      <c r="E2570" s="46"/>
      <c r="F2570" s="46"/>
      <c r="G2570" s="46"/>
      <c r="H2570" s="46"/>
      <c r="I2570" s="46"/>
      <c r="J2570" s="46"/>
      <c r="K2570" s="46"/>
      <c r="L2570" s="46"/>
      <c r="M2570" s="46"/>
      <c r="N2570" s="46"/>
      <c r="O2570" s="46"/>
      <c r="P2570" s="46"/>
      <c r="Q2570" s="46"/>
      <c r="R2570" s="46"/>
      <c r="S2570" s="46"/>
      <c r="T2570" s="46"/>
      <c r="U2570" s="46"/>
      <c r="V2570" s="46"/>
      <c r="W2570" s="46"/>
      <c r="X2570" s="11" t="str">
        <f>IF(COUNTBLANK(B2570:W2570)&gt;0,"NA",'batch classification'!J2576)</f>
        <v>NA</v>
      </c>
    </row>
    <row r="2571" spans="1:24" x14ac:dyDescent="0.25">
      <c r="A2571" s="45"/>
      <c r="B2571" s="46"/>
      <c r="C2571" s="46"/>
      <c r="D2571" s="46"/>
      <c r="E2571" s="46"/>
      <c r="F2571" s="46"/>
      <c r="G2571" s="46"/>
      <c r="H2571" s="46"/>
      <c r="I2571" s="46"/>
      <c r="J2571" s="46"/>
      <c r="K2571" s="46"/>
      <c r="L2571" s="46"/>
      <c r="M2571" s="46"/>
      <c r="N2571" s="46"/>
      <c r="O2571" s="46"/>
      <c r="P2571" s="46"/>
      <c r="Q2571" s="46"/>
      <c r="R2571" s="46"/>
      <c r="S2571" s="46"/>
      <c r="T2571" s="46"/>
      <c r="U2571" s="46"/>
      <c r="V2571" s="46"/>
      <c r="W2571" s="46"/>
      <c r="X2571" s="11" t="str">
        <f>IF(COUNTBLANK(B2571:W2571)&gt;0,"NA",'batch classification'!J2577)</f>
        <v>NA</v>
      </c>
    </row>
    <row r="2572" spans="1:24" x14ac:dyDescent="0.25">
      <c r="A2572" s="45"/>
      <c r="B2572" s="46"/>
      <c r="C2572" s="46"/>
      <c r="D2572" s="46"/>
      <c r="E2572" s="46"/>
      <c r="F2572" s="46"/>
      <c r="G2572" s="46"/>
      <c r="H2572" s="46"/>
      <c r="I2572" s="46"/>
      <c r="J2572" s="46"/>
      <c r="K2572" s="46"/>
      <c r="L2572" s="46"/>
      <c r="M2572" s="46"/>
      <c r="N2572" s="46"/>
      <c r="O2572" s="46"/>
      <c r="P2572" s="46"/>
      <c r="Q2572" s="46"/>
      <c r="R2572" s="46"/>
      <c r="S2572" s="46"/>
      <c r="T2572" s="46"/>
      <c r="U2572" s="46"/>
      <c r="V2572" s="46"/>
      <c r="W2572" s="46"/>
      <c r="X2572" s="11" t="str">
        <f>IF(COUNTBLANK(B2572:W2572)&gt;0,"NA",'batch classification'!J2578)</f>
        <v>NA</v>
      </c>
    </row>
    <row r="2573" spans="1:24" x14ac:dyDescent="0.25">
      <c r="A2573" s="45"/>
      <c r="B2573" s="46"/>
      <c r="C2573" s="46"/>
      <c r="D2573" s="46"/>
      <c r="E2573" s="46"/>
      <c r="F2573" s="46"/>
      <c r="G2573" s="46"/>
      <c r="H2573" s="46"/>
      <c r="I2573" s="46"/>
      <c r="J2573" s="46"/>
      <c r="K2573" s="46"/>
      <c r="L2573" s="46"/>
      <c r="M2573" s="46"/>
      <c r="N2573" s="46"/>
      <c r="O2573" s="46"/>
      <c r="P2573" s="46"/>
      <c r="Q2573" s="46"/>
      <c r="R2573" s="46"/>
      <c r="S2573" s="46"/>
      <c r="T2573" s="46"/>
      <c r="U2573" s="46"/>
      <c r="V2573" s="46"/>
      <c r="W2573" s="46"/>
      <c r="X2573" s="11" t="str">
        <f>IF(COUNTBLANK(B2573:W2573)&gt;0,"NA",'batch classification'!J2579)</f>
        <v>NA</v>
      </c>
    </row>
    <row r="2574" spans="1:24" x14ac:dyDescent="0.25">
      <c r="A2574" s="45"/>
      <c r="B2574" s="46"/>
      <c r="C2574" s="46"/>
      <c r="D2574" s="46"/>
      <c r="E2574" s="46"/>
      <c r="F2574" s="46"/>
      <c r="G2574" s="46"/>
      <c r="H2574" s="46"/>
      <c r="I2574" s="46"/>
      <c r="J2574" s="46"/>
      <c r="K2574" s="46"/>
      <c r="L2574" s="46"/>
      <c r="M2574" s="46"/>
      <c r="N2574" s="46"/>
      <c r="O2574" s="46"/>
      <c r="P2574" s="46"/>
      <c r="Q2574" s="46"/>
      <c r="R2574" s="46"/>
      <c r="S2574" s="46"/>
      <c r="T2574" s="46"/>
      <c r="U2574" s="46"/>
      <c r="V2574" s="46"/>
      <c r="W2574" s="46"/>
      <c r="X2574" s="11" t="str">
        <f>IF(COUNTBLANK(B2574:W2574)&gt;0,"NA",'batch classification'!J2580)</f>
        <v>NA</v>
      </c>
    </row>
    <row r="2575" spans="1:24" x14ac:dyDescent="0.25">
      <c r="A2575" s="45"/>
      <c r="B2575" s="46"/>
      <c r="C2575" s="46"/>
      <c r="D2575" s="46"/>
      <c r="E2575" s="46"/>
      <c r="F2575" s="46"/>
      <c r="G2575" s="46"/>
      <c r="H2575" s="46"/>
      <c r="I2575" s="46"/>
      <c r="J2575" s="46"/>
      <c r="K2575" s="46"/>
      <c r="L2575" s="46"/>
      <c r="M2575" s="46"/>
      <c r="N2575" s="46"/>
      <c r="O2575" s="46"/>
      <c r="P2575" s="46"/>
      <c r="Q2575" s="46"/>
      <c r="R2575" s="46"/>
      <c r="S2575" s="46"/>
      <c r="T2575" s="46"/>
      <c r="U2575" s="46"/>
      <c r="V2575" s="46"/>
      <c r="W2575" s="46"/>
      <c r="X2575" s="11" t="str">
        <f>IF(COUNTBLANK(B2575:W2575)&gt;0,"NA",'batch classification'!J2581)</f>
        <v>NA</v>
      </c>
    </row>
    <row r="2576" spans="1:24" x14ac:dyDescent="0.25">
      <c r="A2576" s="45"/>
      <c r="B2576" s="46"/>
      <c r="C2576" s="46"/>
      <c r="D2576" s="46"/>
      <c r="E2576" s="46"/>
      <c r="F2576" s="46"/>
      <c r="G2576" s="46"/>
      <c r="H2576" s="46"/>
      <c r="I2576" s="46"/>
      <c r="J2576" s="46"/>
      <c r="K2576" s="46"/>
      <c r="L2576" s="46"/>
      <c r="M2576" s="46"/>
      <c r="N2576" s="46"/>
      <c r="O2576" s="46"/>
      <c r="P2576" s="46"/>
      <c r="Q2576" s="46"/>
      <c r="R2576" s="46"/>
      <c r="S2576" s="46"/>
      <c r="T2576" s="46"/>
      <c r="U2576" s="46"/>
      <c r="V2576" s="46"/>
      <c r="W2576" s="46"/>
      <c r="X2576" s="11" t="str">
        <f>IF(COUNTBLANK(B2576:W2576)&gt;0,"NA",'batch classification'!J2582)</f>
        <v>NA</v>
      </c>
    </row>
    <row r="2577" spans="1:24" x14ac:dyDescent="0.25">
      <c r="A2577" s="45"/>
      <c r="B2577" s="46"/>
      <c r="C2577" s="46"/>
      <c r="D2577" s="46"/>
      <c r="E2577" s="46"/>
      <c r="F2577" s="46"/>
      <c r="G2577" s="46"/>
      <c r="H2577" s="46"/>
      <c r="I2577" s="46"/>
      <c r="J2577" s="46"/>
      <c r="K2577" s="46"/>
      <c r="L2577" s="46"/>
      <c r="M2577" s="46"/>
      <c r="N2577" s="46"/>
      <c r="O2577" s="46"/>
      <c r="P2577" s="46"/>
      <c r="Q2577" s="46"/>
      <c r="R2577" s="46"/>
      <c r="S2577" s="46"/>
      <c r="T2577" s="46"/>
      <c r="U2577" s="46"/>
      <c r="V2577" s="46"/>
      <c r="W2577" s="46"/>
      <c r="X2577" s="11" t="str">
        <f>IF(COUNTBLANK(B2577:W2577)&gt;0,"NA",'batch classification'!J2583)</f>
        <v>NA</v>
      </c>
    </row>
    <row r="2578" spans="1:24" x14ac:dyDescent="0.25">
      <c r="A2578" s="45"/>
      <c r="B2578" s="46"/>
      <c r="C2578" s="46"/>
      <c r="D2578" s="46"/>
      <c r="E2578" s="46"/>
      <c r="F2578" s="46"/>
      <c r="G2578" s="46"/>
      <c r="H2578" s="46"/>
      <c r="I2578" s="46"/>
      <c r="J2578" s="46"/>
      <c r="K2578" s="46"/>
      <c r="L2578" s="46"/>
      <c r="M2578" s="46"/>
      <c r="N2578" s="46"/>
      <c r="O2578" s="46"/>
      <c r="P2578" s="46"/>
      <c r="Q2578" s="46"/>
      <c r="R2578" s="46"/>
      <c r="S2578" s="46"/>
      <c r="T2578" s="46"/>
      <c r="U2578" s="46"/>
      <c r="V2578" s="46"/>
      <c r="W2578" s="46"/>
      <c r="X2578" s="11" t="str">
        <f>IF(COUNTBLANK(B2578:W2578)&gt;0,"NA",'batch classification'!J2584)</f>
        <v>NA</v>
      </c>
    </row>
    <row r="2579" spans="1:24" x14ac:dyDescent="0.25">
      <c r="A2579" s="45"/>
      <c r="B2579" s="46"/>
      <c r="C2579" s="46"/>
      <c r="D2579" s="46"/>
      <c r="E2579" s="46"/>
      <c r="F2579" s="46"/>
      <c r="G2579" s="46"/>
      <c r="H2579" s="46"/>
      <c r="I2579" s="46"/>
      <c r="J2579" s="46"/>
      <c r="K2579" s="46"/>
      <c r="L2579" s="46"/>
      <c r="M2579" s="46"/>
      <c r="N2579" s="46"/>
      <c r="O2579" s="46"/>
      <c r="P2579" s="46"/>
      <c r="Q2579" s="46"/>
      <c r="R2579" s="46"/>
      <c r="S2579" s="46"/>
      <c r="T2579" s="46"/>
      <c r="U2579" s="46"/>
      <c r="V2579" s="46"/>
      <c r="W2579" s="46"/>
      <c r="X2579" s="11" t="str">
        <f>IF(COUNTBLANK(B2579:W2579)&gt;0,"NA",'batch classification'!J2585)</f>
        <v>NA</v>
      </c>
    </row>
    <row r="2580" spans="1:24" x14ac:dyDescent="0.25">
      <c r="A2580" s="45"/>
      <c r="B2580" s="46"/>
      <c r="C2580" s="46"/>
      <c r="D2580" s="46"/>
      <c r="E2580" s="46"/>
      <c r="F2580" s="46"/>
      <c r="G2580" s="46"/>
      <c r="H2580" s="46"/>
      <c r="I2580" s="46"/>
      <c r="J2580" s="46"/>
      <c r="K2580" s="46"/>
      <c r="L2580" s="46"/>
      <c r="M2580" s="46"/>
      <c r="N2580" s="46"/>
      <c r="O2580" s="46"/>
      <c r="P2580" s="46"/>
      <c r="Q2580" s="46"/>
      <c r="R2580" s="46"/>
      <c r="S2580" s="46"/>
      <c r="T2580" s="46"/>
      <c r="U2580" s="46"/>
      <c r="V2580" s="46"/>
      <c r="W2580" s="46"/>
      <c r="X2580" s="11" t="str">
        <f>IF(COUNTBLANK(B2580:W2580)&gt;0,"NA",'batch classification'!J2586)</f>
        <v>NA</v>
      </c>
    </row>
    <row r="2581" spans="1:24" x14ac:dyDescent="0.25">
      <c r="A2581" s="45"/>
      <c r="B2581" s="46"/>
      <c r="C2581" s="46"/>
      <c r="D2581" s="46"/>
      <c r="E2581" s="46"/>
      <c r="F2581" s="46"/>
      <c r="G2581" s="46"/>
      <c r="H2581" s="46"/>
      <c r="I2581" s="46"/>
      <c r="J2581" s="46"/>
      <c r="K2581" s="46"/>
      <c r="L2581" s="46"/>
      <c r="M2581" s="46"/>
      <c r="N2581" s="46"/>
      <c r="O2581" s="46"/>
      <c r="P2581" s="46"/>
      <c r="Q2581" s="46"/>
      <c r="R2581" s="46"/>
      <c r="S2581" s="46"/>
      <c r="T2581" s="46"/>
      <c r="U2581" s="46"/>
      <c r="V2581" s="46"/>
      <c r="W2581" s="46"/>
      <c r="X2581" s="11" t="str">
        <f>IF(COUNTBLANK(B2581:W2581)&gt;0,"NA",'batch classification'!J2587)</f>
        <v>NA</v>
      </c>
    </row>
    <row r="2582" spans="1:24" x14ac:dyDescent="0.25">
      <c r="A2582" s="45"/>
      <c r="B2582" s="46"/>
      <c r="C2582" s="46"/>
      <c r="D2582" s="46"/>
      <c r="E2582" s="46"/>
      <c r="F2582" s="46"/>
      <c r="G2582" s="46"/>
      <c r="H2582" s="46"/>
      <c r="I2582" s="46"/>
      <c r="J2582" s="46"/>
      <c r="K2582" s="46"/>
      <c r="L2582" s="46"/>
      <c r="M2582" s="46"/>
      <c r="N2582" s="46"/>
      <c r="O2582" s="46"/>
      <c r="P2582" s="46"/>
      <c r="Q2582" s="46"/>
      <c r="R2582" s="46"/>
      <c r="S2582" s="46"/>
      <c r="T2582" s="46"/>
      <c r="U2582" s="46"/>
      <c r="V2582" s="46"/>
      <c r="W2582" s="46"/>
      <c r="X2582" s="11" t="str">
        <f>IF(COUNTBLANK(B2582:W2582)&gt;0,"NA",'batch classification'!J2588)</f>
        <v>NA</v>
      </c>
    </row>
    <row r="2583" spans="1:24" x14ac:dyDescent="0.25">
      <c r="A2583" s="45"/>
      <c r="B2583" s="46"/>
      <c r="C2583" s="46"/>
      <c r="D2583" s="46"/>
      <c r="E2583" s="46"/>
      <c r="F2583" s="46"/>
      <c r="G2583" s="46"/>
      <c r="H2583" s="46"/>
      <c r="I2583" s="46"/>
      <c r="J2583" s="46"/>
      <c r="K2583" s="46"/>
      <c r="L2583" s="46"/>
      <c r="M2583" s="46"/>
      <c r="N2583" s="46"/>
      <c r="O2583" s="46"/>
      <c r="P2583" s="46"/>
      <c r="Q2583" s="46"/>
      <c r="R2583" s="46"/>
      <c r="S2583" s="46"/>
      <c r="T2583" s="46"/>
      <c r="U2583" s="46"/>
      <c r="V2583" s="46"/>
      <c r="W2583" s="46"/>
      <c r="X2583" s="11" t="str">
        <f>IF(COUNTBLANK(B2583:W2583)&gt;0,"NA",'batch classification'!J2589)</f>
        <v>NA</v>
      </c>
    </row>
    <row r="2584" spans="1:24" x14ac:dyDescent="0.25">
      <c r="A2584" s="45"/>
      <c r="B2584" s="46"/>
      <c r="C2584" s="46"/>
      <c r="D2584" s="46"/>
      <c r="E2584" s="46"/>
      <c r="F2584" s="46"/>
      <c r="G2584" s="46"/>
      <c r="H2584" s="46"/>
      <c r="I2584" s="46"/>
      <c r="J2584" s="46"/>
      <c r="K2584" s="46"/>
      <c r="L2584" s="46"/>
      <c r="M2584" s="46"/>
      <c r="N2584" s="46"/>
      <c r="O2584" s="46"/>
      <c r="P2584" s="46"/>
      <c r="Q2584" s="46"/>
      <c r="R2584" s="46"/>
      <c r="S2584" s="46"/>
      <c r="T2584" s="46"/>
      <c r="U2584" s="46"/>
      <c r="V2584" s="46"/>
      <c r="W2584" s="46"/>
      <c r="X2584" s="11" t="str">
        <f>IF(COUNTBLANK(B2584:W2584)&gt;0,"NA",'batch classification'!J2590)</f>
        <v>NA</v>
      </c>
    </row>
    <row r="2585" spans="1:24" x14ac:dyDescent="0.25">
      <c r="A2585" s="45"/>
      <c r="B2585" s="46"/>
      <c r="C2585" s="46"/>
      <c r="D2585" s="46"/>
      <c r="E2585" s="46"/>
      <c r="F2585" s="46"/>
      <c r="G2585" s="46"/>
      <c r="H2585" s="46"/>
      <c r="I2585" s="46"/>
      <c r="J2585" s="46"/>
      <c r="K2585" s="46"/>
      <c r="L2585" s="46"/>
      <c r="M2585" s="46"/>
      <c r="N2585" s="46"/>
      <c r="O2585" s="46"/>
      <c r="P2585" s="46"/>
      <c r="Q2585" s="46"/>
      <c r="R2585" s="46"/>
      <c r="S2585" s="46"/>
      <c r="T2585" s="46"/>
      <c r="U2585" s="46"/>
      <c r="V2585" s="46"/>
      <c r="W2585" s="46"/>
      <c r="X2585" s="11" t="str">
        <f>IF(COUNTBLANK(B2585:W2585)&gt;0,"NA",'batch classification'!J2591)</f>
        <v>NA</v>
      </c>
    </row>
    <row r="2586" spans="1:24" x14ac:dyDescent="0.25">
      <c r="A2586" s="45"/>
      <c r="B2586" s="46"/>
      <c r="C2586" s="46"/>
      <c r="D2586" s="46"/>
      <c r="E2586" s="46"/>
      <c r="F2586" s="46"/>
      <c r="G2586" s="46"/>
      <c r="H2586" s="46"/>
      <c r="I2586" s="46"/>
      <c r="J2586" s="46"/>
      <c r="K2586" s="46"/>
      <c r="L2586" s="46"/>
      <c r="M2586" s="46"/>
      <c r="N2586" s="46"/>
      <c r="O2586" s="46"/>
      <c r="P2586" s="46"/>
      <c r="Q2586" s="46"/>
      <c r="R2586" s="46"/>
      <c r="S2586" s="46"/>
      <c r="T2586" s="46"/>
      <c r="U2586" s="46"/>
      <c r="V2586" s="46"/>
      <c r="W2586" s="46"/>
      <c r="X2586" s="11" t="str">
        <f>IF(COUNTBLANK(B2586:W2586)&gt;0,"NA",'batch classification'!J2592)</f>
        <v>NA</v>
      </c>
    </row>
    <row r="2587" spans="1:24" x14ac:dyDescent="0.25">
      <c r="A2587" s="45"/>
      <c r="B2587" s="46"/>
      <c r="C2587" s="46"/>
      <c r="D2587" s="46"/>
      <c r="E2587" s="46"/>
      <c r="F2587" s="46"/>
      <c r="G2587" s="46"/>
      <c r="H2587" s="46"/>
      <c r="I2587" s="46"/>
      <c r="J2587" s="46"/>
      <c r="K2587" s="46"/>
      <c r="L2587" s="46"/>
      <c r="M2587" s="46"/>
      <c r="N2587" s="46"/>
      <c r="O2587" s="46"/>
      <c r="P2587" s="46"/>
      <c r="Q2587" s="46"/>
      <c r="R2587" s="46"/>
      <c r="S2587" s="46"/>
      <c r="T2587" s="46"/>
      <c r="U2587" s="46"/>
      <c r="V2587" s="46"/>
      <c r="W2587" s="46"/>
      <c r="X2587" s="11" t="str">
        <f>IF(COUNTBLANK(B2587:W2587)&gt;0,"NA",'batch classification'!J2593)</f>
        <v>NA</v>
      </c>
    </row>
    <row r="2588" spans="1:24" x14ac:dyDescent="0.25">
      <c r="A2588" s="45"/>
      <c r="B2588" s="46"/>
      <c r="C2588" s="46"/>
      <c r="D2588" s="46"/>
      <c r="E2588" s="46"/>
      <c r="F2588" s="46"/>
      <c r="G2588" s="46"/>
      <c r="H2588" s="46"/>
      <c r="I2588" s="46"/>
      <c r="J2588" s="46"/>
      <c r="K2588" s="46"/>
      <c r="L2588" s="46"/>
      <c r="M2588" s="46"/>
      <c r="N2588" s="46"/>
      <c r="O2588" s="46"/>
      <c r="P2588" s="46"/>
      <c r="Q2588" s="46"/>
      <c r="R2588" s="46"/>
      <c r="S2588" s="46"/>
      <c r="T2588" s="46"/>
      <c r="U2588" s="46"/>
      <c r="V2588" s="46"/>
      <c r="W2588" s="46"/>
      <c r="X2588" s="11" t="str">
        <f>IF(COUNTBLANK(B2588:W2588)&gt;0,"NA",'batch classification'!J2594)</f>
        <v>NA</v>
      </c>
    </row>
    <row r="2589" spans="1:24" x14ac:dyDescent="0.25">
      <c r="A2589" s="45"/>
      <c r="B2589" s="46"/>
      <c r="C2589" s="46"/>
      <c r="D2589" s="46"/>
      <c r="E2589" s="46"/>
      <c r="F2589" s="46"/>
      <c r="G2589" s="46"/>
      <c r="H2589" s="46"/>
      <c r="I2589" s="46"/>
      <c r="J2589" s="46"/>
      <c r="K2589" s="46"/>
      <c r="L2589" s="46"/>
      <c r="M2589" s="46"/>
      <c r="N2589" s="46"/>
      <c r="O2589" s="46"/>
      <c r="P2589" s="46"/>
      <c r="Q2589" s="46"/>
      <c r="R2589" s="46"/>
      <c r="S2589" s="46"/>
      <c r="T2589" s="46"/>
      <c r="U2589" s="46"/>
      <c r="V2589" s="46"/>
      <c r="W2589" s="46"/>
      <c r="X2589" s="11" t="str">
        <f>IF(COUNTBLANK(B2589:W2589)&gt;0,"NA",'batch classification'!J2595)</f>
        <v>NA</v>
      </c>
    </row>
    <row r="2590" spans="1:24" x14ac:dyDescent="0.25">
      <c r="A2590" s="45"/>
      <c r="B2590" s="46"/>
      <c r="C2590" s="46"/>
      <c r="D2590" s="46"/>
      <c r="E2590" s="46"/>
      <c r="F2590" s="46"/>
      <c r="G2590" s="46"/>
      <c r="H2590" s="46"/>
      <c r="I2590" s="46"/>
      <c r="J2590" s="46"/>
      <c r="K2590" s="46"/>
      <c r="L2590" s="46"/>
      <c r="M2590" s="46"/>
      <c r="N2590" s="46"/>
      <c r="O2590" s="46"/>
      <c r="P2590" s="46"/>
      <c r="Q2590" s="46"/>
      <c r="R2590" s="46"/>
      <c r="S2590" s="46"/>
      <c r="T2590" s="46"/>
      <c r="U2590" s="46"/>
      <c r="V2590" s="46"/>
      <c r="W2590" s="46"/>
      <c r="X2590" s="11" t="str">
        <f>IF(COUNTBLANK(B2590:W2590)&gt;0,"NA",'batch classification'!J2596)</f>
        <v>NA</v>
      </c>
    </row>
    <row r="2591" spans="1:24" x14ac:dyDescent="0.25">
      <c r="A2591" s="45"/>
      <c r="B2591" s="46"/>
      <c r="C2591" s="46"/>
      <c r="D2591" s="46"/>
      <c r="E2591" s="46"/>
      <c r="F2591" s="46"/>
      <c r="G2591" s="46"/>
      <c r="H2591" s="46"/>
      <c r="I2591" s="46"/>
      <c r="J2591" s="46"/>
      <c r="K2591" s="46"/>
      <c r="L2591" s="46"/>
      <c r="M2591" s="46"/>
      <c r="N2591" s="46"/>
      <c r="O2591" s="46"/>
      <c r="P2591" s="46"/>
      <c r="Q2591" s="46"/>
      <c r="R2591" s="46"/>
      <c r="S2591" s="46"/>
      <c r="T2591" s="46"/>
      <c r="U2591" s="46"/>
      <c r="V2591" s="46"/>
      <c r="W2591" s="46"/>
      <c r="X2591" s="11" t="str">
        <f>IF(COUNTBLANK(B2591:W2591)&gt;0,"NA",'batch classification'!J2597)</f>
        <v>NA</v>
      </c>
    </row>
    <row r="2592" spans="1:24" x14ac:dyDescent="0.25">
      <c r="A2592" s="45"/>
      <c r="B2592" s="46"/>
      <c r="C2592" s="46"/>
      <c r="D2592" s="46"/>
      <c r="E2592" s="46"/>
      <c r="F2592" s="46"/>
      <c r="G2592" s="46"/>
      <c r="H2592" s="46"/>
      <c r="I2592" s="46"/>
      <c r="J2592" s="46"/>
      <c r="K2592" s="46"/>
      <c r="L2592" s="46"/>
      <c r="M2592" s="46"/>
      <c r="N2592" s="46"/>
      <c r="O2592" s="46"/>
      <c r="P2592" s="46"/>
      <c r="Q2592" s="46"/>
      <c r="R2592" s="46"/>
      <c r="S2592" s="46"/>
      <c r="T2592" s="46"/>
      <c r="U2592" s="46"/>
      <c r="V2592" s="46"/>
      <c r="W2592" s="46"/>
      <c r="X2592" s="11" t="str">
        <f>IF(COUNTBLANK(B2592:W2592)&gt;0,"NA",'batch classification'!J2598)</f>
        <v>NA</v>
      </c>
    </row>
    <row r="2593" spans="1:24" x14ac:dyDescent="0.25">
      <c r="A2593" s="45"/>
      <c r="B2593" s="46"/>
      <c r="C2593" s="46"/>
      <c r="D2593" s="46"/>
      <c r="E2593" s="46"/>
      <c r="F2593" s="46"/>
      <c r="G2593" s="46"/>
      <c r="H2593" s="46"/>
      <c r="I2593" s="46"/>
      <c r="J2593" s="46"/>
      <c r="K2593" s="46"/>
      <c r="L2593" s="46"/>
      <c r="M2593" s="46"/>
      <c r="N2593" s="46"/>
      <c r="O2593" s="46"/>
      <c r="P2593" s="46"/>
      <c r="Q2593" s="46"/>
      <c r="R2593" s="46"/>
      <c r="S2593" s="46"/>
      <c r="T2593" s="46"/>
      <c r="U2593" s="46"/>
      <c r="V2593" s="46"/>
      <c r="W2593" s="46"/>
      <c r="X2593" s="11" t="str">
        <f>IF(COUNTBLANK(B2593:W2593)&gt;0,"NA",'batch classification'!J2599)</f>
        <v>NA</v>
      </c>
    </row>
    <row r="2594" spans="1:24" x14ac:dyDescent="0.25">
      <c r="A2594" s="45"/>
      <c r="B2594" s="46"/>
      <c r="C2594" s="46"/>
      <c r="D2594" s="46"/>
      <c r="E2594" s="46"/>
      <c r="F2594" s="46"/>
      <c r="G2594" s="46"/>
      <c r="H2594" s="46"/>
      <c r="I2594" s="46"/>
      <c r="J2594" s="46"/>
      <c r="K2594" s="46"/>
      <c r="L2594" s="46"/>
      <c r="M2594" s="46"/>
      <c r="N2594" s="46"/>
      <c r="O2594" s="46"/>
      <c r="P2594" s="46"/>
      <c r="Q2594" s="46"/>
      <c r="R2594" s="46"/>
      <c r="S2594" s="46"/>
      <c r="T2594" s="46"/>
      <c r="U2594" s="46"/>
      <c r="V2594" s="46"/>
      <c r="W2594" s="46"/>
      <c r="X2594" s="11" t="str">
        <f>IF(COUNTBLANK(B2594:W2594)&gt;0,"NA",'batch classification'!J2600)</f>
        <v>NA</v>
      </c>
    </row>
    <row r="2595" spans="1:24" x14ac:dyDescent="0.25">
      <c r="A2595" s="45"/>
      <c r="B2595" s="46"/>
      <c r="C2595" s="46"/>
      <c r="D2595" s="46"/>
      <c r="E2595" s="46"/>
      <c r="F2595" s="46"/>
      <c r="G2595" s="46"/>
      <c r="H2595" s="46"/>
      <c r="I2595" s="46"/>
      <c r="J2595" s="46"/>
      <c r="K2595" s="46"/>
      <c r="L2595" s="46"/>
      <c r="M2595" s="46"/>
      <c r="N2595" s="46"/>
      <c r="O2595" s="46"/>
      <c r="P2595" s="46"/>
      <c r="Q2595" s="46"/>
      <c r="R2595" s="46"/>
      <c r="S2595" s="46"/>
      <c r="T2595" s="46"/>
      <c r="U2595" s="46"/>
      <c r="V2595" s="46"/>
      <c r="W2595" s="46"/>
      <c r="X2595" s="11" t="str">
        <f>IF(COUNTBLANK(B2595:W2595)&gt;0,"NA",'batch classification'!J2601)</f>
        <v>NA</v>
      </c>
    </row>
    <row r="2596" spans="1:24" x14ac:dyDescent="0.25">
      <c r="A2596" s="45"/>
      <c r="B2596" s="46"/>
      <c r="C2596" s="46"/>
      <c r="D2596" s="46"/>
      <c r="E2596" s="46"/>
      <c r="F2596" s="46"/>
      <c r="G2596" s="46"/>
      <c r="H2596" s="46"/>
      <c r="I2596" s="46"/>
      <c r="J2596" s="46"/>
      <c r="K2596" s="46"/>
      <c r="L2596" s="46"/>
      <c r="M2596" s="46"/>
      <c r="N2596" s="46"/>
      <c r="O2596" s="46"/>
      <c r="P2596" s="46"/>
      <c r="Q2596" s="46"/>
      <c r="R2596" s="46"/>
      <c r="S2596" s="46"/>
      <c r="T2596" s="46"/>
      <c r="U2596" s="46"/>
      <c r="V2596" s="46"/>
      <c r="W2596" s="46"/>
      <c r="X2596" s="11" t="str">
        <f>IF(COUNTBLANK(B2596:W2596)&gt;0,"NA",'batch classification'!J2602)</f>
        <v>NA</v>
      </c>
    </row>
    <row r="2597" spans="1:24" x14ac:dyDescent="0.25">
      <c r="A2597" s="45"/>
      <c r="B2597" s="46"/>
      <c r="C2597" s="46"/>
      <c r="D2597" s="46"/>
      <c r="E2597" s="46"/>
      <c r="F2597" s="46"/>
      <c r="G2597" s="46"/>
      <c r="H2597" s="46"/>
      <c r="I2597" s="46"/>
      <c r="J2597" s="46"/>
      <c r="K2597" s="46"/>
      <c r="L2597" s="46"/>
      <c r="M2597" s="46"/>
      <c r="N2597" s="46"/>
      <c r="O2597" s="46"/>
      <c r="P2597" s="46"/>
      <c r="Q2597" s="46"/>
      <c r="R2597" s="46"/>
      <c r="S2597" s="46"/>
      <c r="T2597" s="46"/>
      <c r="U2597" s="46"/>
      <c r="V2597" s="46"/>
      <c r="W2597" s="46"/>
      <c r="X2597" s="11" t="str">
        <f>IF(COUNTBLANK(B2597:W2597)&gt;0,"NA",'batch classification'!J2603)</f>
        <v>NA</v>
      </c>
    </row>
    <row r="2598" spans="1:24" x14ac:dyDescent="0.25">
      <c r="A2598" s="45"/>
      <c r="B2598" s="46"/>
      <c r="C2598" s="46"/>
      <c r="D2598" s="46"/>
      <c r="E2598" s="46"/>
      <c r="F2598" s="46"/>
      <c r="G2598" s="46"/>
      <c r="H2598" s="46"/>
      <c r="I2598" s="46"/>
      <c r="J2598" s="46"/>
      <c r="K2598" s="46"/>
      <c r="L2598" s="46"/>
      <c r="M2598" s="46"/>
      <c r="N2598" s="46"/>
      <c r="O2598" s="46"/>
      <c r="P2598" s="46"/>
      <c r="Q2598" s="46"/>
      <c r="R2598" s="46"/>
      <c r="S2598" s="46"/>
      <c r="T2598" s="46"/>
      <c r="U2598" s="46"/>
      <c r="V2598" s="46"/>
      <c r="W2598" s="46"/>
      <c r="X2598" s="11" t="str">
        <f>IF(COUNTBLANK(B2598:W2598)&gt;0,"NA",'batch classification'!J2604)</f>
        <v>NA</v>
      </c>
    </row>
    <row r="2599" spans="1:24" x14ac:dyDescent="0.25">
      <c r="A2599" s="45"/>
      <c r="B2599" s="46"/>
      <c r="C2599" s="46"/>
      <c r="D2599" s="46"/>
      <c r="E2599" s="46"/>
      <c r="F2599" s="46"/>
      <c r="G2599" s="46"/>
      <c r="H2599" s="46"/>
      <c r="I2599" s="46"/>
      <c r="J2599" s="46"/>
      <c r="K2599" s="46"/>
      <c r="L2599" s="46"/>
      <c r="M2599" s="46"/>
      <c r="N2599" s="46"/>
      <c r="O2599" s="46"/>
      <c r="P2599" s="46"/>
      <c r="Q2599" s="46"/>
      <c r="R2599" s="46"/>
      <c r="S2599" s="46"/>
      <c r="T2599" s="46"/>
      <c r="U2599" s="46"/>
      <c r="V2599" s="46"/>
      <c r="W2599" s="46"/>
      <c r="X2599" s="11" t="str">
        <f>IF(COUNTBLANK(B2599:W2599)&gt;0,"NA",'batch classification'!J2605)</f>
        <v>NA</v>
      </c>
    </row>
    <row r="2600" spans="1:24" x14ac:dyDescent="0.25">
      <c r="A2600" s="45"/>
      <c r="B2600" s="46"/>
      <c r="C2600" s="46"/>
      <c r="D2600" s="46"/>
      <c r="E2600" s="46"/>
      <c r="F2600" s="46"/>
      <c r="G2600" s="46"/>
      <c r="H2600" s="46"/>
      <c r="I2600" s="46"/>
      <c r="J2600" s="46"/>
      <c r="K2600" s="46"/>
      <c r="L2600" s="46"/>
      <c r="M2600" s="46"/>
      <c r="N2600" s="46"/>
      <c r="O2600" s="46"/>
      <c r="P2600" s="46"/>
      <c r="Q2600" s="46"/>
      <c r="R2600" s="46"/>
      <c r="S2600" s="46"/>
      <c r="T2600" s="46"/>
      <c r="U2600" s="46"/>
      <c r="V2600" s="46"/>
      <c r="W2600" s="46"/>
      <c r="X2600" s="11" t="str">
        <f>IF(COUNTBLANK(B2600:W2600)&gt;0,"NA",'batch classification'!J2606)</f>
        <v>NA</v>
      </c>
    </row>
    <row r="2601" spans="1:24" x14ac:dyDescent="0.25">
      <c r="A2601" s="45"/>
      <c r="B2601" s="46"/>
      <c r="C2601" s="46"/>
      <c r="D2601" s="46"/>
      <c r="E2601" s="46"/>
      <c r="F2601" s="46"/>
      <c r="G2601" s="46"/>
      <c r="H2601" s="46"/>
      <c r="I2601" s="46"/>
      <c r="J2601" s="46"/>
      <c r="K2601" s="46"/>
      <c r="L2601" s="46"/>
      <c r="M2601" s="46"/>
      <c r="N2601" s="46"/>
      <c r="O2601" s="46"/>
      <c r="P2601" s="46"/>
      <c r="Q2601" s="46"/>
      <c r="R2601" s="46"/>
      <c r="S2601" s="46"/>
      <c r="T2601" s="46"/>
      <c r="U2601" s="46"/>
      <c r="V2601" s="46"/>
      <c r="W2601" s="46"/>
      <c r="X2601" s="11" t="str">
        <f>IF(COUNTBLANK(B2601:W2601)&gt;0,"NA",'batch classification'!J2607)</f>
        <v>NA</v>
      </c>
    </row>
    <row r="2602" spans="1:24" x14ac:dyDescent="0.25">
      <c r="A2602" s="45"/>
      <c r="B2602" s="46"/>
      <c r="C2602" s="46"/>
      <c r="D2602" s="46"/>
      <c r="E2602" s="46"/>
      <c r="F2602" s="46"/>
      <c r="G2602" s="46"/>
      <c r="H2602" s="46"/>
      <c r="I2602" s="46"/>
      <c r="J2602" s="46"/>
      <c r="K2602" s="46"/>
      <c r="L2602" s="46"/>
      <c r="M2602" s="46"/>
      <c r="N2602" s="46"/>
      <c r="O2602" s="46"/>
      <c r="P2602" s="46"/>
      <c r="Q2602" s="46"/>
      <c r="R2602" s="46"/>
      <c r="S2602" s="46"/>
      <c r="T2602" s="46"/>
      <c r="U2602" s="46"/>
      <c r="V2602" s="46"/>
      <c r="W2602" s="46"/>
      <c r="X2602" s="11" t="str">
        <f>IF(COUNTBLANK(B2602:W2602)&gt;0,"NA",'batch classification'!J2608)</f>
        <v>NA</v>
      </c>
    </row>
    <row r="2603" spans="1:24" x14ac:dyDescent="0.25">
      <c r="A2603" s="45"/>
      <c r="B2603" s="46"/>
      <c r="C2603" s="46"/>
      <c r="D2603" s="46"/>
      <c r="E2603" s="46"/>
      <c r="F2603" s="46"/>
      <c r="G2603" s="46"/>
      <c r="H2603" s="46"/>
      <c r="I2603" s="46"/>
      <c r="J2603" s="46"/>
      <c r="K2603" s="46"/>
      <c r="L2603" s="46"/>
      <c r="M2603" s="46"/>
      <c r="N2603" s="46"/>
      <c r="O2603" s="46"/>
      <c r="P2603" s="46"/>
      <c r="Q2603" s="46"/>
      <c r="R2603" s="46"/>
      <c r="S2603" s="46"/>
      <c r="T2603" s="46"/>
      <c r="U2603" s="46"/>
      <c r="V2603" s="46"/>
      <c r="W2603" s="46"/>
      <c r="X2603" s="11" t="str">
        <f>IF(COUNTBLANK(B2603:W2603)&gt;0,"NA",'batch classification'!J2609)</f>
        <v>NA</v>
      </c>
    </row>
    <row r="2604" spans="1:24" x14ac:dyDescent="0.25">
      <c r="A2604" s="45"/>
      <c r="B2604" s="46"/>
      <c r="C2604" s="46"/>
      <c r="D2604" s="46"/>
      <c r="E2604" s="46"/>
      <c r="F2604" s="46"/>
      <c r="G2604" s="46"/>
      <c r="H2604" s="46"/>
      <c r="I2604" s="46"/>
      <c r="J2604" s="46"/>
      <c r="K2604" s="46"/>
      <c r="L2604" s="46"/>
      <c r="M2604" s="46"/>
      <c r="N2604" s="46"/>
      <c r="O2604" s="46"/>
      <c r="P2604" s="46"/>
      <c r="Q2604" s="46"/>
      <c r="R2604" s="46"/>
      <c r="S2604" s="46"/>
      <c r="T2604" s="46"/>
      <c r="U2604" s="46"/>
      <c r="V2604" s="46"/>
      <c r="W2604" s="46"/>
      <c r="X2604" s="11" t="str">
        <f>IF(COUNTBLANK(B2604:W2604)&gt;0,"NA",'batch classification'!J2610)</f>
        <v>NA</v>
      </c>
    </row>
    <row r="2605" spans="1:24" x14ac:dyDescent="0.25">
      <c r="A2605" s="45"/>
      <c r="B2605" s="46"/>
      <c r="C2605" s="46"/>
      <c r="D2605" s="46"/>
      <c r="E2605" s="46"/>
      <c r="F2605" s="46"/>
      <c r="G2605" s="46"/>
      <c r="H2605" s="46"/>
      <c r="I2605" s="46"/>
      <c r="J2605" s="46"/>
      <c r="K2605" s="46"/>
      <c r="L2605" s="46"/>
      <c r="M2605" s="46"/>
      <c r="N2605" s="46"/>
      <c r="O2605" s="46"/>
      <c r="P2605" s="46"/>
      <c r="Q2605" s="46"/>
      <c r="R2605" s="46"/>
      <c r="S2605" s="46"/>
      <c r="T2605" s="46"/>
      <c r="U2605" s="46"/>
      <c r="V2605" s="46"/>
      <c r="W2605" s="46"/>
      <c r="X2605" s="11" t="str">
        <f>IF(COUNTBLANK(B2605:W2605)&gt;0,"NA",'batch classification'!J2611)</f>
        <v>NA</v>
      </c>
    </row>
    <row r="2606" spans="1:24" x14ac:dyDescent="0.25">
      <c r="A2606" s="45"/>
      <c r="B2606" s="46"/>
      <c r="C2606" s="46"/>
      <c r="D2606" s="46"/>
      <c r="E2606" s="46"/>
      <c r="F2606" s="46"/>
      <c r="G2606" s="46"/>
      <c r="H2606" s="46"/>
      <c r="I2606" s="46"/>
      <c r="J2606" s="46"/>
      <c r="K2606" s="46"/>
      <c r="L2606" s="46"/>
      <c r="M2606" s="46"/>
      <c r="N2606" s="46"/>
      <c r="O2606" s="46"/>
      <c r="P2606" s="46"/>
      <c r="Q2606" s="46"/>
      <c r="R2606" s="46"/>
      <c r="S2606" s="46"/>
      <c r="T2606" s="46"/>
      <c r="U2606" s="46"/>
      <c r="V2606" s="46"/>
      <c r="W2606" s="46"/>
      <c r="X2606" s="11" t="str">
        <f>IF(COUNTBLANK(B2606:W2606)&gt;0,"NA",'batch classification'!J2612)</f>
        <v>NA</v>
      </c>
    </row>
    <row r="2607" spans="1:24" x14ac:dyDescent="0.25">
      <c r="A2607" s="45"/>
      <c r="B2607" s="46"/>
      <c r="C2607" s="46"/>
      <c r="D2607" s="46"/>
      <c r="E2607" s="46"/>
      <c r="F2607" s="46"/>
      <c r="G2607" s="46"/>
      <c r="H2607" s="46"/>
      <c r="I2607" s="46"/>
      <c r="J2607" s="46"/>
      <c r="K2607" s="46"/>
      <c r="L2607" s="46"/>
      <c r="M2607" s="46"/>
      <c r="N2607" s="46"/>
      <c r="O2607" s="46"/>
      <c r="P2607" s="46"/>
      <c r="Q2607" s="46"/>
      <c r="R2607" s="46"/>
      <c r="S2607" s="46"/>
      <c r="T2607" s="46"/>
      <c r="U2607" s="46"/>
      <c r="V2607" s="46"/>
      <c r="W2607" s="46"/>
      <c r="X2607" s="11" t="str">
        <f>IF(COUNTBLANK(B2607:W2607)&gt;0,"NA",'batch classification'!J2613)</f>
        <v>NA</v>
      </c>
    </row>
    <row r="2608" spans="1:24" x14ac:dyDescent="0.25">
      <c r="A2608" s="45"/>
      <c r="B2608" s="46"/>
      <c r="C2608" s="46"/>
      <c r="D2608" s="46"/>
      <c r="E2608" s="46"/>
      <c r="F2608" s="46"/>
      <c r="G2608" s="46"/>
      <c r="H2608" s="46"/>
      <c r="I2608" s="46"/>
      <c r="J2608" s="46"/>
      <c r="K2608" s="46"/>
      <c r="L2608" s="46"/>
      <c r="M2608" s="46"/>
      <c r="N2608" s="46"/>
      <c r="O2608" s="46"/>
      <c r="P2608" s="46"/>
      <c r="Q2608" s="46"/>
      <c r="R2608" s="46"/>
      <c r="S2608" s="46"/>
      <c r="T2608" s="46"/>
      <c r="U2608" s="46"/>
      <c r="V2608" s="46"/>
      <c r="W2608" s="46"/>
      <c r="X2608" s="11" t="str">
        <f>IF(COUNTBLANK(B2608:W2608)&gt;0,"NA",'batch classification'!J2614)</f>
        <v>NA</v>
      </c>
    </row>
    <row r="2609" spans="1:24" x14ac:dyDescent="0.25">
      <c r="A2609" s="45"/>
      <c r="B2609" s="46"/>
      <c r="C2609" s="46"/>
      <c r="D2609" s="46"/>
      <c r="E2609" s="46"/>
      <c r="F2609" s="46"/>
      <c r="G2609" s="46"/>
      <c r="H2609" s="46"/>
      <c r="I2609" s="46"/>
      <c r="J2609" s="46"/>
      <c r="K2609" s="46"/>
      <c r="L2609" s="46"/>
      <c r="M2609" s="46"/>
      <c r="N2609" s="46"/>
      <c r="O2609" s="46"/>
      <c r="P2609" s="46"/>
      <c r="Q2609" s="46"/>
      <c r="R2609" s="46"/>
      <c r="S2609" s="46"/>
      <c r="T2609" s="46"/>
      <c r="U2609" s="46"/>
      <c r="V2609" s="46"/>
      <c r="W2609" s="46"/>
      <c r="X2609" s="11" t="str">
        <f>IF(COUNTBLANK(B2609:W2609)&gt;0,"NA",'batch classification'!J2615)</f>
        <v>NA</v>
      </c>
    </row>
    <row r="2610" spans="1:24" x14ac:dyDescent="0.25">
      <c r="A2610" s="45"/>
      <c r="B2610" s="46"/>
      <c r="C2610" s="46"/>
      <c r="D2610" s="46"/>
      <c r="E2610" s="46"/>
      <c r="F2610" s="46"/>
      <c r="G2610" s="46"/>
      <c r="H2610" s="46"/>
      <c r="I2610" s="46"/>
      <c r="J2610" s="46"/>
      <c r="K2610" s="46"/>
      <c r="L2610" s="46"/>
      <c r="M2610" s="46"/>
      <c r="N2610" s="46"/>
      <c r="O2610" s="46"/>
      <c r="P2610" s="46"/>
      <c r="Q2610" s="46"/>
      <c r="R2610" s="46"/>
      <c r="S2610" s="46"/>
      <c r="T2610" s="46"/>
      <c r="U2610" s="46"/>
      <c r="V2610" s="46"/>
      <c r="W2610" s="46"/>
      <c r="X2610" s="11" t="str">
        <f>IF(COUNTBLANK(B2610:W2610)&gt;0,"NA",'batch classification'!J2616)</f>
        <v>NA</v>
      </c>
    </row>
    <row r="2611" spans="1:24" x14ac:dyDescent="0.25">
      <c r="A2611" s="45"/>
      <c r="B2611" s="46"/>
      <c r="C2611" s="46"/>
      <c r="D2611" s="46"/>
      <c r="E2611" s="46"/>
      <c r="F2611" s="46"/>
      <c r="G2611" s="46"/>
      <c r="H2611" s="46"/>
      <c r="I2611" s="46"/>
      <c r="J2611" s="46"/>
      <c r="K2611" s="46"/>
      <c r="L2611" s="46"/>
      <c r="M2611" s="46"/>
      <c r="N2611" s="46"/>
      <c r="O2611" s="46"/>
      <c r="P2611" s="46"/>
      <c r="Q2611" s="46"/>
      <c r="R2611" s="46"/>
      <c r="S2611" s="46"/>
      <c r="T2611" s="46"/>
      <c r="U2611" s="46"/>
      <c r="V2611" s="46"/>
      <c r="W2611" s="46"/>
      <c r="X2611" s="11" t="str">
        <f>IF(COUNTBLANK(B2611:W2611)&gt;0,"NA",'batch classification'!J2617)</f>
        <v>NA</v>
      </c>
    </row>
    <row r="2612" spans="1:24" x14ac:dyDescent="0.25">
      <c r="A2612" s="45"/>
      <c r="B2612" s="46"/>
      <c r="C2612" s="46"/>
      <c r="D2612" s="46"/>
      <c r="E2612" s="46"/>
      <c r="F2612" s="46"/>
      <c r="G2612" s="46"/>
      <c r="H2612" s="46"/>
      <c r="I2612" s="46"/>
      <c r="J2612" s="46"/>
      <c r="K2612" s="46"/>
      <c r="L2612" s="46"/>
      <c r="M2612" s="46"/>
      <c r="N2612" s="46"/>
      <c r="O2612" s="46"/>
      <c r="P2612" s="46"/>
      <c r="Q2612" s="46"/>
      <c r="R2612" s="46"/>
      <c r="S2612" s="46"/>
      <c r="T2612" s="46"/>
      <c r="U2612" s="46"/>
      <c r="V2612" s="46"/>
      <c r="W2612" s="46"/>
      <c r="X2612" s="11" t="str">
        <f>IF(COUNTBLANK(B2612:W2612)&gt;0,"NA",'batch classification'!J2618)</f>
        <v>NA</v>
      </c>
    </row>
    <row r="2613" spans="1:24" x14ac:dyDescent="0.25">
      <c r="A2613" s="45"/>
      <c r="B2613" s="46"/>
      <c r="C2613" s="46"/>
      <c r="D2613" s="46"/>
      <c r="E2613" s="46"/>
      <c r="F2613" s="46"/>
      <c r="G2613" s="46"/>
      <c r="H2613" s="46"/>
      <c r="I2613" s="46"/>
      <c r="J2613" s="46"/>
      <c r="K2613" s="46"/>
      <c r="L2613" s="46"/>
      <c r="M2613" s="46"/>
      <c r="N2613" s="46"/>
      <c r="O2613" s="46"/>
      <c r="P2613" s="46"/>
      <c r="Q2613" s="46"/>
      <c r="R2613" s="46"/>
      <c r="S2613" s="46"/>
      <c r="T2613" s="46"/>
      <c r="U2613" s="46"/>
      <c r="V2613" s="46"/>
      <c r="W2613" s="46"/>
      <c r="X2613" s="11" t="str">
        <f>IF(COUNTBLANK(B2613:W2613)&gt;0,"NA",'batch classification'!J2619)</f>
        <v>NA</v>
      </c>
    </row>
    <row r="2614" spans="1:24" x14ac:dyDescent="0.25">
      <c r="A2614" s="45"/>
      <c r="B2614" s="46"/>
      <c r="C2614" s="46"/>
      <c r="D2614" s="46"/>
      <c r="E2614" s="46"/>
      <c r="F2614" s="46"/>
      <c r="G2614" s="46"/>
      <c r="H2614" s="46"/>
      <c r="I2614" s="46"/>
      <c r="J2614" s="46"/>
      <c r="K2614" s="46"/>
      <c r="L2614" s="46"/>
      <c r="M2614" s="46"/>
      <c r="N2614" s="46"/>
      <c r="O2614" s="46"/>
      <c r="P2614" s="46"/>
      <c r="Q2614" s="46"/>
      <c r="R2614" s="46"/>
      <c r="S2614" s="46"/>
      <c r="T2614" s="46"/>
      <c r="U2614" s="46"/>
      <c r="V2614" s="46"/>
      <c r="W2614" s="46"/>
      <c r="X2614" s="11" t="str">
        <f>IF(COUNTBLANK(B2614:W2614)&gt;0,"NA",'batch classification'!J2620)</f>
        <v>NA</v>
      </c>
    </row>
    <row r="2615" spans="1:24" x14ac:dyDescent="0.25">
      <c r="A2615" s="45"/>
      <c r="B2615" s="46"/>
      <c r="C2615" s="46"/>
      <c r="D2615" s="46"/>
      <c r="E2615" s="46"/>
      <c r="F2615" s="46"/>
      <c r="G2615" s="46"/>
      <c r="H2615" s="46"/>
      <c r="I2615" s="46"/>
      <c r="J2615" s="46"/>
      <c r="K2615" s="46"/>
      <c r="L2615" s="46"/>
      <c r="M2615" s="46"/>
      <c r="N2615" s="46"/>
      <c r="O2615" s="46"/>
      <c r="P2615" s="46"/>
      <c r="Q2615" s="46"/>
      <c r="R2615" s="46"/>
      <c r="S2615" s="46"/>
      <c r="T2615" s="46"/>
      <c r="U2615" s="46"/>
      <c r="V2615" s="46"/>
      <c r="W2615" s="46"/>
      <c r="X2615" s="11" t="str">
        <f>IF(COUNTBLANK(B2615:W2615)&gt;0,"NA",'batch classification'!J2621)</f>
        <v>NA</v>
      </c>
    </row>
    <row r="2616" spans="1:24" x14ac:dyDescent="0.25">
      <c r="A2616" s="45"/>
      <c r="B2616" s="46"/>
      <c r="C2616" s="46"/>
      <c r="D2616" s="46"/>
      <c r="E2616" s="46"/>
      <c r="F2616" s="46"/>
      <c r="G2616" s="46"/>
      <c r="H2616" s="46"/>
      <c r="I2616" s="46"/>
      <c r="J2616" s="46"/>
      <c r="K2616" s="46"/>
      <c r="L2616" s="46"/>
      <c r="M2616" s="46"/>
      <c r="N2616" s="46"/>
      <c r="O2616" s="46"/>
      <c r="P2616" s="46"/>
      <c r="Q2616" s="46"/>
      <c r="R2616" s="46"/>
      <c r="S2616" s="46"/>
      <c r="T2616" s="46"/>
      <c r="U2616" s="46"/>
      <c r="V2616" s="46"/>
      <c r="W2616" s="46"/>
      <c r="X2616" s="11" t="str">
        <f>IF(COUNTBLANK(B2616:W2616)&gt;0,"NA",'batch classification'!J2622)</f>
        <v>NA</v>
      </c>
    </row>
    <row r="2617" spans="1:24" x14ac:dyDescent="0.25">
      <c r="A2617" s="45"/>
      <c r="B2617" s="46"/>
      <c r="C2617" s="46"/>
      <c r="D2617" s="46"/>
      <c r="E2617" s="46"/>
      <c r="F2617" s="46"/>
      <c r="G2617" s="46"/>
      <c r="H2617" s="46"/>
      <c r="I2617" s="46"/>
      <c r="J2617" s="46"/>
      <c r="K2617" s="46"/>
      <c r="L2617" s="46"/>
      <c r="M2617" s="46"/>
      <c r="N2617" s="46"/>
      <c r="O2617" s="46"/>
      <c r="P2617" s="46"/>
      <c r="Q2617" s="46"/>
      <c r="R2617" s="46"/>
      <c r="S2617" s="46"/>
      <c r="T2617" s="46"/>
      <c r="U2617" s="46"/>
      <c r="V2617" s="46"/>
      <c r="W2617" s="46"/>
      <c r="X2617" s="11" t="str">
        <f>IF(COUNTBLANK(B2617:W2617)&gt;0,"NA",'batch classification'!J2623)</f>
        <v>NA</v>
      </c>
    </row>
    <row r="2618" spans="1:24" x14ac:dyDescent="0.25">
      <c r="A2618" s="45"/>
      <c r="B2618" s="46"/>
      <c r="C2618" s="46"/>
      <c r="D2618" s="46"/>
      <c r="E2618" s="46"/>
      <c r="F2618" s="46"/>
      <c r="G2618" s="46"/>
      <c r="H2618" s="46"/>
      <c r="I2618" s="46"/>
      <c r="J2618" s="46"/>
      <c r="K2618" s="46"/>
      <c r="L2618" s="46"/>
      <c r="M2618" s="46"/>
      <c r="N2618" s="46"/>
      <c r="O2618" s="46"/>
      <c r="P2618" s="46"/>
      <c r="Q2618" s="46"/>
      <c r="R2618" s="46"/>
      <c r="S2618" s="46"/>
      <c r="T2618" s="46"/>
      <c r="U2618" s="46"/>
      <c r="V2618" s="46"/>
      <c r="W2618" s="46"/>
      <c r="X2618" s="11" t="str">
        <f>IF(COUNTBLANK(B2618:W2618)&gt;0,"NA",'batch classification'!J2624)</f>
        <v>NA</v>
      </c>
    </row>
    <row r="2619" spans="1:24" x14ac:dyDescent="0.25">
      <c r="A2619" s="45"/>
      <c r="B2619" s="46"/>
      <c r="C2619" s="46"/>
      <c r="D2619" s="46"/>
      <c r="E2619" s="46"/>
      <c r="F2619" s="46"/>
      <c r="G2619" s="46"/>
      <c r="H2619" s="46"/>
      <c r="I2619" s="46"/>
      <c r="J2619" s="46"/>
      <c r="K2619" s="46"/>
      <c r="L2619" s="46"/>
      <c r="M2619" s="46"/>
      <c r="N2619" s="46"/>
      <c r="O2619" s="46"/>
      <c r="P2619" s="46"/>
      <c r="Q2619" s="46"/>
      <c r="R2619" s="46"/>
      <c r="S2619" s="46"/>
      <c r="T2619" s="46"/>
      <c r="U2619" s="46"/>
      <c r="V2619" s="46"/>
      <c r="W2619" s="46"/>
      <c r="X2619" s="11" t="str">
        <f>IF(COUNTBLANK(B2619:W2619)&gt;0,"NA",'batch classification'!J2625)</f>
        <v>NA</v>
      </c>
    </row>
    <row r="2620" spans="1:24" x14ac:dyDescent="0.25">
      <c r="A2620" s="45"/>
      <c r="B2620" s="46"/>
      <c r="C2620" s="46"/>
      <c r="D2620" s="46"/>
      <c r="E2620" s="46"/>
      <c r="F2620" s="46"/>
      <c r="G2620" s="46"/>
      <c r="H2620" s="46"/>
      <c r="I2620" s="46"/>
      <c r="J2620" s="46"/>
      <c r="K2620" s="46"/>
      <c r="L2620" s="46"/>
      <c r="M2620" s="46"/>
      <c r="N2620" s="46"/>
      <c r="O2620" s="46"/>
      <c r="P2620" s="46"/>
      <c r="Q2620" s="46"/>
      <c r="R2620" s="46"/>
      <c r="S2620" s="46"/>
      <c r="T2620" s="46"/>
      <c r="U2620" s="46"/>
      <c r="V2620" s="46"/>
      <c r="W2620" s="46"/>
      <c r="X2620" s="11" t="str">
        <f>IF(COUNTBLANK(B2620:W2620)&gt;0,"NA",'batch classification'!J2626)</f>
        <v>NA</v>
      </c>
    </row>
    <row r="2621" spans="1:24" x14ac:dyDescent="0.25">
      <c r="A2621" s="45"/>
      <c r="B2621" s="46"/>
      <c r="C2621" s="46"/>
      <c r="D2621" s="46"/>
      <c r="E2621" s="46"/>
      <c r="F2621" s="46"/>
      <c r="G2621" s="46"/>
      <c r="H2621" s="46"/>
      <c r="I2621" s="46"/>
      <c r="J2621" s="46"/>
      <c r="K2621" s="46"/>
      <c r="L2621" s="46"/>
      <c r="M2621" s="46"/>
      <c r="N2621" s="46"/>
      <c r="O2621" s="46"/>
      <c r="P2621" s="46"/>
      <c r="Q2621" s="46"/>
      <c r="R2621" s="46"/>
      <c r="S2621" s="46"/>
      <c r="T2621" s="46"/>
      <c r="U2621" s="46"/>
      <c r="V2621" s="46"/>
      <c r="W2621" s="46"/>
      <c r="X2621" s="11" t="str">
        <f>IF(COUNTBLANK(B2621:W2621)&gt;0,"NA",'batch classification'!J2627)</f>
        <v>NA</v>
      </c>
    </row>
    <row r="2622" spans="1:24" x14ac:dyDescent="0.25">
      <c r="A2622" s="45"/>
      <c r="B2622" s="46"/>
      <c r="C2622" s="46"/>
      <c r="D2622" s="46"/>
      <c r="E2622" s="46"/>
      <c r="F2622" s="46"/>
      <c r="G2622" s="46"/>
      <c r="H2622" s="46"/>
      <c r="I2622" s="46"/>
      <c r="J2622" s="46"/>
      <c r="K2622" s="46"/>
      <c r="L2622" s="46"/>
      <c r="M2622" s="46"/>
      <c r="N2622" s="46"/>
      <c r="O2622" s="46"/>
      <c r="P2622" s="46"/>
      <c r="Q2622" s="46"/>
      <c r="R2622" s="46"/>
      <c r="S2622" s="46"/>
      <c r="T2622" s="46"/>
      <c r="U2622" s="46"/>
      <c r="V2622" s="46"/>
      <c r="W2622" s="46"/>
      <c r="X2622" s="11" t="str">
        <f>IF(COUNTBLANK(B2622:W2622)&gt;0,"NA",'batch classification'!J2628)</f>
        <v>NA</v>
      </c>
    </row>
    <row r="2623" spans="1:24" x14ac:dyDescent="0.25">
      <c r="A2623" s="45"/>
      <c r="B2623" s="46"/>
      <c r="C2623" s="46"/>
      <c r="D2623" s="46"/>
      <c r="E2623" s="46"/>
      <c r="F2623" s="46"/>
      <c r="G2623" s="46"/>
      <c r="H2623" s="46"/>
      <c r="I2623" s="46"/>
      <c r="J2623" s="46"/>
      <c r="K2623" s="46"/>
      <c r="L2623" s="46"/>
      <c r="M2623" s="46"/>
      <c r="N2623" s="46"/>
      <c r="O2623" s="46"/>
      <c r="P2623" s="46"/>
      <c r="Q2623" s="46"/>
      <c r="R2623" s="46"/>
      <c r="S2623" s="46"/>
      <c r="T2623" s="46"/>
      <c r="U2623" s="46"/>
      <c r="V2623" s="46"/>
      <c r="W2623" s="46"/>
      <c r="X2623" s="11" t="str">
        <f>IF(COUNTBLANK(B2623:W2623)&gt;0,"NA",'batch classification'!J2629)</f>
        <v>NA</v>
      </c>
    </row>
    <row r="2624" spans="1:24" x14ac:dyDescent="0.25">
      <c r="A2624" s="45"/>
      <c r="B2624" s="46"/>
      <c r="C2624" s="46"/>
      <c r="D2624" s="46"/>
      <c r="E2624" s="46"/>
      <c r="F2624" s="46"/>
      <c r="G2624" s="46"/>
      <c r="H2624" s="46"/>
      <c r="I2624" s="46"/>
      <c r="J2624" s="46"/>
      <c r="K2624" s="46"/>
      <c r="L2624" s="46"/>
      <c r="M2624" s="46"/>
      <c r="N2624" s="46"/>
      <c r="O2624" s="46"/>
      <c r="P2624" s="46"/>
      <c r="Q2624" s="46"/>
      <c r="R2624" s="46"/>
      <c r="S2624" s="46"/>
      <c r="T2624" s="46"/>
      <c r="U2624" s="46"/>
      <c r="V2624" s="46"/>
      <c r="W2624" s="46"/>
      <c r="X2624" s="11" t="str">
        <f>IF(COUNTBLANK(B2624:W2624)&gt;0,"NA",'batch classification'!J2630)</f>
        <v>NA</v>
      </c>
    </row>
    <row r="2625" spans="1:24" x14ac:dyDescent="0.25">
      <c r="A2625" s="45"/>
      <c r="B2625" s="46"/>
      <c r="C2625" s="46"/>
      <c r="D2625" s="46"/>
      <c r="E2625" s="46"/>
      <c r="F2625" s="46"/>
      <c r="G2625" s="46"/>
      <c r="H2625" s="46"/>
      <c r="I2625" s="46"/>
      <c r="J2625" s="46"/>
      <c r="K2625" s="46"/>
      <c r="L2625" s="46"/>
      <c r="M2625" s="46"/>
      <c r="N2625" s="46"/>
      <c r="O2625" s="46"/>
      <c r="P2625" s="46"/>
      <c r="Q2625" s="46"/>
      <c r="R2625" s="46"/>
      <c r="S2625" s="46"/>
      <c r="T2625" s="46"/>
      <c r="U2625" s="46"/>
      <c r="V2625" s="46"/>
      <c r="W2625" s="46"/>
      <c r="X2625" s="11" t="str">
        <f>IF(COUNTBLANK(B2625:W2625)&gt;0,"NA",'batch classification'!J2631)</f>
        <v>NA</v>
      </c>
    </row>
    <row r="2626" spans="1:24" x14ac:dyDescent="0.25">
      <c r="A2626" s="45"/>
      <c r="B2626" s="46"/>
      <c r="C2626" s="46"/>
      <c r="D2626" s="46"/>
      <c r="E2626" s="46"/>
      <c r="F2626" s="46"/>
      <c r="G2626" s="46"/>
      <c r="H2626" s="46"/>
      <c r="I2626" s="46"/>
      <c r="J2626" s="46"/>
      <c r="K2626" s="46"/>
      <c r="L2626" s="46"/>
      <c r="M2626" s="46"/>
      <c r="N2626" s="46"/>
      <c r="O2626" s="46"/>
      <c r="P2626" s="46"/>
      <c r="Q2626" s="46"/>
      <c r="R2626" s="46"/>
      <c r="S2626" s="46"/>
      <c r="T2626" s="46"/>
      <c r="U2626" s="46"/>
      <c r="V2626" s="46"/>
      <c r="W2626" s="46"/>
      <c r="X2626" s="11" t="str">
        <f>IF(COUNTBLANK(B2626:W2626)&gt;0,"NA",'batch classification'!J2632)</f>
        <v>NA</v>
      </c>
    </row>
    <row r="2627" spans="1:24" x14ac:dyDescent="0.25">
      <c r="A2627" s="45"/>
      <c r="B2627" s="46"/>
      <c r="C2627" s="46"/>
      <c r="D2627" s="46"/>
      <c r="E2627" s="46"/>
      <c r="F2627" s="46"/>
      <c r="G2627" s="46"/>
      <c r="H2627" s="46"/>
      <c r="I2627" s="46"/>
      <c r="J2627" s="46"/>
      <c r="K2627" s="46"/>
      <c r="L2627" s="46"/>
      <c r="M2627" s="46"/>
      <c r="N2627" s="46"/>
      <c r="O2627" s="46"/>
      <c r="P2627" s="46"/>
      <c r="Q2627" s="46"/>
      <c r="R2627" s="46"/>
      <c r="S2627" s="46"/>
      <c r="T2627" s="46"/>
      <c r="U2627" s="46"/>
      <c r="V2627" s="46"/>
      <c r="W2627" s="46"/>
      <c r="X2627" s="11" t="str">
        <f>IF(COUNTBLANK(B2627:W2627)&gt;0,"NA",'batch classification'!J2633)</f>
        <v>NA</v>
      </c>
    </row>
    <row r="2628" spans="1:24" x14ac:dyDescent="0.25">
      <c r="A2628" s="45"/>
      <c r="B2628" s="46"/>
      <c r="C2628" s="46"/>
      <c r="D2628" s="46"/>
      <c r="E2628" s="46"/>
      <c r="F2628" s="46"/>
      <c r="G2628" s="46"/>
      <c r="H2628" s="46"/>
      <c r="I2628" s="46"/>
      <c r="J2628" s="46"/>
      <c r="K2628" s="46"/>
      <c r="L2628" s="46"/>
      <c r="M2628" s="46"/>
      <c r="N2628" s="46"/>
      <c r="O2628" s="46"/>
      <c r="P2628" s="46"/>
      <c r="Q2628" s="46"/>
      <c r="R2628" s="46"/>
      <c r="S2628" s="46"/>
      <c r="T2628" s="46"/>
      <c r="U2628" s="46"/>
      <c r="V2628" s="46"/>
      <c r="W2628" s="46"/>
      <c r="X2628" s="11" t="str">
        <f>IF(COUNTBLANK(B2628:W2628)&gt;0,"NA",'batch classification'!J2634)</f>
        <v>NA</v>
      </c>
    </row>
    <row r="2629" spans="1:24" x14ac:dyDescent="0.25">
      <c r="A2629" s="45"/>
      <c r="B2629" s="46"/>
      <c r="C2629" s="46"/>
      <c r="D2629" s="46"/>
      <c r="E2629" s="46"/>
      <c r="F2629" s="46"/>
      <c r="G2629" s="46"/>
      <c r="H2629" s="46"/>
      <c r="I2629" s="46"/>
      <c r="J2629" s="46"/>
      <c r="K2629" s="46"/>
      <c r="L2629" s="46"/>
      <c r="M2629" s="46"/>
      <c r="N2629" s="46"/>
      <c r="O2629" s="46"/>
      <c r="P2629" s="46"/>
      <c r="Q2629" s="46"/>
      <c r="R2629" s="46"/>
      <c r="S2629" s="46"/>
      <c r="T2629" s="46"/>
      <c r="U2629" s="46"/>
      <c r="V2629" s="46"/>
      <c r="W2629" s="46"/>
      <c r="X2629" s="11" t="str">
        <f>IF(COUNTBLANK(B2629:W2629)&gt;0,"NA",'batch classification'!J2635)</f>
        <v>NA</v>
      </c>
    </row>
    <row r="2630" spans="1:24" x14ac:dyDescent="0.25">
      <c r="A2630" s="45"/>
      <c r="B2630" s="46"/>
      <c r="C2630" s="46"/>
      <c r="D2630" s="46"/>
      <c r="E2630" s="46"/>
      <c r="F2630" s="46"/>
      <c r="G2630" s="46"/>
      <c r="H2630" s="46"/>
      <c r="I2630" s="46"/>
      <c r="J2630" s="46"/>
      <c r="K2630" s="46"/>
      <c r="L2630" s="46"/>
      <c r="M2630" s="46"/>
      <c r="N2630" s="46"/>
      <c r="O2630" s="46"/>
      <c r="P2630" s="46"/>
      <c r="Q2630" s="46"/>
      <c r="R2630" s="46"/>
      <c r="S2630" s="46"/>
      <c r="T2630" s="46"/>
      <c r="U2630" s="46"/>
      <c r="V2630" s="46"/>
      <c r="W2630" s="46"/>
      <c r="X2630" s="11" t="str">
        <f>IF(COUNTBLANK(B2630:W2630)&gt;0,"NA",'batch classification'!J2636)</f>
        <v>NA</v>
      </c>
    </row>
    <row r="2631" spans="1:24" x14ac:dyDescent="0.25">
      <c r="A2631" s="45"/>
      <c r="B2631" s="46"/>
      <c r="C2631" s="46"/>
      <c r="D2631" s="46"/>
      <c r="E2631" s="46"/>
      <c r="F2631" s="46"/>
      <c r="G2631" s="46"/>
      <c r="H2631" s="46"/>
      <c r="I2631" s="46"/>
      <c r="J2631" s="46"/>
      <c r="K2631" s="46"/>
      <c r="L2631" s="46"/>
      <c r="M2631" s="46"/>
      <c r="N2631" s="46"/>
      <c r="O2631" s="46"/>
      <c r="P2631" s="46"/>
      <c r="Q2631" s="46"/>
      <c r="R2631" s="46"/>
      <c r="S2631" s="46"/>
      <c r="T2631" s="46"/>
      <c r="U2631" s="46"/>
      <c r="V2631" s="46"/>
      <c r="W2631" s="46"/>
      <c r="X2631" s="11" t="str">
        <f>IF(COUNTBLANK(B2631:W2631)&gt;0,"NA",'batch classification'!J2637)</f>
        <v>NA</v>
      </c>
    </row>
    <row r="2632" spans="1:24" x14ac:dyDescent="0.25">
      <c r="A2632" s="45"/>
      <c r="B2632" s="46"/>
      <c r="C2632" s="46"/>
      <c r="D2632" s="46"/>
      <c r="E2632" s="46"/>
      <c r="F2632" s="46"/>
      <c r="G2632" s="46"/>
      <c r="H2632" s="46"/>
      <c r="I2632" s="46"/>
      <c r="J2632" s="46"/>
      <c r="K2632" s="46"/>
      <c r="L2632" s="46"/>
      <c r="M2632" s="46"/>
      <c r="N2632" s="46"/>
      <c r="O2632" s="46"/>
      <c r="P2632" s="46"/>
      <c r="Q2632" s="46"/>
      <c r="R2632" s="46"/>
      <c r="S2632" s="46"/>
      <c r="T2632" s="46"/>
      <c r="U2632" s="46"/>
      <c r="V2632" s="46"/>
      <c r="W2632" s="46"/>
      <c r="X2632" s="11" t="str">
        <f>IF(COUNTBLANK(B2632:W2632)&gt;0,"NA",'batch classification'!J2638)</f>
        <v>NA</v>
      </c>
    </row>
    <row r="2633" spans="1:24" x14ac:dyDescent="0.25">
      <c r="A2633" s="45"/>
      <c r="B2633" s="46"/>
      <c r="C2633" s="46"/>
      <c r="D2633" s="46"/>
      <c r="E2633" s="46"/>
      <c r="F2633" s="46"/>
      <c r="G2633" s="46"/>
      <c r="H2633" s="46"/>
      <c r="I2633" s="46"/>
      <c r="J2633" s="46"/>
      <c r="K2633" s="46"/>
      <c r="L2633" s="46"/>
      <c r="M2633" s="46"/>
      <c r="N2633" s="46"/>
      <c r="O2633" s="46"/>
      <c r="P2633" s="46"/>
      <c r="Q2633" s="46"/>
      <c r="R2633" s="46"/>
      <c r="S2633" s="46"/>
      <c r="T2633" s="46"/>
      <c r="U2633" s="46"/>
      <c r="V2633" s="46"/>
      <c r="W2633" s="46"/>
      <c r="X2633" s="11" t="str">
        <f>IF(COUNTBLANK(B2633:W2633)&gt;0,"NA",'batch classification'!J2639)</f>
        <v>NA</v>
      </c>
    </row>
    <row r="2634" spans="1:24" x14ac:dyDescent="0.25">
      <c r="A2634" s="45"/>
      <c r="B2634" s="46"/>
      <c r="C2634" s="46"/>
      <c r="D2634" s="46"/>
      <c r="E2634" s="46"/>
      <c r="F2634" s="46"/>
      <c r="G2634" s="46"/>
      <c r="H2634" s="46"/>
      <c r="I2634" s="46"/>
      <c r="J2634" s="46"/>
      <c r="K2634" s="46"/>
      <c r="L2634" s="46"/>
      <c r="M2634" s="46"/>
      <c r="N2634" s="46"/>
      <c r="O2634" s="46"/>
      <c r="P2634" s="46"/>
      <c r="Q2634" s="46"/>
      <c r="R2634" s="46"/>
      <c r="S2634" s="46"/>
      <c r="T2634" s="46"/>
      <c r="U2634" s="46"/>
      <c r="V2634" s="46"/>
      <c r="W2634" s="46"/>
      <c r="X2634" s="11" t="str">
        <f>IF(COUNTBLANK(B2634:W2634)&gt;0,"NA",'batch classification'!J2640)</f>
        <v>NA</v>
      </c>
    </row>
    <row r="2635" spans="1:24" x14ac:dyDescent="0.25">
      <c r="A2635" s="45"/>
      <c r="B2635" s="46"/>
      <c r="C2635" s="46"/>
      <c r="D2635" s="46"/>
      <c r="E2635" s="46"/>
      <c r="F2635" s="46"/>
      <c r="G2635" s="46"/>
      <c r="H2635" s="46"/>
      <c r="I2635" s="46"/>
      <c r="J2635" s="46"/>
      <c r="K2635" s="46"/>
      <c r="L2635" s="46"/>
      <c r="M2635" s="46"/>
      <c r="N2635" s="46"/>
      <c r="O2635" s="46"/>
      <c r="P2635" s="46"/>
      <c r="Q2635" s="46"/>
      <c r="R2635" s="46"/>
      <c r="S2635" s="46"/>
      <c r="T2635" s="46"/>
      <c r="U2635" s="46"/>
      <c r="V2635" s="46"/>
      <c r="W2635" s="46"/>
      <c r="X2635" s="11" t="str">
        <f>IF(COUNTBLANK(B2635:W2635)&gt;0,"NA",'batch classification'!J2641)</f>
        <v>NA</v>
      </c>
    </row>
    <row r="2636" spans="1:24" x14ac:dyDescent="0.25">
      <c r="A2636" s="45"/>
      <c r="B2636" s="46"/>
      <c r="C2636" s="46"/>
      <c r="D2636" s="46"/>
      <c r="E2636" s="46"/>
      <c r="F2636" s="46"/>
      <c r="G2636" s="46"/>
      <c r="H2636" s="46"/>
      <c r="I2636" s="46"/>
      <c r="J2636" s="46"/>
      <c r="K2636" s="46"/>
      <c r="L2636" s="46"/>
      <c r="M2636" s="46"/>
      <c r="N2636" s="46"/>
      <c r="O2636" s="46"/>
      <c r="P2636" s="46"/>
      <c r="Q2636" s="46"/>
      <c r="R2636" s="46"/>
      <c r="S2636" s="46"/>
      <c r="T2636" s="46"/>
      <c r="U2636" s="46"/>
      <c r="V2636" s="46"/>
      <c r="W2636" s="46"/>
      <c r="X2636" s="11" t="str">
        <f>IF(COUNTBLANK(B2636:W2636)&gt;0,"NA",'batch classification'!J2642)</f>
        <v>NA</v>
      </c>
    </row>
    <row r="2637" spans="1:24" x14ac:dyDescent="0.25">
      <c r="A2637" s="45"/>
      <c r="B2637" s="46"/>
      <c r="C2637" s="46"/>
      <c r="D2637" s="46"/>
      <c r="E2637" s="46"/>
      <c r="F2637" s="46"/>
      <c r="G2637" s="46"/>
      <c r="H2637" s="46"/>
      <c r="I2637" s="46"/>
      <c r="J2637" s="46"/>
      <c r="K2637" s="46"/>
      <c r="L2637" s="46"/>
      <c r="M2637" s="46"/>
      <c r="N2637" s="46"/>
      <c r="O2637" s="46"/>
      <c r="P2637" s="46"/>
      <c r="Q2637" s="46"/>
      <c r="R2637" s="46"/>
      <c r="S2637" s="46"/>
      <c r="T2637" s="46"/>
      <c r="U2637" s="46"/>
      <c r="V2637" s="46"/>
      <c r="W2637" s="46"/>
      <c r="X2637" s="11" t="str">
        <f>IF(COUNTBLANK(B2637:W2637)&gt;0,"NA",'batch classification'!J2643)</f>
        <v>NA</v>
      </c>
    </row>
    <row r="2638" spans="1:24" x14ac:dyDescent="0.25">
      <c r="A2638" s="45"/>
      <c r="B2638" s="46"/>
      <c r="C2638" s="46"/>
      <c r="D2638" s="46"/>
      <c r="E2638" s="46"/>
      <c r="F2638" s="46"/>
      <c r="G2638" s="46"/>
      <c r="H2638" s="46"/>
      <c r="I2638" s="46"/>
      <c r="J2638" s="46"/>
      <c r="K2638" s="46"/>
      <c r="L2638" s="46"/>
      <c r="M2638" s="46"/>
      <c r="N2638" s="46"/>
      <c r="O2638" s="46"/>
      <c r="P2638" s="46"/>
      <c r="Q2638" s="46"/>
      <c r="R2638" s="46"/>
      <c r="S2638" s="46"/>
      <c r="T2638" s="46"/>
      <c r="U2638" s="46"/>
      <c r="V2638" s="46"/>
      <c r="W2638" s="46"/>
      <c r="X2638" s="11" t="str">
        <f>IF(COUNTBLANK(B2638:W2638)&gt;0,"NA",'batch classification'!J2644)</f>
        <v>NA</v>
      </c>
    </row>
    <row r="2639" spans="1:24" x14ac:dyDescent="0.25">
      <c r="A2639" s="45"/>
      <c r="B2639" s="46"/>
      <c r="C2639" s="46"/>
      <c r="D2639" s="46"/>
      <c r="E2639" s="46"/>
      <c r="F2639" s="46"/>
      <c r="G2639" s="46"/>
      <c r="H2639" s="46"/>
      <c r="I2639" s="46"/>
      <c r="J2639" s="46"/>
      <c r="K2639" s="46"/>
      <c r="L2639" s="46"/>
      <c r="M2639" s="46"/>
      <c r="N2639" s="46"/>
      <c r="O2639" s="46"/>
      <c r="P2639" s="46"/>
      <c r="Q2639" s="46"/>
      <c r="R2639" s="46"/>
      <c r="S2639" s="46"/>
      <c r="T2639" s="46"/>
      <c r="U2639" s="46"/>
      <c r="V2639" s="46"/>
      <c r="W2639" s="46"/>
      <c r="X2639" s="11" t="str">
        <f>IF(COUNTBLANK(B2639:W2639)&gt;0,"NA",'batch classification'!J2645)</f>
        <v>NA</v>
      </c>
    </row>
    <row r="2640" spans="1:24" x14ac:dyDescent="0.25">
      <c r="A2640" s="45"/>
      <c r="B2640" s="46"/>
      <c r="C2640" s="46"/>
      <c r="D2640" s="46"/>
      <c r="E2640" s="46"/>
      <c r="F2640" s="46"/>
      <c r="G2640" s="46"/>
      <c r="H2640" s="46"/>
      <c r="I2640" s="46"/>
      <c r="J2640" s="46"/>
      <c r="K2640" s="46"/>
      <c r="L2640" s="46"/>
      <c r="M2640" s="46"/>
      <c r="N2640" s="46"/>
      <c r="O2640" s="46"/>
      <c r="P2640" s="46"/>
      <c r="Q2640" s="46"/>
      <c r="R2640" s="46"/>
      <c r="S2640" s="46"/>
      <c r="T2640" s="46"/>
      <c r="U2640" s="46"/>
      <c r="V2640" s="46"/>
      <c r="W2640" s="46"/>
      <c r="X2640" s="11" t="str">
        <f>IF(COUNTBLANK(B2640:W2640)&gt;0,"NA",'batch classification'!J2646)</f>
        <v>NA</v>
      </c>
    </row>
    <row r="2641" spans="1:24" x14ac:dyDescent="0.25">
      <c r="A2641" s="45"/>
      <c r="B2641" s="46"/>
      <c r="C2641" s="46"/>
      <c r="D2641" s="46"/>
      <c r="E2641" s="46"/>
      <c r="F2641" s="46"/>
      <c r="G2641" s="46"/>
      <c r="H2641" s="46"/>
      <c r="I2641" s="46"/>
      <c r="J2641" s="46"/>
      <c r="K2641" s="46"/>
      <c r="L2641" s="46"/>
      <c r="M2641" s="46"/>
      <c r="N2641" s="46"/>
      <c r="O2641" s="46"/>
      <c r="P2641" s="46"/>
      <c r="Q2641" s="46"/>
      <c r="R2641" s="46"/>
      <c r="S2641" s="46"/>
      <c r="T2641" s="46"/>
      <c r="U2641" s="46"/>
      <c r="V2641" s="46"/>
      <c r="W2641" s="46"/>
      <c r="X2641" s="11" t="str">
        <f>IF(COUNTBLANK(B2641:W2641)&gt;0,"NA",'batch classification'!J2647)</f>
        <v>NA</v>
      </c>
    </row>
    <row r="2642" spans="1:24" x14ac:dyDescent="0.25">
      <c r="A2642" s="45"/>
      <c r="B2642" s="46"/>
      <c r="C2642" s="46"/>
      <c r="D2642" s="46"/>
      <c r="E2642" s="46"/>
      <c r="F2642" s="46"/>
      <c r="G2642" s="46"/>
      <c r="H2642" s="46"/>
      <c r="I2642" s="46"/>
      <c r="J2642" s="46"/>
      <c r="K2642" s="46"/>
      <c r="L2642" s="46"/>
      <c r="M2642" s="46"/>
      <c r="N2642" s="46"/>
      <c r="O2642" s="46"/>
      <c r="P2642" s="46"/>
      <c r="Q2642" s="46"/>
      <c r="R2642" s="46"/>
      <c r="S2642" s="46"/>
      <c r="T2642" s="46"/>
      <c r="U2642" s="46"/>
      <c r="V2642" s="46"/>
      <c r="W2642" s="46"/>
      <c r="X2642" s="11" t="str">
        <f>IF(COUNTBLANK(B2642:W2642)&gt;0,"NA",'batch classification'!J2648)</f>
        <v>NA</v>
      </c>
    </row>
    <row r="2643" spans="1:24" x14ac:dyDescent="0.25">
      <c r="A2643" s="45"/>
      <c r="B2643" s="46"/>
      <c r="C2643" s="46"/>
      <c r="D2643" s="46"/>
      <c r="E2643" s="46"/>
      <c r="F2643" s="46"/>
      <c r="G2643" s="46"/>
      <c r="H2643" s="46"/>
      <c r="I2643" s="46"/>
      <c r="J2643" s="46"/>
      <c r="K2643" s="46"/>
      <c r="L2643" s="46"/>
      <c r="M2643" s="46"/>
      <c r="N2643" s="46"/>
      <c r="O2643" s="46"/>
      <c r="P2643" s="46"/>
      <c r="Q2643" s="46"/>
      <c r="R2643" s="46"/>
      <c r="S2643" s="46"/>
      <c r="T2643" s="46"/>
      <c r="U2643" s="46"/>
      <c r="V2643" s="46"/>
      <c r="W2643" s="46"/>
      <c r="X2643" s="11" t="str">
        <f>IF(COUNTBLANK(B2643:W2643)&gt;0,"NA",'batch classification'!J2649)</f>
        <v>NA</v>
      </c>
    </row>
    <row r="2644" spans="1:24" x14ac:dyDescent="0.25">
      <c r="A2644" s="45"/>
      <c r="B2644" s="46"/>
      <c r="C2644" s="46"/>
      <c r="D2644" s="46"/>
      <c r="E2644" s="46"/>
      <c r="F2644" s="46"/>
      <c r="G2644" s="46"/>
      <c r="H2644" s="46"/>
      <c r="I2644" s="46"/>
      <c r="J2644" s="46"/>
      <c r="K2644" s="46"/>
      <c r="L2644" s="46"/>
      <c r="M2644" s="46"/>
      <c r="N2644" s="46"/>
      <c r="O2644" s="46"/>
      <c r="P2644" s="46"/>
      <c r="Q2644" s="46"/>
      <c r="R2644" s="46"/>
      <c r="S2644" s="46"/>
      <c r="T2644" s="46"/>
      <c r="U2644" s="46"/>
      <c r="V2644" s="46"/>
      <c r="W2644" s="46"/>
      <c r="X2644" s="11" t="str">
        <f>IF(COUNTBLANK(B2644:W2644)&gt;0,"NA",'batch classification'!J2650)</f>
        <v>NA</v>
      </c>
    </row>
    <row r="2645" spans="1:24" x14ac:dyDescent="0.25">
      <c r="A2645" s="45"/>
      <c r="B2645" s="46"/>
      <c r="C2645" s="46"/>
      <c r="D2645" s="46"/>
      <c r="E2645" s="46"/>
      <c r="F2645" s="46"/>
      <c r="G2645" s="46"/>
      <c r="H2645" s="46"/>
      <c r="I2645" s="46"/>
      <c r="J2645" s="46"/>
      <c r="K2645" s="46"/>
      <c r="L2645" s="46"/>
      <c r="M2645" s="46"/>
      <c r="N2645" s="46"/>
      <c r="O2645" s="46"/>
      <c r="P2645" s="46"/>
      <c r="Q2645" s="46"/>
      <c r="R2645" s="46"/>
      <c r="S2645" s="46"/>
      <c r="T2645" s="46"/>
      <c r="U2645" s="46"/>
      <c r="V2645" s="46"/>
      <c r="W2645" s="46"/>
      <c r="X2645" s="11" t="str">
        <f>IF(COUNTBLANK(B2645:W2645)&gt;0,"NA",'batch classification'!J2651)</f>
        <v>NA</v>
      </c>
    </row>
    <row r="2646" spans="1:24" x14ac:dyDescent="0.25">
      <c r="A2646" s="45"/>
      <c r="B2646" s="46"/>
      <c r="C2646" s="46"/>
      <c r="D2646" s="46"/>
      <c r="E2646" s="46"/>
      <c r="F2646" s="46"/>
      <c r="G2646" s="46"/>
      <c r="H2646" s="46"/>
      <c r="I2646" s="46"/>
      <c r="J2646" s="46"/>
      <c r="K2646" s="46"/>
      <c r="L2646" s="46"/>
      <c r="M2646" s="46"/>
      <c r="N2646" s="46"/>
      <c r="O2646" s="46"/>
      <c r="P2646" s="46"/>
      <c r="Q2646" s="46"/>
      <c r="R2646" s="46"/>
      <c r="S2646" s="46"/>
      <c r="T2646" s="46"/>
      <c r="U2646" s="46"/>
      <c r="V2646" s="46"/>
      <c r="W2646" s="46"/>
      <c r="X2646" s="11" t="str">
        <f>IF(COUNTBLANK(B2646:W2646)&gt;0,"NA",'batch classification'!J2652)</f>
        <v>NA</v>
      </c>
    </row>
    <row r="2647" spans="1:24" x14ac:dyDescent="0.25">
      <c r="A2647" s="45"/>
      <c r="B2647" s="46"/>
      <c r="C2647" s="46"/>
      <c r="D2647" s="46"/>
      <c r="E2647" s="46"/>
      <c r="F2647" s="46"/>
      <c r="G2647" s="46"/>
      <c r="H2647" s="46"/>
      <c r="I2647" s="46"/>
      <c r="J2647" s="46"/>
      <c r="K2647" s="46"/>
      <c r="L2647" s="46"/>
      <c r="M2647" s="46"/>
      <c r="N2647" s="46"/>
      <c r="O2647" s="46"/>
      <c r="P2647" s="46"/>
      <c r="Q2647" s="46"/>
      <c r="R2647" s="46"/>
      <c r="S2647" s="46"/>
      <c r="T2647" s="46"/>
      <c r="U2647" s="46"/>
      <c r="V2647" s="46"/>
      <c r="W2647" s="46"/>
      <c r="X2647" s="11" t="str">
        <f>IF(COUNTBLANK(B2647:W2647)&gt;0,"NA",'batch classification'!J2653)</f>
        <v>NA</v>
      </c>
    </row>
    <row r="2648" spans="1:24" x14ac:dyDescent="0.25">
      <c r="A2648" s="45"/>
      <c r="B2648" s="46"/>
      <c r="C2648" s="46"/>
      <c r="D2648" s="46"/>
      <c r="E2648" s="46"/>
      <c r="F2648" s="46"/>
      <c r="G2648" s="46"/>
      <c r="H2648" s="46"/>
      <c r="I2648" s="46"/>
      <c r="J2648" s="46"/>
      <c r="K2648" s="46"/>
      <c r="L2648" s="46"/>
      <c r="M2648" s="46"/>
      <c r="N2648" s="46"/>
      <c r="O2648" s="46"/>
      <c r="P2648" s="46"/>
      <c r="Q2648" s="46"/>
      <c r="R2648" s="46"/>
      <c r="S2648" s="46"/>
      <c r="T2648" s="46"/>
      <c r="U2648" s="46"/>
      <c r="V2648" s="46"/>
      <c r="W2648" s="46"/>
      <c r="X2648" s="11" t="str">
        <f>IF(COUNTBLANK(B2648:W2648)&gt;0,"NA",'batch classification'!J2654)</f>
        <v>NA</v>
      </c>
    </row>
    <row r="2649" spans="1:24" x14ac:dyDescent="0.25">
      <c r="A2649" s="45"/>
      <c r="B2649" s="46"/>
      <c r="C2649" s="46"/>
      <c r="D2649" s="46"/>
      <c r="E2649" s="46"/>
      <c r="F2649" s="46"/>
      <c r="G2649" s="46"/>
      <c r="H2649" s="46"/>
      <c r="I2649" s="46"/>
      <c r="J2649" s="46"/>
      <c r="K2649" s="46"/>
      <c r="L2649" s="46"/>
      <c r="M2649" s="46"/>
      <c r="N2649" s="46"/>
      <c r="O2649" s="46"/>
      <c r="P2649" s="46"/>
      <c r="Q2649" s="46"/>
      <c r="R2649" s="46"/>
      <c r="S2649" s="46"/>
      <c r="T2649" s="46"/>
      <c r="U2649" s="46"/>
      <c r="V2649" s="46"/>
      <c r="W2649" s="46"/>
      <c r="X2649" s="11" t="str">
        <f>IF(COUNTBLANK(B2649:W2649)&gt;0,"NA",'batch classification'!J2655)</f>
        <v>NA</v>
      </c>
    </row>
    <row r="2650" spans="1:24" x14ac:dyDescent="0.25">
      <c r="A2650" s="45"/>
      <c r="B2650" s="46"/>
      <c r="C2650" s="46"/>
      <c r="D2650" s="46"/>
      <c r="E2650" s="46"/>
      <c r="F2650" s="46"/>
      <c r="G2650" s="46"/>
      <c r="H2650" s="46"/>
      <c r="I2650" s="46"/>
      <c r="J2650" s="46"/>
      <c r="K2650" s="46"/>
      <c r="L2650" s="46"/>
      <c r="M2650" s="46"/>
      <c r="N2650" s="46"/>
      <c r="O2650" s="46"/>
      <c r="P2650" s="46"/>
      <c r="Q2650" s="46"/>
      <c r="R2650" s="46"/>
      <c r="S2650" s="46"/>
      <c r="T2650" s="46"/>
      <c r="U2650" s="46"/>
      <c r="V2650" s="46"/>
      <c r="W2650" s="46"/>
      <c r="X2650" s="11" t="str">
        <f>IF(COUNTBLANK(B2650:W2650)&gt;0,"NA",'batch classification'!J2656)</f>
        <v>NA</v>
      </c>
    </row>
    <row r="2651" spans="1:24" x14ac:dyDescent="0.25">
      <c r="A2651" s="45"/>
      <c r="B2651" s="46"/>
      <c r="C2651" s="46"/>
      <c r="D2651" s="46"/>
      <c r="E2651" s="46"/>
      <c r="F2651" s="46"/>
      <c r="G2651" s="46"/>
      <c r="H2651" s="46"/>
      <c r="I2651" s="46"/>
      <c r="J2651" s="46"/>
      <c r="K2651" s="46"/>
      <c r="L2651" s="46"/>
      <c r="M2651" s="46"/>
      <c r="N2651" s="46"/>
      <c r="O2651" s="46"/>
      <c r="P2651" s="46"/>
      <c r="Q2651" s="46"/>
      <c r="R2651" s="46"/>
      <c r="S2651" s="46"/>
      <c r="T2651" s="46"/>
      <c r="U2651" s="46"/>
      <c r="V2651" s="46"/>
      <c r="W2651" s="46"/>
      <c r="X2651" s="11" t="str">
        <f>IF(COUNTBLANK(B2651:W2651)&gt;0,"NA",'batch classification'!J2657)</f>
        <v>NA</v>
      </c>
    </row>
    <row r="2652" spans="1:24" x14ac:dyDescent="0.25">
      <c r="A2652" s="45"/>
      <c r="B2652" s="46"/>
      <c r="C2652" s="46"/>
      <c r="D2652" s="46"/>
      <c r="E2652" s="46"/>
      <c r="F2652" s="46"/>
      <c r="G2652" s="46"/>
      <c r="H2652" s="46"/>
      <c r="I2652" s="46"/>
      <c r="J2652" s="46"/>
      <c r="K2652" s="46"/>
      <c r="L2652" s="46"/>
      <c r="M2652" s="46"/>
      <c r="N2652" s="46"/>
      <c r="O2652" s="46"/>
      <c r="P2652" s="46"/>
      <c r="Q2652" s="46"/>
      <c r="R2652" s="46"/>
      <c r="S2652" s="46"/>
      <c r="T2652" s="46"/>
      <c r="U2652" s="46"/>
      <c r="V2652" s="46"/>
      <c r="W2652" s="46"/>
      <c r="X2652" s="11" t="str">
        <f>IF(COUNTBLANK(B2652:W2652)&gt;0,"NA",'batch classification'!J2658)</f>
        <v>NA</v>
      </c>
    </row>
    <row r="2653" spans="1:24" x14ac:dyDescent="0.25">
      <c r="A2653" s="45"/>
      <c r="B2653" s="46"/>
      <c r="C2653" s="46"/>
      <c r="D2653" s="46"/>
      <c r="E2653" s="46"/>
      <c r="F2653" s="46"/>
      <c r="G2653" s="46"/>
      <c r="H2653" s="46"/>
      <c r="I2653" s="46"/>
      <c r="J2653" s="46"/>
      <c r="K2653" s="46"/>
      <c r="L2653" s="46"/>
      <c r="M2653" s="46"/>
      <c r="N2653" s="46"/>
      <c r="O2653" s="46"/>
      <c r="P2653" s="46"/>
      <c r="Q2653" s="46"/>
      <c r="R2653" s="46"/>
      <c r="S2653" s="46"/>
      <c r="T2653" s="46"/>
      <c r="U2653" s="46"/>
      <c r="V2653" s="46"/>
      <c r="W2653" s="46"/>
      <c r="X2653" s="11" t="str">
        <f>IF(COUNTBLANK(B2653:W2653)&gt;0,"NA",'batch classification'!J2659)</f>
        <v>NA</v>
      </c>
    </row>
    <row r="2654" spans="1:24" x14ac:dyDescent="0.25">
      <c r="A2654" s="45"/>
      <c r="B2654" s="46"/>
      <c r="C2654" s="46"/>
      <c r="D2654" s="46"/>
      <c r="E2654" s="46"/>
      <c r="F2654" s="46"/>
      <c r="G2654" s="46"/>
      <c r="H2654" s="46"/>
      <c r="I2654" s="46"/>
      <c r="J2654" s="46"/>
      <c r="K2654" s="46"/>
      <c r="L2654" s="46"/>
      <c r="M2654" s="46"/>
      <c r="N2654" s="46"/>
      <c r="O2654" s="46"/>
      <c r="P2654" s="46"/>
      <c r="Q2654" s="46"/>
      <c r="R2654" s="46"/>
      <c r="S2654" s="46"/>
      <c r="T2654" s="46"/>
      <c r="U2654" s="46"/>
      <c r="V2654" s="46"/>
      <c r="W2654" s="46"/>
      <c r="X2654" s="11" t="str">
        <f>IF(COUNTBLANK(B2654:W2654)&gt;0,"NA",'batch classification'!J2660)</f>
        <v>NA</v>
      </c>
    </row>
    <row r="2655" spans="1:24" x14ac:dyDescent="0.25">
      <c r="A2655" s="45"/>
      <c r="B2655" s="46"/>
      <c r="C2655" s="46"/>
      <c r="D2655" s="46"/>
      <c r="E2655" s="46"/>
      <c r="F2655" s="46"/>
      <c r="G2655" s="46"/>
      <c r="H2655" s="46"/>
      <c r="I2655" s="46"/>
      <c r="J2655" s="46"/>
      <c r="K2655" s="46"/>
      <c r="L2655" s="46"/>
      <c r="M2655" s="46"/>
      <c r="N2655" s="46"/>
      <c r="O2655" s="46"/>
      <c r="P2655" s="46"/>
      <c r="Q2655" s="46"/>
      <c r="R2655" s="46"/>
      <c r="S2655" s="46"/>
      <c r="T2655" s="46"/>
      <c r="U2655" s="46"/>
      <c r="V2655" s="46"/>
      <c r="W2655" s="46"/>
      <c r="X2655" s="11" t="str">
        <f>IF(COUNTBLANK(B2655:W2655)&gt;0,"NA",'batch classification'!J2661)</f>
        <v>NA</v>
      </c>
    </row>
    <row r="2656" spans="1:24" x14ac:dyDescent="0.25">
      <c r="A2656" s="45"/>
      <c r="B2656" s="46"/>
      <c r="C2656" s="46"/>
      <c r="D2656" s="46"/>
      <c r="E2656" s="46"/>
      <c r="F2656" s="46"/>
      <c r="G2656" s="46"/>
      <c r="H2656" s="46"/>
      <c r="I2656" s="46"/>
      <c r="J2656" s="46"/>
      <c r="K2656" s="46"/>
      <c r="L2656" s="46"/>
      <c r="M2656" s="46"/>
      <c r="N2656" s="46"/>
      <c r="O2656" s="46"/>
      <c r="P2656" s="46"/>
      <c r="Q2656" s="46"/>
      <c r="R2656" s="46"/>
      <c r="S2656" s="46"/>
      <c r="T2656" s="46"/>
      <c r="U2656" s="46"/>
      <c r="V2656" s="46"/>
      <c r="W2656" s="46"/>
      <c r="X2656" s="11" t="str">
        <f>IF(COUNTBLANK(B2656:W2656)&gt;0,"NA",'batch classification'!J2662)</f>
        <v>NA</v>
      </c>
    </row>
    <row r="2657" spans="1:24" x14ac:dyDescent="0.25">
      <c r="A2657" s="45"/>
      <c r="B2657" s="46"/>
      <c r="C2657" s="46"/>
      <c r="D2657" s="46"/>
      <c r="E2657" s="46"/>
      <c r="F2657" s="46"/>
      <c r="G2657" s="46"/>
      <c r="H2657" s="46"/>
      <c r="I2657" s="46"/>
      <c r="J2657" s="46"/>
      <c r="K2657" s="46"/>
      <c r="L2657" s="46"/>
      <c r="M2657" s="46"/>
      <c r="N2657" s="46"/>
      <c r="O2657" s="46"/>
      <c r="P2657" s="46"/>
      <c r="Q2657" s="46"/>
      <c r="R2657" s="46"/>
      <c r="S2657" s="46"/>
      <c r="T2657" s="46"/>
      <c r="U2657" s="46"/>
      <c r="V2657" s="46"/>
      <c r="W2657" s="46"/>
      <c r="X2657" s="11" t="str">
        <f>IF(COUNTBLANK(B2657:W2657)&gt;0,"NA",'batch classification'!J2663)</f>
        <v>NA</v>
      </c>
    </row>
    <row r="2658" spans="1:24" x14ac:dyDescent="0.25">
      <c r="A2658" s="45"/>
      <c r="B2658" s="46"/>
      <c r="C2658" s="46"/>
      <c r="D2658" s="46"/>
      <c r="E2658" s="46"/>
      <c r="F2658" s="46"/>
      <c r="G2658" s="46"/>
      <c r="H2658" s="46"/>
      <c r="I2658" s="46"/>
      <c r="J2658" s="46"/>
      <c r="K2658" s="46"/>
      <c r="L2658" s="46"/>
      <c r="M2658" s="46"/>
      <c r="N2658" s="46"/>
      <c r="O2658" s="46"/>
      <c r="P2658" s="46"/>
      <c r="Q2658" s="46"/>
      <c r="R2658" s="46"/>
      <c r="S2658" s="46"/>
      <c r="T2658" s="46"/>
      <c r="U2658" s="46"/>
      <c r="V2658" s="46"/>
      <c r="W2658" s="46"/>
      <c r="X2658" s="11" t="str">
        <f>IF(COUNTBLANK(B2658:W2658)&gt;0,"NA",'batch classification'!J2664)</f>
        <v>NA</v>
      </c>
    </row>
    <row r="2659" spans="1:24" x14ac:dyDescent="0.25">
      <c r="A2659" s="45"/>
      <c r="B2659" s="46"/>
      <c r="C2659" s="46"/>
      <c r="D2659" s="46"/>
      <c r="E2659" s="46"/>
      <c r="F2659" s="46"/>
      <c r="G2659" s="46"/>
      <c r="H2659" s="46"/>
      <c r="I2659" s="46"/>
      <c r="J2659" s="46"/>
      <c r="K2659" s="46"/>
      <c r="L2659" s="46"/>
      <c r="M2659" s="46"/>
      <c r="N2659" s="46"/>
      <c r="O2659" s="46"/>
      <c r="P2659" s="46"/>
      <c r="Q2659" s="46"/>
      <c r="R2659" s="46"/>
      <c r="S2659" s="46"/>
      <c r="T2659" s="46"/>
      <c r="U2659" s="46"/>
      <c r="V2659" s="46"/>
      <c r="W2659" s="46"/>
      <c r="X2659" s="11" t="str">
        <f>IF(COUNTBLANK(B2659:W2659)&gt;0,"NA",'batch classification'!J2665)</f>
        <v>NA</v>
      </c>
    </row>
    <row r="2660" spans="1:24" x14ac:dyDescent="0.25">
      <c r="A2660" s="45"/>
      <c r="B2660" s="46"/>
      <c r="C2660" s="46"/>
      <c r="D2660" s="46"/>
      <c r="E2660" s="46"/>
      <c r="F2660" s="46"/>
      <c r="G2660" s="46"/>
      <c r="H2660" s="46"/>
      <c r="I2660" s="46"/>
      <c r="J2660" s="46"/>
      <c r="K2660" s="46"/>
      <c r="L2660" s="46"/>
      <c r="M2660" s="46"/>
      <c r="N2660" s="46"/>
      <c r="O2660" s="46"/>
      <c r="P2660" s="46"/>
      <c r="Q2660" s="46"/>
      <c r="R2660" s="46"/>
      <c r="S2660" s="46"/>
      <c r="T2660" s="46"/>
      <c r="U2660" s="46"/>
      <c r="V2660" s="46"/>
      <c r="W2660" s="46"/>
      <c r="X2660" s="11" t="str">
        <f>IF(COUNTBLANK(B2660:W2660)&gt;0,"NA",'batch classification'!J2666)</f>
        <v>NA</v>
      </c>
    </row>
    <row r="2661" spans="1:24" x14ac:dyDescent="0.25">
      <c r="A2661" s="45"/>
      <c r="B2661" s="46"/>
      <c r="C2661" s="46"/>
      <c r="D2661" s="46"/>
      <c r="E2661" s="46"/>
      <c r="F2661" s="46"/>
      <c r="G2661" s="46"/>
      <c r="H2661" s="46"/>
      <c r="I2661" s="46"/>
      <c r="J2661" s="46"/>
      <c r="K2661" s="46"/>
      <c r="L2661" s="46"/>
      <c r="M2661" s="46"/>
      <c r="N2661" s="46"/>
      <c r="O2661" s="46"/>
      <c r="P2661" s="46"/>
      <c r="Q2661" s="46"/>
      <c r="R2661" s="46"/>
      <c r="S2661" s="46"/>
      <c r="T2661" s="46"/>
      <c r="U2661" s="46"/>
      <c r="V2661" s="46"/>
      <c r="W2661" s="46"/>
      <c r="X2661" s="11" t="str">
        <f>IF(COUNTBLANK(B2661:W2661)&gt;0,"NA",'batch classification'!J2667)</f>
        <v>NA</v>
      </c>
    </row>
    <row r="2662" spans="1:24" x14ac:dyDescent="0.25">
      <c r="A2662" s="45"/>
      <c r="B2662" s="46"/>
      <c r="C2662" s="46"/>
      <c r="D2662" s="46"/>
      <c r="E2662" s="46"/>
      <c r="F2662" s="46"/>
      <c r="G2662" s="46"/>
      <c r="H2662" s="46"/>
      <c r="I2662" s="46"/>
      <c r="J2662" s="46"/>
      <c r="K2662" s="46"/>
      <c r="L2662" s="46"/>
      <c r="M2662" s="46"/>
      <c r="N2662" s="46"/>
      <c r="O2662" s="46"/>
      <c r="P2662" s="46"/>
      <c r="Q2662" s="46"/>
      <c r="R2662" s="46"/>
      <c r="S2662" s="46"/>
      <c r="T2662" s="46"/>
      <c r="U2662" s="46"/>
      <c r="V2662" s="46"/>
      <c r="W2662" s="46"/>
      <c r="X2662" s="11" t="str">
        <f>IF(COUNTBLANK(B2662:W2662)&gt;0,"NA",'batch classification'!J2668)</f>
        <v>NA</v>
      </c>
    </row>
    <row r="2663" spans="1:24" x14ac:dyDescent="0.25">
      <c r="A2663" s="45"/>
      <c r="B2663" s="46"/>
      <c r="C2663" s="46"/>
      <c r="D2663" s="46"/>
      <c r="E2663" s="46"/>
      <c r="F2663" s="46"/>
      <c r="G2663" s="46"/>
      <c r="H2663" s="46"/>
      <c r="I2663" s="46"/>
      <c r="J2663" s="46"/>
      <c r="K2663" s="46"/>
      <c r="L2663" s="46"/>
      <c r="M2663" s="46"/>
      <c r="N2663" s="46"/>
      <c r="O2663" s="46"/>
      <c r="P2663" s="46"/>
      <c r="Q2663" s="46"/>
      <c r="R2663" s="46"/>
      <c r="S2663" s="46"/>
      <c r="T2663" s="46"/>
      <c r="U2663" s="46"/>
      <c r="V2663" s="46"/>
      <c r="W2663" s="46"/>
      <c r="X2663" s="11" t="str">
        <f>IF(COUNTBLANK(B2663:W2663)&gt;0,"NA",'batch classification'!J2669)</f>
        <v>NA</v>
      </c>
    </row>
    <row r="2664" spans="1:24" x14ac:dyDescent="0.25">
      <c r="A2664" s="45"/>
      <c r="B2664" s="46"/>
      <c r="C2664" s="46"/>
      <c r="D2664" s="46"/>
      <c r="E2664" s="46"/>
      <c r="F2664" s="46"/>
      <c r="G2664" s="46"/>
      <c r="H2664" s="46"/>
      <c r="I2664" s="46"/>
      <c r="J2664" s="46"/>
      <c r="K2664" s="46"/>
      <c r="L2664" s="46"/>
      <c r="M2664" s="46"/>
      <c r="N2664" s="46"/>
      <c r="O2664" s="46"/>
      <c r="P2664" s="46"/>
      <c r="Q2664" s="46"/>
      <c r="R2664" s="46"/>
      <c r="S2664" s="46"/>
      <c r="T2664" s="46"/>
      <c r="U2664" s="46"/>
      <c r="V2664" s="46"/>
      <c r="W2664" s="46"/>
      <c r="X2664" s="11" t="str">
        <f>IF(COUNTBLANK(B2664:W2664)&gt;0,"NA",'batch classification'!J2670)</f>
        <v>NA</v>
      </c>
    </row>
    <row r="2665" spans="1:24" x14ac:dyDescent="0.25">
      <c r="A2665" s="45"/>
      <c r="B2665" s="46"/>
      <c r="C2665" s="46"/>
      <c r="D2665" s="46"/>
      <c r="E2665" s="46"/>
      <c r="F2665" s="46"/>
      <c r="G2665" s="46"/>
      <c r="H2665" s="46"/>
      <c r="I2665" s="46"/>
      <c r="J2665" s="46"/>
      <c r="K2665" s="46"/>
      <c r="L2665" s="46"/>
      <c r="M2665" s="46"/>
      <c r="N2665" s="46"/>
      <c r="O2665" s="46"/>
      <c r="P2665" s="46"/>
      <c r="Q2665" s="46"/>
      <c r="R2665" s="46"/>
      <c r="S2665" s="46"/>
      <c r="T2665" s="46"/>
      <c r="U2665" s="46"/>
      <c r="V2665" s="46"/>
      <c r="W2665" s="46"/>
      <c r="X2665" s="11" t="str">
        <f>IF(COUNTBLANK(B2665:W2665)&gt;0,"NA",'batch classification'!J2671)</f>
        <v>NA</v>
      </c>
    </row>
    <row r="2666" spans="1:24" x14ac:dyDescent="0.25">
      <c r="A2666" s="45"/>
      <c r="B2666" s="46"/>
      <c r="C2666" s="46"/>
      <c r="D2666" s="46"/>
      <c r="E2666" s="46"/>
      <c r="F2666" s="46"/>
      <c r="G2666" s="46"/>
      <c r="H2666" s="46"/>
      <c r="I2666" s="46"/>
      <c r="J2666" s="46"/>
      <c r="K2666" s="46"/>
      <c r="L2666" s="46"/>
      <c r="M2666" s="46"/>
      <c r="N2666" s="46"/>
      <c r="O2666" s="46"/>
      <c r="P2666" s="46"/>
      <c r="Q2666" s="46"/>
      <c r="R2666" s="46"/>
      <c r="S2666" s="46"/>
      <c r="T2666" s="46"/>
      <c r="U2666" s="46"/>
      <c r="V2666" s="46"/>
      <c r="W2666" s="46"/>
      <c r="X2666" s="11" t="str">
        <f>IF(COUNTBLANK(B2666:W2666)&gt;0,"NA",'batch classification'!J2672)</f>
        <v>NA</v>
      </c>
    </row>
    <row r="2667" spans="1:24" x14ac:dyDescent="0.25">
      <c r="A2667" s="45"/>
      <c r="B2667" s="46"/>
      <c r="C2667" s="46"/>
      <c r="D2667" s="46"/>
      <c r="E2667" s="46"/>
      <c r="F2667" s="46"/>
      <c r="G2667" s="46"/>
      <c r="H2667" s="46"/>
      <c r="I2667" s="46"/>
      <c r="J2667" s="46"/>
      <c r="K2667" s="46"/>
      <c r="L2667" s="46"/>
      <c r="M2667" s="46"/>
      <c r="N2667" s="46"/>
      <c r="O2667" s="46"/>
      <c r="P2667" s="46"/>
      <c r="Q2667" s="46"/>
      <c r="R2667" s="46"/>
      <c r="S2667" s="46"/>
      <c r="T2667" s="46"/>
      <c r="U2667" s="46"/>
      <c r="V2667" s="46"/>
      <c r="W2667" s="46"/>
      <c r="X2667" s="11" t="str">
        <f>IF(COUNTBLANK(B2667:W2667)&gt;0,"NA",'batch classification'!J2673)</f>
        <v>NA</v>
      </c>
    </row>
    <row r="2668" spans="1:24" x14ac:dyDescent="0.25">
      <c r="A2668" s="45"/>
      <c r="B2668" s="46"/>
      <c r="C2668" s="46"/>
      <c r="D2668" s="46"/>
      <c r="E2668" s="46"/>
      <c r="F2668" s="46"/>
      <c r="G2668" s="46"/>
      <c r="H2668" s="46"/>
      <c r="I2668" s="46"/>
      <c r="J2668" s="46"/>
      <c r="K2668" s="46"/>
      <c r="L2668" s="46"/>
      <c r="M2668" s="46"/>
      <c r="N2668" s="46"/>
      <c r="O2668" s="46"/>
      <c r="P2668" s="46"/>
      <c r="Q2668" s="46"/>
      <c r="R2668" s="46"/>
      <c r="S2668" s="46"/>
      <c r="T2668" s="46"/>
      <c r="U2668" s="46"/>
      <c r="V2668" s="46"/>
      <c r="W2668" s="46"/>
      <c r="X2668" s="11" t="str">
        <f>IF(COUNTBLANK(B2668:W2668)&gt;0,"NA",'batch classification'!J2674)</f>
        <v>NA</v>
      </c>
    </row>
    <row r="2669" spans="1:24" x14ac:dyDescent="0.25">
      <c r="A2669" s="45"/>
      <c r="B2669" s="46"/>
      <c r="C2669" s="46"/>
      <c r="D2669" s="46"/>
      <c r="E2669" s="46"/>
      <c r="F2669" s="46"/>
      <c r="G2669" s="46"/>
      <c r="H2669" s="46"/>
      <c r="I2669" s="46"/>
      <c r="J2669" s="46"/>
      <c r="K2669" s="46"/>
      <c r="L2669" s="46"/>
      <c r="M2669" s="46"/>
      <c r="N2669" s="46"/>
      <c r="O2669" s="46"/>
      <c r="P2669" s="46"/>
      <c r="Q2669" s="46"/>
      <c r="R2669" s="46"/>
      <c r="S2669" s="46"/>
      <c r="T2669" s="46"/>
      <c r="U2669" s="46"/>
      <c r="V2669" s="46"/>
      <c r="W2669" s="46"/>
      <c r="X2669" s="11" t="str">
        <f>IF(COUNTBLANK(B2669:W2669)&gt;0,"NA",'batch classification'!J2675)</f>
        <v>NA</v>
      </c>
    </row>
    <row r="2670" spans="1:24" x14ac:dyDescent="0.25">
      <c r="A2670" s="45"/>
      <c r="B2670" s="46"/>
      <c r="C2670" s="46"/>
      <c r="D2670" s="46"/>
      <c r="E2670" s="46"/>
      <c r="F2670" s="46"/>
      <c r="G2670" s="46"/>
      <c r="H2670" s="46"/>
      <c r="I2670" s="46"/>
      <c r="J2670" s="46"/>
      <c r="K2670" s="46"/>
      <c r="L2670" s="46"/>
      <c r="M2670" s="46"/>
      <c r="N2670" s="46"/>
      <c r="O2670" s="46"/>
      <c r="P2670" s="46"/>
      <c r="Q2670" s="46"/>
      <c r="R2670" s="46"/>
      <c r="S2670" s="46"/>
      <c r="T2670" s="46"/>
      <c r="U2670" s="46"/>
      <c r="V2670" s="46"/>
      <c r="W2670" s="46"/>
      <c r="X2670" s="11" t="str">
        <f>IF(COUNTBLANK(B2670:W2670)&gt;0,"NA",'batch classification'!J2676)</f>
        <v>NA</v>
      </c>
    </row>
    <row r="2671" spans="1:24" x14ac:dyDescent="0.25">
      <c r="A2671" s="45"/>
      <c r="B2671" s="46"/>
      <c r="C2671" s="46"/>
      <c r="D2671" s="46"/>
      <c r="E2671" s="46"/>
      <c r="F2671" s="46"/>
      <c r="G2671" s="46"/>
      <c r="H2671" s="46"/>
      <c r="I2671" s="46"/>
      <c r="J2671" s="46"/>
      <c r="K2671" s="46"/>
      <c r="L2671" s="46"/>
      <c r="M2671" s="46"/>
      <c r="N2671" s="46"/>
      <c r="O2671" s="46"/>
      <c r="P2671" s="46"/>
      <c r="Q2671" s="46"/>
      <c r="R2671" s="46"/>
      <c r="S2671" s="46"/>
      <c r="T2671" s="46"/>
      <c r="U2671" s="46"/>
      <c r="V2671" s="46"/>
      <c r="W2671" s="46"/>
      <c r="X2671" s="11" t="str">
        <f>IF(COUNTBLANK(B2671:W2671)&gt;0,"NA",'batch classification'!J2677)</f>
        <v>NA</v>
      </c>
    </row>
    <row r="2672" spans="1:24" x14ac:dyDescent="0.25">
      <c r="A2672" s="45"/>
      <c r="B2672" s="46"/>
      <c r="C2672" s="46"/>
      <c r="D2672" s="46"/>
      <c r="E2672" s="46"/>
      <c r="F2672" s="46"/>
      <c r="G2672" s="46"/>
      <c r="H2672" s="46"/>
      <c r="I2672" s="46"/>
      <c r="J2672" s="46"/>
      <c r="K2672" s="46"/>
      <c r="L2672" s="46"/>
      <c r="M2672" s="46"/>
      <c r="N2672" s="46"/>
      <c r="O2672" s="46"/>
      <c r="P2672" s="46"/>
      <c r="Q2672" s="46"/>
      <c r="R2672" s="46"/>
      <c r="S2672" s="46"/>
      <c r="T2672" s="46"/>
      <c r="U2672" s="46"/>
      <c r="V2672" s="46"/>
      <c r="W2672" s="46"/>
      <c r="X2672" s="11" t="str">
        <f>IF(COUNTBLANK(B2672:W2672)&gt;0,"NA",'batch classification'!J2678)</f>
        <v>NA</v>
      </c>
    </row>
    <row r="2673" spans="1:24" x14ac:dyDescent="0.25">
      <c r="A2673" s="45"/>
      <c r="B2673" s="46"/>
      <c r="C2673" s="46"/>
      <c r="D2673" s="46"/>
      <c r="E2673" s="46"/>
      <c r="F2673" s="46"/>
      <c r="G2673" s="46"/>
      <c r="H2673" s="46"/>
      <c r="I2673" s="46"/>
      <c r="J2673" s="46"/>
      <c r="K2673" s="46"/>
      <c r="L2673" s="46"/>
      <c r="M2673" s="46"/>
      <c r="N2673" s="46"/>
      <c r="O2673" s="46"/>
      <c r="P2673" s="46"/>
      <c r="Q2673" s="46"/>
      <c r="R2673" s="46"/>
      <c r="S2673" s="46"/>
      <c r="T2673" s="46"/>
      <c r="U2673" s="46"/>
      <c r="V2673" s="46"/>
      <c r="W2673" s="46"/>
      <c r="X2673" s="11" t="str">
        <f>IF(COUNTBLANK(B2673:W2673)&gt;0,"NA",'batch classification'!J2679)</f>
        <v>NA</v>
      </c>
    </row>
    <row r="2674" spans="1:24" x14ac:dyDescent="0.25">
      <c r="A2674" s="45"/>
      <c r="B2674" s="46"/>
      <c r="C2674" s="46"/>
      <c r="D2674" s="46"/>
      <c r="E2674" s="46"/>
      <c r="F2674" s="46"/>
      <c r="G2674" s="46"/>
      <c r="H2674" s="46"/>
      <c r="I2674" s="46"/>
      <c r="J2674" s="46"/>
      <c r="K2674" s="46"/>
      <c r="L2674" s="46"/>
      <c r="M2674" s="46"/>
      <c r="N2674" s="46"/>
      <c r="O2674" s="46"/>
      <c r="P2674" s="46"/>
      <c r="Q2674" s="46"/>
      <c r="R2674" s="46"/>
      <c r="S2674" s="46"/>
      <c r="T2674" s="46"/>
      <c r="U2674" s="46"/>
      <c r="V2674" s="46"/>
      <c r="W2674" s="46"/>
      <c r="X2674" s="11" t="str">
        <f>IF(COUNTBLANK(B2674:W2674)&gt;0,"NA",'batch classification'!J2680)</f>
        <v>NA</v>
      </c>
    </row>
    <row r="2675" spans="1:24" x14ac:dyDescent="0.25">
      <c r="A2675" s="45"/>
      <c r="B2675" s="46"/>
      <c r="C2675" s="46"/>
      <c r="D2675" s="46"/>
      <c r="E2675" s="46"/>
      <c r="F2675" s="46"/>
      <c r="G2675" s="46"/>
      <c r="H2675" s="46"/>
      <c r="I2675" s="46"/>
      <c r="J2675" s="46"/>
      <c r="K2675" s="46"/>
      <c r="L2675" s="46"/>
      <c r="M2675" s="46"/>
      <c r="N2675" s="46"/>
      <c r="O2675" s="46"/>
      <c r="P2675" s="46"/>
      <c r="Q2675" s="46"/>
      <c r="R2675" s="46"/>
      <c r="S2675" s="46"/>
      <c r="T2675" s="46"/>
      <c r="U2675" s="46"/>
      <c r="V2675" s="46"/>
      <c r="W2675" s="46"/>
      <c r="X2675" s="11" t="str">
        <f>IF(COUNTBLANK(B2675:W2675)&gt;0,"NA",'batch classification'!J2681)</f>
        <v>NA</v>
      </c>
    </row>
    <row r="2676" spans="1:24" x14ac:dyDescent="0.25">
      <c r="A2676" s="45"/>
      <c r="B2676" s="46"/>
      <c r="C2676" s="46"/>
      <c r="D2676" s="46"/>
      <c r="E2676" s="46"/>
      <c r="F2676" s="46"/>
      <c r="G2676" s="46"/>
      <c r="H2676" s="46"/>
      <c r="I2676" s="46"/>
      <c r="J2676" s="46"/>
      <c r="K2676" s="46"/>
      <c r="L2676" s="46"/>
      <c r="M2676" s="46"/>
      <c r="N2676" s="46"/>
      <c r="O2676" s="46"/>
      <c r="P2676" s="46"/>
      <c r="Q2676" s="46"/>
      <c r="R2676" s="46"/>
      <c r="S2676" s="46"/>
      <c r="T2676" s="46"/>
      <c r="U2676" s="46"/>
      <c r="V2676" s="46"/>
      <c r="W2676" s="46"/>
      <c r="X2676" s="11" t="str">
        <f>IF(COUNTBLANK(B2676:W2676)&gt;0,"NA",'batch classification'!J2682)</f>
        <v>NA</v>
      </c>
    </row>
    <row r="2677" spans="1:24" x14ac:dyDescent="0.25">
      <c r="A2677" s="45"/>
      <c r="B2677" s="46"/>
      <c r="C2677" s="46"/>
      <c r="D2677" s="46"/>
      <c r="E2677" s="46"/>
      <c r="F2677" s="46"/>
      <c r="G2677" s="46"/>
      <c r="H2677" s="46"/>
      <c r="I2677" s="46"/>
      <c r="J2677" s="46"/>
      <c r="K2677" s="46"/>
      <c r="L2677" s="46"/>
      <c r="M2677" s="46"/>
      <c r="N2677" s="46"/>
      <c r="O2677" s="46"/>
      <c r="P2677" s="46"/>
      <c r="Q2677" s="46"/>
      <c r="R2677" s="46"/>
      <c r="S2677" s="46"/>
      <c r="T2677" s="46"/>
      <c r="U2677" s="46"/>
      <c r="V2677" s="46"/>
      <c r="W2677" s="46"/>
      <c r="X2677" s="11" t="str">
        <f>IF(COUNTBLANK(B2677:W2677)&gt;0,"NA",'batch classification'!J2683)</f>
        <v>NA</v>
      </c>
    </row>
    <row r="2678" spans="1:24" x14ac:dyDescent="0.25">
      <c r="A2678" s="45"/>
      <c r="B2678" s="46"/>
      <c r="C2678" s="46"/>
      <c r="D2678" s="46"/>
      <c r="E2678" s="46"/>
      <c r="F2678" s="46"/>
      <c r="G2678" s="46"/>
      <c r="H2678" s="46"/>
      <c r="I2678" s="46"/>
      <c r="J2678" s="46"/>
      <c r="K2678" s="46"/>
      <c r="L2678" s="46"/>
      <c r="M2678" s="46"/>
      <c r="N2678" s="46"/>
      <c r="O2678" s="46"/>
      <c r="P2678" s="46"/>
      <c r="Q2678" s="46"/>
      <c r="R2678" s="46"/>
      <c r="S2678" s="46"/>
      <c r="T2678" s="46"/>
      <c r="U2678" s="46"/>
      <c r="V2678" s="46"/>
      <c r="W2678" s="46"/>
      <c r="X2678" s="11" t="str">
        <f>IF(COUNTBLANK(B2678:W2678)&gt;0,"NA",'batch classification'!J2684)</f>
        <v>NA</v>
      </c>
    </row>
    <row r="2679" spans="1:24" x14ac:dyDescent="0.25">
      <c r="A2679" s="45"/>
      <c r="B2679" s="46"/>
      <c r="C2679" s="46"/>
      <c r="D2679" s="46"/>
      <c r="E2679" s="46"/>
      <c r="F2679" s="46"/>
      <c r="G2679" s="46"/>
      <c r="H2679" s="46"/>
      <c r="I2679" s="46"/>
      <c r="J2679" s="46"/>
      <c r="K2679" s="46"/>
      <c r="L2679" s="46"/>
      <c r="M2679" s="46"/>
      <c r="N2679" s="46"/>
      <c r="O2679" s="46"/>
      <c r="P2679" s="46"/>
      <c r="Q2679" s="46"/>
      <c r="R2679" s="46"/>
      <c r="S2679" s="46"/>
      <c r="T2679" s="46"/>
      <c r="U2679" s="46"/>
      <c r="V2679" s="46"/>
      <c r="W2679" s="46"/>
      <c r="X2679" s="11" t="str">
        <f>IF(COUNTBLANK(B2679:W2679)&gt;0,"NA",'batch classification'!J2685)</f>
        <v>NA</v>
      </c>
    </row>
    <row r="2680" spans="1:24" x14ac:dyDescent="0.25">
      <c r="A2680" s="45"/>
      <c r="B2680" s="46"/>
      <c r="C2680" s="46"/>
      <c r="D2680" s="46"/>
      <c r="E2680" s="46"/>
      <c r="F2680" s="46"/>
      <c r="G2680" s="46"/>
      <c r="H2680" s="46"/>
      <c r="I2680" s="46"/>
      <c r="J2680" s="46"/>
      <c r="K2680" s="46"/>
      <c r="L2680" s="46"/>
      <c r="M2680" s="46"/>
      <c r="N2680" s="46"/>
      <c r="O2680" s="46"/>
      <c r="P2680" s="46"/>
      <c r="Q2680" s="46"/>
      <c r="R2680" s="46"/>
      <c r="S2680" s="46"/>
      <c r="T2680" s="46"/>
      <c r="U2680" s="46"/>
      <c r="V2680" s="46"/>
      <c r="W2680" s="46"/>
      <c r="X2680" s="11" t="str">
        <f>IF(COUNTBLANK(B2680:W2680)&gt;0,"NA",'batch classification'!J2686)</f>
        <v>NA</v>
      </c>
    </row>
    <row r="2681" spans="1:24" x14ac:dyDescent="0.25">
      <c r="A2681" s="45"/>
      <c r="B2681" s="46"/>
      <c r="C2681" s="46"/>
      <c r="D2681" s="46"/>
      <c r="E2681" s="46"/>
      <c r="F2681" s="46"/>
      <c r="G2681" s="46"/>
      <c r="H2681" s="46"/>
      <c r="I2681" s="46"/>
      <c r="J2681" s="46"/>
      <c r="K2681" s="46"/>
      <c r="L2681" s="46"/>
      <c r="M2681" s="46"/>
      <c r="N2681" s="46"/>
      <c r="O2681" s="46"/>
      <c r="P2681" s="46"/>
      <c r="Q2681" s="46"/>
      <c r="R2681" s="46"/>
      <c r="S2681" s="46"/>
      <c r="T2681" s="46"/>
      <c r="U2681" s="46"/>
      <c r="V2681" s="46"/>
      <c r="W2681" s="46"/>
      <c r="X2681" s="11" t="str">
        <f>IF(COUNTBLANK(B2681:W2681)&gt;0,"NA",'batch classification'!J2687)</f>
        <v>NA</v>
      </c>
    </row>
    <row r="2682" spans="1:24" x14ac:dyDescent="0.25">
      <c r="A2682" s="45"/>
      <c r="B2682" s="46"/>
      <c r="C2682" s="46"/>
      <c r="D2682" s="46"/>
      <c r="E2682" s="46"/>
      <c r="F2682" s="46"/>
      <c r="G2682" s="46"/>
      <c r="H2682" s="46"/>
      <c r="I2682" s="46"/>
      <c r="J2682" s="46"/>
      <c r="K2682" s="46"/>
      <c r="L2682" s="46"/>
      <c r="M2682" s="46"/>
      <c r="N2682" s="46"/>
      <c r="O2682" s="46"/>
      <c r="P2682" s="46"/>
      <c r="Q2682" s="46"/>
      <c r="R2682" s="46"/>
      <c r="S2682" s="46"/>
      <c r="T2682" s="46"/>
      <c r="U2682" s="46"/>
      <c r="V2682" s="46"/>
      <c r="W2682" s="46"/>
      <c r="X2682" s="11" t="str">
        <f>IF(COUNTBLANK(B2682:W2682)&gt;0,"NA",'batch classification'!J2688)</f>
        <v>NA</v>
      </c>
    </row>
    <row r="2683" spans="1:24" x14ac:dyDescent="0.25">
      <c r="A2683" s="45"/>
      <c r="B2683" s="46"/>
      <c r="C2683" s="46"/>
      <c r="D2683" s="46"/>
      <c r="E2683" s="46"/>
      <c r="F2683" s="46"/>
      <c r="G2683" s="46"/>
      <c r="H2683" s="46"/>
      <c r="I2683" s="46"/>
      <c r="J2683" s="46"/>
      <c r="K2683" s="46"/>
      <c r="L2683" s="46"/>
      <c r="M2683" s="46"/>
      <c r="N2683" s="46"/>
      <c r="O2683" s="46"/>
      <c r="P2683" s="46"/>
      <c r="Q2683" s="46"/>
      <c r="R2683" s="46"/>
      <c r="S2683" s="46"/>
      <c r="T2683" s="46"/>
      <c r="U2683" s="46"/>
      <c r="V2683" s="46"/>
      <c r="W2683" s="46"/>
      <c r="X2683" s="11" t="str">
        <f>IF(COUNTBLANK(B2683:W2683)&gt;0,"NA",'batch classification'!J2689)</f>
        <v>NA</v>
      </c>
    </row>
    <row r="2684" spans="1:24" x14ac:dyDescent="0.25">
      <c r="A2684" s="45"/>
      <c r="B2684" s="46"/>
      <c r="C2684" s="46"/>
      <c r="D2684" s="46"/>
      <c r="E2684" s="46"/>
      <c r="F2684" s="46"/>
      <c r="G2684" s="46"/>
      <c r="H2684" s="46"/>
      <c r="I2684" s="46"/>
      <c r="J2684" s="46"/>
      <c r="K2684" s="46"/>
      <c r="L2684" s="46"/>
      <c r="M2684" s="46"/>
      <c r="N2684" s="46"/>
      <c r="O2684" s="46"/>
      <c r="P2684" s="46"/>
      <c r="Q2684" s="46"/>
      <c r="R2684" s="46"/>
      <c r="S2684" s="46"/>
      <c r="T2684" s="46"/>
      <c r="U2684" s="46"/>
      <c r="V2684" s="46"/>
      <c r="W2684" s="46"/>
      <c r="X2684" s="11" t="str">
        <f>IF(COUNTBLANK(B2684:W2684)&gt;0,"NA",'batch classification'!J2690)</f>
        <v>NA</v>
      </c>
    </row>
    <row r="2685" spans="1:24" x14ac:dyDescent="0.25">
      <c r="A2685" s="45"/>
      <c r="B2685" s="46"/>
      <c r="C2685" s="46"/>
      <c r="D2685" s="46"/>
      <c r="E2685" s="46"/>
      <c r="F2685" s="46"/>
      <c r="G2685" s="46"/>
      <c r="H2685" s="46"/>
      <c r="I2685" s="46"/>
      <c r="J2685" s="46"/>
      <c r="K2685" s="46"/>
      <c r="L2685" s="46"/>
      <c r="M2685" s="46"/>
      <c r="N2685" s="46"/>
      <c r="O2685" s="46"/>
      <c r="P2685" s="46"/>
      <c r="Q2685" s="46"/>
      <c r="R2685" s="46"/>
      <c r="S2685" s="46"/>
      <c r="T2685" s="46"/>
      <c r="U2685" s="46"/>
      <c r="V2685" s="46"/>
      <c r="W2685" s="46"/>
      <c r="X2685" s="11" t="str">
        <f>IF(COUNTBLANK(B2685:W2685)&gt;0,"NA",'batch classification'!J2691)</f>
        <v>NA</v>
      </c>
    </row>
    <row r="2686" spans="1:24" x14ac:dyDescent="0.25">
      <c r="A2686" s="45"/>
      <c r="B2686" s="46"/>
      <c r="C2686" s="46"/>
      <c r="D2686" s="46"/>
      <c r="E2686" s="46"/>
      <c r="F2686" s="46"/>
      <c r="G2686" s="46"/>
      <c r="H2686" s="46"/>
      <c r="I2686" s="46"/>
      <c r="J2686" s="46"/>
      <c r="K2686" s="46"/>
      <c r="L2686" s="46"/>
      <c r="M2686" s="46"/>
      <c r="N2686" s="46"/>
      <c r="O2686" s="46"/>
      <c r="P2686" s="46"/>
      <c r="Q2686" s="46"/>
      <c r="R2686" s="46"/>
      <c r="S2686" s="46"/>
      <c r="T2686" s="46"/>
      <c r="U2686" s="46"/>
      <c r="V2686" s="46"/>
      <c r="W2686" s="46"/>
      <c r="X2686" s="11" t="str">
        <f>IF(COUNTBLANK(B2686:W2686)&gt;0,"NA",'batch classification'!J2692)</f>
        <v>NA</v>
      </c>
    </row>
    <row r="2687" spans="1:24" x14ac:dyDescent="0.25">
      <c r="A2687" s="45"/>
      <c r="B2687" s="46"/>
      <c r="C2687" s="46"/>
      <c r="D2687" s="46"/>
      <c r="E2687" s="46"/>
      <c r="F2687" s="46"/>
      <c r="G2687" s="46"/>
      <c r="H2687" s="46"/>
      <c r="I2687" s="46"/>
      <c r="J2687" s="46"/>
      <c r="K2687" s="46"/>
      <c r="L2687" s="46"/>
      <c r="M2687" s="46"/>
      <c r="N2687" s="46"/>
      <c r="O2687" s="46"/>
      <c r="P2687" s="46"/>
      <c r="Q2687" s="46"/>
      <c r="R2687" s="46"/>
      <c r="S2687" s="46"/>
      <c r="T2687" s="46"/>
      <c r="U2687" s="46"/>
      <c r="V2687" s="46"/>
      <c r="W2687" s="46"/>
      <c r="X2687" s="11" t="str">
        <f>IF(COUNTBLANK(B2687:W2687)&gt;0,"NA",'batch classification'!J2693)</f>
        <v>NA</v>
      </c>
    </row>
    <row r="2688" spans="1:24" x14ac:dyDescent="0.25">
      <c r="A2688" s="45"/>
      <c r="B2688" s="46"/>
      <c r="C2688" s="46"/>
      <c r="D2688" s="46"/>
      <c r="E2688" s="46"/>
      <c r="F2688" s="46"/>
      <c r="G2688" s="46"/>
      <c r="H2688" s="46"/>
      <c r="I2688" s="46"/>
      <c r="J2688" s="46"/>
      <c r="K2688" s="46"/>
      <c r="L2688" s="46"/>
      <c r="M2688" s="46"/>
      <c r="N2688" s="46"/>
      <c r="O2688" s="46"/>
      <c r="P2688" s="46"/>
      <c r="Q2688" s="46"/>
      <c r="R2688" s="46"/>
      <c r="S2688" s="46"/>
      <c r="T2688" s="46"/>
      <c r="U2688" s="46"/>
      <c r="V2688" s="46"/>
      <c r="W2688" s="46"/>
      <c r="X2688" s="11" t="str">
        <f>IF(COUNTBLANK(B2688:W2688)&gt;0,"NA",'batch classification'!J2694)</f>
        <v>NA</v>
      </c>
    </row>
    <row r="2689" spans="1:24" x14ac:dyDescent="0.25">
      <c r="A2689" s="45"/>
      <c r="B2689" s="46"/>
      <c r="C2689" s="46"/>
      <c r="D2689" s="46"/>
      <c r="E2689" s="46"/>
      <c r="F2689" s="46"/>
      <c r="G2689" s="46"/>
      <c r="H2689" s="46"/>
      <c r="I2689" s="46"/>
      <c r="J2689" s="46"/>
      <c r="K2689" s="46"/>
      <c r="L2689" s="46"/>
      <c r="M2689" s="46"/>
      <c r="N2689" s="46"/>
      <c r="O2689" s="46"/>
      <c r="P2689" s="46"/>
      <c r="Q2689" s="46"/>
      <c r="R2689" s="46"/>
      <c r="S2689" s="46"/>
      <c r="T2689" s="46"/>
      <c r="U2689" s="46"/>
      <c r="V2689" s="46"/>
      <c r="W2689" s="46"/>
      <c r="X2689" s="11" t="str">
        <f>IF(COUNTBLANK(B2689:W2689)&gt;0,"NA",'batch classification'!J2695)</f>
        <v>NA</v>
      </c>
    </row>
    <row r="2690" spans="1:24" x14ac:dyDescent="0.25">
      <c r="A2690" s="45"/>
      <c r="B2690" s="46"/>
      <c r="C2690" s="46"/>
      <c r="D2690" s="46"/>
      <c r="E2690" s="46"/>
      <c r="F2690" s="46"/>
      <c r="G2690" s="46"/>
      <c r="H2690" s="46"/>
      <c r="I2690" s="46"/>
      <c r="J2690" s="46"/>
      <c r="K2690" s="46"/>
      <c r="L2690" s="46"/>
      <c r="M2690" s="46"/>
      <c r="N2690" s="46"/>
      <c r="O2690" s="46"/>
      <c r="P2690" s="46"/>
      <c r="Q2690" s="46"/>
      <c r="R2690" s="46"/>
      <c r="S2690" s="46"/>
      <c r="T2690" s="46"/>
      <c r="U2690" s="46"/>
      <c r="V2690" s="46"/>
      <c r="W2690" s="46"/>
      <c r="X2690" s="11" t="str">
        <f>IF(COUNTBLANK(B2690:W2690)&gt;0,"NA",'batch classification'!J2696)</f>
        <v>NA</v>
      </c>
    </row>
    <row r="2691" spans="1:24" x14ac:dyDescent="0.25">
      <c r="A2691" s="45"/>
      <c r="B2691" s="46"/>
      <c r="C2691" s="46"/>
      <c r="D2691" s="46"/>
      <c r="E2691" s="46"/>
      <c r="F2691" s="46"/>
      <c r="G2691" s="46"/>
      <c r="H2691" s="46"/>
      <c r="I2691" s="46"/>
      <c r="J2691" s="46"/>
      <c r="K2691" s="46"/>
      <c r="L2691" s="46"/>
      <c r="M2691" s="46"/>
      <c r="N2691" s="46"/>
      <c r="O2691" s="46"/>
      <c r="P2691" s="46"/>
      <c r="Q2691" s="46"/>
      <c r="R2691" s="46"/>
      <c r="S2691" s="46"/>
      <c r="T2691" s="46"/>
      <c r="U2691" s="46"/>
      <c r="V2691" s="46"/>
      <c r="W2691" s="46"/>
      <c r="X2691" s="11" t="str">
        <f>IF(COUNTBLANK(B2691:W2691)&gt;0,"NA",'batch classification'!J2697)</f>
        <v>NA</v>
      </c>
    </row>
    <row r="2692" spans="1:24" x14ac:dyDescent="0.25">
      <c r="A2692" s="45"/>
      <c r="B2692" s="46"/>
      <c r="C2692" s="46"/>
      <c r="D2692" s="46"/>
      <c r="E2692" s="46"/>
      <c r="F2692" s="46"/>
      <c r="G2692" s="46"/>
      <c r="H2692" s="46"/>
      <c r="I2692" s="46"/>
      <c r="J2692" s="46"/>
      <c r="K2692" s="46"/>
      <c r="L2692" s="46"/>
      <c r="M2692" s="46"/>
      <c r="N2692" s="46"/>
      <c r="O2692" s="46"/>
      <c r="P2692" s="46"/>
      <c r="Q2692" s="46"/>
      <c r="R2692" s="46"/>
      <c r="S2692" s="46"/>
      <c r="T2692" s="46"/>
      <c r="U2692" s="46"/>
      <c r="V2692" s="46"/>
      <c r="W2692" s="46"/>
      <c r="X2692" s="11" t="str">
        <f>IF(COUNTBLANK(B2692:W2692)&gt;0,"NA",'batch classification'!J2698)</f>
        <v>NA</v>
      </c>
    </row>
    <row r="2693" spans="1:24" x14ac:dyDescent="0.25">
      <c r="A2693" s="45"/>
      <c r="B2693" s="46"/>
      <c r="C2693" s="46"/>
      <c r="D2693" s="46"/>
      <c r="E2693" s="46"/>
      <c r="F2693" s="46"/>
      <c r="G2693" s="46"/>
      <c r="H2693" s="46"/>
      <c r="I2693" s="46"/>
      <c r="J2693" s="46"/>
      <c r="K2693" s="46"/>
      <c r="L2693" s="46"/>
      <c r="M2693" s="46"/>
      <c r="N2693" s="46"/>
      <c r="O2693" s="46"/>
      <c r="P2693" s="46"/>
      <c r="Q2693" s="46"/>
      <c r="R2693" s="46"/>
      <c r="S2693" s="46"/>
      <c r="T2693" s="46"/>
      <c r="U2693" s="46"/>
      <c r="V2693" s="46"/>
      <c r="W2693" s="46"/>
      <c r="X2693" s="11" t="str">
        <f>IF(COUNTBLANK(B2693:W2693)&gt;0,"NA",'batch classification'!J2699)</f>
        <v>NA</v>
      </c>
    </row>
    <row r="2694" spans="1:24" x14ac:dyDescent="0.25">
      <c r="A2694" s="45"/>
      <c r="B2694" s="46"/>
      <c r="C2694" s="46"/>
      <c r="D2694" s="46"/>
      <c r="E2694" s="46"/>
      <c r="F2694" s="46"/>
      <c r="G2694" s="46"/>
      <c r="H2694" s="46"/>
      <c r="I2694" s="46"/>
      <c r="J2694" s="46"/>
      <c r="K2694" s="46"/>
      <c r="L2694" s="46"/>
      <c r="M2694" s="46"/>
      <c r="N2694" s="46"/>
      <c r="O2694" s="46"/>
      <c r="P2694" s="46"/>
      <c r="Q2694" s="46"/>
      <c r="R2694" s="46"/>
      <c r="S2694" s="46"/>
      <c r="T2694" s="46"/>
      <c r="U2694" s="46"/>
      <c r="V2694" s="46"/>
      <c r="W2694" s="46"/>
      <c r="X2694" s="11" t="str">
        <f>IF(COUNTBLANK(B2694:W2694)&gt;0,"NA",'batch classification'!J2700)</f>
        <v>NA</v>
      </c>
    </row>
    <row r="2695" spans="1:24" x14ac:dyDescent="0.25">
      <c r="A2695" s="45"/>
      <c r="B2695" s="46"/>
      <c r="C2695" s="46"/>
      <c r="D2695" s="46"/>
      <c r="E2695" s="46"/>
      <c r="F2695" s="46"/>
      <c r="G2695" s="46"/>
      <c r="H2695" s="46"/>
      <c r="I2695" s="46"/>
      <c r="J2695" s="46"/>
      <c r="K2695" s="46"/>
      <c r="L2695" s="46"/>
      <c r="M2695" s="46"/>
      <c r="N2695" s="46"/>
      <c r="O2695" s="46"/>
      <c r="P2695" s="46"/>
      <c r="Q2695" s="46"/>
      <c r="R2695" s="46"/>
      <c r="S2695" s="46"/>
      <c r="T2695" s="46"/>
      <c r="U2695" s="46"/>
      <c r="V2695" s="46"/>
      <c r="W2695" s="46"/>
      <c r="X2695" s="11" t="str">
        <f>IF(COUNTBLANK(B2695:W2695)&gt;0,"NA",'batch classification'!J2701)</f>
        <v>NA</v>
      </c>
    </row>
    <row r="2696" spans="1:24" x14ac:dyDescent="0.25">
      <c r="A2696" s="45"/>
      <c r="B2696" s="46"/>
      <c r="C2696" s="46"/>
      <c r="D2696" s="46"/>
      <c r="E2696" s="46"/>
      <c r="F2696" s="46"/>
      <c r="G2696" s="46"/>
      <c r="H2696" s="46"/>
      <c r="I2696" s="46"/>
      <c r="J2696" s="46"/>
      <c r="K2696" s="46"/>
      <c r="L2696" s="46"/>
      <c r="M2696" s="46"/>
      <c r="N2696" s="46"/>
      <c r="O2696" s="46"/>
      <c r="P2696" s="46"/>
      <c r="Q2696" s="46"/>
      <c r="R2696" s="46"/>
      <c r="S2696" s="46"/>
      <c r="T2696" s="46"/>
      <c r="U2696" s="46"/>
      <c r="V2696" s="46"/>
      <c r="W2696" s="46"/>
      <c r="X2696" s="11" t="str">
        <f>IF(COUNTBLANK(B2696:W2696)&gt;0,"NA",'batch classification'!J2702)</f>
        <v>NA</v>
      </c>
    </row>
    <row r="2697" spans="1:24" x14ac:dyDescent="0.25">
      <c r="A2697" s="45"/>
      <c r="B2697" s="46"/>
      <c r="C2697" s="46"/>
      <c r="D2697" s="46"/>
      <c r="E2697" s="46"/>
      <c r="F2697" s="46"/>
      <c r="G2697" s="46"/>
      <c r="H2697" s="46"/>
      <c r="I2697" s="46"/>
      <c r="J2697" s="46"/>
      <c r="K2697" s="46"/>
      <c r="L2697" s="46"/>
      <c r="M2697" s="46"/>
      <c r="N2697" s="46"/>
      <c r="O2697" s="46"/>
      <c r="P2697" s="46"/>
      <c r="Q2697" s="46"/>
      <c r="R2697" s="46"/>
      <c r="S2697" s="46"/>
      <c r="T2697" s="46"/>
      <c r="U2697" s="46"/>
      <c r="V2697" s="46"/>
      <c r="W2697" s="46"/>
      <c r="X2697" s="11" t="str">
        <f>IF(COUNTBLANK(B2697:W2697)&gt;0,"NA",'batch classification'!J2703)</f>
        <v>NA</v>
      </c>
    </row>
    <row r="2698" spans="1:24" x14ac:dyDescent="0.25">
      <c r="A2698" s="45"/>
      <c r="B2698" s="46"/>
      <c r="C2698" s="46"/>
      <c r="D2698" s="46"/>
      <c r="E2698" s="46"/>
      <c r="F2698" s="46"/>
      <c r="G2698" s="46"/>
      <c r="H2698" s="46"/>
      <c r="I2698" s="46"/>
      <c r="J2698" s="46"/>
      <c r="K2698" s="46"/>
      <c r="L2698" s="46"/>
      <c r="M2698" s="46"/>
      <c r="N2698" s="46"/>
      <c r="O2698" s="46"/>
      <c r="P2698" s="46"/>
      <c r="Q2698" s="46"/>
      <c r="R2698" s="46"/>
      <c r="S2698" s="46"/>
      <c r="T2698" s="46"/>
      <c r="U2698" s="46"/>
      <c r="V2698" s="46"/>
      <c r="W2698" s="46"/>
      <c r="X2698" s="11" t="str">
        <f>IF(COUNTBLANK(B2698:W2698)&gt;0,"NA",'batch classification'!J2704)</f>
        <v>NA</v>
      </c>
    </row>
    <row r="2699" spans="1:24" x14ac:dyDescent="0.25">
      <c r="A2699" s="45"/>
      <c r="B2699" s="46"/>
      <c r="C2699" s="46"/>
      <c r="D2699" s="46"/>
      <c r="E2699" s="46"/>
      <c r="F2699" s="46"/>
      <c r="G2699" s="46"/>
      <c r="H2699" s="46"/>
      <c r="I2699" s="46"/>
      <c r="J2699" s="46"/>
      <c r="K2699" s="46"/>
      <c r="L2699" s="46"/>
      <c r="M2699" s="46"/>
      <c r="N2699" s="46"/>
      <c r="O2699" s="46"/>
      <c r="P2699" s="46"/>
      <c r="Q2699" s="46"/>
      <c r="R2699" s="46"/>
      <c r="S2699" s="46"/>
      <c r="T2699" s="46"/>
      <c r="U2699" s="46"/>
      <c r="V2699" s="46"/>
      <c r="W2699" s="46"/>
      <c r="X2699" s="11" t="str">
        <f>IF(COUNTBLANK(B2699:W2699)&gt;0,"NA",'batch classification'!J2705)</f>
        <v>NA</v>
      </c>
    </row>
    <row r="2700" spans="1:24" x14ac:dyDescent="0.25">
      <c r="A2700" s="45"/>
      <c r="B2700" s="46"/>
      <c r="C2700" s="46"/>
      <c r="D2700" s="46"/>
      <c r="E2700" s="46"/>
      <c r="F2700" s="46"/>
      <c r="G2700" s="46"/>
      <c r="H2700" s="46"/>
      <c r="I2700" s="46"/>
      <c r="J2700" s="46"/>
      <c r="K2700" s="46"/>
      <c r="L2700" s="46"/>
      <c r="M2700" s="46"/>
      <c r="N2700" s="46"/>
      <c r="O2700" s="46"/>
      <c r="P2700" s="46"/>
      <c r="Q2700" s="46"/>
      <c r="R2700" s="46"/>
      <c r="S2700" s="46"/>
      <c r="T2700" s="46"/>
      <c r="U2700" s="46"/>
      <c r="V2700" s="46"/>
      <c r="W2700" s="46"/>
      <c r="X2700" s="11" t="str">
        <f>IF(COUNTBLANK(B2700:W2700)&gt;0,"NA",'batch classification'!J2706)</f>
        <v>NA</v>
      </c>
    </row>
    <row r="2701" spans="1:24" x14ac:dyDescent="0.25">
      <c r="A2701" s="45"/>
      <c r="B2701" s="46"/>
      <c r="C2701" s="46"/>
      <c r="D2701" s="46"/>
      <c r="E2701" s="46"/>
      <c r="F2701" s="46"/>
      <c r="G2701" s="46"/>
      <c r="H2701" s="46"/>
      <c r="I2701" s="46"/>
      <c r="J2701" s="46"/>
      <c r="K2701" s="46"/>
      <c r="L2701" s="46"/>
      <c r="M2701" s="46"/>
      <c r="N2701" s="46"/>
      <c r="O2701" s="46"/>
      <c r="P2701" s="46"/>
      <c r="Q2701" s="46"/>
      <c r="R2701" s="46"/>
      <c r="S2701" s="46"/>
      <c r="T2701" s="46"/>
      <c r="U2701" s="46"/>
      <c r="V2701" s="46"/>
      <c r="W2701" s="46"/>
      <c r="X2701" s="11" t="str">
        <f>IF(COUNTBLANK(B2701:W2701)&gt;0,"NA",'batch classification'!J2707)</f>
        <v>NA</v>
      </c>
    </row>
    <row r="2702" spans="1:24" x14ac:dyDescent="0.25">
      <c r="A2702" s="45"/>
      <c r="B2702" s="46"/>
      <c r="C2702" s="46"/>
      <c r="D2702" s="46"/>
      <c r="E2702" s="46"/>
      <c r="F2702" s="46"/>
      <c r="G2702" s="46"/>
      <c r="H2702" s="46"/>
      <c r="I2702" s="46"/>
      <c r="J2702" s="46"/>
      <c r="K2702" s="46"/>
      <c r="L2702" s="46"/>
      <c r="M2702" s="46"/>
      <c r="N2702" s="46"/>
      <c r="O2702" s="46"/>
      <c r="P2702" s="46"/>
      <c r="Q2702" s="46"/>
      <c r="R2702" s="46"/>
      <c r="S2702" s="46"/>
      <c r="T2702" s="46"/>
      <c r="U2702" s="46"/>
      <c r="V2702" s="46"/>
      <c r="W2702" s="46"/>
      <c r="X2702" s="11" t="str">
        <f>IF(COUNTBLANK(B2702:W2702)&gt;0,"NA",'batch classification'!J2708)</f>
        <v>NA</v>
      </c>
    </row>
    <row r="2703" spans="1:24" x14ac:dyDescent="0.25">
      <c r="A2703" s="45"/>
      <c r="B2703" s="46"/>
      <c r="C2703" s="46"/>
      <c r="D2703" s="46"/>
      <c r="E2703" s="46"/>
      <c r="F2703" s="46"/>
      <c r="G2703" s="46"/>
      <c r="H2703" s="46"/>
      <c r="I2703" s="46"/>
      <c r="J2703" s="46"/>
      <c r="K2703" s="46"/>
      <c r="L2703" s="46"/>
      <c r="M2703" s="46"/>
      <c r="N2703" s="46"/>
      <c r="O2703" s="46"/>
      <c r="P2703" s="46"/>
      <c r="Q2703" s="46"/>
      <c r="R2703" s="46"/>
      <c r="S2703" s="46"/>
      <c r="T2703" s="46"/>
      <c r="U2703" s="46"/>
      <c r="V2703" s="46"/>
      <c r="W2703" s="46"/>
      <c r="X2703" s="11" t="str">
        <f>IF(COUNTBLANK(B2703:W2703)&gt;0,"NA",'batch classification'!J2709)</f>
        <v>NA</v>
      </c>
    </row>
    <row r="2704" spans="1:24" x14ac:dyDescent="0.25">
      <c r="A2704" s="45"/>
      <c r="B2704" s="46"/>
      <c r="C2704" s="46"/>
      <c r="D2704" s="46"/>
      <c r="E2704" s="46"/>
      <c r="F2704" s="46"/>
      <c r="G2704" s="46"/>
      <c r="H2704" s="46"/>
      <c r="I2704" s="46"/>
      <c r="J2704" s="46"/>
      <c r="K2704" s="46"/>
      <c r="L2704" s="46"/>
      <c r="M2704" s="46"/>
      <c r="N2704" s="46"/>
      <c r="O2704" s="46"/>
      <c r="P2704" s="46"/>
      <c r="Q2704" s="46"/>
      <c r="R2704" s="46"/>
      <c r="S2704" s="46"/>
      <c r="T2704" s="46"/>
      <c r="U2704" s="46"/>
      <c r="V2704" s="46"/>
      <c r="W2704" s="46"/>
      <c r="X2704" s="11" t="str">
        <f>IF(COUNTBLANK(B2704:W2704)&gt;0,"NA",'batch classification'!J2710)</f>
        <v>NA</v>
      </c>
    </row>
    <row r="2705" spans="1:24" x14ac:dyDescent="0.25">
      <c r="A2705" s="45"/>
      <c r="B2705" s="46"/>
      <c r="C2705" s="46"/>
      <c r="D2705" s="46"/>
      <c r="E2705" s="46"/>
      <c r="F2705" s="46"/>
      <c r="G2705" s="46"/>
      <c r="H2705" s="46"/>
      <c r="I2705" s="46"/>
      <c r="J2705" s="46"/>
      <c r="K2705" s="46"/>
      <c r="L2705" s="46"/>
      <c r="M2705" s="46"/>
      <c r="N2705" s="46"/>
      <c r="O2705" s="46"/>
      <c r="P2705" s="46"/>
      <c r="Q2705" s="46"/>
      <c r="R2705" s="46"/>
      <c r="S2705" s="46"/>
      <c r="T2705" s="46"/>
      <c r="U2705" s="46"/>
      <c r="V2705" s="46"/>
      <c r="W2705" s="46"/>
      <c r="X2705" s="11" t="str">
        <f>IF(COUNTBLANK(B2705:W2705)&gt;0,"NA",'batch classification'!J2711)</f>
        <v>NA</v>
      </c>
    </row>
    <row r="2706" spans="1:24" x14ac:dyDescent="0.25">
      <c r="A2706" s="45"/>
      <c r="B2706" s="46"/>
      <c r="C2706" s="46"/>
      <c r="D2706" s="46"/>
      <c r="E2706" s="46"/>
      <c r="F2706" s="46"/>
      <c r="G2706" s="46"/>
      <c r="H2706" s="46"/>
      <c r="I2706" s="46"/>
      <c r="J2706" s="46"/>
      <c r="K2706" s="46"/>
      <c r="L2706" s="46"/>
      <c r="M2706" s="46"/>
      <c r="N2706" s="46"/>
      <c r="O2706" s="46"/>
      <c r="P2706" s="46"/>
      <c r="Q2706" s="46"/>
      <c r="R2706" s="46"/>
      <c r="S2706" s="46"/>
      <c r="T2706" s="46"/>
      <c r="U2706" s="46"/>
      <c r="V2706" s="46"/>
      <c r="W2706" s="46"/>
      <c r="X2706" s="11" t="str">
        <f>IF(COUNTBLANK(B2706:W2706)&gt;0,"NA",'batch classification'!J2712)</f>
        <v>NA</v>
      </c>
    </row>
    <row r="2707" spans="1:24" x14ac:dyDescent="0.25">
      <c r="A2707" s="45"/>
      <c r="B2707" s="46"/>
      <c r="C2707" s="46"/>
      <c r="D2707" s="46"/>
      <c r="E2707" s="46"/>
      <c r="F2707" s="46"/>
      <c r="G2707" s="46"/>
      <c r="H2707" s="46"/>
      <c r="I2707" s="46"/>
      <c r="J2707" s="46"/>
      <c r="K2707" s="46"/>
      <c r="L2707" s="46"/>
      <c r="M2707" s="46"/>
      <c r="N2707" s="46"/>
      <c r="O2707" s="46"/>
      <c r="P2707" s="46"/>
      <c r="Q2707" s="46"/>
      <c r="R2707" s="46"/>
      <c r="S2707" s="46"/>
      <c r="T2707" s="46"/>
      <c r="U2707" s="46"/>
      <c r="V2707" s="46"/>
      <c r="W2707" s="46"/>
      <c r="X2707" s="11" t="str">
        <f>IF(COUNTBLANK(B2707:W2707)&gt;0,"NA",'batch classification'!J2713)</f>
        <v>NA</v>
      </c>
    </row>
    <row r="2708" spans="1:24" x14ac:dyDescent="0.25">
      <c r="A2708" s="45"/>
      <c r="B2708" s="46"/>
      <c r="C2708" s="46"/>
      <c r="D2708" s="46"/>
      <c r="E2708" s="46"/>
      <c r="F2708" s="46"/>
      <c r="G2708" s="46"/>
      <c r="H2708" s="46"/>
      <c r="I2708" s="46"/>
      <c r="J2708" s="46"/>
      <c r="K2708" s="46"/>
      <c r="L2708" s="46"/>
      <c r="M2708" s="46"/>
      <c r="N2708" s="46"/>
      <c r="O2708" s="46"/>
      <c r="P2708" s="46"/>
      <c r="Q2708" s="46"/>
      <c r="R2708" s="46"/>
      <c r="S2708" s="46"/>
      <c r="T2708" s="46"/>
      <c r="U2708" s="46"/>
      <c r="V2708" s="46"/>
      <c r="W2708" s="46"/>
      <c r="X2708" s="11" t="str">
        <f>IF(COUNTBLANK(B2708:W2708)&gt;0,"NA",'batch classification'!J2714)</f>
        <v>NA</v>
      </c>
    </row>
    <row r="2709" spans="1:24" x14ac:dyDescent="0.25">
      <c r="A2709" s="45"/>
      <c r="B2709" s="46"/>
      <c r="C2709" s="46"/>
      <c r="D2709" s="46"/>
      <c r="E2709" s="46"/>
      <c r="F2709" s="46"/>
      <c r="G2709" s="46"/>
      <c r="H2709" s="46"/>
      <c r="I2709" s="46"/>
      <c r="J2709" s="46"/>
      <c r="K2709" s="46"/>
      <c r="L2709" s="46"/>
      <c r="M2709" s="46"/>
      <c r="N2709" s="46"/>
      <c r="O2709" s="46"/>
      <c r="P2709" s="46"/>
      <c r="Q2709" s="46"/>
      <c r="R2709" s="46"/>
      <c r="S2709" s="46"/>
      <c r="T2709" s="46"/>
      <c r="U2709" s="46"/>
      <c r="V2709" s="46"/>
      <c r="W2709" s="46"/>
      <c r="X2709" s="11" t="str">
        <f>IF(COUNTBLANK(B2709:W2709)&gt;0,"NA",'batch classification'!J2715)</f>
        <v>NA</v>
      </c>
    </row>
    <row r="2710" spans="1:24" x14ac:dyDescent="0.25">
      <c r="A2710" s="45"/>
      <c r="B2710" s="46"/>
      <c r="C2710" s="46"/>
      <c r="D2710" s="46"/>
      <c r="E2710" s="46"/>
      <c r="F2710" s="46"/>
      <c r="G2710" s="46"/>
      <c r="H2710" s="46"/>
      <c r="I2710" s="46"/>
      <c r="J2710" s="46"/>
      <c r="K2710" s="46"/>
      <c r="L2710" s="46"/>
      <c r="M2710" s="46"/>
      <c r="N2710" s="46"/>
      <c r="O2710" s="46"/>
      <c r="P2710" s="46"/>
      <c r="Q2710" s="46"/>
      <c r="R2710" s="46"/>
      <c r="S2710" s="46"/>
      <c r="T2710" s="46"/>
      <c r="U2710" s="46"/>
      <c r="V2710" s="46"/>
      <c r="W2710" s="46"/>
      <c r="X2710" s="11" t="str">
        <f>IF(COUNTBLANK(B2710:W2710)&gt;0,"NA",'batch classification'!J2716)</f>
        <v>NA</v>
      </c>
    </row>
    <row r="2711" spans="1:24" x14ac:dyDescent="0.25">
      <c r="A2711" s="45"/>
      <c r="B2711" s="46"/>
      <c r="C2711" s="46"/>
      <c r="D2711" s="46"/>
      <c r="E2711" s="46"/>
      <c r="F2711" s="46"/>
      <c r="G2711" s="46"/>
      <c r="H2711" s="46"/>
      <c r="I2711" s="46"/>
      <c r="J2711" s="46"/>
      <c r="K2711" s="46"/>
      <c r="L2711" s="46"/>
      <c r="M2711" s="46"/>
      <c r="N2711" s="46"/>
      <c r="O2711" s="46"/>
      <c r="P2711" s="46"/>
      <c r="Q2711" s="46"/>
      <c r="R2711" s="46"/>
      <c r="S2711" s="46"/>
      <c r="T2711" s="46"/>
      <c r="U2711" s="46"/>
      <c r="V2711" s="46"/>
      <c r="W2711" s="46"/>
      <c r="X2711" s="11" t="str">
        <f>IF(COUNTBLANK(B2711:W2711)&gt;0,"NA",'batch classification'!J2717)</f>
        <v>NA</v>
      </c>
    </row>
    <row r="2712" spans="1:24" x14ac:dyDescent="0.25">
      <c r="A2712" s="45"/>
      <c r="B2712" s="46"/>
      <c r="C2712" s="46"/>
      <c r="D2712" s="46"/>
      <c r="E2712" s="46"/>
      <c r="F2712" s="46"/>
      <c r="G2712" s="46"/>
      <c r="H2712" s="46"/>
      <c r="I2712" s="46"/>
      <c r="J2712" s="46"/>
      <c r="K2712" s="46"/>
      <c r="L2712" s="46"/>
      <c r="M2712" s="46"/>
      <c r="N2712" s="46"/>
      <c r="O2712" s="46"/>
      <c r="P2712" s="46"/>
      <c r="Q2712" s="46"/>
      <c r="R2712" s="46"/>
      <c r="S2712" s="46"/>
      <c r="T2712" s="46"/>
      <c r="U2712" s="46"/>
      <c r="V2712" s="46"/>
      <c r="W2712" s="46"/>
      <c r="X2712" s="11" t="str">
        <f>IF(COUNTBLANK(B2712:W2712)&gt;0,"NA",'batch classification'!J2718)</f>
        <v>NA</v>
      </c>
    </row>
    <row r="2713" spans="1:24" x14ac:dyDescent="0.25">
      <c r="A2713" s="45"/>
      <c r="B2713" s="46"/>
      <c r="C2713" s="46"/>
      <c r="D2713" s="46"/>
      <c r="E2713" s="46"/>
      <c r="F2713" s="46"/>
      <c r="G2713" s="46"/>
      <c r="H2713" s="46"/>
      <c r="I2713" s="46"/>
      <c r="J2713" s="46"/>
      <c r="K2713" s="46"/>
      <c r="L2713" s="46"/>
      <c r="M2713" s="46"/>
      <c r="N2713" s="46"/>
      <c r="O2713" s="46"/>
      <c r="P2713" s="46"/>
      <c r="Q2713" s="46"/>
      <c r="R2713" s="46"/>
      <c r="S2713" s="46"/>
      <c r="T2713" s="46"/>
      <c r="U2713" s="46"/>
      <c r="V2713" s="46"/>
      <c r="W2713" s="46"/>
      <c r="X2713" s="11" t="str">
        <f>IF(COUNTBLANK(B2713:W2713)&gt;0,"NA",'batch classification'!J2719)</f>
        <v>NA</v>
      </c>
    </row>
    <row r="2714" spans="1:24" x14ac:dyDescent="0.25">
      <c r="A2714" s="45"/>
      <c r="B2714" s="46"/>
      <c r="C2714" s="46"/>
      <c r="D2714" s="46"/>
      <c r="E2714" s="46"/>
      <c r="F2714" s="46"/>
      <c r="G2714" s="46"/>
      <c r="H2714" s="46"/>
      <c r="I2714" s="46"/>
      <c r="J2714" s="46"/>
      <c r="K2714" s="46"/>
      <c r="L2714" s="46"/>
      <c r="M2714" s="46"/>
      <c r="N2714" s="46"/>
      <c r="O2714" s="46"/>
      <c r="P2714" s="46"/>
      <c r="Q2714" s="46"/>
      <c r="R2714" s="46"/>
      <c r="S2714" s="46"/>
      <c r="T2714" s="46"/>
      <c r="U2714" s="46"/>
      <c r="V2714" s="46"/>
      <c r="W2714" s="46"/>
      <c r="X2714" s="11" t="str">
        <f>IF(COUNTBLANK(B2714:W2714)&gt;0,"NA",'batch classification'!J2720)</f>
        <v>NA</v>
      </c>
    </row>
    <row r="2715" spans="1:24" x14ac:dyDescent="0.25">
      <c r="A2715" s="45"/>
      <c r="B2715" s="46"/>
      <c r="C2715" s="46"/>
      <c r="D2715" s="46"/>
      <c r="E2715" s="46"/>
      <c r="F2715" s="46"/>
      <c r="G2715" s="46"/>
      <c r="H2715" s="46"/>
      <c r="I2715" s="46"/>
      <c r="J2715" s="46"/>
      <c r="K2715" s="46"/>
      <c r="L2715" s="46"/>
      <c r="M2715" s="46"/>
      <c r="N2715" s="46"/>
      <c r="O2715" s="46"/>
      <c r="P2715" s="46"/>
      <c r="Q2715" s="46"/>
      <c r="R2715" s="46"/>
      <c r="S2715" s="46"/>
      <c r="T2715" s="46"/>
      <c r="U2715" s="46"/>
      <c r="V2715" s="46"/>
      <c r="W2715" s="46"/>
      <c r="X2715" s="11" t="str">
        <f>IF(COUNTBLANK(B2715:W2715)&gt;0,"NA",'batch classification'!J2721)</f>
        <v>NA</v>
      </c>
    </row>
    <row r="2716" spans="1:24" x14ac:dyDescent="0.25">
      <c r="A2716" s="45"/>
      <c r="B2716" s="46"/>
      <c r="C2716" s="46"/>
      <c r="D2716" s="46"/>
      <c r="E2716" s="46"/>
      <c r="F2716" s="46"/>
      <c r="G2716" s="46"/>
      <c r="H2716" s="46"/>
      <c r="I2716" s="46"/>
      <c r="J2716" s="46"/>
      <c r="K2716" s="46"/>
      <c r="L2716" s="46"/>
      <c r="M2716" s="46"/>
      <c r="N2716" s="46"/>
      <c r="O2716" s="46"/>
      <c r="P2716" s="46"/>
      <c r="Q2716" s="46"/>
      <c r="R2716" s="46"/>
      <c r="S2716" s="46"/>
      <c r="T2716" s="46"/>
      <c r="U2716" s="46"/>
      <c r="V2716" s="46"/>
      <c r="W2716" s="46"/>
      <c r="X2716" s="11" t="str">
        <f>IF(COUNTBLANK(B2716:W2716)&gt;0,"NA",'batch classification'!J2722)</f>
        <v>NA</v>
      </c>
    </row>
    <row r="2717" spans="1:24" x14ac:dyDescent="0.25">
      <c r="A2717" s="45"/>
      <c r="B2717" s="46"/>
      <c r="C2717" s="46"/>
      <c r="D2717" s="46"/>
      <c r="E2717" s="46"/>
      <c r="F2717" s="46"/>
      <c r="G2717" s="46"/>
      <c r="H2717" s="46"/>
      <c r="I2717" s="46"/>
      <c r="J2717" s="46"/>
      <c r="K2717" s="46"/>
      <c r="L2717" s="46"/>
      <c r="M2717" s="46"/>
      <c r="N2717" s="46"/>
      <c r="O2717" s="46"/>
      <c r="P2717" s="46"/>
      <c r="Q2717" s="46"/>
      <c r="R2717" s="46"/>
      <c r="S2717" s="46"/>
      <c r="T2717" s="46"/>
      <c r="U2717" s="46"/>
      <c r="V2717" s="46"/>
      <c r="W2717" s="46"/>
      <c r="X2717" s="11" t="str">
        <f>IF(COUNTBLANK(B2717:W2717)&gt;0,"NA",'batch classification'!J2723)</f>
        <v>NA</v>
      </c>
    </row>
    <row r="2718" spans="1:24" x14ac:dyDescent="0.25">
      <c r="A2718" s="45"/>
      <c r="B2718" s="46"/>
      <c r="C2718" s="46"/>
      <c r="D2718" s="46"/>
      <c r="E2718" s="46"/>
      <c r="F2718" s="46"/>
      <c r="G2718" s="46"/>
      <c r="H2718" s="46"/>
      <c r="I2718" s="46"/>
      <c r="J2718" s="46"/>
      <c r="K2718" s="46"/>
      <c r="L2718" s="46"/>
      <c r="M2718" s="46"/>
      <c r="N2718" s="46"/>
      <c r="O2718" s="46"/>
      <c r="P2718" s="46"/>
      <c r="Q2718" s="46"/>
      <c r="R2718" s="46"/>
      <c r="S2718" s="46"/>
      <c r="T2718" s="46"/>
      <c r="U2718" s="46"/>
      <c r="V2718" s="46"/>
      <c r="W2718" s="46"/>
      <c r="X2718" s="11" t="str">
        <f>IF(COUNTBLANK(B2718:W2718)&gt;0,"NA",'batch classification'!J2724)</f>
        <v>NA</v>
      </c>
    </row>
    <row r="2719" spans="1:24" x14ac:dyDescent="0.25">
      <c r="A2719" s="45"/>
      <c r="B2719" s="46"/>
      <c r="C2719" s="46"/>
      <c r="D2719" s="46"/>
      <c r="E2719" s="46"/>
      <c r="F2719" s="46"/>
      <c r="G2719" s="46"/>
      <c r="H2719" s="46"/>
      <c r="I2719" s="46"/>
      <c r="J2719" s="46"/>
      <c r="K2719" s="46"/>
      <c r="L2719" s="46"/>
      <c r="M2719" s="46"/>
      <c r="N2719" s="46"/>
      <c r="O2719" s="46"/>
      <c r="P2719" s="46"/>
      <c r="Q2719" s="46"/>
      <c r="R2719" s="46"/>
      <c r="S2719" s="46"/>
      <c r="T2719" s="46"/>
      <c r="U2719" s="46"/>
      <c r="V2719" s="46"/>
      <c r="W2719" s="46"/>
      <c r="X2719" s="11" t="str">
        <f>IF(COUNTBLANK(B2719:W2719)&gt;0,"NA",'batch classification'!J2725)</f>
        <v>NA</v>
      </c>
    </row>
    <row r="2720" spans="1:24" x14ac:dyDescent="0.25">
      <c r="A2720" s="45"/>
      <c r="B2720" s="46"/>
      <c r="C2720" s="46"/>
      <c r="D2720" s="46"/>
      <c r="E2720" s="46"/>
      <c r="F2720" s="46"/>
      <c r="G2720" s="46"/>
      <c r="H2720" s="46"/>
      <c r="I2720" s="46"/>
      <c r="J2720" s="46"/>
      <c r="K2720" s="46"/>
      <c r="L2720" s="46"/>
      <c r="M2720" s="46"/>
      <c r="N2720" s="46"/>
      <c r="O2720" s="46"/>
      <c r="P2720" s="46"/>
      <c r="Q2720" s="46"/>
      <c r="R2720" s="46"/>
      <c r="S2720" s="46"/>
      <c r="T2720" s="46"/>
      <c r="U2720" s="46"/>
      <c r="V2720" s="46"/>
      <c r="W2720" s="46"/>
      <c r="X2720" s="11" t="str">
        <f>IF(COUNTBLANK(B2720:W2720)&gt;0,"NA",'batch classification'!J2726)</f>
        <v>NA</v>
      </c>
    </row>
    <row r="2721" spans="1:24" x14ac:dyDescent="0.25">
      <c r="A2721" s="45"/>
      <c r="B2721" s="46"/>
      <c r="C2721" s="46"/>
      <c r="D2721" s="46"/>
      <c r="E2721" s="46"/>
      <c r="F2721" s="46"/>
      <c r="G2721" s="46"/>
      <c r="H2721" s="46"/>
      <c r="I2721" s="46"/>
      <c r="J2721" s="46"/>
      <c r="K2721" s="46"/>
      <c r="L2721" s="46"/>
      <c r="M2721" s="46"/>
      <c r="N2721" s="46"/>
      <c r="O2721" s="46"/>
      <c r="P2721" s="46"/>
      <c r="Q2721" s="46"/>
      <c r="R2721" s="46"/>
      <c r="S2721" s="46"/>
      <c r="T2721" s="46"/>
      <c r="U2721" s="46"/>
      <c r="V2721" s="46"/>
      <c r="W2721" s="46"/>
      <c r="X2721" s="11" t="str">
        <f>IF(COUNTBLANK(B2721:W2721)&gt;0,"NA",'batch classification'!J2727)</f>
        <v>NA</v>
      </c>
    </row>
    <row r="2722" spans="1:24" x14ac:dyDescent="0.25">
      <c r="A2722" s="45"/>
      <c r="B2722" s="46"/>
      <c r="C2722" s="46"/>
      <c r="D2722" s="46"/>
      <c r="E2722" s="46"/>
      <c r="F2722" s="46"/>
      <c r="G2722" s="46"/>
      <c r="H2722" s="46"/>
      <c r="I2722" s="46"/>
      <c r="J2722" s="46"/>
      <c r="K2722" s="46"/>
      <c r="L2722" s="46"/>
      <c r="M2722" s="46"/>
      <c r="N2722" s="46"/>
      <c r="O2722" s="46"/>
      <c r="P2722" s="46"/>
      <c r="Q2722" s="46"/>
      <c r="R2722" s="46"/>
      <c r="S2722" s="46"/>
      <c r="T2722" s="46"/>
      <c r="U2722" s="46"/>
      <c r="V2722" s="46"/>
      <c r="W2722" s="46"/>
      <c r="X2722" s="11" t="str">
        <f>IF(COUNTBLANK(B2722:W2722)&gt;0,"NA",'batch classification'!J2728)</f>
        <v>NA</v>
      </c>
    </row>
    <row r="2723" spans="1:24" x14ac:dyDescent="0.25">
      <c r="A2723" s="45"/>
      <c r="B2723" s="46"/>
      <c r="C2723" s="46"/>
      <c r="D2723" s="46"/>
      <c r="E2723" s="46"/>
      <c r="F2723" s="46"/>
      <c r="G2723" s="46"/>
      <c r="H2723" s="46"/>
      <c r="I2723" s="46"/>
      <c r="J2723" s="46"/>
      <c r="K2723" s="46"/>
      <c r="L2723" s="46"/>
      <c r="M2723" s="46"/>
      <c r="N2723" s="46"/>
      <c r="O2723" s="46"/>
      <c r="P2723" s="46"/>
      <c r="Q2723" s="46"/>
      <c r="R2723" s="46"/>
      <c r="S2723" s="46"/>
      <c r="T2723" s="46"/>
      <c r="U2723" s="46"/>
      <c r="V2723" s="46"/>
      <c r="W2723" s="46"/>
      <c r="X2723" s="11" t="str">
        <f>IF(COUNTBLANK(B2723:W2723)&gt;0,"NA",'batch classification'!J2729)</f>
        <v>NA</v>
      </c>
    </row>
    <row r="2724" spans="1:24" x14ac:dyDescent="0.25">
      <c r="A2724" s="45"/>
      <c r="B2724" s="46"/>
      <c r="C2724" s="46"/>
      <c r="D2724" s="46"/>
      <c r="E2724" s="46"/>
      <c r="F2724" s="46"/>
      <c r="G2724" s="46"/>
      <c r="H2724" s="46"/>
      <c r="I2724" s="46"/>
      <c r="J2724" s="46"/>
      <c r="K2724" s="46"/>
      <c r="L2724" s="46"/>
      <c r="M2724" s="46"/>
      <c r="N2724" s="46"/>
      <c r="O2724" s="46"/>
      <c r="P2724" s="46"/>
      <c r="Q2724" s="46"/>
      <c r="R2724" s="46"/>
      <c r="S2724" s="46"/>
      <c r="T2724" s="46"/>
      <c r="U2724" s="46"/>
      <c r="V2724" s="46"/>
      <c r="W2724" s="46"/>
      <c r="X2724" s="11" t="str">
        <f>IF(COUNTBLANK(B2724:W2724)&gt;0,"NA",'batch classification'!J2730)</f>
        <v>NA</v>
      </c>
    </row>
    <row r="2725" spans="1:24" x14ac:dyDescent="0.25">
      <c r="A2725" s="45"/>
      <c r="B2725" s="46"/>
      <c r="C2725" s="46"/>
      <c r="D2725" s="46"/>
      <c r="E2725" s="46"/>
      <c r="F2725" s="46"/>
      <c r="G2725" s="46"/>
      <c r="H2725" s="46"/>
      <c r="I2725" s="46"/>
      <c r="J2725" s="46"/>
      <c r="K2725" s="46"/>
      <c r="L2725" s="46"/>
      <c r="M2725" s="46"/>
      <c r="N2725" s="46"/>
      <c r="O2725" s="46"/>
      <c r="P2725" s="46"/>
      <c r="Q2725" s="46"/>
      <c r="R2725" s="46"/>
      <c r="S2725" s="46"/>
      <c r="T2725" s="46"/>
      <c r="U2725" s="46"/>
      <c r="V2725" s="46"/>
      <c r="W2725" s="46"/>
      <c r="X2725" s="11" t="str">
        <f>IF(COUNTBLANK(B2725:W2725)&gt;0,"NA",'batch classification'!J2731)</f>
        <v>NA</v>
      </c>
    </row>
    <row r="2726" spans="1:24" x14ac:dyDescent="0.25">
      <c r="A2726" s="45"/>
      <c r="B2726" s="46"/>
      <c r="C2726" s="46"/>
      <c r="D2726" s="46"/>
      <c r="E2726" s="46"/>
      <c r="F2726" s="46"/>
      <c r="G2726" s="46"/>
      <c r="H2726" s="46"/>
      <c r="I2726" s="46"/>
      <c r="J2726" s="46"/>
      <c r="K2726" s="46"/>
      <c r="L2726" s="46"/>
      <c r="M2726" s="46"/>
      <c r="N2726" s="46"/>
      <c r="O2726" s="46"/>
      <c r="P2726" s="46"/>
      <c r="Q2726" s="46"/>
      <c r="R2726" s="46"/>
      <c r="S2726" s="46"/>
      <c r="T2726" s="46"/>
      <c r="U2726" s="46"/>
      <c r="V2726" s="46"/>
      <c r="W2726" s="46"/>
      <c r="X2726" s="11" t="str">
        <f>IF(COUNTBLANK(B2726:W2726)&gt;0,"NA",'batch classification'!J2732)</f>
        <v>NA</v>
      </c>
    </row>
    <row r="2727" spans="1:24" x14ac:dyDescent="0.25">
      <c r="A2727" s="45"/>
      <c r="B2727" s="46"/>
      <c r="C2727" s="46"/>
      <c r="D2727" s="46"/>
      <c r="E2727" s="46"/>
      <c r="F2727" s="46"/>
      <c r="G2727" s="46"/>
      <c r="H2727" s="46"/>
      <c r="I2727" s="46"/>
      <c r="J2727" s="46"/>
      <c r="K2727" s="46"/>
      <c r="L2727" s="46"/>
      <c r="M2727" s="46"/>
      <c r="N2727" s="46"/>
      <c r="O2727" s="46"/>
      <c r="P2727" s="46"/>
      <c r="Q2727" s="46"/>
      <c r="R2727" s="46"/>
      <c r="S2727" s="46"/>
      <c r="T2727" s="46"/>
      <c r="U2727" s="46"/>
      <c r="V2727" s="46"/>
      <c r="W2727" s="46"/>
      <c r="X2727" s="11" t="str">
        <f>IF(COUNTBLANK(B2727:W2727)&gt;0,"NA",'batch classification'!J2733)</f>
        <v>NA</v>
      </c>
    </row>
    <row r="2728" spans="1:24" x14ac:dyDescent="0.25">
      <c r="A2728" s="45"/>
      <c r="B2728" s="46"/>
      <c r="C2728" s="46"/>
      <c r="D2728" s="46"/>
      <c r="E2728" s="46"/>
      <c r="F2728" s="46"/>
      <c r="G2728" s="46"/>
      <c r="H2728" s="46"/>
      <c r="I2728" s="46"/>
      <c r="J2728" s="46"/>
      <c r="K2728" s="46"/>
      <c r="L2728" s="46"/>
      <c r="M2728" s="46"/>
      <c r="N2728" s="46"/>
      <c r="O2728" s="46"/>
      <c r="P2728" s="46"/>
      <c r="Q2728" s="46"/>
      <c r="R2728" s="46"/>
      <c r="S2728" s="46"/>
      <c r="T2728" s="46"/>
      <c r="U2728" s="46"/>
      <c r="V2728" s="46"/>
      <c r="W2728" s="46"/>
      <c r="X2728" s="11" t="str">
        <f>IF(COUNTBLANK(B2728:W2728)&gt;0,"NA",'batch classification'!J2734)</f>
        <v>NA</v>
      </c>
    </row>
    <row r="2729" spans="1:24" x14ac:dyDescent="0.25">
      <c r="A2729" s="45"/>
      <c r="B2729" s="46"/>
      <c r="C2729" s="46"/>
      <c r="D2729" s="46"/>
      <c r="E2729" s="46"/>
      <c r="F2729" s="46"/>
      <c r="G2729" s="46"/>
      <c r="H2729" s="46"/>
      <c r="I2729" s="46"/>
      <c r="J2729" s="46"/>
      <c r="K2729" s="46"/>
      <c r="L2729" s="46"/>
      <c r="M2729" s="46"/>
      <c r="N2729" s="46"/>
      <c r="O2729" s="46"/>
      <c r="P2729" s="46"/>
      <c r="Q2729" s="46"/>
      <c r="R2729" s="46"/>
      <c r="S2729" s="46"/>
      <c r="T2729" s="46"/>
      <c r="U2729" s="46"/>
      <c r="V2729" s="46"/>
      <c r="W2729" s="46"/>
      <c r="X2729" s="11" t="str">
        <f>IF(COUNTBLANK(B2729:W2729)&gt;0,"NA",'batch classification'!J2735)</f>
        <v>NA</v>
      </c>
    </row>
    <row r="2730" spans="1:24" x14ac:dyDescent="0.25">
      <c r="A2730" s="45"/>
      <c r="B2730" s="46"/>
      <c r="C2730" s="46"/>
      <c r="D2730" s="46"/>
      <c r="E2730" s="46"/>
      <c r="F2730" s="46"/>
      <c r="G2730" s="46"/>
      <c r="H2730" s="46"/>
      <c r="I2730" s="46"/>
      <c r="J2730" s="46"/>
      <c r="K2730" s="46"/>
      <c r="L2730" s="46"/>
      <c r="M2730" s="46"/>
      <c r="N2730" s="46"/>
      <c r="O2730" s="46"/>
      <c r="P2730" s="46"/>
      <c r="Q2730" s="46"/>
      <c r="R2730" s="46"/>
      <c r="S2730" s="46"/>
      <c r="T2730" s="46"/>
      <c r="U2730" s="46"/>
      <c r="V2730" s="46"/>
      <c r="W2730" s="46"/>
      <c r="X2730" s="11" t="str">
        <f>IF(COUNTBLANK(B2730:W2730)&gt;0,"NA",'batch classification'!J2736)</f>
        <v>NA</v>
      </c>
    </row>
    <row r="2731" spans="1:24" x14ac:dyDescent="0.25">
      <c r="A2731" s="45"/>
      <c r="B2731" s="46"/>
      <c r="C2731" s="46"/>
      <c r="D2731" s="46"/>
      <c r="E2731" s="46"/>
      <c r="F2731" s="46"/>
      <c r="G2731" s="46"/>
      <c r="H2731" s="46"/>
      <c r="I2731" s="46"/>
      <c r="J2731" s="46"/>
      <c r="K2731" s="46"/>
      <c r="L2731" s="46"/>
      <c r="M2731" s="46"/>
      <c r="N2731" s="46"/>
      <c r="O2731" s="46"/>
      <c r="P2731" s="46"/>
      <c r="Q2731" s="46"/>
      <c r="R2731" s="46"/>
      <c r="S2731" s="46"/>
      <c r="T2731" s="46"/>
      <c r="U2731" s="46"/>
      <c r="V2731" s="46"/>
      <c r="W2731" s="46"/>
      <c r="X2731" s="11" t="str">
        <f>IF(COUNTBLANK(B2731:W2731)&gt;0,"NA",'batch classification'!J2737)</f>
        <v>NA</v>
      </c>
    </row>
    <row r="2732" spans="1:24" x14ac:dyDescent="0.25">
      <c r="A2732" s="45"/>
      <c r="B2732" s="46"/>
      <c r="C2732" s="46"/>
      <c r="D2732" s="46"/>
      <c r="E2732" s="46"/>
      <c r="F2732" s="46"/>
      <c r="G2732" s="46"/>
      <c r="H2732" s="46"/>
      <c r="I2732" s="46"/>
      <c r="J2732" s="46"/>
      <c r="K2732" s="46"/>
      <c r="L2732" s="46"/>
      <c r="M2732" s="46"/>
      <c r="N2732" s="46"/>
      <c r="O2732" s="46"/>
      <c r="P2732" s="46"/>
      <c r="Q2732" s="46"/>
      <c r="R2732" s="46"/>
      <c r="S2732" s="46"/>
      <c r="T2732" s="46"/>
      <c r="U2732" s="46"/>
      <c r="V2732" s="46"/>
      <c r="W2732" s="46"/>
      <c r="X2732" s="11" t="str">
        <f>IF(COUNTBLANK(B2732:W2732)&gt;0,"NA",'batch classification'!J2738)</f>
        <v>NA</v>
      </c>
    </row>
    <row r="2733" spans="1:24" x14ac:dyDescent="0.25">
      <c r="A2733" s="45"/>
      <c r="B2733" s="46"/>
      <c r="C2733" s="46"/>
      <c r="D2733" s="46"/>
      <c r="E2733" s="46"/>
      <c r="F2733" s="46"/>
      <c r="G2733" s="46"/>
      <c r="H2733" s="46"/>
      <c r="I2733" s="46"/>
      <c r="J2733" s="46"/>
      <c r="K2733" s="46"/>
      <c r="L2733" s="46"/>
      <c r="M2733" s="46"/>
      <c r="N2733" s="46"/>
      <c r="O2733" s="46"/>
      <c r="P2733" s="46"/>
      <c r="Q2733" s="46"/>
      <c r="R2733" s="46"/>
      <c r="S2733" s="46"/>
      <c r="T2733" s="46"/>
      <c r="U2733" s="46"/>
      <c r="V2733" s="46"/>
      <c r="W2733" s="46"/>
      <c r="X2733" s="11" t="str">
        <f>IF(COUNTBLANK(B2733:W2733)&gt;0,"NA",'batch classification'!J2739)</f>
        <v>NA</v>
      </c>
    </row>
    <row r="2734" spans="1:24" x14ac:dyDescent="0.25">
      <c r="A2734" s="45"/>
      <c r="B2734" s="46"/>
      <c r="C2734" s="46"/>
      <c r="D2734" s="46"/>
      <c r="E2734" s="46"/>
      <c r="F2734" s="46"/>
      <c r="G2734" s="46"/>
      <c r="H2734" s="46"/>
      <c r="I2734" s="46"/>
      <c r="J2734" s="46"/>
      <c r="K2734" s="46"/>
      <c r="L2734" s="46"/>
      <c r="M2734" s="46"/>
      <c r="N2734" s="46"/>
      <c r="O2734" s="46"/>
      <c r="P2734" s="46"/>
      <c r="Q2734" s="46"/>
      <c r="R2734" s="46"/>
      <c r="S2734" s="46"/>
      <c r="T2734" s="46"/>
      <c r="U2734" s="46"/>
      <c r="V2734" s="46"/>
      <c r="W2734" s="46"/>
      <c r="X2734" s="11" t="str">
        <f>IF(COUNTBLANK(B2734:W2734)&gt;0,"NA",'batch classification'!J2740)</f>
        <v>NA</v>
      </c>
    </row>
    <row r="2735" spans="1:24" x14ac:dyDescent="0.25">
      <c r="A2735" s="45"/>
      <c r="B2735" s="46"/>
      <c r="C2735" s="46"/>
      <c r="D2735" s="46"/>
      <c r="E2735" s="46"/>
      <c r="F2735" s="46"/>
      <c r="G2735" s="46"/>
      <c r="H2735" s="46"/>
      <c r="I2735" s="46"/>
      <c r="J2735" s="46"/>
      <c r="K2735" s="46"/>
      <c r="L2735" s="46"/>
      <c r="M2735" s="46"/>
      <c r="N2735" s="46"/>
      <c r="O2735" s="46"/>
      <c r="P2735" s="46"/>
      <c r="Q2735" s="46"/>
      <c r="R2735" s="46"/>
      <c r="S2735" s="46"/>
      <c r="T2735" s="46"/>
      <c r="U2735" s="46"/>
      <c r="V2735" s="46"/>
      <c r="W2735" s="46"/>
      <c r="X2735" s="11" t="str">
        <f>IF(COUNTBLANK(B2735:W2735)&gt;0,"NA",'batch classification'!J2741)</f>
        <v>NA</v>
      </c>
    </row>
    <row r="2736" spans="1:24" x14ac:dyDescent="0.25">
      <c r="A2736" s="45"/>
      <c r="B2736" s="46"/>
      <c r="C2736" s="46"/>
      <c r="D2736" s="46"/>
      <c r="E2736" s="46"/>
      <c r="F2736" s="46"/>
      <c r="G2736" s="46"/>
      <c r="H2736" s="46"/>
      <c r="I2736" s="46"/>
      <c r="J2736" s="46"/>
      <c r="K2736" s="46"/>
      <c r="L2736" s="46"/>
      <c r="M2736" s="46"/>
      <c r="N2736" s="46"/>
      <c r="O2736" s="46"/>
      <c r="P2736" s="46"/>
      <c r="Q2736" s="46"/>
      <c r="R2736" s="46"/>
      <c r="S2736" s="46"/>
      <c r="T2736" s="46"/>
      <c r="U2736" s="46"/>
      <c r="V2736" s="46"/>
      <c r="W2736" s="46"/>
      <c r="X2736" s="11" t="str">
        <f>IF(COUNTBLANK(B2736:W2736)&gt;0,"NA",'batch classification'!J2742)</f>
        <v>NA</v>
      </c>
    </row>
    <row r="2737" spans="1:24" x14ac:dyDescent="0.25">
      <c r="A2737" s="45"/>
      <c r="B2737" s="46"/>
      <c r="C2737" s="46"/>
      <c r="D2737" s="46"/>
      <c r="E2737" s="46"/>
      <c r="F2737" s="46"/>
      <c r="G2737" s="46"/>
      <c r="H2737" s="46"/>
      <c r="I2737" s="46"/>
      <c r="J2737" s="46"/>
      <c r="K2737" s="46"/>
      <c r="L2737" s="46"/>
      <c r="M2737" s="46"/>
      <c r="N2737" s="46"/>
      <c r="O2737" s="46"/>
      <c r="P2737" s="46"/>
      <c r="Q2737" s="46"/>
      <c r="R2737" s="46"/>
      <c r="S2737" s="46"/>
      <c r="T2737" s="46"/>
      <c r="U2737" s="46"/>
      <c r="V2737" s="46"/>
      <c r="W2737" s="46"/>
      <c r="X2737" s="11" t="str">
        <f>IF(COUNTBLANK(B2737:W2737)&gt;0,"NA",'batch classification'!J2743)</f>
        <v>NA</v>
      </c>
    </row>
    <row r="2738" spans="1:24" x14ac:dyDescent="0.25">
      <c r="A2738" s="45"/>
      <c r="B2738" s="46"/>
      <c r="C2738" s="46"/>
      <c r="D2738" s="46"/>
      <c r="E2738" s="46"/>
      <c r="F2738" s="46"/>
      <c r="G2738" s="46"/>
      <c r="H2738" s="46"/>
      <c r="I2738" s="46"/>
      <c r="J2738" s="46"/>
      <c r="K2738" s="46"/>
      <c r="L2738" s="46"/>
      <c r="M2738" s="46"/>
      <c r="N2738" s="46"/>
      <c r="O2738" s="46"/>
      <c r="P2738" s="46"/>
      <c r="Q2738" s="46"/>
      <c r="R2738" s="46"/>
      <c r="S2738" s="46"/>
      <c r="T2738" s="46"/>
      <c r="U2738" s="46"/>
      <c r="V2738" s="46"/>
      <c r="W2738" s="46"/>
      <c r="X2738" s="11" t="str">
        <f>IF(COUNTBLANK(B2738:W2738)&gt;0,"NA",'batch classification'!J2744)</f>
        <v>NA</v>
      </c>
    </row>
    <row r="2739" spans="1:24" x14ac:dyDescent="0.25">
      <c r="A2739" s="45"/>
      <c r="B2739" s="46"/>
      <c r="C2739" s="46"/>
      <c r="D2739" s="46"/>
      <c r="E2739" s="46"/>
      <c r="F2739" s="46"/>
      <c r="G2739" s="46"/>
      <c r="H2739" s="46"/>
      <c r="I2739" s="46"/>
      <c r="J2739" s="46"/>
      <c r="K2739" s="46"/>
      <c r="L2739" s="46"/>
      <c r="M2739" s="46"/>
      <c r="N2739" s="46"/>
      <c r="O2739" s="46"/>
      <c r="P2739" s="46"/>
      <c r="Q2739" s="46"/>
      <c r="R2739" s="46"/>
      <c r="S2739" s="46"/>
      <c r="T2739" s="46"/>
      <c r="U2739" s="46"/>
      <c r="V2739" s="46"/>
      <c r="W2739" s="46"/>
      <c r="X2739" s="11" t="str">
        <f>IF(COUNTBLANK(B2739:W2739)&gt;0,"NA",'batch classification'!J2745)</f>
        <v>NA</v>
      </c>
    </row>
    <row r="2740" spans="1:24" x14ac:dyDescent="0.25">
      <c r="A2740" s="45"/>
      <c r="B2740" s="46"/>
      <c r="C2740" s="46"/>
      <c r="D2740" s="46"/>
      <c r="E2740" s="46"/>
      <c r="F2740" s="46"/>
      <c r="G2740" s="46"/>
      <c r="H2740" s="46"/>
      <c r="I2740" s="46"/>
      <c r="J2740" s="46"/>
      <c r="K2740" s="46"/>
      <c r="L2740" s="46"/>
      <c r="M2740" s="46"/>
      <c r="N2740" s="46"/>
      <c r="O2740" s="46"/>
      <c r="P2740" s="46"/>
      <c r="Q2740" s="46"/>
      <c r="R2740" s="46"/>
      <c r="S2740" s="46"/>
      <c r="T2740" s="46"/>
      <c r="U2740" s="46"/>
      <c r="V2740" s="46"/>
      <c r="W2740" s="46"/>
      <c r="X2740" s="11" t="str">
        <f>IF(COUNTBLANK(B2740:W2740)&gt;0,"NA",'batch classification'!J2746)</f>
        <v>NA</v>
      </c>
    </row>
    <row r="2741" spans="1:24" x14ac:dyDescent="0.25">
      <c r="A2741" s="45"/>
      <c r="B2741" s="46"/>
      <c r="C2741" s="46"/>
      <c r="D2741" s="46"/>
      <c r="E2741" s="46"/>
      <c r="F2741" s="46"/>
      <c r="G2741" s="46"/>
      <c r="H2741" s="46"/>
      <c r="I2741" s="46"/>
      <c r="J2741" s="46"/>
      <c r="K2741" s="46"/>
      <c r="L2741" s="46"/>
      <c r="M2741" s="46"/>
      <c r="N2741" s="46"/>
      <c r="O2741" s="46"/>
      <c r="P2741" s="46"/>
      <c r="Q2741" s="46"/>
      <c r="R2741" s="46"/>
      <c r="S2741" s="46"/>
      <c r="T2741" s="46"/>
      <c r="U2741" s="46"/>
      <c r="V2741" s="46"/>
      <c r="W2741" s="46"/>
      <c r="X2741" s="11" t="str">
        <f>IF(COUNTBLANK(B2741:W2741)&gt;0,"NA",'batch classification'!J2747)</f>
        <v>NA</v>
      </c>
    </row>
    <row r="2742" spans="1:24" x14ac:dyDescent="0.25">
      <c r="A2742" s="45"/>
      <c r="B2742" s="46"/>
      <c r="C2742" s="46"/>
      <c r="D2742" s="46"/>
      <c r="E2742" s="46"/>
      <c r="F2742" s="46"/>
      <c r="G2742" s="46"/>
      <c r="H2742" s="46"/>
      <c r="I2742" s="46"/>
      <c r="J2742" s="46"/>
      <c r="K2742" s="46"/>
      <c r="L2742" s="46"/>
      <c r="M2742" s="46"/>
      <c r="N2742" s="46"/>
      <c r="O2742" s="46"/>
      <c r="P2742" s="46"/>
      <c r="Q2742" s="46"/>
      <c r="R2742" s="46"/>
      <c r="S2742" s="46"/>
      <c r="T2742" s="46"/>
      <c r="U2742" s="46"/>
      <c r="V2742" s="46"/>
      <c r="W2742" s="46"/>
      <c r="X2742" s="11" t="str">
        <f>IF(COUNTBLANK(B2742:W2742)&gt;0,"NA",'batch classification'!J2748)</f>
        <v>NA</v>
      </c>
    </row>
    <row r="2743" spans="1:24" x14ac:dyDescent="0.25">
      <c r="A2743" s="45"/>
      <c r="B2743" s="46"/>
      <c r="C2743" s="46"/>
      <c r="D2743" s="46"/>
      <c r="E2743" s="46"/>
      <c r="F2743" s="46"/>
      <c r="G2743" s="46"/>
      <c r="H2743" s="46"/>
      <c r="I2743" s="46"/>
      <c r="J2743" s="46"/>
      <c r="K2743" s="46"/>
      <c r="L2743" s="46"/>
      <c r="M2743" s="46"/>
      <c r="N2743" s="46"/>
      <c r="O2743" s="46"/>
      <c r="P2743" s="46"/>
      <c r="Q2743" s="46"/>
      <c r="R2743" s="46"/>
      <c r="S2743" s="46"/>
      <c r="T2743" s="46"/>
      <c r="U2743" s="46"/>
      <c r="V2743" s="46"/>
      <c r="W2743" s="46"/>
      <c r="X2743" s="11" t="str">
        <f>IF(COUNTBLANK(B2743:W2743)&gt;0,"NA",'batch classification'!J2749)</f>
        <v>NA</v>
      </c>
    </row>
    <row r="2744" spans="1:24" x14ac:dyDescent="0.25">
      <c r="A2744" s="45"/>
      <c r="B2744" s="46"/>
      <c r="C2744" s="46"/>
      <c r="D2744" s="46"/>
      <c r="E2744" s="46"/>
      <c r="F2744" s="46"/>
      <c r="G2744" s="46"/>
      <c r="H2744" s="46"/>
      <c r="I2744" s="46"/>
      <c r="J2744" s="46"/>
      <c r="K2744" s="46"/>
      <c r="L2744" s="46"/>
      <c r="M2744" s="46"/>
      <c r="N2744" s="46"/>
      <c r="O2744" s="46"/>
      <c r="P2744" s="46"/>
      <c r="Q2744" s="46"/>
      <c r="R2744" s="46"/>
      <c r="S2744" s="46"/>
      <c r="T2744" s="46"/>
      <c r="U2744" s="46"/>
      <c r="V2744" s="46"/>
      <c r="W2744" s="46"/>
      <c r="X2744" s="11" t="str">
        <f>IF(COUNTBLANK(B2744:W2744)&gt;0,"NA",'batch classification'!J2750)</f>
        <v>NA</v>
      </c>
    </row>
    <row r="2745" spans="1:24" x14ac:dyDescent="0.25">
      <c r="A2745" s="45"/>
      <c r="B2745" s="46"/>
      <c r="C2745" s="46"/>
      <c r="D2745" s="46"/>
      <c r="E2745" s="46"/>
      <c r="F2745" s="46"/>
      <c r="G2745" s="46"/>
      <c r="H2745" s="46"/>
      <c r="I2745" s="46"/>
      <c r="J2745" s="46"/>
      <c r="K2745" s="46"/>
      <c r="L2745" s="46"/>
      <c r="M2745" s="46"/>
      <c r="N2745" s="46"/>
      <c r="O2745" s="46"/>
      <c r="P2745" s="46"/>
      <c r="Q2745" s="46"/>
      <c r="R2745" s="46"/>
      <c r="S2745" s="46"/>
      <c r="T2745" s="46"/>
      <c r="U2745" s="46"/>
      <c r="V2745" s="46"/>
      <c r="W2745" s="46"/>
      <c r="X2745" s="11" t="str">
        <f>IF(COUNTBLANK(B2745:W2745)&gt;0,"NA",'batch classification'!J2751)</f>
        <v>NA</v>
      </c>
    </row>
    <row r="2746" spans="1:24" x14ac:dyDescent="0.25">
      <c r="A2746" s="45"/>
      <c r="B2746" s="46"/>
      <c r="C2746" s="46"/>
      <c r="D2746" s="46"/>
      <c r="E2746" s="46"/>
      <c r="F2746" s="46"/>
      <c r="G2746" s="46"/>
      <c r="H2746" s="46"/>
      <c r="I2746" s="46"/>
      <c r="J2746" s="46"/>
      <c r="K2746" s="46"/>
      <c r="L2746" s="46"/>
      <c r="M2746" s="46"/>
      <c r="N2746" s="46"/>
      <c r="O2746" s="46"/>
      <c r="P2746" s="46"/>
      <c r="Q2746" s="46"/>
      <c r="R2746" s="46"/>
      <c r="S2746" s="46"/>
      <c r="T2746" s="46"/>
      <c r="U2746" s="46"/>
      <c r="V2746" s="46"/>
      <c r="W2746" s="46"/>
      <c r="X2746" s="11" t="str">
        <f>IF(COUNTBLANK(B2746:W2746)&gt;0,"NA",'batch classification'!J2752)</f>
        <v>NA</v>
      </c>
    </row>
    <row r="2747" spans="1:24" x14ac:dyDescent="0.25">
      <c r="A2747" s="45"/>
      <c r="B2747" s="46"/>
      <c r="C2747" s="46"/>
      <c r="D2747" s="46"/>
      <c r="E2747" s="46"/>
      <c r="F2747" s="46"/>
      <c r="G2747" s="46"/>
      <c r="H2747" s="46"/>
      <c r="I2747" s="46"/>
      <c r="J2747" s="46"/>
      <c r="K2747" s="46"/>
      <c r="L2747" s="46"/>
      <c r="M2747" s="46"/>
      <c r="N2747" s="46"/>
      <c r="O2747" s="46"/>
      <c r="P2747" s="46"/>
      <c r="Q2747" s="46"/>
      <c r="R2747" s="46"/>
      <c r="S2747" s="46"/>
      <c r="T2747" s="46"/>
      <c r="U2747" s="46"/>
      <c r="V2747" s="46"/>
      <c r="W2747" s="46"/>
      <c r="X2747" s="11" t="str">
        <f>IF(COUNTBLANK(B2747:W2747)&gt;0,"NA",'batch classification'!J2753)</f>
        <v>NA</v>
      </c>
    </row>
    <row r="2748" spans="1:24" x14ac:dyDescent="0.25">
      <c r="A2748" s="45"/>
      <c r="B2748" s="46"/>
      <c r="C2748" s="46"/>
      <c r="D2748" s="46"/>
      <c r="E2748" s="46"/>
      <c r="F2748" s="46"/>
      <c r="G2748" s="46"/>
      <c r="H2748" s="46"/>
      <c r="I2748" s="46"/>
      <c r="J2748" s="46"/>
      <c r="K2748" s="46"/>
      <c r="L2748" s="46"/>
      <c r="M2748" s="46"/>
      <c r="N2748" s="46"/>
      <c r="O2748" s="46"/>
      <c r="P2748" s="46"/>
      <c r="Q2748" s="46"/>
      <c r="R2748" s="46"/>
      <c r="S2748" s="46"/>
      <c r="T2748" s="46"/>
      <c r="U2748" s="46"/>
      <c r="V2748" s="46"/>
      <c r="W2748" s="46"/>
      <c r="X2748" s="11" t="str">
        <f>IF(COUNTBLANK(B2748:W2748)&gt;0,"NA",'batch classification'!J2754)</f>
        <v>NA</v>
      </c>
    </row>
    <row r="2749" spans="1:24" x14ac:dyDescent="0.25">
      <c r="A2749" s="45"/>
      <c r="B2749" s="46"/>
      <c r="C2749" s="46"/>
      <c r="D2749" s="46"/>
      <c r="E2749" s="46"/>
      <c r="F2749" s="46"/>
      <c r="G2749" s="46"/>
      <c r="H2749" s="46"/>
      <c r="I2749" s="46"/>
      <c r="J2749" s="46"/>
      <c r="K2749" s="46"/>
      <c r="L2749" s="46"/>
      <c r="M2749" s="46"/>
      <c r="N2749" s="46"/>
      <c r="O2749" s="46"/>
      <c r="P2749" s="46"/>
      <c r="Q2749" s="46"/>
      <c r="R2749" s="46"/>
      <c r="S2749" s="46"/>
      <c r="T2749" s="46"/>
      <c r="U2749" s="46"/>
      <c r="V2749" s="46"/>
      <c r="W2749" s="46"/>
      <c r="X2749" s="11" t="str">
        <f>IF(COUNTBLANK(B2749:W2749)&gt;0,"NA",'batch classification'!J2755)</f>
        <v>NA</v>
      </c>
    </row>
    <row r="2750" spans="1:24" x14ac:dyDescent="0.25">
      <c r="A2750" s="45"/>
      <c r="B2750" s="46"/>
      <c r="C2750" s="46"/>
      <c r="D2750" s="46"/>
      <c r="E2750" s="46"/>
      <c r="F2750" s="46"/>
      <c r="G2750" s="46"/>
      <c r="H2750" s="46"/>
      <c r="I2750" s="46"/>
      <c r="J2750" s="46"/>
      <c r="K2750" s="46"/>
      <c r="L2750" s="46"/>
      <c r="M2750" s="46"/>
      <c r="N2750" s="46"/>
      <c r="O2750" s="46"/>
      <c r="P2750" s="46"/>
      <c r="Q2750" s="46"/>
      <c r="R2750" s="46"/>
      <c r="S2750" s="46"/>
      <c r="T2750" s="46"/>
      <c r="U2750" s="46"/>
      <c r="V2750" s="46"/>
      <c r="W2750" s="46"/>
      <c r="X2750" s="11" t="str">
        <f>IF(COUNTBLANK(B2750:W2750)&gt;0,"NA",'batch classification'!J2756)</f>
        <v>NA</v>
      </c>
    </row>
    <row r="2751" spans="1:24" x14ac:dyDescent="0.25">
      <c r="A2751" s="45"/>
      <c r="B2751" s="46"/>
      <c r="C2751" s="46"/>
      <c r="D2751" s="46"/>
      <c r="E2751" s="46"/>
      <c r="F2751" s="46"/>
      <c r="G2751" s="46"/>
      <c r="H2751" s="46"/>
      <c r="I2751" s="46"/>
      <c r="J2751" s="46"/>
      <c r="K2751" s="46"/>
      <c r="L2751" s="46"/>
      <c r="M2751" s="46"/>
      <c r="N2751" s="46"/>
      <c r="O2751" s="46"/>
      <c r="P2751" s="46"/>
      <c r="Q2751" s="46"/>
      <c r="R2751" s="46"/>
      <c r="S2751" s="46"/>
      <c r="T2751" s="46"/>
      <c r="U2751" s="46"/>
      <c r="V2751" s="46"/>
      <c r="W2751" s="46"/>
      <c r="X2751" s="11" t="str">
        <f>IF(COUNTBLANK(B2751:W2751)&gt;0,"NA",'batch classification'!J2757)</f>
        <v>NA</v>
      </c>
    </row>
    <row r="2752" spans="1:24" x14ac:dyDescent="0.25">
      <c r="A2752" s="45"/>
      <c r="B2752" s="46"/>
      <c r="C2752" s="46"/>
      <c r="D2752" s="46"/>
      <c r="E2752" s="46"/>
      <c r="F2752" s="46"/>
      <c r="G2752" s="46"/>
      <c r="H2752" s="46"/>
      <c r="I2752" s="46"/>
      <c r="J2752" s="46"/>
      <c r="K2752" s="46"/>
      <c r="L2752" s="46"/>
      <c r="M2752" s="46"/>
      <c r="N2752" s="46"/>
      <c r="O2752" s="46"/>
      <c r="P2752" s="46"/>
      <c r="Q2752" s="46"/>
      <c r="R2752" s="46"/>
      <c r="S2752" s="46"/>
      <c r="T2752" s="46"/>
      <c r="U2752" s="46"/>
      <c r="V2752" s="46"/>
      <c r="W2752" s="46"/>
      <c r="X2752" s="11" t="str">
        <f>IF(COUNTBLANK(B2752:W2752)&gt;0,"NA",'batch classification'!J2758)</f>
        <v>NA</v>
      </c>
    </row>
    <row r="2753" spans="1:24" x14ac:dyDescent="0.25">
      <c r="A2753" s="45"/>
      <c r="B2753" s="46"/>
      <c r="C2753" s="46"/>
      <c r="D2753" s="46"/>
      <c r="E2753" s="46"/>
      <c r="F2753" s="46"/>
      <c r="G2753" s="46"/>
      <c r="H2753" s="46"/>
      <c r="I2753" s="46"/>
      <c r="J2753" s="46"/>
      <c r="K2753" s="46"/>
      <c r="L2753" s="46"/>
      <c r="M2753" s="46"/>
      <c r="N2753" s="46"/>
      <c r="O2753" s="46"/>
      <c r="P2753" s="46"/>
      <c r="Q2753" s="46"/>
      <c r="R2753" s="46"/>
      <c r="S2753" s="46"/>
      <c r="T2753" s="46"/>
      <c r="U2753" s="46"/>
      <c r="V2753" s="46"/>
      <c r="W2753" s="46"/>
      <c r="X2753" s="11" t="str">
        <f>IF(COUNTBLANK(B2753:W2753)&gt;0,"NA",'batch classification'!J2759)</f>
        <v>NA</v>
      </c>
    </row>
    <row r="2754" spans="1:24" x14ac:dyDescent="0.25">
      <c r="A2754" s="45"/>
      <c r="B2754" s="46"/>
      <c r="C2754" s="46"/>
      <c r="D2754" s="46"/>
      <c r="E2754" s="46"/>
      <c r="F2754" s="46"/>
      <c r="G2754" s="46"/>
      <c r="H2754" s="46"/>
      <c r="I2754" s="46"/>
      <c r="J2754" s="46"/>
      <c r="K2754" s="46"/>
      <c r="L2754" s="46"/>
      <c r="M2754" s="46"/>
      <c r="N2754" s="46"/>
      <c r="O2754" s="46"/>
      <c r="P2754" s="46"/>
      <c r="Q2754" s="46"/>
      <c r="R2754" s="46"/>
      <c r="S2754" s="46"/>
      <c r="T2754" s="46"/>
      <c r="U2754" s="46"/>
      <c r="V2754" s="46"/>
      <c r="W2754" s="46"/>
      <c r="X2754" s="11" t="str">
        <f>IF(COUNTBLANK(B2754:W2754)&gt;0,"NA",'batch classification'!J2760)</f>
        <v>NA</v>
      </c>
    </row>
    <row r="2755" spans="1:24" x14ac:dyDescent="0.25">
      <c r="A2755" s="45"/>
      <c r="B2755" s="46"/>
      <c r="C2755" s="46"/>
      <c r="D2755" s="46"/>
      <c r="E2755" s="46"/>
      <c r="F2755" s="46"/>
      <c r="G2755" s="46"/>
      <c r="H2755" s="46"/>
      <c r="I2755" s="46"/>
      <c r="J2755" s="46"/>
      <c r="K2755" s="46"/>
      <c r="L2755" s="46"/>
      <c r="M2755" s="46"/>
      <c r="N2755" s="46"/>
      <c r="O2755" s="46"/>
      <c r="P2755" s="46"/>
      <c r="Q2755" s="46"/>
      <c r="R2755" s="46"/>
      <c r="S2755" s="46"/>
      <c r="T2755" s="46"/>
      <c r="U2755" s="46"/>
      <c r="V2755" s="46"/>
      <c r="W2755" s="46"/>
      <c r="X2755" s="11" t="str">
        <f>IF(COUNTBLANK(B2755:W2755)&gt;0,"NA",'batch classification'!J2761)</f>
        <v>NA</v>
      </c>
    </row>
    <row r="2756" spans="1:24" x14ac:dyDescent="0.25">
      <c r="A2756" s="45"/>
      <c r="B2756" s="46"/>
      <c r="C2756" s="46"/>
      <c r="D2756" s="46"/>
      <c r="E2756" s="46"/>
      <c r="F2756" s="46"/>
      <c r="G2756" s="46"/>
      <c r="H2756" s="46"/>
      <c r="I2756" s="46"/>
      <c r="J2756" s="46"/>
      <c r="K2756" s="46"/>
      <c r="L2756" s="46"/>
      <c r="M2756" s="46"/>
      <c r="N2756" s="46"/>
      <c r="O2756" s="46"/>
      <c r="P2756" s="46"/>
      <c r="Q2756" s="46"/>
      <c r="R2756" s="46"/>
      <c r="S2756" s="46"/>
      <c r="T2756" s="46"/>
      <c r="U2756" s="46"/>
      <c r="V2756" s="46"/>
      <c r="W2756" s="46"/>
      <c r="X2756" s="11" t="str">
        <f>IF(COUNTBLANK(B2756:W2756)&gt;0,"NA",'batch classification'!J2762)</f>
        <v>NA</v>
      </c>
    </row>
    <row r="2757" spans="1:24" x14ac:dyDescent="0.25">
      <c r="A2757" s="45"/>
      <c r="B2757" s="46"/>
      <c r="C2757" s="46"/>
      <c r="D2757" s="46"/>
      <c r="E2757" s="46"/>
      <c r="F2757" s="46"/>
      <c r="G2757" s="46"/>
      <c r="H2757" s="46"/>
      <c r="I2757" s="46"/>
      <c r="J2757" s="46"/>
      <c r="K2757" s="46"/>
      <c r="L2757" s="46"/>
      <c r="M2757" s="46"/>
      <c r="N2757" s="46"/>
      <c r="O2757" s="46"/>
      <c r="P2757" s="46"/>
      <c r="Q2757" s="46"/>
      <c r="R2757" s="46"/>
      <c r="S2757" s="46"/>
      <c r="T2757" s="46"/>
      <c r="U2757" s="46"/>
      <c r="V2757" s="46"/>
      <c r="W2757" s="46"/>
      <c r="X2757" s="11" t="str">
        <f>IF(COUNTBLANK(B2757:W2757)&gt;0,"NA",'batch classification'!J2763)</f>
        <v>NA</v>
      </c>
    </row>
    <row r="2758" spans="1:24" x14ac:dyDescent="0.25">
      <c r="A2758" s="45"/>
      <c r="B2758" s="46"/>
      <c r="C2758" s="46"/>
      <c r="D2758" s="46"/>
      <c r="E2758" s="46"/>
      <c r="F2758" s="46"/>
      <c r="G2758" s="46"/>
      <c r="H2758" s="46"/>
      <c r="I2758" s="46"/>
      <c r="J2758" s="46"/>
      <c r="K2758" s="46"/>
      <c r="L2758" s="46"/>
      <c r="M2758" s="46"/>
      <c r="N2758" s="46"/>
      <c r="O2758" s="46"/>
      <c r="P2758" s="46"/>
      <c r="Q2758" s="46"/>
      <c r="R2758" s="46"/>
      <c r="S2758" s="46"/>
      <c r="T2758" s="46"/>
      <c r="U2758" s="46"/>
      <c r="V2758" s="46"/>
      <c r="W2758" s="46"/>
      <c r="X2758" s="11" t="str">
        <f>IF(COUNTBLANK(B2758:W2758)&gt;0,"NA",'batch classification'!J2764)</f>
        <v>NA</v>
      </c>
    </row>
    <row r="2759" spans="1:24" x14ac:dyDescent="0.25">
      <c r="A2759" s="45"/>
      <c r="B2759" s="46"/>
      <c r="C2759" s="46"/>
      <c r="D2759" s="46"/>
      <c r="E2759" s="46"/>
      <c r="F2759" s="46"/>
      <c r="G2759" s="46"/>
      <c r="H2759" s="46"/>
      <c r="I2759" s="46"/>
      <c r="J2759" s="46"/>
      <c r="K2759" s="46"/>
      <c r="L2759" s="46"/>
      <c r="M2759" s="46"/>
      <c r="N2759" s="46"/>
      <c r="O2759" s="46"/>
      <c r="P2759" s="46"/>
      <c r="Q2759" s="46"/>
      <c r="R2759" s="46"/>
      <c r="S2759" s="46"/>
      <c r="T2759" s="46"/>
      <c r="U2759" s="46"/>
      <c r="V2759" s="46"/>
      <c r="W2759" s="46"/>
      <c r="X2759" s="11" t="str">
        <f>IF(COUNTBLANK(B2759:W2759)&gt;0,"NA",'batch classification'!J2765)</f>
        <v>NA</v>
      </c>
    </row>
    <row r="2760" spans="1:24" x14ac:dyDescent="0.25">
      <c r="A2760" s="45"/>
      <c r="B2760" s="46"/>
      <c r="C2760" s="46"/>
      <c r="D2760" s="46"/>
      <c r="E2760" s="46"/>
      <c r="F2760" s="46"/>
      <c r="G2760" s="46"/>
      <c r="H2760" s="46"/>
      <c r="I2760" s="46"/>
      <c r="J2760" s="46"/>
      <c r="K2760" s="46"/>
      <c r="L2760" s="46"/>
      <c r="M2760" s="46"/>
      <c r="N2760" s="46"/>
      <c r="O2760" s="46"/>
      <c r="P2760" s="46"/>
      <c r="Q2760" s="46"/>
      <c r="R2760" s="46"/>
      <c r="S2760" s="46"/>
      <c r="T2760" s="46"/>
      <c r="U2760" s="46"/>
      <c r="V2760" s="46"/>
      <c r="W2760" s="46"/>
      <c r="X2760" s="11" t="str">
        <f>IF(COUNTBLANK(B2760:W2760)&gt;0,"NA",'batch classification'!J2766)</f>
        <v>NA</v>
      </c>
    </row>
    <row r="2761" spans="1:24" x14ac:dyDescent="0.25">
      <c r="A2761" s="45"/>
      <c r="B2761" s="46"/>
      <c r="C2761" s="46"/>
      <c r="D2761" s="46"/>
      <c r="E2761" s="46"/>
      <c r="F2761" s="46"/>
      <c r="G2761" s="46"/>
      <c r="H2761" s="46"/>
      <c r="I2761" s="46"/>
      <c r="J2761" s="46"/>
      <c r="K2761" s="46"/>
      <c r="L2761" s="46"/>
      <c r="M2761" s="46"/>
      <c r="N2761" s="46"/>
      <c r="O2761" s="46"/>
      <c r="P2761" s="46"/>
      <c r="Q2761" s="46"/>
      <c r="R2761" s="46"/>
      <c r="S2761" s="46"/>
      <c r="T2761" s="46"/>
      <c r="U2761" s="46"/>
      <c r="V2761" s="46"/>
      <c r="W2761" s="46"/>
      <c r="X2761" s="11" t="str">
        <f>IF(COUNTBLANK(B2761:W2761)&gt;0,"NA",'batch classification'!J2767)</f>
        <v>NA</v>
      </c>
    </row>
    <row r="2762" spans="1:24" x14ac:dyDescent="0.25">
      <c r="A2762" s="45"/>
      <c r="B2762" s="46"/>
      <c r="C2762" s="46"/>
      <c r="D2762" s="46"/>
      <c r="E2762" s="46"/>
      <c r="F2762" s="46"/>
      <c r="G2762" s="46"/>
      <c r="H2762" s="46"/>
      <c r="I2762" s="46"/>
      <c r="J2762" s="46"/>
      <c r="K2762" s="46"/>
      <c r="L2762" s="46"/>
      <c r="M2762" s="46"/>
      <c r="N2762" s="46"/>
      <c r="O2762" s="46"/>
      <c r="P2762" s="46"/>
      <c r="Q2762" s="46"/>
      <c r="R2762" s="46"/>
      <c r="S2762" s="46"/>
      <c r="T2762" s="46"/>
      <c r="U2762" s="46"/>
      <c r="V2762" s="46"/>
      <c r="W2762" s="46"/>
      <c r="X2762" s="11" t="str">
        <f>IF(COUNTBLANK(B2762:W2762)&gt;0,"NA",'batch classification'!J2768)</f>
        <v>NA</v>
      </c>
    </row>
    <row r="2763" spans="1:24" x14ac:dyDescent="0.25">
      <c r="A2763" s="45"/>
      <c r="B2763" s="46"/>
      <c r="C2763" s="46"/>
      <c r="D2763" s="46"/>
      <c r="E2763" s="46"/>
      <c r="F2763" s="46"/>
      <c r="G2763" s="46"/>
      <c r="H2763" s="46"/>
      <c r="I2763" s="46"/>
      <c r="J2763" s="46"/>
      <c r="K2763" s="46"/>
      <c r="L2763" s="46"/>
      <c r="M2763" s="46"/>
      <c r="N2763" s="46"/>
      <c r="O2763" s="46"/>
      <c r="P2763" s="46"/>
      <c r="Q2763" s="46"/>
      <c r="R2763" s="46"/>
      <c r="S2763" s="46"/>
      <c r="T2763" s="46"/>
      <c r="U2763" s="46"/>
      <c r="V2763" s="46"/>
      <c r="W2763" s="46"/>
      <c r="X2763" s="11" t="str">
        <f>IF(COUNTBLANK(B2763:W2763)&gt;0,"NA",'batch classification'!J2769)</f>
        <v>NA</v>
      </c>
    </row>
    <row r="2764" spans="1:24" x14ac:dyDescent="0.25">
      <c r="A2764" s="45"/>
      <c r="B2764" s="46"/>
      <c r="C2764" s="46"/>
      <c r="D2764" s="46"/>
      <c r="E2764" s="46"/>
      <c r="F2764" s="46"/>
      <c r="G2764" s="46"/>
      <c r="H2764" s="46"/>
      <c r="I2764" s="46"/>
      <c r="J2764" s="46"/>
      <c r="K2764" s="46"/>
      <c r="L2764" s="46"/>
      <c r="M2764" s="46"/>
      <c r="N2764" s="46"/>
      <c r="O2764" s="46"/>
      <c r="P2764" s="46"/>
      <c r="Q2764" s="46"/>
      <c r="R2764" s="46"/>
      <c r="S2764" s="46"/>
      <c r="T2764" s="46"/>
      <c r="U2764" s="46"/>
      <c r="V2764" s="46"/>
      <c r="W2764" s="46"/>
      <c r="X2764" s="11" t="str">
        <f>IF(COUNTBLANK(B2764:W2764)&gt;0,"NA",'batch classification'!J2770)</f>
        <v>NA</v>
      </c>
    </row>
    <row r="2765" spans="1:24" x14ac:dyDescent="0.25">
      <c r="A2765" s="45"/>
      <c r="B2765" s="46"/>
      <c r="C2765" s="46"/>
      <c r="D2765" s="46"/>
      <c r="E2765" s="46"/>
      <c r="F2765" s="46"/>
      <c r="G2765" s="46"/>
      <c r="H2765" s="46"/>
      <c r="I2765" s="46"/>
      <c r="J2765" s="46"/>
      <c r="K2765" s="46"/>
      <c r="L2765" s="46"/>
      <c r="M2765" s="46"/>
      <c r="N2765" s="46"/>
      <c r="O2765" s="46"/>
      <c r="P2765" s="46"/>
      <c r="Q2765" s="46"/>
      <c r="R2765" s="46"/>
      <c r="S2765" s="46"/>
      <c r="T2765" s="46"/>
      <c r="U2765" s="46"/>
      <c r="V2765" s="46"/>
      <c r="W2765" s="46"/>
      <c r="X2765" s="11" t="str">
        <f>IF(COUNTBLANK(B2765:W2765)&gt;0,"NA",'batch classification'!J2771)</f>
        <v>NA</v>
      </c>
    </row>
    <row r="2766" spans="1:24" x14ac:dyDescent="0.25">
      <c r="A2766" s="45"/>
      <c r="B2766" s="46"/>
      <c r="C2766" s="46"/>
      <c r="D2766" s="46"/>
      <c r="E2766" s="46"/>
      <c r="F2766" s="46"/>
      <c r="G2766" s="46"/>
      <c r="H2766" s="46"/>
      <c r="I2766" s="46"/>
      <c r="J2766" s="46"/>
      <c r="K2766" s="46"/>
      <c r="L2766" s="46"/>
      <c r="M2766" s="46"/>
      <c r="N2766" s="46"/>
      <c r="O2766" s="46"/>
      <c r="P2766" s="46"/>
      <c r="Q2766" s="46"/>
      <c r="R2766" s="46"/>
      <c r="S2766" s="46"/>
      <c r="T2766" s="46"/>
      <c r="U2766" s="46"/>
      <c r="V2766" s="46"/>
      <c r="W2766" s="46"/>
      <c r="X2766" s="11" t="str">
        <f>IF(COUNTBLANK(B2766:W2766)&gt;0,"NA",'batch classification'!J2772)</f>
        <v>NA</v>
      </c>
    </row>
    <row r="2767" spans="1:24" x14ac:dyDescent="0.25">
      <c r="A2767" s="45"/>
      <c r="B2767" s="46"/>
      <c r="C2767" s="46"/>
      <c r="D2767" s="46"/>
      <c r="E2767" s="46"/>
      <c r="F2767" s="46"/>
      <c r="G2767" s="46"/>
      <c r="H2767" s="46"/>
      <c r="I2767" s="46"/>
      <c r="J2767" s="46"/>
      <c r="K2767" s="46"/>
      <c r="L2767" s="46"/>
      <c r="M2767" s="46"/>
      <c r="N2767" s="46"/>
      <c r="O2767" s="46"/>
      <c r="P2767" s="46"/>
      <c r="Q2767" s="46"/>
      <c r="R2767" s="46"/>
      <c r="S2767" s="46"/>
      <c r="T2767" s="46"/>
      <c r="U2767" s="46"/>
      <c r="V2767" s="46"/>
      <c r="W2767" s="46"/>
      <c r="X2767" s="11" t="str">
        <f>IF(COUNTBLANK(B2767:W2767)&gt;0,"NA",'batch classification'!J2773)</f>
        <v>NA</v>
      </c>
    </row>
    <row r="2768" spans="1:24" x14ac:dyDescent="0.25">
      <c r="A2768" s="45"/>
      <c r="B2768" s="46"/>
      <c r="C2768" s="46"/>
      <c r="D2768" s="46"/>
      <c r="E2768" s="46"/>
      <c r="F2768" s="46"/>
      <c r="G2768" s="46"/>
      <c r="H2768" s="46"/>
      <c r="I2768" s="46"/>
      <c r="J2768" s="46"/>
      <c r="K2768" s="46"/>
      <c r="L2768" s="46"/>
      <c r="M2768" s="46"/>
      <c r="N2768" s="46"/>
      <c r="O2768" s="46"/>
      <c r="P2768" s="46"/>
      <c r="Q2768" s="46"/>
      <c r="R2768" s="46"/>
      <c r="S2768" s="46"/>
      <c r="T2768" s="46"/>
      <c r="U2768" s="46"/>
      <c r="V2768" s="46"/>
      <c r="W2768" s="46"/>
      <c r="X2768" s="11" t="str">
        <f>IF(COUNTBLANK(B2768:W2768)&gt;0,"NA",'batch classification'!J2774)</f>
        <v>NA</v>
      </c>
    </row>
    <row r="2769" spans="1:24" x14ac:dyDescent="0.25">
      <c r="A2769" s="45"/>
      <c r="B2769" s="46"/>
      <c r="C2769" s="46"/>
      <c r="D2769" s="46"/>
      <c r="E2769" s="46"/>
      <c r="F2769" s="46"/>
      <c r="G2769" s="46"/>
      <c r="H2769" s="46"/>
      <c r="I2769" s="46"/>
      <c r="J2769" s="46"/>
      <c r="K2769" s="46"/>
      <c r="L2769" s="46"/>
      <c r="M2769" s="46"/>
      <c r="N2769" s="46"/>
      <c r="O2769" s="46"/>
      <c r="P2769" s="46"/>
      <c r="Q2769" s="46"/>
      <c r="R2769" s="46"/>
      <c r="S2769" s="46"/>
      <c r="T2769" s="46"/>
      <c r="U2769" s="46"/>
      <c r="V2769" s="46"/>
      <c r="W2769" s="46"/>
      <c r="X2769" s="11" t="str">
        <f>IF(COUNTBLANK(B2769:W2769)&gt;0,"NA",'batch classification'!J2775)</f>
        <v>NA</v>
      </c>
    </row>
    <row r="2770" spans="1:24" x14ac:dyDescent="0.25">
      <c r="A2770" s="45"/>
      <c r="B2770" s="46"/>
      <c r="C2770" s="46"/>
      <c r="D2770" s="46"/>
      <c r="E2770" s="46"/>
      <c r="F2770" s="46"/>
      <c r="G2770" s="46"/>
      <c r="H2770" s="46"/>
      <c r="I2770" s="46"/>
      <c r="J2770" s="46"/>
      <c r="K2770" s="46"/>
      <c r="L2770" s="46"/>
      <c r="M2770" s="46"/>
      <c r="N2770" s="46"/>
      <c r="O2770" s="46"/>
      <c r="P2770" s="46"/>
      <c r="Q2770" s="46"/>
      <c r="R2770" s="46"/>
      <c r="S2770" s="46"/>
      <c r="T2770" s="46"/>
      <c r="U2770" s="46"/>
      <c r="V2770" s="46"/>
      <c r="W2770" s="46"/>
      <c r="X2770" s="11" t="str">
        <f>IF(COUNTBLANK(B2770:W2770)&gt;0,"NA",'batch classification'!J2776)</f>
        <v>NA</v>
      </c>
    </row>
    <row r="2771" spans="1:24" x14ac:dyDescent="0.25">
      <c r="A2771" s="45"/>
      <c r="B2771" s="46"/>
      <c r="C2771" s="46"/>
      <c r="D2771" s="46"/>
      <c r="E2771" s="46"/>
      <c r="F2771" s="46"/>
      <c r="G2771" s="46"/>
      <c r="H2771" s="46"/>
      <c r="I2771" s="46"/>
      <c r="J2771" s="46"/>
      <c r="K2771" s="46"/>
      <c r="L2771" s="46"/>
      <c r="M2771" s="46"/>
      <c r="N2771" s="46"/>
      <c r="O2771" s="46"/>
      <c r="P2771" s="46"/>
      <c r="Q2771" s="46"/>
      <c r="R2771" s="46"/>
      <c r="S2771" s="46"/>
      <c r="T2771" s="46"/>
      <c r="U2771" s="46"/>
      <c r="V2771" s="46"/>
      <c r="W2771" s="46"/>
      <c r="X2771" s="11" t="str">
        <f>IF(COUNTBLANK(B2771:W2771)&gt;0,"NA",'batch classification'!J2777)</f>
        <v>NA</v>
      </c>
    </row>
    <row r="2772" spans="1:24" x14ac:dyDescent="0.25">
      <c r="A2772" s="45"/>
      <c r="B2772" s="46"/>
      <c r="C2772" s="46"/>
      <c r="D2772" s="46"/>
      <c r="E2772" s="46"/>
      <c r="F2772" s="46"/>
      <c r="G2772" s="46"/>
      <c r="H2772" s="46"/>
      <c r="I2772" s="46"/>
      <c r="J2772" s="46"/>
      <c r="K2772" s="46"/>
      <c r="L2772" s="46"/>
      <c r="M2772" s="46"/>
      <c r="N2772" s="46"/>
      <c r="O2772" s="46"/>
      <c r="P2772" s="46"/>
      <c r="Q2772" s="46"/>
      <c r="R2772" s="46"/>
      <c r="S2772" s="46"/>
      <c r="T2772" s="46"/>
      <c r="U2772" s="46"/>
      <c r="V2772" s="46"/>
      <c r="W2772" s="46"/>
      <c r="X2772" s="11" t="str">
        <f>IF(COUNTBLANK(B2772:W2772)&gt;0,"NA",'batch classification'!J2778)</f>
        <v>NA</v>
      </c>
    </row>
    <row r="2773" spans="1:24" x14ac:dyDescent="0.25">
      <c r="A2773" s="45"/>
      <c r="B2773" s="46"/>
      <c r="C2773" s="46"/>
      <c r="D2773" s="46"/>
      <c r="E2773" s="46"/>
      <c r="F2773" s="46"/>
      <c r="G2773" s="46"/>
      <c r="H2773" s="46"/>
      <c r="I2773" s="46"/>
      <c r="J2773" s="46"/>
      <c r="K2773" s="46"/>
      <c r="L2773" s="46"/>
      <c r="M2773" s="46"/>
      <c r="N2773" s="46"/>
      <c r="O2773" s="46"/>
      <c r="P2773" s="46"/>
      <c r="Q2773" s="46"/>
      <c r="R2773" s="46"/>
      <c r="S2773" s="46"/>
      <c r="T2773" s="46"/>
      <c r="U2773" s="46"/>
      <c r="V2773" s="46"/>
      <c r="W2773" s="46"/>
      <c r="X2773" s="11" t="str">
        <f>IF(COUNTBLANK(B2773:W2773)&gt;0,"NA",'batch classification'!J2779)</f>
        <v>NA</v>
      </c>
    </row>
    <row r="2774" spans="1:24" x14ac:dyDescent="0.25">
      <c r="A2774" s="45"/>
      <c r="B2774" s="46"/>
      <c r="C2774" s="46"/>
      <c r="D2774" s="46"/>
      <c r="E2774" s="46"/>
      <c r="F2774" s="46"/>
      <c r="G2774" s="46"/>
      <c r="H2774" s="46"/>
      <c r="I2774" s="46"/>
      <c r="J2774" s="46"/>
      <c r="K2774" s="46"/>
      <c r="L2774" s="46"/>
      <c r="M2774" s="46"/>
      <c r="N2774" s="46"/>
      <c r="O2774" s="46"/>
      <c r="P2774" s="46"/>
      <c r="Q2774" s="46"/>
      <c r="R2774" s="46"/>
      <c r="S2774" s="46"/>
      <c r="T2774" s="46"/>
      <c r="U2774" s="46"/>
      <c r="V2774" s="46"/>
      <c r="W2774" s="46"/>
      <c r="X2774" s="11" t="str">
        <f>IF(COUNTBLANK(B2774:W2774)&gt;0,"NA",'batch classification'!J2780)</f>
        <v>NA</v>
      </c>
    </row>
    <row r="2775" spans="1:24" x14ac:dyDescent="0.25">
      <c r="A2775" s="45"/>
      <c r="B2775" s="46"/>
      <c r="C2775" s="46"/>
      <c r="D2775" s="46"/>
      <c r="E2775" s="46"/>
      <c r="F2775" s="46"/>
      <c r="G2775" s="46"/>
      <c r="H2775" s="46"/>
      <c r="I2775" s="46"/>
      <c r="J2775" s="46"/>
      <c r="K2775" s="46"/>
      <c r="L2775" s="46"/>
      <c r="M2775" s="46"/>
      <c r="N2775" s="46"/>
      <c r="O2775" s="46"/>
      <c r="P2775" s="46"/>
      <c r="Q2775" s="46"/>
      <c r="R2775" s="46"/>
      <c r="S2775" s="46"/>
      <c r="T2775" s="46"/>
      <c r="U2775" s="46"/>
      <c r="V2775" s="46"/>
      <c r="W2775" s="46"/>
      <c r="X2775" s="11" t="str">
        <f>IF(COUNTBLANK(B2775:W2775)&gt;0,"NA",'batch classification'!J2781)</f>
        <v>NA</v>
      </c>
    </row>
    <row r="2776" spans="1:24" x14ac:dyDescent="0.25">
      <c r="A2776" s="45"/>
      <c r="B2776" s="46"/>
      <c r="C2776" s="46"/>
      <c r="D2776" s="46"/>
      <c r="E2776" s="46"/>
      <c r="F2776" s="46"/>
      <c r="G2776" s="46"/>
      <c r="H2776" s="46"/>
      <c r="I2776" s="46"/>
      <c r="J2776" s="46"/>
      <c r="K2776" s="46"/>
      <c r="L2776" s="46"/>
      <c r="M2776" s="46"/>
      <c r="N2776" s="46"/>
      <c r="O2776" s="46"/>
      <c r="P2776" s="46"/>
      <c r="Q2776" s="46"/>
      <c r="R2776" s="46"/>
      <c r="S2776" s="46"/>
      <c r="T2776" s="46"/>
      <c r="U2776" s="46"/>
      <c r="V2776" s="46"/>
      <c r="W2776" s="46"/>
      <c r="X2776" s="11" t="str">
        <f>IF(COUNTBLANK(B2776:W2776)&gt;0,"NA",'batch classification'!J2782)</f>
        <v>NA</v>
      </c>
    </row>
    <row r="2777" spans="1:24" x14ac:dyDescent="0.25">
      <c r="A2777" s="45"/>
      <c r="B2777" s="46"/>
      <c r="C2777" s="46"/>
      <c r="D2777" s="46"/>
      <c r="E2777" s="46"/>
      <c r="F2777" s="46"/>
      <c r="G2777" s="46"/>
      <c r="H2777" s="46"/>
      <c r="I2777" s="46"/>
      <c r="J2777" s="46"/>
      <c r="K2777" s="46"/>
      <c r="L2777" s="46"/>
      <c r="M2777" s="46"/>
      <c r="N2777" s="46"/>
      <c r="O2777" s="46"/>
      <c r="P2777" s="46"/>
      <c r="Q2777" s="46"/>
      <c r="R2777" s="46"/>
      <c r="S2777" s="46"/>
      <c r="T2777" s="46"/>
      <c r="U2777" s="46"/>
      <c r="V2777" s="46"/>
      <c r="W2777" s="46"/>
      <c r="X2777" s="11" t="str">
        <f>IF(COUNTBLANK(B2777:W2777)&gt;0,"NA",'batch classification'!J2783)</f>
        <v>NA</v>
      </c>
    </row>
    <row r="2778" spans="1:24" x14ac:dyDescent="0.25">
      <c r="A2778" s="45"/>
      <c r="B2778" s="46"/>
      <c r="C2778" s="46"/>
      <c r="D2778" s="46"/>
      <c r="E2778" s="46"/>
      <c r="F2778" s="46"/>
      <c r="G2778" s="46"/>
      <c r="H2778" s="46"/>
      <c r="I2778" s="46"/>
      <c r="J2778" s="46"/>
      <c r="K2778" s="46"/>
      <c r="L2778" s="46"/>
      <c r="M2778" s="46"/>
      <c r="N2778" s="46"/>
      <c r="O2778" s="46"/>
      <c r="P2778" s="46"/>
      <c r="Q2778" s="46"/>
      <c r="R2778" s="46"/>
      <c r="S2778" s="46"/>
      <c r="T2778" s="46"/>
      <c r="U2778" s="46"/>
      <c r="V2778" s="46"/>
      <c r="W2778" s="46"/>
      <c r="X2778" s="11" t="str">
        <f>IF(COUNTBLANK(B2778:W2778)&gt;0,"NA",'batch classification'!J2784)</f>
        <v>NA</v>
      </c>
    </row>
    <row r="2779" spans="1:24" x14ac:dyDescent="0.25">
      <c r="A2779" s="45"/>
      <c r="B2779" s="46"/>
      <c r="C2779" s="46"/>
      <c r="D2779" s="46"/>
      <c r="E2779" s="46"/>
      <c r="F2779" s="46"/>
      <c r="G2779" s="46"/>
      <c r="H2779" s="46"/>
      <c r="I2779" s="46"/>
      <c r="J2779" s="46"/>
      <c r="K2779" s="46"/>
      <c r="L2779" s="46"/>
      <c r="M2779" s="46"/>
      <c r="N2779" s="46"/>
      <c r="O2779" s="46"/>
      <c r="P2779" s="46"/>
      <c r="Q2779" s="46"/>
      <c r="R2779" s="46"/>
      <c r="S2779" s="46"/>
      <c r="T2779" s="46"/>
      <c r="U2779" s="46"/>
      <c r="V2779" s="46"/>
      <c r="W2779" s="46"/>
      <c r="X2779" s="11" t="str">
        <f>IF(COUNTBLANK(B2779:W2779)&gt;0,"NA",'batch classification'!J2785)</f>
        <v>NA</v>
      </c>
    </row>
    <row r="2780" spans="1:24" x14ac:dyDescent="0.25">
      <c r="A2780" s="45"/>
      <c r="B2780" s="46"/>
      <c r="C2780" s="46"/>
      <c r="D2780" s="46"/>
      <c r="E2780" s="46"/>
      <c r="F2780" s="46"/>
      <c r="G2780" s="46"/>
      <c r="H2780" s="46"/>
      <c r="I2780" s="46"/>
      <c r="J2780" s="46"/>
      <c r="K2780" s="46"/>
      <c r="L2780" s="46"/>
      <c r="M2780" s="46"/>
      <c r="N2780" s="46"/>
      <c r="O2780" s="46"/>
      <c r="P2780" s="46"/>
      <c r="Q2780" s="46"/>
      <c r="R2780" s="46"/>
      <c r="S2780" s="46"/>
      <c r="T2780" s="46"/>
      <c r="U2780" s="46"/>
      <c r="V2780" s="46"/>
      <c r="W2780" s="46"/>
      <c r="X2780" s="11" t="str">
        <f>IF(COUNTBLANK(B2780:W2780)&gt;0,"NA",'batch classification'!J2786)</f>
        <v>NA</v>
      </c>
    </row>
    <row r="2781" spans="1:24" x14ac:dyDescent="0.25">
      <c r="A2781" s="45"/>
      <c r="B2781" s="46"/>
      <c r="C2781" s="46"/>
      <c r="D2781" s="46"/>
      <c r="E2781" s="46"/>
      <c r="F2781" s="46"/>
      <c r="G2781" s="46"/>
      <c r="H2781" s="46"/>
      <c r="I2781" s="46"/>
      <c r="J2781" s="46"/>
      <c r="K2781" s="46"/>
      <c r="L2781" s="46"/>
      <c r="M2781" s="46"/>
      <c r="N2781" s="46"/>
      <c r="O2781" s="46"/>
      <c r="P2781" s="46"/>
      <c r="Q2781" s="46"/>
      <c r="R2781" s="46"/>
      <c r="S2781" s="46"/>
      <c r="T2781" s="46"/>
      <c r="U2781" s="46"/>
      <c r="V2781" s="46"/>
      <c r="W2781" s="46"/>
      <c r="X2781" s="11" t="str">
        <f>IF(COUNTBLANK(B2781:W2781)&gt;0,"NA",'batch classification'!J2787)</f>
        <v>NA</v>
      </c>
    </row>
    <row r="2782" spans="1:24" x14ac:dyDescent="0.25">
      <c r="A2782" s="45"/>
      <c r="B2782" s="46"/>
      <c r="C2782" s="46"/>
      <c r="D2782" s="46"/>
      <c r="E2782" s="46"/>
      <c r="F2782" s="46"/>
      <c r="G2782" s="46"/>
      <c r="H2782" s="46"/>
      <c r="I2782" s="46"/>
      <c r="J2782" s="46"/>
      <c r="K2782" s="46"/>
      <c r="L2782" s="46"/>
      <c r="M2782" s="46"/>
      <c r="N2782" s="46"/>
      <c r="O2782" s="46"/>
      <c r="P2782" s="46"/>
      <c r="Q2782" s="46"/>
      <c r="R2782" s="46"/>
      <c r="S2782" s="46"/>
      <c r="T2782" s="46"/>
      <c r="U2782" s="46"/>
      <c r="V2782" s="46"/>
      <c r="W2782" s="46"/>
      <c r="X2782" s="11" t="str">
        <f>IF(COUNTBLANK(B2782:W2782)&gt;0,"NA",'batch classification'!J2788)</f>
        <v>NA</v>
      </c>
    </row>
    <row r="2783" spans="1:24" x14ac:dyDescent="0.25">
      <c r="A2783" s="45"/>
      <c r="B2783" s="46"/>
      <c r="C2783" s="46"/>
      <c r="D2783" s="46"/>
      <c r="E2783" s="46"/>
      <c r="F2783" s="46"/>
      <c r="G2783" s="46"/>
      <c r="H2783" s="46"/>
      <c r="I2783" s="46"/>
      <c r="J2783" s="46"/>
      <c r="K2783" s="46"/>
      <c r="L2783" s="46"/>
      <c r="M2783" s="46"/>
      <c r="N2783" s="46"/>
      <c r="O2783" s="46"/>
      <c r="P2783" s="46"/>
      <c r="Q2783" s="46"/>
      <c r="R2783" s="46"/>
      <c r="S2783" s="46"/>
      <c r="T2783" s="46"/>
      <c r="U2783" s="46"/>
      <c r="V2783" s="46"/>
      <c r="W2783" s="46"/>
      <c r="X2783" s="11" t="str">
        <f>IF(COUNTBLANK(B2783:W2783)&gt;0,"NA",'batch classification'!J2789)</f>
        <v>NA</v>
      </c>
    </row>
    <row r="2784" spans="1:24" x14ac:dyDescent="0.25">
      <c r="A2784" s="45"/>
      <c r="B2784" s="46"/>
      <c r="C2784" s="46"/>
      <c r="D2784" s="46"/>
      <c r="E2784" s="46"/>
      <c r="F2784" s="46"/>
      <c r="G2784" s="46"/>
      <c r="H2784" s="46"/>
      <c r="I2784" s="46"/>
      <c r="J2784" s="46"/>
      <c r="K2784" s="46"/>
      <c r="L2784" s="46"/>
      <c r="M2784" s="46"/>
      <c r="N2784" s="46"/>
      <c r="O2784" s="46"/>
      <c r="P2784" s="46"/>
      <c r="Q2784" s="46"/>
      <c r="R2784" s="46"/>
      <c r="S2784" s="46"/>
      <c r="T2784" s="46"/>
      <c r="U2784" s="46"/>
      <c r="V2784" s="46"/>
      <c r="W2784" s="46"/>
      <c r="X2784" s="11" t="str">
        <f>IF(COUNTBLANK(B2784:W2784)&gt;0,"NA",'batch classification'!J2790)</f>
        <v>NA</v>
      </c>
    </row>
    <row r="2785" spans="1:24" x14ac:dyDescent="0.25">
      <c r="A2785" s="45"/>
      <c r="B2785" s="46"/>
      <c r="C2785" s="46"/>
      <c r="D2785" s="46"/>
      <c r="E2785" s="46"/>
      <c r="F2785" s="46"/>
      <c r="G2785" s="46"/>
      <c r="H2785" s="46"/>
      <c r="I2785" s="46"/>
      <c r="J2785" s="46"/>
      <c r="K2785" s="46"/>
      <c r="L2785" s="46"/>
      <c r="M2785" s="46"/>
      <c r="N2785" s="46"/>
      <c r="O2785" s="46"/>
      <c r="P2785" s="46"/>
      <c r="Q2785" s="46"/>
      <c r="R2785" s="46"/>
      <c r="S2785" s="46"/>
      <c r="T2785" s="46"/>
      <c r="U2785" s="46"/>
      <c r="V2785" s="46"/>
      <c r="W2785" s="46"/>
      <c r="X2785" s="11" t="str">
        <f>IF(COUNTBLANK(B2785:W2785)&gt;0,"NA",'batch classification'!J2791)</f>
        <v>NA</v>
      </c>
    </row>
    <row r="2786" spans="1:24" x14ac:dyDescent="0.25">
      <c r="A2786" s="45"/>
      <c r="B2786" s="46"/>
      <c r="C2786" s="46"/>
      <c r="D2786" s="46"/>
      <c r="E2786" s="46"/>
      <c r="F2786" s="46"/>
      <c r="G2786" s="46"/>
      <c r="H2786" s="46"/>
      <c r="I2786" s="46"/>
      <c r="J2786" s="46"/>
      <c r="K2786" s="46"/>
      <c r="L2786" s="46"/>
      <c r="M2786" s="46"/>
      <c r="N2786" s="46"/>
      <c r="O2786" s="46"/>
      <c r="P2786" s="46"/>
      <c r="Q2786" s="46"/>
      <c r="R2786" s="46"/>
      <c r="S2786" s="46"/>
      <c r="T2786" s="46"/>
      <c r="U2786" s="46"/>
      <c r="V2786" s="46"/>
      <c r="W2786" s="46"/>
      <c r="X2786" s="11" t="str">
        <f>IF(COUNTBLANK(B2786:W2786)&gt;0,"NA",'batch classification'!J2792)</f>
        <v>NA</v>
      </c>
    </row>
    <row r="2787" spans="1:24" x14ac:dyDescent="0.25">
      <c r="A2787" s="45"/>
      <c r="B2787" s="46"/>
      <c r="C2787" s="46"/>
      <c r="D2787" s="46"/>
      <c r="E2787" s="46"/>
      <c r="F2787" s="46"/>
      <c r="G2787" s="46"/>
      <c r="H2787" s="46"/>
      <c r="I2787" s="46"/>
      <c r="J2787" s="46"/>
      <c r="K2787" s="46"/>
      <c r="L2787" s="46"/>
      <c r="M2787" s="46"/>
      <c r="N2787" s="46"/>
      <c r="O2787" s="46"/>
      <c r="P2787" s="46"/>
      <c r="Q2787" s="46"/>
      <c r="R2787" s="46"/>
      <c r="S2787" s="46"/>
      <c r="T2787" s="46"/>
      <c r="U2787" s="46"/>
      <c r="V2787" s="46"/>
      <c r="W2787" s="46"/>
      <c r="X2787" s="11" t="str">
        <f>IF(COUNTBLANK(B2787:W2787)&gt;0,"NA",'batch classification'!J2793)</f>
        <v>NA</v>
      </c>
    </row>
    <row r="2788" spans="1:24" x14ac:dyDescent="0.25">
      <c r="A2788" s="45"/>
      <c r="B2788" s="46"/>
      <c r="C2788" s="46"/>
      <c r="D2788" s="46"/>
      <c r="E2788" s="46"/>
      <c r="F2788" s="46"/>
      <c r="G2788" s="46"/>
      <c r="H2788" s="46"/>
      <c r="I2788" s="46"/>
      <c r="J2788" s="46"/>
      <c r="K2788" s="46"/>
      <c r="L2788" s="46"/>
      <c r="M2788" s="46"/>
      <c r="N2788" s="46"/>
      <c r="O2788" s="46"/>
      <c r="P2788" s="46"/>
      <c r="Q2788" s="46"/>
      <c r="R2788" s="46"/>
      <c r="S2788" s="46"/>
      <c r="T2788" s="46"/>
      <c r="U2788" s="46"/>
      <c r="V2788" s="46"/>
      <c r="W2788" s="46"/>
      <c r="X2788" s="11" t="str">
        <f>IF(COUNTBLANK(B2788:W2788)&gt;0,"NA",'batch classification'!J2794)</f>
        <v>NA</v>
      </c>
    </row>
    <row r="2789" spans="1:24" x14ac:dyDescent="0.25">
      <c r="A2789" s="45"/>
      <c r="B2789" s="46"/>
      <c r="C2789" s="46"/>
      <c r="D2789" s="46"/>
      <c r="E2789" s="46"/>
      <c r="F2789" s="46"/>
      <c r="G2789" s="46"/>
      <c r="H2789" s="46"/>
      <c r="I2789" s="46"/>
      <c r="J2789" s="46"/>
      <c r="K2789" s="46"/>
      <c r="L2789" s="46"/>
      <c r="M2789" s="46"/>
      <c r="N2789" s="46"/>
      <c r="O2789" s="46"/>
      <c r="P2789" s="46"/>
      <c r="Q2789" s="46"/>
      <c r="R2789" s="46"/>
      <c r="S2789" s="46"/>
      <c r="T2789" s="46"/>
      <c r="U2789" s="46"/>
      <c r="V2789" s="46"/>
      <c r="W2789" s="46"/>
      <c r="X2789" s="11" t="str">
        <f>IF(COUNTBLANK(B2789:W2789)&gt;0,"NA",'batch classification'!J2795)</f>
        <v>NA</v>
      </c>
    </row>
    <row r="2790" spans="1:24" x14ac:dyDescent="0.25">
      <c r="A2790" s="45"/>
      <c r="B2790" s="46"/>
      <c r="C2790" s="46"/>
      <c r="D2790" s="46"/>
      <c r="E2790" s="46"/>
      <c r="F2790" s="46"/>
      <c r="G2790" s="46"/>
      <c r="H2790" s="46"/>
      <c r="I2790" s="46"/>
      <c r="J2790" s="46"/>
      <c r="K2790" s="46"/>
      <c r="L2790" s="46"/>
      <c r="M2790" s="46"/>
      <c r="N2790" s="46"/>
      <c r="O2790" s="46"/>
      <c r="P2790" s="46"/>
      <c r="Q2790" s="46"/>
      <c r="R2790" s="46"/>
      <c r="S2790" s="46"/>
      <c r="T2790" s="46"/>
      <c r="U2790" s="46"/>
      <c r="V2790" s="46"/>
      <c r="W2790" s="46"/>
      <c r="X2790" s="11" t="str">
        <f>IF(COUNTBLANK(B2790:W2790)&gt;0,"NA",'batch classification'!J2796)</f>
        <v>NA</v>
      </c>
    </row>
    <row r="2791" spans="1:24" x14ac:dyDescent="0.25">
      <c r="A2791" s="45"/>
      <c r="B2791" s="46"/>
      <c r="C2791" s="46"/>
      <c r="D2791" s="46"/>
      <c r="E2791" s="46"/>
      <c r="F2791" s="46"/>
      <c r="G2791" s="46"/>
      <c r="H2791" s="46"/>
      <c r="I2791" s="46"/>
      <c r="J2791" s="46"/>
      <c r="K2791" s="46"/>
      <c r="L2791" s="46"/>
      <c r="M2791" s="46"/>
      <c r="N2791" s="46"/>
      <c r="O2791" s="46"/>
      <c r="P2791" s="46"/>
      <c r="Q2791" s="46"/>
      <c r="R2791" s="46"/>
      <c r="S2791" s="46"/>
      <c r="T2791" s="46"/>
      <c r="U2791" s="46"/>
      <c r="V2791" s="46"/>
      <c r="W2791" s="46"/>
      <c r="X2791" s="11" t="str">
        <f>IF(COUNTBLANK(B2791:W2791)&gt;0,"NA",'batch classification'!J2797)</f>
        <v>NA</v>
      </c>
    </row>
    <row r="2792" spans="1:24" x14ac:dyDescent="0.25">
      <c r="A2792" s="45"/>
      <c r="B2792" s="46"/>
      <c r="C2792" s="46"/>
      <c r="D2792" s="46"/>
      <c r="E2792" s="46"/>
      <c r="F2792" s="46"/>
      <c r="G2792" s="46"/>
      <c r="H2792" s="46"/>
      <c r="I2792" s="46"/>
      <c r="J2792" s="46"/>
      <c r="K2792" s="46"/>
      <c r="L2792" s="46"/>
      <c r="M2792" s="46"/>
      <c r="N2792" s="46"/>
      <c r="O2792" s="46"/>
      <c r="P2792" s="46"/>
      <c r="Q2792" s="46"/>
      <c r="R2792" s="46"/>
      <c r="S2792" s="46"/>
      <c r="T2792" s="46"/>
      <c r="U2792" s="46"/>
      <c r="V2792" s="46"/>
      <c r="W2792" s="46"/>
      <c r="X2792" s="11" t="str">
        <f>IF(COUNTBLANK(B2792:W2792)&gt;0,"NA",'batch classification'!J2798)</f>
        <v>NA</v>
      </c>
    </row>
    <row r="2793" spans="1:24" x14ac:dyDescent="0.25">
      <c r="A2793" s="45"/>
      <c r="B2793" s="46"/>
      <c r="C2793" s="46"/>
      <c r="D2793" s="46"/>
      <c r="E2793" s="46"/>
      <c r="F2793" s="46"/>
      <c r="G2793" s="46"/>
      <c r="H2793" s="46"/>
      <c r="I2793" s="46"/>
      <c r="J2793" s="46"/>
      <c r="K2793" s="46"/>
      <c r="L2793" s="46"/>
      <c r="M2793" s="46"/>
      <c r="N2793" s="46"/>
      <c r="O2793" s="46"/>
      <c r="P2793" s="46"/>
      <c r="Q2793" s="46"/>
      <c r="R2793" s="46"/>
      <c r="S2793" s="46"/>
      <c r="T2793" s="46"/>
      <c r="U2793" s="46"/>
      <c r="V2793" s="46"/>
      <c r="W2793" s="46"/>
      <c r="X2793" s="11" t="str">
        <f>IF(COUNTBLANK(B2793:W2793)&gt;0,"NA",'batch classification'!J2799)</f>
        <v>NA</v>
      </c>
    </row>
    <row r="2794" spans="1:24" x14ac:dyDescent="0.25">
      <c r="A2794" s="45"/>
      <c r="B2794" s="46"/>
      <c r="C2794" s="46"/>
      <c r="D2794" s="46"/>
      <c r="E2794" s="46"/>
      <c r="F2794" s="46"/>
      <c r="G2794" s="46"/>
      <c r="H2794" s="46"/>
      <c r="I2794" s="46"/>
      <c r="J2794" s="46"/>
      <c r="K2794" s="46"/>
      <c r="L2794" s="46"/>
      <c r="M2794" s="46"/>
      <c r="N2794" s="46"/>
      <c r="O2794" s="46"/>
      <c r="P2794" s="46"/>
      <c r="Q2794" s="46"/>
      <c r="R2794" s="46"/>
      <c r="S2794" s="46"/>
      <c r="T2794" s="46"/>
      <c r="U2794" s="46"/>
      <c r="V2794" s="46"/>
      <c r="W2794" s="46"/>
      <c r="X2794" s="11" t="str">
        <f>IF(COUNTBLANK(B2794:W2794)&gt;0,"NA",'batch classification'!J2800)</f>
        <v>NA</v>
      </c>
    </row>
    <row r="2795" spans="1:24" x14ac:dyDescent="0.25">
      <c r="A2795" s="45"/>
      <c r="B2795" s="46"/>
      <c r="C2795" s="46"/>
      <c r="D2795" s="46"/>
      <c r="E2795" s="46"/>
      <c r="F2795" s="46"/>
      <c r="G2795" s="46"/>
      <c r="H2795" s="46"/>
      <c r="I2795" s="46"/>
      <c r="J2795" s="46"/>
      <c r="K2795" s="46"/>
      <c r="L2795" s="46"/>
      <c r="M2795" s="46"/>
      <c r="N2795" s="46"/>
      <c r="O2795" s="46"/>
      <c r="P2795" s="46"/>
      <c r="Q2795" s="46"/>
      <c r="R2795" s="46"/>
      <c r="S2795" s="46"/>
      <c r="T2795" s="46"/>
      <c r="U2795" s="46"/>
      <c r="V2795" s="46"/>
      <c r="W2795" s="46"/>
      <c r="X2795" s="11" t="str">
        <f>IF(COUNTBLANK(B2795:W2795)&gt;0,"NA",'batch classification'!J2801)</f>
        <v>NA</v>
      </c>
    </row>
    <row r="2796" spans="1:24" x14ac:dyDescent="0.25">
      <c r="A2796" s="45"/>
      <c r="B2796" s="46"/>
      <c r="C2796" s="46"/>
      <c r="D2796" s="46"/>
      <c r="E2796" s="46"/>
      <c r="F2796" s="46"/>
      <c r="G2796" s="46"/>
      <c r="H2796" s="46"/>
      <c r="I2796" s="46"/>
      <c r="J2796" s="46"/>
      <c r="K2796" s="46"/>
      <c r="L2796" s="46"/>
      <c r="M2796" s="46"/>
      <c r="N2796" s="46"/>
      <c r="O2796" s="46"/>
      <c r="P2796" s="46"/>
      <c r="Q2796" s="46"/>
      <c r="R2796" s="46"/>
      <c r="S2796" s="46"/>
      <c r="T2796" s="46"/>
      <c r="U2796" s="46"/>
      <c r="V2796" s="46"/>
      <c r="W2796" s="46"/>
      <c r="X2796" s="11" t="str">
        <f>IF(COUNTBLANK(B2796:W2796)&gt;0,"NA",'batch classification'!J2802)</f>
        <v>NA</v>
      </c>
    </row>
    <row r="2797" spans="1:24" x14ac:dyDescent="0.25">
      <c r="A2797" s="45"/>
      <c r="B2797" s="46"/>
      <c r="C2797" s="46"/>
      <c r="D2797" s="46"/>
      <c r="E2797" s="46"/>
      <c r="F2797" s="46"/>
      <c r="G2797" s="46"/>
      <c r="H2797" s="46"/>
      <c r="I2797" s="46"/>
      <c r="J2797" s="46"/>
      <c r="K2797" s="46"/>
      <c r="L2797" s="46"/>
      <c r="M2797" s="46"/>
      <c r="N2797" s="46"/>
      <c r="O2797" s="46"/>
      <c r="P2797" s="46"/>
      <c r="Q2797" s="46"/>
      <c r="R2797" s="46"/>
      <c r="S2797" s="46"/>
      <c r="T2797" s="46"/>
      <c r="U2797" s="46"/>
      <c r="V2797" s="46"/>
      <c r="W2797" s="46"/>
      <c r="X2797" s="11" t="str">
        <f>IF(COUNTBLANK(B2797:W2797)&gt;0,"NA",'batch classification'!J2803)</f>
        <v>NA</v>
      </c>
    </row>
    <row r="2798" spans="1:24" x14ac:dyDescent="0.25">
      <c r="A2798" s="45"/>
      <c r="B2798" s="46"/>
      <c r="C2798" s="46"/>
      <c r="D2798" s="46"/>
      <c r="E2798" s="46"/>
      <c r="F2798" s="46"/>
      <c r="G2798" s="46"/>
      <c r="H2798" s="46"/>
      <c r="I2798" s="46"/>
      <c r="J2798" s="46"/>
      <c r="K2798" s="46"/>
      <c r="L2798" s="46"/>
      <c r="M2798" s="46"/>
      <c r="N2798" s="46"/>
      <c r="O2798" s="46"/>
      <c r="P2798" s="46"/>
      <c r="Q2798" s="46"/>
      <c r="R2798" s="46"/>
      <c r="S2798" s="46"/>
      <c r="T2798" s="46"/>
      <c r="U2798" s="46"/>
      <c r="V2798" s="46"/>
      <c r="W2798" s="46"/>
      <c r="X2798" s="11" t="str">
        <f>IF(COUNTBLANK(B2798:W2798)&gt;0,"NA",'batch classification'!J2804)</f>
        <v>NA</v>
      </c>
    </row>
    <row r="2799" spans="1:24" x14ac:dyDescent="0.25">
      <c r="A2799" s="45"/>
      <c r="B2799" s="46"/>
      <c r="C2799" s="46"/>
      <c r="D2799" s="46"/>
      <c r="E2799" s="46"/>
      <c r="F2799" s="46"/>
      <c r="G2799" s="46"/>
      <c r="H2799" s="46"/>
      <c r="I2799" s="46"/>
      <c r="J2799" s="46"/>
      <c r="K2799" s="46"/>
      <c r="L2799" s="46"/>
      <c r="M2799" s="46"/>
      <c r="N2799" s="46"/>
      <c r="O2799" s="46"/>
      <c r="P2799" s="46"/>
      <c r="Q2799" s="46"/>
      <c r="R2799" s="46"/>
      <c r="S2799" s="46"/>
      <c r="T2799" s="46"/>
      <c r="U2799" s="46"/>
      <c r="V2799" s="46"/>
      <c r="W2799" s="46"/>
      <c r="X2799" s="11" t="str">
        <f>IF(COUNTBLANK(B2799:W2799)&gt;0,"NA",'batch classification'!J2805)</f>
        <v>NA</v>
      </c>
    </row>
    <row r="2800" spans="1:24" x14ac:dyDescent="0.25">
      <c r="A2800" s="45"/>
      <c r="B2800" s="46"/>
      <c r="C2800" s="46"/>
      <c r="D2800" s="46"/>
      <c r="E2800" s="46"/>
      <c r="F2800" s="46"/>
      <c r="G2800" s="46"/>
      <c r="H2800" s="46"/>
      <c r="I2800" s="46"/>
      <c r="J2800" s="46"/>
      <c r="K2800" s="46"/>
      <c r="L2800" s="46"/>
      <c r="M2800" s="46"/>
      <c r="N2800" s="46"/>
      <c r="O2800" s="46"/>
      <c r="P2800" s="46"/>
      <c r="Q2800" s="46"/>
      <c r="R2800" s="46"/>
      <c r="S2800" s="46"/>
      <c r="T2800" s="46"/>
      <c r="U2800" s="46"/>
      <c r="V2800" s="46"/>
      <c r="W2800" s="46"/>
      <c r="X2800" s="11" t="str">
        <f>IF(COUNTBLANK(B2800:W2800)&gt;0,"NA",'batch classification'!J2806)</f>
        <v>NA</v>
      </c>
    </row>
    <row r="2801" spans="1:24" x14ac:dyDescent="0.25">
      <c r="A2801" s="45"/>
      <c r="B2801" s="46"/>
      <c r="C2801" s="46"/>
      <c r="D2801" s="46"/>
      <c r="E2801" s="46"/>
      <c r="F2801" s="46"/>
      <c r="G2801" s="46"/>
      <c r="H2801" s="46"/>
      <c r="I2801" s="46"/>
      <c r="J2801" s="46"/>
      <c r="K2801" s="46"/>
      <c r="L2801" s="46"/>
      <c r="M2801" s="46"/>
      <c r="N2801" s="46"/>
      <c r="O2801" s="46"/>
      <c r="P2801" s="46"/>
      <c r="Q2801" s="46"/>
      <c r="R2801" s="46"/>
      <c r="S2801" s="46"/>
      <c r="T2801" s="46"/>
      <c r="U2801" s="46"/>
      <c r="V2801" s="46"/>
      <c r="W2801" s="46"/>
      <c r="X2801" s="11" t="str">
        <f>IF(COUNTBLANK(B2801:W2801)&gt;0,"NA",'batch classification'!J2807)</f>
        <v>NA</v>
      </c>
    </row>
    <row r="2802" spans="1:24" x14ac:dyDescent="0.25">
      <c r="A2802" s="45"/>
      <c r="B2802" s="46"/>
      <c r="C2802" s="46"/>
      <c r="D2802" s="46"/>
      <c r="E2802" s="46"/>
      <c r="F2802" s="46"/>
      <c r="G2802" s="46"/>
      <c r="H2802" s="46"/>
      <c r="I2802" s="46"/>
      <c r="J2802" s="46"/>
      <c r="K2802" s="46"/>
      <c r="L2802" s="46"/>
      <c r="M2802" s="46"/>
      <c r="N2802" s="46"/>
      <c r="O2802" s="46"/>
      <c r="P2802" s="46"/>
      <c r="Q2802" s="46"/>
      <c r="R2802" s="46"/>
      <c r="S2802" s="46"/>
      <c r="T2802" s="46"/>
      <c r="U2802" s="46"/>
      <c r="V2802" s="46"/>
      <c r="W2802" s="46"/>
      <c r="X2802" s="11" t="str">
        <f>IF(COUNTBLANK(B2802:W2802)&gt;0,"NA",'batch classification'!J2808)</f>
        <v>NA</v>
      </c>
    </row>
    <row r="2803" spans="1:24" x14ac:dyDescent="0.25">
      <c r="A2803" s="45"/>
      <c r="B2803" s="46"/>
      <c r="C2803" s="46"/>
      <c r="D2803" s="46"/>
      <c r="E2803" s="46"/>
      <c r="F2803" s="46"/>
      <c r="G2803" s="46"/>
      <c r="H2803" s="46"/>
      <c r="I2803" s="46"/>
      <c r="J2803" s="46"/>
      <c r="K2803" s="46"/>
      <c r="L2803" s="46"/>
      <c r="M2803" s="46"/>
      <c r="N2803" s="46"/>
      <c r="O2803" s="46"/>
      <c r="P2803" s="46"/>
      <c r="Q2803" s="46"/>
      <c r="R2803" s="46"/>
      <c r="S2803" s="46"/>
      <c r="T2803" s="46"/>
      <c r="U2803" s="46"/>
      <c r="V2803" s="46"/>
      <c r="W2803" s="46"/>
      <c r="X2803" s="11" t="str">
        <f>IF(COUNTBLANK(B2803:W2803)&gt;0,"NA",'batch classification'!J2809)</f>
        <v>NA</v>
      </c>
    </row>
    <row r="2804" spans="1:24" x14ac:dyDescent="0.25">
      <c r="A2804" s="45"/>
      <c r="B2804" s="46"/>
      <c r="C2804" s="46"/>
      <c r="D2804" s="46"/>
      <c r="E2804" s="46"/>
      <c r="F2804" s="46"/>
      <c r="G2804" s="46"/>
      <c r="H2804" s="46"/>
      <c r="I2804" s="46"/>
      <c r="J2804" s="46"/>
      <c r="K2804" s="46"/>
      <c r="L2804" s="46"/>
      <c r="M2804" s="46"/>
      <c r="N2804" s="46"/>
      <c r="O2804" s="46"/>
      <c r="P2804" s="46"/>
      <c r="Q2804" s="46"/>
      <c r="R2804" s="46"/>
      <c r="S2804" s="46"/>
      <c r="T2804" s="46"/>
      <c r="U2804" s="46"/>
      <c r="V2804" s="46"/>
      <c r="W2804" s="46"/>
      <c r="X2804" s="11" t="str">
        <f>IF(COUNTBLANK(B2804:W2804)&gt;0,"NA",'batch classification'!J2810)</f>
        <v>NA</v>
      </c>
    </row>
    <row r="2805" spans="1:24" x14ac:dyDescent="0.25">
      <c r="A2805" s="45"/>
      <c r="B2805" s="46"/>
      <c r="C2805" s="46"/>
      <c r="D2805" s="46"/>
      <c r="E2805" s="46"/>
      <c r="F2805" s="46"/>
      <c r="G2805" s="46"/>
      <c r="H2805" s="46"/>
      <c r="I2805" s="46"/>
      <c r="J2805" s="46"/>
      <c r="K2805" s="46"/>
      <c r="L2805" s="46"/>
      <c r="M2805" s="46"/>
      <c r="N2805" s="46"/>
      <c r="O2805" s="46"/>
      <c r="P2805" s="46"/>
      <c r="Q2805" s="46"/>
      <c r="R2805" s="46"/>
      <c r="S2805" s="46"/>
      <c r="T2805" s="46"/>
      <c r="U2805" s="46"/>
      <c r="V2805" s="46"/>
      <c r="W2805" s="46"/>
      <c r="X2805" s="11" t="str">
        <f>IF(COUNTBLANK(B2805:W2805)&gt;0,"NA",'batch classification'!J2811)</f>
        <v>NA</v>
      </c>
    </row>
    <row r="2806" spans="1:24" x14ac:dyDescent="0.25">
      <c r="A2806" s="45"/>
      <c r="B2806" s="46"/>
      <c r="C2806" s="46"/>
      <c r="D2806" s="46"/>
      <c r="E2806" s="46"/>
      <c r="F2806" s="46"/>
      <c r="G2806" s="46"/>
      <c r="H2806" s="46"/>
      <c r="I2806" s="46"/>
      <c r="J2806" s="46"/>
      <c r="K2806" s="46"/>
      <c r="L2806" s="46"/>
      <c r="M2806" s="46"/>
      <c r="N2806" s="46"/>
      <c r="O2806" s="46"/>
      <c r="P2806" s="46"/>
      <c r="Q2806" s="46"/>
      <c r="R2806" s="46"/>
      <c r="S2806" s="46"/>
      <c r="T2806" s="46"/>
      <c r="U2806" s="46"/>
      <c r="V2806" s="46"/>
      <c r="W2806" s="46"/>
      <c r="X2806" s="11" t="str">
        <f>IF(COUNTBLANK(B2806:W2806)&gt;0,"NA",'batch classification'!J2812)</f>
        <v>NA</v>
      </c>
    </row>
    <row r="2807" spans="1:24" x14ac:dyDescent="0.25">
      <c r="A2807" s="45"/>
      <c r="B2807" s="46"/>
      <c r="C2807" s="46"/>
      <c r="D2807" s="46"/>
      <c r="E2807" s="46"/>
      <c r="F2807" s="46"/>
      <c r="G2807" s="46"/>
      <c r="H2807" s="46"/>
      <c r="I2807" s="46"/>
      <c r="J2807" s="46"/>
      <c r="K2807" s="46"/>
      <c r="L2807" s="46"/>
      <c r="M2807" s="46"/>
      <c r="N2807" s="46"/>
      <c r="O2807" s="46"/>
      <c r="P2807" s="46"/>
      <c r="Q2807" s="46"/>
      <c r="R2807" s="46"/>
      <c r="S2807" s="46"/>
      <c r="T2807" s="46"/>
      <c r="U2807" s="46"/>
      <c r="V2807" s="46"/>
      <c r="W2807" s="46"/>
      <c r="X2807" s="11" t="str">
        <f>IF(COUNTBLANK(B2807:W2807)&gt;0,"NA",'batch classification'!J2813)</f>
        <v>NA</v>
      </c>
    </row>
    <row r="2808" spans="1:24" x14ac:dyDescent="0.25">
      <c r="A2808" s="45"/>
      <c r="B2808" s="46"/>
      <c r="C2808" s="46"/>
      <c r="D2808" s="46"/>
      <c r="E2808" s="46"/>
      <c r="F2808" s="46"/>
      <c r="G2808" s="46"/>
      <c r="H2808" s="46"/>
      <c r="I2808" s="46"/>
      <c r="J2808" s="46"/>
      <c r="K2808" s="46"/>
      <c r="L2808" s="46"/>
      <c r="M2808" s="46"/>
      <c r="N2808" s="46"/>
      <c r="O2808" s="46"/>
      <c r="P2808" s="46"/>
      <c r="Q2808" s="46"/>
      <c r="R2808" s="46"/>
      <c r="S2808" s="46"/>
      <c r="T2808" s="46"/>
      <c r="U2808" s="46"/>
      <c r="V2808" s="46"/>
      <c r="W2808" s="46"/>
      <c r="X2808" s="11" t="str">
        <f>IF(COUNTBLANK(B2808:W2808)&gt;0,"NA",'batch classification'!J2814)</f>
        <v>NA</v>
      </c>
    </row>
    <row r="2809" spans="1:24" x14ac:dyDescent="0.25">
      <c r="A2809" s="45"/>
      <c r="B2809" s="46"/>
      <c r="C2809" s="46"/>
      <c r="D2809" s="46"/>
      <c r="E2809" s="46"/>
      <c r="F2809" s="46"/>
      <c r="G2809" s="46"/>
      <c r="H2809" s="46"/>
      <c r="I2809" s="46"/>
      <c r="J2809" s="46"/>
      <c r="K2809" s="46"/>
      <c r="L2809" s="46"/>
      <c r="M2809" s="46"/>
      <c r="N2809" s="46"/>
      <c r="O2809" s="46"/>
      <c r="P2809" s="46"/>
      <c r="Q2809" s="46"/>
      <c r="R2809" s="46"/>
      <c r="S2809" s="46"/>
      <c r="T2809" s="46"/>
      <c r="U2809" s="46"/>
      <c r="V2809" s="46"/>
      <c r="W2809" s="46"/>
      <c r="X2809" s="11" t="str">
        <f>IF(COUNTBLANK(B2809:W2809)&gt;0,"NA",'batch classification'!J2815)</f>
        <v>NA</v>
      </c>
    </row>
    <row r="2810" spans="1:24" x14ac:dyDescent="0.25">
      <c r="A2810" s="45"/>
      <c r="B2810" s="46"/>
      <c r="C2810" s="46"/>
      <c r="D2810" s="46"/>
      <c r="E2810" s="46"/>
      <c r="F2810" s="46"/>
      <c r="G2810" s="46"/>
      <c r="H2810" s="46"/>
      <c r="I2810" s="46"/>
      <c r="J2810" s="46"/>
      <c r="K2810" s="46"/>
      <c r="L2810" s="46"/>
      <c r="M2810" s="46"/>
      <c r="N2810" s="46"/>
      <c r="O2810" s="46"/>
      <c r="P2810" s="46"/>
      <c r="Q2810" s="46"/>
      <c r="R2810" s="46"/>
      <c r="S2810" s="46"/>
      <c r="T2810" s="46"/>
      <c r="U2810" s="46"/>
      <c r="V2810" s="46"/>
      <c r="W2810" s="46"/>
      <c r="X2810" s="11" t="str">
        <f>IF(COUNTBLANK(B2810:W2810)&gt;0,"NA",'batch classification'!J2816)</f>
        <v>NA</v>
      </c>
    </row>
    <row r="2811" spans="1:24" x14ac:dyDescent="0.25">
      <c r="A2811" s="45"/>
      <c r="B2811" s="46"/>
      <c r="C2811" s="46"/>
      <c r="D2811" s="46"/>
      <c r="E2811" s="46"/>
      <c r="F2811" s="46"/>
      <c r="G2811" s="46"/>
      <c r="H2811" s="46"/>
      <c r="I2811" s="46"/>
      <c r="J2811" s="46"/>
      <c r="K2811" s="46"/>
      <c r="L2811" s="46"/>
      <c r="M2811" s="46"/>
      <c r="N2811" s="46"/>
      <c r="O2811" s="46"/>
      <c r="P2811" s="46"/>
      <c r="Q2811" s="46"/>
      <c r="R2811" s="46"/>
      <c r="S2811" s="46"/>
      <c r="T2811" s="46"/>
      <c r="U2811" s="46"/>
      <c r="V2811" s="46"/>
      <c r="W2811" s="46"/>
      <c r="X2811" s="11" t="str">
        <f>IF(COUNTBLANK(B2811:W2811)&gt;0,"NA",'batch classification'!J2817)</f>
        <v>NA</v>
      </c>
    </row>
    <row r="2812" spans="1:24" x14ac:dyDescent="0.25">
      <c r="A2812" s="45"/>
      <c r="B2812" s="46"/>
      <c r="C2812" s="46"/>
      <c r="D2812" s="46"/>
      <c r="E2812" s="46"/>
      <c r="F2812" s="46"/>
      <c r="G2812" s="46"/>
      <c r="H2812" s="46"/>
      <c r="I2812" s="46"/>
      <c r="J2812" s="46"/>
      <c r="K2812" s="46"/>
      <c r="L2812" s="46"/>
      <c r="M2812" s="46"/>
      <c r="N2812" s="46"/>
      <c r="O2812" s="46"/>
      <c r="P2812" s="46"/>
      <c r="Q2812" s="46"/>
      <c r="R2812" s="46"/>
      <c r="S2812" s="46"/>
      <c r="T2812" s="46"/>
      <c r="U2812" s="46"/>
      <c r="V2812" s="46"/>
      <c r="W2812" s="46"/>
      <c r="X2812" s="11" t="str">
        <f>IF(COUNTBLANK(B2812:W2812)&gt;0,"NA",'batch classification'!J2818)</f>
        <v>NA</v>
      </c>
    </row>
    <row r="2813" spans="1:24" x14ac:dyDescent="0.25">
      <c r="A2813" s="45"/>
      <c r="B2813" s="46"/>
      <c r="C2813" s="46"/>
      <c r="D2813" s="46"/>
      <c r="E2813" s="46"/>
      <c r="F2813" s="46"/>
      <c r="G2813" s="46"/>
      <c r="H2813" s="46"/>
      <c r="I2813" s="46"/>
      <c r="J2813" s="46"/>
      <c r="K2813" s="46"/>
      <c r="L2813" s="46"/>
      <c r="M2813" s="46"/>
      <c r="N2813" s="46"/>
      <c r="O2813" s="46"/>
      <c r="P2813" s="46"/>
      <c r="Q2813" s="46"/>
      <c r="R2813" s="46"/>
      <c r="S2813" s="46"/>
      <c r="T2813" s="46"/>
      <c r="U2813" s="46"/>
      <c r="V2813" s="46"/>
      <c r="W2813" s="46"/>
      <c r="X2813" s="11" t="str">
        <f>IF(COUNTBLANK(B2813:W2813)&gt;0,"NA",'batch classification'!J2819)</f>
        <v>NA</v>
      </c>
    </row>
    <row r="2814" spans="1:24" x14ac:dyDescent="0.25">
      <c r="A2814" s="45"/>
      <c r="B2814" s="46"/>
      <c r="C2814" s="46"/>
      <c r="D2814" s="46"/>
      <c r="E2814" s="46"/>
      <c r="F2814" s="46"/>
      <c r="G2814" s="46"/>
      <c r="H2814" s="46"/>
      <c r="I2814" s="46"/>
      <c r="J2814" s="46"/>
      <c r="K2814" s="46"/>
      <c r="L2814" s="46"/>
      <c r="M2814" s="46"/>
      <c r="N2814" s="46"/>
      <c r="O2814" s="46"/>
      <c r="P2814" s="46"/>
      <c r="Q2814" s="46"/>
      <c r="R2814" s="46"/>
      <c r="S2814" s="46"/>
      <c r="T2814" s="46"/>
      <c r="U2814" s="46"/>
      <c r="V2814" s="46"/>
      <c r="W2814" s="46"/>
      <c r="X2814" s="11" t="str">
        <f>IF(COUNTBLANK(B2814:W2814)&gt;0,"NA",'batch classification'!J2820)</f>
        <v>NA</v>
      </c>
    </row>
    <row r="2815" spans="1:24" x14ac:dyDescent="0.25">
      <c r="A2815" s="45"/>
      <c r="B2815" s="46"/>
      <c r="C2815" s="46"/>
      <c r="D2815" s="46"/>
      <c r="E2815" s="46"/>
      <c r="F2815" s="46"/>
      <c r="G2815" s="46"/>
      <c r="H2815" s="46"/>
      <c r="I2815" s="46"/>
      <c r="J2815" s="46"/>
      <c r="K2815" s="46"/>
      <c r="L2815" s="46"/>
      <c r="M2815" s="46"/>
      <c r="N2815" s="46"/>
      <c r="O2815" s="46"/>
      <c r="P2815" s="46"/>
      <c r="Q2815" s="46"/>
      <c r="R2815" s="46"/>
      <c r="S2815" s="46"/>
      <c r="T2815" s="46"/>
      <c r="U2815" s="46"/>
      <c r="V2815" s="46"/>
      <c r="W2815" s="46"/>
      <c r="X2815" s="11" t="str">
        <f>IF(COUNTBLANK(B2815:W2815)&gt;0,"NA",'batch classification'!J2821)</f>
        <v>NA</v>
      </c>
    </row>
    <row r="2816" spans="1:24" x14ac:dyDescent="0.25">
      <c r="A2816" s="45"/>
      <c r="B2816" s="46"/>
      <c r="C2816" s="46"/>
      <c r="D2816" s="46"/>
      <c r="E2816" s="46"/>
      <c r="F2816" s="46"/>
      <c r="G2816" s="46"/>
      <c r="H2816" s="46"/>
      <c r="I2816" s="46"/>
      <c r="J2816" s="46"/>
      <c r="K2816" s="46"/>
      <c r="L2816" s="46"/>
      <c r="M2816" s="46"/>
      <c r="N2816" s="46"/>
      <c r="O2816" s="46"/>
      <c r="P2816" s="46"/>
      <c r="Q2816" s="46"/>
      <c r="R2816" s="46"/>
      <c r="S2816" s="46"/>
      <c r="T2816" s="46"/>
      <c r="U2816" s="46"/>
      <c r="V2816" s="46"/>
      <c r="W2816" s="46"/>
      <c r="X2816" s="11" t="str">
        <f>IF(COUNTBLANK(B2816:W2816)&gt;0,"NA",'batch classification'!J2822)</f>
        <v>NA</v>
      </c>
    </row>
    <row r="2817" spans="1:24" x14ac:dyDescent="0.25">
      <c r="A2817" s="45"/>
      <c r="B2817" s="46"/>
      <c r="C2817" s="46"/>
      <c r="D2817" s="46"/>
      <c r="E2817" s="46"/>
      <c r="F2817" s="46"/>
      <c r="G2817" s="46"/>
      <c r="H2817" s="46"/>
      <c r="I2817" s="46"/>
      <c r="J2817" s="46"/>
      <c r="K2817" s="46"/>
      <c r="L2817" s="46"/>
      <c r="M2817" s="46"/>
      <c r="N2817" s="46"/>
      <c r="O2817" s="46"/>
      <c r="P2817" s="46"/>
      <c r="Q2817" s="46"/>
      <c r="R2817" s="46"/>
      <c r="S2817" s="46"/>
      <c r="T2817" s="46"/>
      <c r="U2817" s="46"/>
      <c r="V2817" s="46"/>
      <c r="W2817" s="46"/>
      <c r="X2817" s="11" t="str">
        <f>IF(COUNTBLANK(B2817:W2817)&gt;0,"NA",'batch classification'!J2823)</f>
        <v>NA</v>
      </c>
    </row>
    <row r="2818" spans="1:24" x14ac:dyDescent="0.25">
      <c r="A2818" s="45"/>
      <c r="B2818" s="46"/>
      <c r="C2818" s="46"/>
      <c r="D2818" s="46"/>
      <c r="E2818" s="46"/>
      <c r="F2818" s="46"/>
      <c r="G2818" s="46"/>
      <c r="H2818" s="46"/>
      <c r="I2818" s="46"/>
      <c r="J2818" s="46"/>
      <c r="K2818" s="46"/>
      <c r="L2818" s="46"/>
      <c r="M2818" s="46"/>
      <c r="N2818" s="46"/>
      <c r="O2818" s="46"/>
      <c r="P2818" s="46"/>
      <c r="Q2818" s="46"/>
      <c r="R2818" s="46"/>
      <c r="S2818" s="46"/>
      <c r="T2818" s="46"/>
      <c r="U2818" s="46"/>
      <c r="V2818" s="46"/>
      <c r="W2818" s="46"/>
      <c r="X2818" s="11" t="str">
        <f>IF(COUNTBLANK(B2818:W2818)&gt;0,"NA",'batch classification'!J2824)</f>
        <v>NA</v>
      </c>
    </row>
    <row r="2819" spans="1:24" x14ac:dyDescent="0.25">
      <c r="A2819" s="45"/>
      <c r="B2819" s="46"/>
      <c r="C2819" s="46"/>
      <c r="D2819" s="46"/>
      <c r="E2819" s="46"/>
      <c r="F2819" s="46"/>
      <c r="G2819" s="46"/>
      <c r="H2819" s="46"/>
      <c r="I2819" s="46"/>
      <c r="J2819" s="46"/>
      <c r="K2819" s="46"/>
      <c r="L2819" s="46"/>
      <c r="M2819" s="46"/>
      <c r="N2819" s="46"/>
      <c r="O2819" s="46"/>
      <c r="P2819" s="46"/>
      <c r="Q2819" s="46"/>
      <c r="R2819" s="46"/>
      <c r="S2819" s="46"/>
      <c r="T2819" s="46"/>
      <c r="U2819" s="46"/>
      <c r="V2819" s="46"/>
      <c r="W2819" s="46"/>
      <c r="X2819" s="11" t="str">
        <f>IF(COUNTBLANK(B2819:W2819)&gt;0,"NA",'batch classification'!J2825)</f>
        <v>NA</v>
      </c>
    </row>
    <row r="2820" spans="1:24" x14ac:dyDescent="0.25">
      <c r="A2820" s="45"/>
      <c r="B2820" s="46"/>
      <c r="C2820" s="46"/>
      <c r="D2820" s="46"/>
      <c r="E2820" s="46"/>
      <c r="F2820" s="46"/>
      <c r="G2820" s="46"/>
      <c r="H2820" s="46"/>
      <c r="I2820" s="46"/>
      <c r="J2820" s="46"/>
      <c r="K2820" s="46"/>
      <c r="L2820" s="46"/>
      <c r="M2820" s="46"/>
      <c r="N2820" s="46"/>
      <c r="O2820" s="46"/>
      <c r="P2820" s="46"/>
      <c r="Q2820" s="46"/>
      <c r="R2820" s="46"/>
      <c r="S2820" s="46"/>
      <c r="T2820" s="46"/>
      <c r="U2820" s="46"/>
      <c r="V2820" s="46"/>
      <c r="W2820" s="46"/>
      <c r="X2820" s="11" t="str">
        <f>IF(COUNTBLANK(B2820:W2820)&gt;0,"NA",'batch classification'!J2826)</f>
        <v>NA</v>
      </c>
    </row>
    <row r="2821" spans="1:24" x14ac:dyDescent="0.25">
      <c r="A2821" s="45"/>
      <c r="B2821" s="46"/>
      <c r="C2821" s="46"/>
      <c r="D2821" s="46"/>
      <c r="E2821" s="46"/>
      <c r="F2821" s="46"/>
      <c r="G2821" s="46"/>
      <c r="H2821" s="46"/>
      <c r="I2821" s="46"/>
      <c r="J2821" s="46"/>
      <c r="K2821" s="46"/>
      <c r="L2821" s="46"/>
      <c r="M2821" s="46"/>
      <c r="N2821" s="46"/>
      <c r="O2821" s="46"/>
      <c r="P2821" s="46"/>
      <c r="Q2821" s="46"/>
      <c r="R2821" s="46"/>
      <c r="S2821" s="46"/>
      <c r="T2821" s="46"/>
      <c r="U2821" s="46"/>
      <c r="V2821" s="46"/>
      <c r="W2821" s="46"/>
      <c r="X2821" s="11" t="str">
        <f>IF(COUNTBLANK(B2821:W2821)&gt;0,"NA",'batch classification'!J2827)</f>
        <v>NA</v>
      </c>
    </row>
    <row r="2822" spans="1:24" x14ac:dyDescent="0.25">
      <c r="A2822" s="45"/>
      <c r="B2822" s="46"/>
      <c r="C2822" s="46"/>
      <c r="D2822" s="46"/>
      <c r="E2822" s="46"/>
      <c r="F2822" s="46"/>
      <c r="G2822" s="46"/>
      <c r="H2822" s="46"/>
      <c r="I2822" s="46"/>
      <c r="J2822" s="46"/>
      <c r="K2822" s="46"/>
      <c r="L2822" s="46"/>
      <c r="M2822" s="46"/>
      <c r="N2822" s="46"/>
      <c r="O2822" s="46"/>
      <c r="P2822" s="46"/>
      <c r="Q2822" s="46"/>
      <c r="R2822" s="46"/>
      <c r="S2822" s="46"/>
      <c r="T2822" s="46"/>
      <c r="U2822" s="46"/>
      <c r="V2822" s="46"/>
      <c r="W2822" s="46"/>
      <c r="X2822" s="11" t="str">
        <f>IF(COUNTBLANK(B2822:W2822)&gt;0,"NA",'batch classification'!J2828)</f>
        <v>NA</v>
      </c>
    </row>
    <row r="2823" spans="1:24" x14ac:dyDescent="0.25">
      <c r="A2823" s="45"/>
      <c r="B2823" s="46"/>
      <c r="C2823" s="46"/>
      <c r="D2823" s="46"/>
      <c r="E2823" s="46"/>
      <c r="F2823" s="46"/>
      <c r="G2823" s="46"/>
      <c r="H2823" s="46"/>
      <c r="I2823" s="46"/>
      <c r="J2823" s="46"/>
      <c r="K2823" s="46"/>
      <c r="L2823" s="46"/>
      <c r="M2823" s="46"/>
      <c r="N2823" s="46"/>
      <c r="O2823" s="46"/>
      <c r="P2823" s="46"/>
      <c r="Q2823" s="46"/>
      <c r="R2823" s="46"/>
      <c r="S2823" s="46"/>
      <c r="T2823" s="46"/>
      <c r="U2823" s="46"/>
      <c r="V2823" s="46"/>
      <c r="W2823" s="46"/>
      <c r="X2823" s="11" t="str">
        <f>IF(COUNTBLANK(B2823:W2823)&gt;0,"NA",'batch classification'!J2829)</f>
        <v>NA</v>
      </c>
    </row>
    <row r="2824" spans="1:24" x14ac:dyDescent="0.25">
      <c r="A2824" s="45"/>
      <c r="B2824" s="46"/>
      <c r="C2824" s="46"/>
      <c r="D2824" s="46"/>
      <c r="E2824" s="46"/>
      <c r="F2824" s="46"/>
      <c r="G2824" s="46"/>
      <c r="H2824" s="46"/>
      <c r="I2824" s="46"/>
      <c r="J2824" s="46"/>
      <c r="K2824" s="46"/>
      <c r="L2824" s="46"/>
      <c r="M2824" s="46"/>
      <c r="N2824" s="46"/>
      <c r="O2824" s="46"/>
      <c r="P2824" s="46"/>
      <c r="Q2824" s="46"/>
      <c r="R2824" s="46"/>
      <c r="S2824" s="46"/>
      <c r="T2824" s="46"/>
      <c r="U2824" s="46"/>
      <c r="V2824" s="46"/>
      <c r="W2824" s="46"/>
      <c r="X2824" s="11" t="str">
        <f>IF(COUNTBLANK(B2824:W2824)&gt;0,"NA",'batch classification'!J2830)</f>
        <v>NA</v>
      </c>
    </row>
    <row r="2825" spans="1:24" x14ac:dyDescent="0.25">
      <c r="A2825" s="45"/>
      <c r="B2825" s="46"/>
      <c r="C2825" s="46"/>
      <c r="D2825" s="46"/>
      <c r="E2825" s="46"/>
      <c r="F2825" s="46"/>
      <c r="G2825" s="46"/>
      <c r="H2825" s="46"/>
      <c r="I2825" s="46"/>
      <c r="J2825" s="46"/>
      <c r="K2825" s="46"/>
      <c r="L2825" s="46"/>
      <c r="M2825" s="46"/>
      <c r="N2825" s="46"/>
      <c r="O2825" s="46"/>
      <c r="P2825" s="46"/>
      <c r="Q2825" s="46"/>
      <c r="R2825" s="46"/>
      <c r="S2825" s="46"/>
      <c r="T2825" s="46"/>
      <c r="U2825" s="46"/>
      <c r="V2825" s="46"/>
      <c r="W2825" s="46"/>
      <c r="X2825" s="11" t="str">
        <f>IF(COUNTBLANK(B2825:W2825)&gt;0,"NA",'batch classification'!J2831)</f>
        <v>NA</v>
      </c>
    </row>
    <row r="2826" spans="1:24" x14ac:dyDescent="0.25">
      <c r="A2826" s="45"/>
      <c r="B2826" s="46"/>
      <c r="C2826" s="46"/>
      <c r="D2826" s="46"/>
      <c r="E2826" s="46"/>
      <c r="F2826" s="46"/>
      <c r="G2826" s="46"/>
      <c r="H2826" s="46"/>
      <c r="I2826" s="46"/>
      <c r="J2826" s="46"/>
      <c r="K2826" s="46"/>
      <c r="L2826" s="46"/>
      <c r="M2826" s="46"/>
      <c r="N2826" s="46"/>
      <c r="O2826" s="46"/>
      <c r="P2826" s="46"/>
      <c r="Q2826" s="46"/>
      <c r="R2826" s="46"/>
      <c r="S2826" s="46"/>
      <c r="T2826" s="46"/>
      <c r="U2826" s="46"/>
      <c r="V2826" s="46"/>
      <c r="W2826" s="46"/>
      <c r="X2826" s="11" t="str">
        <f>IF(COUNTBLANK(B2826:W2826)&gt;0,"NA",'batch classification'!J2832)</f>
        <v>NA</v>
      </c>
    </row>
    <row r="2827" spans="1:24" x14ac:dyDescent="0.25">
      <c r="A2827" s="45"/>
      <c r="B2827" s="46"/>
      <c r="C2827" s="46"/>
      <c r="D2827" s="46"/>
      <c r="E2827" s="46"/>
      <c r="F2827" s="46"/>
      <c r="G2827" s="46"/>
      <c r="H2827" s="46"/>
      <c r="I2827" s="46"/>
      <c r="J2827" s="46"/>
      <c r="K2827" s="46"/>
      <c r="L2827" s="46"/>
      <c r="M2827" s="46"/>
      <c r="N2827" s="46"/>
      <c r="O2827" s="46"/>
      <c r="P2827" s="46"/>
      <c r="Q2827" s="46"/>
      <c r="R2827" s="46"/>
      <c r="S2827" s="46"/>
      <c r="T2827" s="46"/>
      <c r="U2827" s="46"/>
      <c r="V2827" s="46"/>
      <c r="W2827" s="46"/>
      <c r="X2827" s="11" t="str">
        <f>IF(COUNTBLANK(B2827:W2827)&gt;0,"NA",'batch classification'!J2833)</f>
        <v>NA</v>
      </c>
    </row>
    <row r="2828" spans="1:24" x14ac:dyDescent="0.25">
      <c r="A2828" s="45"/>
      <c r="B2828" s="46"/>
      <c r="C2828" s="46"/>
      <c r="D2828" s="46"/>
      <c r="E2828" s="46"/>
      <c r="F2828" s="46"/>
      <c r="G2828" s="46"/>
      <c r="H2828" s="46"/>
      <c r="I2828" s="46"/>
      <c r="J2828" s="46"/>
      <c r="K2828" s="46"/>
      <c r="L2828" s="46"/>
      <c r="M2828" s="46"/>
      <c r="N2828" s="46"/>
      <c r="O2828" s="46"/>
      <c r="P2828" s="46"/>
      <c r="Q2828" s="46"/>
      <c r="R2828" s="46"/>
      <c r="S2828" s="46"/>
      <c r="T2828" s="46"/>
      <c r="U2828" s="46"/>
      <c r="V2828" s="46"/>
      <c r="W2828" s="46"/>
      <c r="X2828" s="11" t="str">
        <f>IF(COUNTBLANK(B2828:W2828)&gt;0,"NA",'batch classification'!J2834)</f>
        <v>NA</v>
      </c>
    </row>
    <row r="2829" spans="1:24" x14ac:dyDescent="0.25">
      <c r="A2829" s="45"/>
      <c r="B2829" s="46"/>
      <c r="C2829" s="46"/>
      <c r="D2829" s="46"/>
      <c r="E2829" s="46"/>
      <c r="F2829" s="46"/>
      <c r="G2829" s="46"/>
      <c r="H2829" s="46"/>
      <c r="I2829" s="46"/>
      <c r="J2829" s="46"/>
      <c r="K2829" s="46"/>
      <c r="L2829" s="46"/>
      <c r="M2829" s="46"/>
      <c r="N2829" s="46"/>
      <c r="O2829" s="46"/>
      <c r="P2829" s="46"/>
      <c r="Q2829" s="46"/>
      <c r="R2829" s="46"/>
      <c r="S2829" s="46"/>
      <c r="T2829" s="46"/>
      <c r="U2829" s="46"/>
      <c r="V2829" s="46"/>
      <c r="W2829" s="46"/>
      <c r="X2829" s="11" t="str">
        <f>IF(COUNTBLANK(B2829:W2829)&gt;0,"NA",'batch classification'!J2835)</f>
        <v>NA</v>
      </c>
    </row>
    <row r="2830" spans="1:24" x14ac:dyDescent="0.25">
      <c r="A2830" s="45"/>
      <c r="B2830" s="46"/>
      <c r="C2830" s="46"/>
      <c r="D2830" s="46"/>
      <c r="E2830" s="46"/>
      <c r="F2830" s="46"/>
      <c r="G2830" s="46"/>
      <c r="H2830" s="46"/>
      <c r="I2830" s="46"/>
      <c r="J2830" s="46"/>
      <c r="K2830" s="46"/>
      <c r="L2830" s="46"/>
      <c r="M2830" s="46"/>
      <c r="N2830" s="46"/>
      <c r="O2830" s="46"/>
      <c r="P2830" s="46"/>
      <c r="Q2830" s="46"/>
      <c r="R2830" s="46"/>
      <c r="S2830" s="46"/>
      <c r="T2830" s="46"/>
      <c r="U2830" s="46"/>
      <c r="V2830" s="46"/>
      <c r="W2830" s="46"/>
      <c r="X2830" s="11" t="str">
        <f>IF(COUNTBLANK(B2830:W2830)&gt;0,"NA",'batch classification'!J2836)</f>
        <v>NA</v>
      </c>
    </row>
    <row r="2831" spans="1:24" x14ac:dyDescent="0.25">
      <c r="A2831" s="45"/>
      <c r="B2831" s="46"/>
      <c r="C2831" s="46"/>
      <c r="D2831" s="46"/>
      <c r="E2831" s="46"/>
      <c r="F2831" s="46"/>
      <c r="G2831" s="46"/>
      <c r="H2831" s="46"/>
      <c r="I2831" s="46"/>
      <c r="J2831" s="46"/>
      <c r="K2831" s="46"/>
      <c r="L2831" s="46"/>
      <c r="M2831" s="46"/>
      <c r="N2831" s="46"/>
      <c r="O2831" s="46"/>
      <c r="P2831" s="46"/>
      <c r="Q2831" s="46"/>
      <c r="R2831" s="46"/>
      <c r="S2831" s="46"/>
      <c r="T2831" s="46"/>
      <c r="U2831" s="46"/>
      <c r="V2831" s="46"/>
      <c r="W2831" s="46"/>
      <c r="X2831" s="11" t="str">
        <f>IF(COUNTBLANK(B2831:W2831)&gt;0,"NA",'batch classification'!J2837)</f>
        <v>NA</v>
      </c>
    </row>
    <row r="2832" spans="1:24" x14ac:dyDescent="0.25">
      <c r="A2832" s="45"/>
      <c r="B2832" s="46"/>
      <c r="C2832" s="46"/>
      <c r="D2832" s="46"/>
      <c r="E2832" s="46"/>
      <c r="F2832" s="46"/>
      <c r="G2832" s="46"/>
      <c r="H2832" s="46"/>
      <c r="I2832" s="46"/>
      <c r="J2832" s="46"/>
      <c r="K2832" s="46"/>
      <c r="L2832" s="46"/>
      <c r="M2832" s="46"/>
      <c r="N2832" s="46"/>
      <c r="O2832" s="46"/>
      <c r="P2832" s="46"/>
      <c r="Q2832" s="46"/>
      <c r="R2832" s="46"/>
      <c r="S2832" s="46"/>
      <c r="T2832" s="46"/>
      <c r="U2832" s="46"/>
      <c r="V2832" s="46"/>
      <c r="W2832" s="46"/>
      <c r="X2832" s="11" t="str">
        <f>IF(COUNTBLANK(B2832:W2832)&gt;0,"NA",'batch classification'!J2838)</f>
        <v>NA</v>
      </c>
    </row>
    <row r="2833" spans="1:24" x14ac:dyDescent="0.25">
      <c r="A2833" s="45"/>
      <c r="B2833" s="46"/>
      <c r="C2833" s="46"/>
      <c r="D2833" s="46"/>
      <c r="E2833" s="46"/>
      <c r="F2833" s="46"/>
      <c r="G2833" s="46"/>
      <c r="H2833" s="46"/>
      <c r="I2833" s="46"/>
      <c r="J2833" s="46"/>
      <c r="K2833" s="46"/>
      <c r="L2833" s="46"/>
      <c r="M2833" s="46"/>
      <c r="N2833" s="46"/>
      <c r="O2833" s="46"/>
      <c r="P2833" s="46"/>
      <c r="Q2833" s="46"/>
      <c r="R2833" s="46"/>
      <c r="S2833" s="46"/>
      <c r="T2833" s="46"/>
      <c r="U2833" s="46"/>
      <c r="V2833" s="46"/>
      <c r="W2833" s="46"/>
      <c r="X2833" s="11" t="str">
        <f>IF(COUNTBLANK(B2833:W2833)&gt;0,"NA",'batch classification'!J2839)</f>
        <v>NA</v>
      </c>
    </row>
    <row r="2834" spans="1:24" x14ac:dyDescent="0.25">
      <c r="A2834" s="45"/>
      <c r="B2834" s="46"/>
      <c r="C2834" s="46"/>
      <c r="D2834" s="46"/>
      <c r="E2834" s="46"/>
      <c r="F2834" s="46"/>
      <c r="G2834" s="46"/>
      <c r="H2834" s="46"/>
      <c r="I2834" s="46"/>
      <c r="J2834" s="46"/>
      <c r="K2834" s="46"/>
      <c r="L2834" s="46"/>
      <c r="M2834" s="46"/>
      <c r="N2834" s="46"/>
      <c r="O2834" s="46"/>
      <c r="P2834" s="46"/>
      <c r="Q2834" s="46"/>
      <c r="R2834" s="46"/>
      <c r="S2834" s="46"/>
      <c r="T2834" s="46"/>
      <c r="U2834" s="46"/>
      <c r="V2834" s="46"/>
      <c r="W2834" s="46"/>
      <c r="X2834" s="11" t="str">
        <f>IF(COUNTBLANK(B2834:W2834)&gt;0,"NA",'batch classification'!J2840)</f>
        <v>NA</v>
      </c>
    </row>
    <row r="2835" spans="1:24" x14ac:dyDescent="0.25">
      <c r="A2835" s="45"/>
      <c r="B2835" s="46"/>
      <c r="C2835" s="46"/>
      <c r="D2835" s="46"/>
      <c r="E2835" s="46"/>
      <c r="F2835" s="46"/>
      <c r="G2835" s="46"/>
      <c r="H2835" s="46"/>
      <c r="I2835" s="46"/>
      <c r="J2835" s="46"/>
      <c r="K2835" s="46"/>
      <c r="L2835" s="46"/>
      <c r="M2835" s="46"/>
      <c r="N2835" s="46"/>
      <c r="O2835" s="46"/>
      <c r="P2835" s="46"/>
      <c r="Q2835" s="46"/>
      <c r="R2835" s="46"/>
      <c r="S2835" s="46"/>
      <c r="T2835" s="46"/>
      <c r="U2835" s="46"/>
      <c r="V2835" s="46"/>
      <c r="W2835" s="46"/>
      <c r="X2835" s="11" t="str">
        <f>IF(COUNTBLANK(B2835:W2835)&gt;0,"NA",'batch classification'!J2841)</f>
        <v>NA</v>
      </c>
    </row>
    <row r="2836" spans="1:24" x14ac:dyDescent="0.25">
      <c r="A2836" s="45"/>
      <c r="B2836" s="46"/>
      <c r="C2836" s="46"/>
      <c r="D2836" s="46"/>
      <c r="E2836" s="46"/>
      <c r="F2836" s="46"/>
      <c r="G2836" s="46"/>
      <c r="H2836" s="46"/>
      <c r="I2836" s="46"/>
      <c r="J2836" s="46"/>
      <c r="K2836" s="46"/>
      <c r="L2836" s="46"/>
      <c r="M2836" s="46"/>
      <c r="N2836" s="46"/>
      <c r="O2836" s="46"/>
      <c r="P2836" s="46"/>
      <c r="Q2836" s="46"/>
      <c r="R2836" s="46"/>
      <c r="S2836" s="46"/>
      <c r="T2836" s="46"/>
      <c r="U2836" s="46"/>
      <c r="V2836" s="46"/>
      <c r="W2836" s="46"/>
      <c r="X2836" s="11" t="str">
        <f>IF(COUNTBLANK(B2836:W2836)&gt;0,"NA",'batch classification'!J2842)</f>
        <v>NA</v>
      </c>
    </row>
    <row r="2837" spans="1:24" x14ac:dyDescent="0.25">
      <c r="A2837" s="45"/>
      <c r="B2837" s="46"/>
      <c r="C2837" s="46"/>
      <c r="D2837" s="46"/>
      <c r="E2837" s="46"/>
      <c r="F2837" s="46"/>
      <c r="G2837" s="46"/>
      <c r="H2837" s="46"/>
      <c r="I2837" s="46"/>
      <c r="J2837" s="46"/>
      <c r="K2837" s="46"/>
      <c r="L2837" s="46"/>
      <c r="M2837" s="46"/>
      <c r="N2837" s="46"/>
      <c r="O2837" s="46"/>
      <c r="P2837" s="46"/>
      <c r="Q2837" s="46"/>
      <c r="R2837" s="46"/>
      <c r="S2837" s="46"/>
      <c r="T2837" s="46"/>
      <c r="U2837" s="46"/>
      <c r="V2837" s="46"/>
      <c r="W2837" s="46"/>
      <c r="X2837" s="11" t="str">
        <f>IF(COUNTBLANK(B2837:W2837)&gt;0,"NA",'batch classification'!J2843)</f>
        <v>NA</v>
      </c>
    </row>
    <row r="2838" spans="1:24" x14ac:dyDescent="0.25">
      <c r="A2838" s="45"/>
      <c r="B2838" s="46"/>
      <c r="C2838" s="46"/>
      <c r="D2838" s="46"/>
      <c r="E2838" s="46"/>
      <c r="F2838" s="46"/>
      <c r="G2838" s="46"/>
      <c r="H2838" s="46"/>
      <c r="I2838" s="46"/>
      <c r="J2838" s="46"/>
      <c r="K2838" s="46"/>
      <c r="L2838" s="46"/>
      <c r="M2838" s="46"/>
      <c r="N2838" s="46"/>
      <c r="O2838" s="46"/>
      <c r="P2838" s="46"/>
      <c r="Q2838" s="46"/>
      <c r="R2838" s="46"/>
      <c r="S2838" s="46"/>
      <c r="T2838" s="46"/>
      <c r="U2838" s="46"/>
      <c r="V2838" s="46"/>
      <c r="W2838" s="46"/>
      <c r="X2838" s="11" t="str">
        <f>IF(COUNTBLANK(B2838:W2838)&gt;0,"NA",'batch classification'!J2844)</f>
        <v>NA</v>
      </c>
    </row>
    <row r="2839" spans="1:24" x14ac:dyDescent="0.25">
      <c r="A2839" s="45"/>
      <c r="B2839" s="46"/>
      <c r="C2839" s="46"/>
      <c r="D2839" s="46"/>
      <c r="E2839" s="46"/>
      <c r="F2839" s="46"/>
      <c r="G2839" s="46"/>
      <c r="H2839" s="46"/>
      <c r="I2839" s="46"/>
      <c r="J2839" s="46"/>
      <c r="K2839" s="46"/>
      <c r="L2839" s="46"/>
      <c r="M2839" s="46"/>
      <c r="N2839" s="46"/>
      <c r="O2839" s="46"/>
      <c r="P2839" s="46"/>
      <c r="Q2839" s="46"/>
      <c r="R2839" s="46"/>
      <c r="S2839" s="46"/>
      <c r="T2839" s="46"/>
      <c r="U2839" s="46"/>
      <c r="V2839" s="46"/>
      <c r="W2839" s="46"/>
      <c r="X2839" s="11" t="str">
        <f>IF(COUNTBLANK(B2839:W2839)&gt;0,"NA",'batch classification'!J2845)</f>
        <v>NA</v>
      </c>
    </row>
    <row r="2840" spans="1:24" x14ac:dyDescent="0.25">
      <c r="A2840" s="45"/>
      <c r="B2840" s="46"/>
      <c r="C2840" s="46"/>
      <c r="D2840" s="46"/>
      <c r="E2840" s="46"/>
      <c r="F2840" s="46"/>
      <c r="G2840" s="46"/>
      <c r="H2840" s="46"/>
      <c r="I2840" s="46"/>
      <c r="J2840" s="46"/>
      <c r="K2840" s="46"/>
      <c r="L2840" s="46"/>
      <c r="M2840" s="46"/>
      <c r="N2840" s="46"/>
      <c r="O2840" s="46"/>
      <c r="P2840" s="46"/>
      <c r="Q2840" s="46"/>
      <c r="R2840" s="46"/>
      <c r="S2840" s="46"/>
      <c r="T2840" s="46"/>
      <c r="U2840" s="46"/>
      <c r="V2840" s="46"/>
      <c r="W2840" s="46"/>
      <c r="X2840" s="11" t="str">
        <f>IF(COUNTBLANK(B2840:W2840)&gt;0,"NA",'batch classification'!J2846)</f>
        <v>NA</v>
      </c>
    </row>
    <row r="2841" spans="1:24" x14ac:dyDescent="0.25">
      <c r="A2841" s="45"/>
      <c r="B2841" s="46"/>
      <c r="C2841" s="46"/>
      <c r="D2841" s="46"/>
      <c r="E2841" s="46"/>
      <c r="F2841" s="46"/>
      <c r="G2841" s="46"/>
      <c r="H2841" s="46"/>
      <c r="I2841" s="46"/>
      <c r="J2841" s="46"/>
      <c r="K2841" s="46"/>
      <c r="L2841" s="46"/>
      <c r="M2841" s="46"/>
      <c r="N2841" s="46"/>
      <c r="O2841" s="46"/>
      <c r="P2841" s="46"/>
      <c r="Q2841" s="46"/>
      <c r="R2841" s="46"/>
      <c r="S2841" s="46"/>
      <c r="T2841" s="46"/>
      <c r="U2841" s="46"/>
      <c r="V2841" s="46"/>
      <c r="W2841" s="46"/>
      <c r="X2841" s="11" t="str">
        <f>IF(COUNTBLANK(B2841:W2841)&gt;0,"NA",'batch classification'!J2847)</f>
        <v>NA</v>
      </c>
    </row>
    <row r="2842" spans="1:24" x14ac:dyDescent="0.25">
      <c r="A2842" s="45"/>
      <c r="B2842" s="46"/>
      <c r="C2842" s="46"/>
      <c r="D2842" s="46"/>
      <c r="E2842" s="46"/>
      <c r="F2842" s="46"/>
      <c r="G2842" s="46"/>
      <c r="H2842" s="46"/>
      <c r="I2842" s="46"/>
      <c r="J2842" s="46"/>
      <c r="K2842" s="46"/>
      <c r="L2842" s="46"/>
      <c r="M2842" s="46"/>
      <c r="N2842" s="46"/>
      <c r="O2842" s="46"/>
      <c r="P2842" s="46"/>
      <c r="Q2842" s="46"/>
      <c r="R2842" s="46"/>
      <c r="S2842" s="46"/>
      <c r="T2842" s="46"/>
      <c r="U2842" s="46"/>
      <c r="V2842" s="46"/>
      <c r="W2842" s="46"/>
      <c r="X2842" s="11" t="str">
        <f>IF(COUNTBLANK(B2842:W2842)&gt;0,"NA",'batch classification'!J2848)</f>
        <v>NA</v>
      </c>
    </row>
    <row r="2843" spans="1:24" x14ac:dyDescent="0.25">
      <c r="A2843" s="45"/>
      <c r="B2843" s="46"/>
      <c r="C2843" s="46"/>
      <c r="D2843" s="46"/>
      <c r="E2843" s="46"/>
      <c r="F2843" s="46"/>
      <c r="G2843" s="46"/>
      <c r="H2843" s="46"/>
      <c r="I2843" s="46"/>
      <c r="J2843" s="46"/>
      <c r="K2843" s="46"/>
      <c r="L2843" s="46"/>
      <c r="M2843" s="46"/>
      <c r="N2843" s="46"/>
      <c r="O2843" s="46"/>
      <c r="P2843" s="46"/>
      <c r="Q2843" s="46"/>
      <c r="R2843" s="46"/>
      <c r="S2843" s="46"/>
      <c r="T2843" s="46"/>
      <c r="U2843" s="46"/>
      <c r="V2843" s="46"/>
      <c r="W2843" s="46"/>
      <c r="X2843" s="11" t="str">
        <f>IF(COUNTBLANK(B2843:W2843)&gt;0,"NA",'batch classification'!J2849)</f>
        <v>NA</v>
      </c>
    </row>
    <row r="2844" spans="1:24" x14ac:dyDescent="0.25">
      <c r="A2844" s="45"/>
      <c r="B2844" s="46"/>
      <c r="C2844" s="46"/>
      <c r="D2844" s="46"/>
      <c r="E2844" s="46"/>
      <c r="F2844" s="46"/>
      <c r="G2844" s="46"/>
      <c r="H2844" s="46"/>
      <c r="I2844" s="46"/>
      <c r="J2844" s="46"/>
      <c r="K2844" s="46"/>
      <c r="L2844" s="46"/>
      <c r="M2844" s="46"/>
      <c r="N2844" s="46"/>
      <c r="O2844" s="46"/>
      <c r="P2844" s="46"/>
      <c r="Q2844" s="46"/>
      <c r="R2844" s="46"/>
      <c r="S2844" s="46"/>
      <c r="T2844" s="46"/>
      <c r="U2844" s="46"/>
      <c r="V2844" s="46"/>
      <c r="W2844" s="46"/>
      <c r="X2844" s="11" t="str">
        <f>IF(COUNTBLANK(B2844:W2844)&gt;0,"NA",'batch classification'!J2850)</f>
        <v>NA</v>
      </c>
    </row>
    <row r="2845" spans="1:24" x14ac:dyDescent="0.25">
      <c r="A2845" s="45"/>
      <c r="B2845" s="46"/>
      <c r="C2845" s="46"/>
      <c r="D2845" s="46"/>
      <c r="E2845" s="46"/>
      <c r="F2845" s="46"/>
      <c r="G2845" s="46"/>
      <c r="H2845" s="46"/>
      <c r="I2845" s="46"/>
      <c r="J2845" s="46"/>
      <c r="K2845" s="46"/>
      <c r="L2845" s="46"/>
      <c r="M2845" s="46"/>
      <c r="N2845" s="46"/>
      <c r="O2845" s="46"/>
      <c r="P2845" s="46"/>
      <c r="Q2845" s="46"/>
      <c r="R2845" s="46"/>
      <c r="S2845" s="46"/>
      <c r="T2845" s="46"/>
      <c r="U2845" s="46"/>
      <c r="V2845" s="46"/>
      <c r="W2845" s="46"/>
      <c r="X2845" s="11" t="str">
        <f>IF(COUNTBLANK(B2845:W2845)&gt;0,"NA",'batch classification'!J2851)</f>
        <v>NA</v>
      </c>
    </row>
    <row r="2846" spans="1:24" x14ac:dyDescent="0.25">
      <c r="A2846" s="45"/>
      <c r="B2846" s="46"/>
      <c r="C2846" s="46"/>
      <c r="D2846" s="46"/>
      <c r="E2846" s="46"/>
      <c r="F2846" s="46"/>
      <c r="G2846" s="46"/>
      <c r="H2846" s="46"/>
      <c r="I2846" s="46"/>
      <c r="J2846" s="46"/>
      <c r="K2846" s="46"/>
      <c r="L2846" s="46"/>
      <c r="M2846" s="46"/>
      <c r="N2846" s="46"/>
      <c r="O2846" s="46"/>
      <c r="P2846" s="46"/>
      <c r="Q2846" s="46"/>
      <c r="R2846" s="46"/>
      <c r="S2846" s="46"/>
      <c r="T2846" s="46"/>
      <c r="U2846" s="46"/>
      <c r="V2846" s="46"/>
      <c r="W2846" s="46"/>
      <c r="X2846" s="11" t="str">
        <f>IF(COUNTBLANK(B2846:W2846)&gt;0,"NA",'batch classification'!J2852)</f>
        <v>NA</v>
      </c>
    </row>
    <row r="2847" spans="1:24" x14ac:dyDescent="0.25">
      <c r="A2847" s="45"/>
      <c r="B2847" s="46"/>
      <c r="C2847" s="46"/>
      <c r="D2847" s="46"/>
      <c r="E2847" s="46"/>
      <c r="F2847" s="46"/>
      <c r="G2847" s="46"/>
      <c r="H2847" s="46"/>
      <c r="I2847" s="46"/>
      <c r="J2847" s="46"/>
      <c r="K2847" s="46"/>
      <c r="L2847" s="46"/>
      <c r="M2847" s="46"/>
      <c r="N2847" s="46"/>
      <c r="O2847" s="46"/>
      <c r="P2847" s="46"/>
      <c r="Q2847" s="46"/>
      <c r="R2847" s="46"/>
      <c r="S2847" s="46"/>
      <c r="T2847" s="46"/>
      <c r="U2847" s="46"/>
      <c r="V2847" s="46"/>
      <c r="W2847" s="46"/>
      <c r="X2847" s="11" t="str">
        <f>IF(COUNTBLANK(B2847:W2847)&gt;0,"NA",'batch classification'!J2853)</f>
        <v>NA</v>
      </c>
    </row>
    <row r="2848" spans="1:24" x14ac:dyDescent="0.25">
      <c r="A2848" s="45"/>
      <c r="B2848" s="46"/>
      <c r="C2848" s="46"/>
      <c r="D2848" s="46"/>
      <c r="E2848" s="46"/>
      <c r="F2848" s="46"/>
      <c r="G2848" s="46"/>
      <c r="H2848" s="46"/>
      <c r="I2848" s="46"/>
      <c r="J2848" s="46"/>
      <c r="K2848" s="46"/>
      <c r="L2848" s="46"/>
      <c r="M2848" s="46"/>
      <c r="N2848" s="46"/>
      <c r="O2848" s="46"/>
      <c r="P2848" s="46"/>
      <c r="Q2848" s="46"/>
      <c r="R2848" s="46"/>
      <c r="S2848" s="46"/>
      <c r="T2848" s="46"/>
      <c r="U2848" s="46"/>
      <c r="V2848" s="46"/>
      <c r="W2848" s="46"/>
      <c r="X2848" s="11" t="str">
        <f>IF(COUNTBLANK(B2848:W2848)&gt;0,"NA",'batch classification'!J2854)</f>
        <v>NA</v>
      </c>
    </row>
    <row r="2849" spans="1:24" x14ac:dyDescent="0.25">
      <c r="A2849" s="45"/>
      <c r="B2849" s="46"/>
      <c r="C2849" s="46"/>
      <c r="D2849" s="46"/>
      <c r="E2849" s="46"/>
      <c r="F2849" s="46"/>
      <c r="G2849" s="46"/>
      <c r="H2849" s="46"/>
      <c r="I2849" s="46"/>
      <c r="J2849" s="46"/>
      <c r="K2849" s="46"/>
      <c r="L2849" s="46"/>
      <c r="M2849" s="46"/>
      <c r="N2849" s="46"/>
      <c r="O2849" s="46"/>
      <c r="P2849" s="46"/>
      <c r="Q2849" s="46"/>
      <c r="R2849" s="46"/>
      <c r="S2849" s="46"/>
      <c r="T2849" s="46"/>
      <c r="U2849" s="46"/>
      <c r="V2849" s="46"/>
      <c r="W2849" s="46"/>
      <c r="X2849" s="11" t="str">
        <f>IF(COUNTBLANK(B2849:W2849)&gt;0,"NA",'batch classification'!J2855)</f>
        <v>NA</v>
      </c>
    </row>
    <row r="2850" spans="1:24" x14ac:dyDescent="0.25">
      <c r="A2850" s="45"/>
      <c r="B2850" s="46"/>
      <c r="C2850" s="46"/>
      <c r="D2850" s="46"/>
      <c r="E2850" s="46"/>
      <c r="F2850" s="46"/>
      <c r="G2850" s="46"/>
      <c r="H2850" s="46"/>
      <c r="I2850" s="46"/>
      <c r="J2850" s="46"/>
      <c r="K2850" s="46"/>
      <c r="L2850" s="46"/>
      <c r="M2850" s="46"/>
      <c r="N2850" s="46"/>
      <c r="O2850" s="46"/>
      <c r="P2850" s="46"/>
      <c r="Q2850" s="46"/>
      <c r="R2850" s="46"/>
      <c r="S2850" s="46"/>
      <c r="T2850" s="46"/>
      <c r="U2850" s="46"/>
      <c r="V2850" s="46"/>
      <c r="W2850" s="46"/>
      <c r="X2850" s="11" t="str">
        <f>IF(COUNTBLANK(B2850:W2850)&gt;0,"NA",'batch classification'!J2856)</f>
        <v>NA</v>
      </c>
    </row>
    <row r="2851" spans="1:24" x14ac:dyDescent="0.25">
      <c r="A2851" s="45"/>
      <c r="B2851" s="46"/>
      <c r="C2851" s="46"/>
      <c r="D2851" s="46"/>
      <c r="E2851" s="46"/>
      <c r="F2851" s="46"/>
      <c r="G2851" s="46"/>
      <c r="H2851" s="46"/>
      <c r="I2851" s="46"/>
      <c r="J2851" s="46"/>
      <c r="K2851" s="46"/>
      <c r="L2851" s="46"/>
      <c r="M2851" s="46"/>
      <c r="N2851" s="46"/>
      <c r="O2851" s="46"/>
      <c r="P2851" s="46"/>
      <c r="Q2851" s="46"/>
      <c r="R2851" s="46"/>
      <c r="S2851" s="46"/>
      <c r="T2851" s="46"/>
      <c r="U2851" s="46"/>
      <c r="V2851" s="46"/>
      <c r="W2851" s="46"/>
      <c r="X2851" s="11" t="str">
        <f>IF(COUNTBLANK(B2851:W2851)&gt;0,"NA",'batch classification'!J2857)</f>
        <v>NA</v>
      </c>
    </row>
    <row r="2852" spans="1:24" x14ac:dyDescent="0.25">
      <c r="A2852" s="45"/>
      <c r="B2852" s="46"/>
      <c r="C2852" s="46"/>
      <c r="D2852" s="46"/>
      <c r="E2852" s="46"/>
      <c r="F2852" s="46"/>
      <c r="G2852" s="46"/>
      <c r="H2852" s="46"/>
      <c r="I2852" s="46"/>
      <c r="J2852" s="46"/>
      <c r="K2852" s="46"/>
      <c r="L2852" s="46"/>
      <c r="M2852" s="46"/>
      <c r="N2852" s="46"/>
      <c r="O2852" s="46"/>
      <c r="P2852" s="46"/>
      <c r="Q2852" s="46"/>
      <c r="R2852" s="46"/>
      <c r="S2852" s="46"/>
      <c r="T2852" s="46"/>
      <c r="U2852" s="46"/>
      <c r="V2852" s="46"/>
      <c r="W2852" s="46"/>
      <c r="X2852" s="11" t="str">
        <f>IF(COUNTBLANK(B2852:W2852)&gt;0,"NA",'batch classification'!J2858)</f>
        <v>NA</v>
      </c>
    </row>
    <row r="2853" spans="1:24" x14ac:dyDescent="0.25">
      <c r="A2853" s="45"/>
      <c r="B2853" s="46"/>
      <c r="C2853" s="46"/>
      <c r="D2853" s="46"/>
      <c r="E2853" s="46"/>
      <c r="F2853" s="46"/>
      <c r="G2853" s="46"/>
      <c r="H2853" s="46"/>
      <c r="I2853" s="46"/>
      <c r="J2853" s="46"/>
      <c r="K2853" s="46"/>
      <c r="L2853" s="46"/>
      <c r="M2853" s="46"/>
      <c r="N2853" s="46"/>
      <c r="O2853" s="46"/>
      <c r="P2853" s="46"/>
      <c r="Q2853" s="46"/>
      <c r="R2853" s="46"/>
      <c r="S2853" s="46"/>
      <c r="T2853" s="46"/>
      <c r="U2853" s="46"/>
      <c r="V2853" s="46"/>
      <c r="W2853" s="46"/>
      <c r="X2853" s="11" t="str">
        <f>IF(COUNTBLANK(B2853:W2853)&gt;0,"NA",'batch classification'!J2859)</f>
        <v>NA</v>
      </c>
    </row>
    <row r="2854" spans="1:24" x14ac:dyDescent="0.25">
      <c r="A2854" s="45"/>
      <c r="B2854" s="46"/>
      <c r="C2854" s="46"/>
      <c r="D2854" s="46"/>
      <c r="E2854" s="46"/>
      <c r="F2854" s="46"/>
      <c r="G2854" s="46"/>
      <c r="H2854" s="46"/>
      <c r="I2854" s="46"/>
      <c r="J2854" s="46"/>
      <c r="K2854" s="46"/>
      <c r="L2854" s="46"/>
      <c r="M2854" s="46"/>
      <c r="N2854" s="46"/>
      <c r="O2854" s="46"/>
      <c r="P2854" s="46"/>
      <c r="Q2854" s="46"/>
      <c r="R2854" s="46"/>
      <c r="S2854" s="46"/>
      <c r="T2854" s="46"/>
      <c r="U2854" s="46"/>
      <c r="V2854" s="46"/>
      <c r="W2854" s="46"/>
      <c r="X2854" s="11" t="str">
        <f>IF(COUNTBLANK(B2854:W2854)&gt;0,"NA",'batch classification'!J2860)</f>
        <v>NA</v>
      </c>
    </row>
    <row r="2855" spans="1:24" x14ac:dyDescent="0.25">
      <c r="A2855" s="45"/>
      <c r="B2855" s="46"/>
      <c r="C2855" s="46"/>
      <c r="D2855" s="46"/>
      <c r="E2855" s="46"/>
      <c r="F2855" s="46"/>
      <c r="G2855" s="46"/>
      <c r="H2855" s="46"/>
      <c r="I2855" s="46"/>
      <c r="J2855" s="46"/>
      <c r="K2855" s="46"/>
      <c r="L2855" s="46"/>
      <c r="M2855" s="46"/>
      <c r="N2855" s="46"/>
      <c r="O2855" s="46"/>
      <c r="P2855" s="46"/>
      <c r="Q2855" s="46"/>
      <c r="R2855" s="46"/>
      <c r="S2855" s="46"/>
      <c r="T2855" s="46"/>
      <c r="U2855" s="46"/>
      <c r="V2855" s="46"/>
      <c r="W2855" s="46"/>
      <c r="X2855" s="11" t="str">
        <f>IF(COUNTBLANK(B2855:W2855)&gt;0,"NA",'batch classification'!J2861)</f>
        <v>NA</v>
      </c>
    </row>
    <row r="2856" spans="1:24" x14ac:dyDescent="0.25">
      <c r="A2856" s="45"/>
      <c r="B2856" s="46"/>
      <c r="C2856" s="46"/>
      <c r="D2856" s="46"/>
      <c r="E2856" s="46"/>
      <c r="F2856" s="46"/>
      <c r="G2856" s="46"/>
      <c r="H2856" s="46"/>
      <c r="I2856" s="46"/>
      <c r="J2856" s="46"/>
      <c r="K2856" s="46"/>
      <c r="L2856" s="46"/>
      <c r="M2856" s="46"/>
      <c r="N2856" s="46"/>
      <c r="O2856" s="46"/>
      <c r="P2856" s="46"/>
      <c r="Q2856" s="46"/>
      <c r="R2856" s="46"/>
      <c r="S2856" s="46"/>
      <c r="T2856" s="46"/>
      <c r="U2856" s="46"/>
      <c r="V2856" s="46"/>
      <c r="W2856" s="46"/>
      <c r="X2856" s="11" t="str">
        <f>IF(COUNTBLANK(B2856:W2856)&gt;0,"NA",'batch classification'!J2862)</f>
        <v>NA</v>
      </c>
    </row>
    <row r="2857" spans="1:24" x14ac:dyDescent="0.25">
      <c r="A2857" s="45"/>
      <c r="B2857" s="46"/>
      <c r="C2857" s="46"/>
      <c r="D2857" s="46"/>
      <c r="E2857" s="46"/>
      <c r="F2857" s="46"/>
      <c r="G2857" s="46"/>
      <c r="H2857" s="46"/>
      <c r="I2857" s="46"/>
      <c r="J2857" s="46"/>
      <c r="K2857" s="46"/>
      <c r="L2857" s="46"/>
      <c r="M2857" s="46"/>
      <c r="N2857" s="46"/>
      <c r="O2857" s="46"/>
      <c r="P2857" s="46"/>
      <c r="Q2857" s="46"/>
      <c r="R2857" s="46"/>
      <c r="S2857" s="46"/>
      <c r="T2857" s="46"/>
      <c r="U2857" s="46"/>
      <c r="V2857" s="46"/>
      <c r="W2857" s="46"/>
      <c r="X2857" s="11" t="str">
        <f>IF(COUNTBLANK(B2857:W2857)&gt;0,"NA",'batch classification'!J2863)</f>
        <v>NA</v>
      </c>
    </row>
    <row r="2858" spans="1:24" x14ac:dyDescent="0.25">
      <c r="A2858" s="45"/>
      <c r="B2858" s="46"/>
      <c r="C2858" s="46"/>
      <c r="D2858" s="46"/>
      <c r="E2858" s="46"/>
      <c r="F2858" s="46"/>
      <c r="G2858" s="46"/>
      <c r="H2858" s="46"/>
      <c r="I2858" s="46"/>
      <c r="J2858" s="46"/>
      <c r="K2858" s="46"/>
      <c r="L2858" s="46"/>
      <c r="M2858" s="46"/>
      <c r="N2858" s="46"/>
      <c r="O2858" s="46"/>
      <c r="P2858" s="46"/>
      <c r="Q2858" s="46"/>
      <c r="R2858" s="46"/>
      <c r="S2858" s="46"/>
      <c r="T2858" s="46"/>
      <c r="U2858" s="46"/>
      <c r="V2858" s="46"/>
      <c r="W2858" s="46"/>
      <c r="X2858" s="11" t="str">
        <f>IF(COUNTBLANK(B2858:W2858)&gt;0,"NA",'batch classification'!J2864)</f>
        <v>NA</v>
      </c>
    </row>
    <row r="2859" spans="1:24" x14ac:dyDescent="0.25">
      <c r="A2859" s="45"/>
      <c r="B2859" s="46"/>
      <c r="C2859" s="46"/>
      <c r="D2859" s="46"/>
      <c r="E2859" s="46"/>
      <c r="F2859" s="46"/>
      <c r="G2859" s="46"/>
      <c r="H2859" s="46"/>
      <c r="I2859" s="46"/>
      <c r="J2859" s="46"/>
      <c r="K2859" s="46"/>
      <c r="L2859" s="46"/>
      <c r="M2859" s="46"/>
      <c r="N2859" s="46"/>
      <c r="O2859" s="46"/>
      <c r="P2859" s="46"/>
      <c r="Q2859" s="46"/>
      <c r="R2859" s="46"/>
      <c r="S2859" s="46"/>
      <c r="T2859" s="46"/>
      <c r="U2859" s="46"/>
      <c r="V2859" s="46"/>
      <c r="W2859" s="46"/>
      <c r="X2859" s="11" t="str">
        <f>IF(COUNTBLANK(B2859:W2859)&gt;0,"NA",'batch classification'!J2865)</f>
        <v>NA</v>
      </c>
    </row>
    <row r="2860" spans="1:24" x14ac:dyDescent="0.25">
      <c r="A2860" s="45"/>
      <c r="B2860" s="46"/>
      <c r="C2860" s="46"/>
      <c r="D2860" s="46"/>
      <c r="E2860" s="46"/>
      <c r="F2860" s="46"/>
      <c r="G2860" s="46"/>
      <c r="H2860" s="46"/>
      <c r="I2860" s="46"/>
      <c r="J2860" s="46"/>
      <c r="K2860" s="46"/>
      <c r="L2860" s="46"/>
      <c r="M2860" s="46"/>
      <c r="N2860" s="46"/>
      <c r="O2860" s="46"/>
      <c r="P2860" s="46"/>
      <c r="Q2860" s="46"/>
      <c r="R2860" s="46"/>
      <c r="S2860" s="46"/>
      <c r="T2860" s="46"/>
      <c r="U2860" s="46"/>
      <c r="V2860" s="46"/>
      <c r="W2860" s="46"/>
      <c r="X2860" s="11" t="str">
        <f>IF(COUNTBLANK(B2860:W2860)&gt;0,"NA",'batch classification'!J2866)</f>
        <v>NA</v>
      </c>
    </row>
    <row r="2861" spans="1:24" x14ac:dyDescent="0.25">
      <c r="A2861" s="45"/>
      <c r="B2861" s="46"/>
      <c r="C2861" s="46"/>
      <c r="D2861" s="46"/>
      <c r="E2861" s="46"/>
      <c r="F2861" s="46"/>
      <c r="G2861" s="46"/>
      <c r="H2861" s="46"/>
      <c r="I2861" s="46"/>
      <c r="J2861" s="46"/>
      <c r="K2861" s="46"/>
      <c r="L2861" s="46"/>
      <c r="M2861" s="46"/>
      <c r="N2861" s="46"/>
      <c r="O2861" s="46"/>
      <c r="P2861" s="46"/>
      <c r="Q2861" s="46"/>
      <c r="R2861" s="46"/>
      <c r="S2861" s="46"/>
      <c r="T2861" s="46"/>
      <c r="U2861" s="46"/>
      <c r="V2861" s="46"/>
      <c r="W2861" s="46"/>
      <c r="X2861" s="11" t="str">
        <f>IF(COUNTBLANK(B2861:W2861)&gt;0,"NA",'batch classification'!J2867)</f>
        <v>NA</v>
      </c>
    </row>
    <row r="2862" spans="1:24" x14ac:dyDescent="0.25">
      <c r="A2862" s="45"/>
      <c r="B2862" s="46"/>
      <c r="C2862" s="46"/>
      <c r="D2862" s="46"/>
      <c r="E2862" s="46"/>
      <c r="F2862" s="46"/>
      <c r="G2862" s="46"/>
      <c r="H2862" s="46"/>
      <c r="I2862" s="46"/>
      <c r="J2862" s="46"/>
      <c r="K2862" s="46"/>
      <c r="L2862" s="46"/>
      <c r="M2862" s="46"/>
      <c r="N2862" s="46"/>
      <c r="O2862" s="46"/>
      <c r="P2862" s="46"/>
      <c r="Q2862" s="46"/>
      <c r="R2862" s="46"/>
      <c r="S2862" s="46"/>
      <c r="T2862" s="46"/>
      <c r="U2862" s="46"/>
      <c r="V2862" s="46"/>
      <c r="W2862" s="46"/>
      <c r="X2862" s="11" t="str">
        <f>IF(COUNTBLANK(B2862:W2862)&gt;0,"NA",'batch classification'!J2868)</f>
        <v>NA</v>
      </c>
    </row>
    <row r="2863" spans="1:24" x14ac:dyDescent="0.25">
      <c r="A2863" s="45"/>
      <c r="B2863" s="46"/>
      <c r="C2863" s="46"/>
      <c r="D2863" s="46"/>
      <c r="E2863" s="46"/>
      <c r="F2863" s="46"/>
      <c r="G2863" s="46"/>
      <c r="H2863" s="46"/>
      <c r="I2863" s="46"/>
      <c r="J2863" s="46"/>
      <c r="K2863" s="46"/>
      <c r="L2863" s="46"/>
      <c r="M2863" s="46"/>
      <c r="N2863" s="46"/>
      <c r="O2863" s="46"/>
      <c r="P2863" s="46"/>
      <c r="Q2863" s="46"/>
      <c r="R2863" s="46"/>
      <c r="S2863" s="46"/>
      <c r="T2863" s="46"/>
      <c r="U2863" s="46"/>
      <c r="V2863" s="46"/>
      <c r="W2863" s="46"/>
      <c r="X2863" s="11" t="str">
        <f>IF(COUNTBLANK(B2863:W2863)&gt;0,"NA",'batch classification'!J2869)</f>
        <v>NA</v>
      </c>
    </row>
    <row r="2864" spans="1:24" x14ac:dyDescent="0.25">
      <c r="A2864" s="45"/>
      <c r="B2864" s="46"/>
      <c r="C2864" s="46"/>
      <c r="D2864" s="46"/>
      <c r="E2864" s="46"/>
      <c r="F2864" s="46"/>
      <c r="G2864" s="46"/>
      <c r="H2864" s="46"/>
      <c r="I2864" s="46"/>
      <c r="J2864" s="46"/>
      <c r="K2864" s="46"/>
      <c r="L2864" s="46"/>
      <c r="M2864" s="46"/>
      <c r="N2864" s="46"/>
      <c r="O2864" s="46"/>
      <c r="P2864" s="46"/>
      <c r="Q2864" s="46"/>
      <c r="R2864" s="46"/>
      <c r="S2864" s="46"/>
      <c r="T2864" s="46"/>
      <c r="U2864" s="46"/>
      <c r="V2864" s="46"/>
      <c r="W2864" s="46"/>
      <c r="X2864" s="11" t="str">
        <f>IF(COUNTBLANK(B2864:W2864)&gt;0,"NA",'batch classification'!J2870)</f>
        <v>NA</v>
      </c>
    </row>
    <row r="2865" spans="1:24" x14ac:dyDescent="0.25">
      <c r="A2865" s="45"/>
      <c r="B2865" s="46"/>
      <c r="C2865" s="46"/>
      <c r="D2865" s="46"/>
      <c r="E2865" s="46"/>
      <c r="F2865" s="46"/>
      <c r="G2865" s="46"/>
      <c r="H2865" s="46"/>
      <c r="I2865" s="46"/>
      <c r="J2865" s="46"/>
      <c r="K2865" s="46"/>
      <c r="L2865" s="46"/>
      <c r="M2865" s="46"/>
      <c r="N2865" s="46"/>
      <c r="O2865" s="46"/>
      <c r="P2865" s="46"/>
      <c r="Q2865" s="46"/>
      <c r="R2865" s="46"/>
      <c r="S2865" s="46"/>
      <c r="T2865" s="46"/>
      <c r="U2865" s="46"/>
      <c r="V2865" s="46"/>
      <c r="W2865" s="46"/>
      <c r="X2865" s="11" t="str">
        <f>IF(COUNTBLANK(B2865:W2865)&gt;0,"NA",'batch classification'!J2871)</f>
        <v>NA</v>
      </c>
    </row>
    <row r="2866" spans="1:24" x14ac:dyDescent="0.25">
      <c r="A2866" s="45"/>
      <c r="B2866" s="46"/>
      <c r="C2866" s="46"/>
      <c r="D2866" s="46"/>
      <c r="E2866" s="46"/>
      <c r="F2866" s="46"/>
      <c r="G2866" s="46"/>
      <c r="H2866" s="46"/>
      <c r="I2866" s="46"/>
      <c r="J2866" s="46"/>
      <c r="K2866" s="46"/>
      <c r="L2866" s="46"/>
      <c r="M2866" s="46"/>
      <c r="N2866" s="46"/>
      <c r="O2866" s="46"/>
      <c r="P2866" s="46"/>
      <c r="Q2866" s="46"/>
      <c r="R2866" s="46"/>
      <c r="S2866" s="46"/>
      <c r="T2866" s="46"/>
      <c r="U2866" s="46"/>
      <c r="V2866" s="46"/>
      <c r="W2866" s="46"/>
      <c r="X2866" s="11" t="str">
        <f>IF(COUNTBLANK(B2866:W2866)&gt;0,"NA",'batch classification'!J2872)</f>
        <v>NA</v>
      </c>
    </row>
    <row r="2867" spans="1:24" x14ac:dyDescent="0.25">
      <c r="A2867" s="45"/>
      <c r="B2867" s="46"/>
      <c r="C2867" s="46"/>
      <c r="D2867" s="46"/>
      <c r="E2867" s="46"/>
      <c r="F2867" s="46"/>
      <c r="G2867" s="46"/>
      <c r="H2867" s="46"/>
      <c r="I2867" s="46"/>
      <c r="J2867" s="46"/>
      <c r="K2867" s="46"/>
      <c r="L2867" s="46"/>
      <c r="M2867" s="46"/>
      <c r="N2867" s="46"/>
      <c r="O2867" s="46"/>
      <c r="P2867" s="46"/>
      <c r="Q2867" s="46"/>
      <c r="R2867" s="46"/>
      <c r="S2867" s="46"/>
      <c r="T2867" s="46"/>
      <c r="U2867" s="46"/>
      <c r="V2867" s="46"/>
      <c r="W2867" s="46"/>
      <c r="X2867" s="11" t="str">
        <f>IF(COUNTBLANK(B2867:W2867)&gt;0,"NA",'batch classification'!J2873)</f>
        <v>NA</v>
      </c>
    </row>
    <row r="2868" spans="1:24" x14ac:dyDescent="0.25">
      <c r="A2868" s="45"/>
      <c r="B2868" s="46"/>
      <c r="C2868" s="46"/>
      <c r="D2868" s="46"/>
      <c r="E2868" s="46"/>
      <c r="F2868" s="46"/>
      <c r="G2868" s="46"/>
      <c r="H2868" s="46"/>
      <c r="I2868" s="46"/>
      <c r="J2868" s="46"/>
      <c r="K2868" s="46"/>
      <c r="L2868" s="46"/>
      <c r="M2868" s="46"/>
      <c r="N2868" s="46"/>
      <c r="O2868" s="46"/>
      <c r="P2868" s="46"/>
      <c r="Q2868" s="46"/>
      <c r="R2868" s="46"/>
      <c r="S2868" s="46"/>
      <c r="T2868" s="46"/>
      <c r="U2868" s="46"/>
      <c r="V2868" s="46"/>
      <c r="W2868" s="46"/>
      <c r="X2868" s="11" t="str">
        <f>IF(COUNTBLANK(B2868:W2868)&gt;0,"NA",'batch classification'!J2874)</f>
        <v>NA</v>
      </c>
    </row>
    <row r="2869" spans="1:24" x14ac:dyDescent="0.25">
      <c r="A2869" s="45"/>
      <c r="B2869" s="46"/>
      <c r="C2869" s="46"/>
      <c r="D2869" s="46"/>
      <c r="E2869" s="46"/>
      <c r="F2869" s="46"/>
      <c r="G2869" s="46"/>
      <c r="H2869" s="46"/>
      <c r="I2869" s="46"/>
      <c r="J2869" s="46"/>
      <c r="K2869" s="46"/>
      <c r="L2869" s="46"/>
      <c r="M2869" s="46"/>
      <c r="N2869" s="46"/>
      <c r="O2869" s="46"/>
      <c r="P2869" s="46"/>
      <c r="Q2869" s="46"/>
      <c r="R2869" s="46"/>
      <c r="S2869" s="46"/>
      <c r="T2869" s="46"/>
      <c r="U2869" s="46"/>
      <c r="V2869" s="46"/>
      <c r="W2869" s="46"/>
      <c r="X2869" s="11" t="str">
        <f>IF(COUNTBLANK(B2869:W2869)&gt;0,"NA",'batch classification'!J2875)</f>
        <v>NA</v>
      </c>
    </row>
    <row r="2870" spans="1:24" x14ac:dyDescent="0.25">
      <c r="A2870" s="45"/>
      <c r="B2870" s="46"/>
      <c r="C2870" s="46"/>
      <c r="D2870" s="46"/>
      <c r="E2870" s="46"/>
      <c r="F2870" s="46"/>
      <c r="G2870" s="46"/>
      <c r="H2870" s="46"/>
      <c r="I2870" s="46"/>
      <c r="J2870" s="46"/>
      <c r="K2870" s="46"/>
      <c r="L2870" s="46"/>
      <c r="M2870" s="46"/>
      <c r="N2870" s="46"/>
      <c r="O2870" s="46"/>
      <c r="P2870" s="46"/>
      <c r="Q2870" s="46"/>
      <c r="R2870" s="46"/>
      <c r="S2870" s="46"/>
      <c r="T2870" s="46"/>
      <c r="U2870" s="46"/>
      <c r="V2870" s="46"/>
      <c r="W2870" s="46"/>
      <c r="X2870" s="11" t="str">
        <f>IF(COUNTBLANK(B2870:W2870)&gt;0,"NA",'batch classification'!J2876)</f>
        <v>NA</v>
      </c>
    </row>
    <row r="2871" spans="1:24" x14ac:dyDescent="0.25">
      <c r="A2871" s="45"/>
      <c r="B2871" s="46"/>
      <c r="C2871" s="46"/>
      <c r="D2871" s="46"/>
      <c r="E2871" s="46"/>
      <c r="F2871" s="46"/>
      <c r="G2871" s="46"/>
      <c r="H2871" s="46"/>
      <c r="I2871" s="46"/>
      <c r="J2871" s="46"/>
      <c r="K2871" s="46"/>
      <c r="L2871" s="46"/>
      <c r="M2871" s="46"/>
      <c r="N2871" s="46"/>
      <c r="O2871" s="46"/>
      <c r="P2871" s="46"/>
      <c r="Q2871" s="46"/>
      <c r="R2871" s="46"/>
      <c r="S2871" s="46"/>
      <c r="T2871" s="46"/>
      <c r="U2871" s="46"/>
      <c r="V2871" s="46"/>
      <c r="W2871" s="46"/>
      <c r="X2871" s="11" t="str">
        <f>IF(COUNTBLANK(B2871:W2871)&gt;0,"NA",'batch classification'!J2877)</f>
        <v>NA</v>
      </c>
    </row>
    <row r="2872" spans="1:24" x14ac:dyDescent="0.25">
      <c r="A2872" s="45"/>
      <c r="B2872" s="46"/>
      <c r="C2872" s="46"/>
      <c r="D2872" s="46"/>
      <c r="E2872" s="46"/>
      <c r="F2872" s="46"/>
      <c r="G2872" s="46"/>
      <c r="H2872" s="46"/>
      <c r="I2872" s="46"/>
      <c r="J2872" s="46"/>
      <c r="K2872" s="46"/>
      <c r="L2872" s="46"/>
      <c r="M2872" s="46"/>
      <c r="N2872" s="46"/>
      <c r="O2872" s="46"/>
      <c r="P2872" s="46"/>
      <c r="Q2872" s="46"/>
      <c r="R2872" s="46"/>
      <c r="S2872" s="46"/>
      <c r="T2872" s="46"/>
      <c r="U2872" s="46"/>
      <c r="V2872" s="46"/>
      <c r="W2872" s="46"/>
      <c r="X2872" s="11" t="str">
        <f>IF(COUNTBLANK(B2872:W2872)&gt;0,"NA",'batch classification'!J2878)</f>
        <v>NA</v>
      </c>
    </row>
    <row r="2873" spans="1:24" x14ac:dyDescent="0.25">
      <c r="A2873" s="45"/>
      <c r="B2873" s="46"/>
      <c r="C2873" s="46"/>
      <c r="D2873" s="46"/>
      <c r="E2873" s="46"/>
      <c r="F2873" s="46"/>
      <c r="G2873" s="46"/>
      <c r="H2873" s="46"/>
      <c r="I2873" s="46"/>
      <c r="J2873" s="46"/>
      <c r="K2873" s="46"/>
      <c r="L2873" s="46"/>
      <c r="M2873" s="46"/>
      <c r="N2873" s="46"/>
      <c r="O2873" s="46"/>
      <c r="P2873" s="46"/>
      <c r="Q2873" s="46"/>
      <c r="R2873" s="46"/>
      <c r="S2873" s="46"/>
      <c r="T2873" s="46"/>
      <c r="U2873" s="46"/>
      <c r="V2873" s="46"/>
      <c r="W2873" s="46"/>
      <c r="X2873" s="11" t="str">
        <f>IF(COUNTBLANK(B2873:W2873)&gt;0,"NA",'batch classification'!J2879)</f>
        <v>NA</v>
      </c>
    </row>
    <row r="2874" spans="1:24" x14ac:dyDescent="0.25">
      <c r="A2874" s="45"/>
      <c r="B2874" s="46"/>
      <c r="C2874" s="46"/>
      <c r="D2874" s="46"/>
      <c r="E2874" s="46"/>
      <c r="F2874" s="46"/>
      <c r="G2874" s="46"/>
      <c r="H2874" s="46"/>
      <c r="I2874" s="46"/>
      <c r="J2874" s="46"/>
      <c r="K2874" s="46"/>
      <c r="L2874" s="46"/>
      <c r="M2874" s="46"/>
      <c r="N2874" s="46"/>
      <c r="O2874" s="46"/>
      <c r="P2874" s="46"/>
      <c r="Q2874" s="46"/>
      <c r="R2874" s="46"/>
      <c r="S2874" s="46"/>
      <c r="T2874" s="46"/>
      <c r="U2874" s="46"/>
      <c r="V2874" s="46"/>
      <c r="W2874" s="46"/>
      <c r="X2874" s="11" t="str">
        <f>IF(COUNTBLANK(B2874:W2874)&gt;0,"NA",'batch classification'!J2880)</f>
        <v>NA</v>
      </c>
    </row>
    <row r="2875" spans="1:24" x14ac:dyDescent="0.25">
      <c r="A2875" s="45"/>
      <c r="B2875" s="46"/>
      <c r="C2875" s="46"/>
      <c r="D2875" s="46"/>
      <c r="E2875" s="46"/>
      <c r="F2875" s="46"/>
      <c r="G2875" s="46"/>
      <c r="H2875" s="46"/>
      <c r="I2875" s="46"/>
      <c r="J2875" s="46"/>
      <c r="K2875" s="46"/>
      <c r="L2875" s="46"/>
      <c r="M2875" s="46"/>
      <c r="N2875" s="46"/>
      <c r="O2875" s="46"/>
      <c r="P2875" s="46"/>
      <c r="Q2875" s="46"/>
      <c r="R2875" s="46"/>
      <c r="S2875" s="46"/>
      <c r="T2875" s="46"/>
      <c r="U2875" s="46"/>
      <c r="V2875" s="46"/>
      <c r="W2875" s="46"/>
      <c r="X2875" s="11" t="str">
        <f>IF(COUNTBLANK(B2875:W2875)&gt;0,"NA",'batch classification'!J2881)</f>
        <v>NA</v>
      </c>
    </row>
    <row r="2876" spans="1:24" x14ac:dyDescent="0.25">
      <c r="A2876" s="45"/>
      <c r="B2876" s="46"/>
      <c r="C2876" s="46"/>
      <c r="D2876" s="46"/>
      <c r="E2876" s="46"/>
      <c r="F2876" s="46"/>
      <c r="G2876" s="46"/>
      <c r="H2876" s="46"/>
      <c r="I2876" s="46"/>
      <c r="J2876" s="46"/>
      <c r="K2876" s="46"/>
      <c r="L2876" s="46"/>
      <c r="M2876" s="46"/>
      <c r="N2876" s="46"/>
      <c r="O2876" s="46"/>
      <c r="P2876" s="46"/>
      <c r="Q2876" s="46"/>
      <c r="R2876" s="46"/>
      <c r="S2876" s="46"/>
      <c r="T2876" s="46"/>
      <c r="U2876" s="46"/>
      <c r="V2876" s="46"/>
      <c r="W2876" s="46"/>
      <c r="X2876" s="11" t="str">
        <f>IF(COUNTBLANK(B2876:W2876)&gt;0,"NA",'batch classification'!J2882)</f>
        <v>NA</v>
      </c>
    </row>
    <row r="2877" spans="1:24" x14ac:dyDescent="0.25">
      <c r="A2877" s="45"/>
      <c r="B2877" s="46"/>
      <c r="C2877" s="46"/>
      <c r="D2877" s="46"/>
      <c r="E2877" s="46"/>
      <c r="F2877" s="46"/>
      <c r="G2877" s="46"/>
      <c r="H2877" s="46"/>
      <c r="I2877" s="46"/>
      <c r="J2877" s="46"/>
      <c r="K2877" s="46"/>
      <c r="L2877" s="46"/>
      <c r="M2877" s="46"/>
      <c r="N2877" s="46"/>
      <c r="O2877" s="46"/>
      <c r="P2877" s="46"/>
      <c r="Q2877" s="46"/>
      <c r="R2877" s="46"/>
      <c r="S2877" s="46"/>
      <c r="T2877" s="46"/>
      <c r="U2877" s="46"/>
      <c r="V2877" s="46"/>
      <c r="W2877" s="46"/>
      <c r="X2877" s="11" t="str">
        <f>IF(COUNTBLANK(B2877:W2877)&gt;0,"NA",'batch classification'!J2883)</f>
        <v>NA</v>
      </c>
    </row>
    <row r="2878" spans="1:24" x14ac:dyDescent="0.25">
      <c r="A2878" s="45"/>
      <c r="B2878" s="46"/>
      <c r="C2878" s="46"/>
      <c r="D2878" s="46"/>
      <c r="E2878" s="46"/>
      <c r="F2878" s="46"/>
      <c r="G2878" s="46"/>
      <c r="H2878" s="46"/>
      <c r="I2878" s="46"/>
      <c r="J2878" s="46"/>
      <c r="K2878" s="46"/>
      <c r="L2878" s="46"/>
      <c r="M2878" s="46"/>
      <c r="N2878" s="46"/>
      <c r="O2878" s="46"/>
      <c r="P2878" s="46"/>
      <c r="Q2878" s="46"/>
      <c r="R2878" s="46"/>
      <c r="S2878" s="46"/>
      <c r="T2878" s="46"/>
      <c r="U2878" s="46"/>
      <c r="V2878" s="46"/>
      <c r="W2878" s="46"/>
      <c r="X2878" s="11" t="str">
        <f>IF(COUNTBLANK(B2878:W2878)&gt;0,"NA",'batch classification'!J2884)</f>
        <v>NA</v>
      </c>
    </row>
    <row r="2879" spans="1:24" x14ac:dyDescent="0.25">
      <c r="A2879" s="45"/>
      <c r="B2879" s="46"/>
      <c r="C2879" s="46"/>
      <c r="D2879" s="46"/>
      <c r="E2879" s="46"/>
      <c r="F2879" s="46"/>
      <c r="G2879" s="46"/>
      <c r="H2879" s="46"/>
      <c r="I2879" s="46"/>
      <c r="J2879" s="46"/>
      <c r="K2879" s="46"/>
      <c r="L2879" s="46"/>
      <c r="M2879" s="46"/>
      <c r="N2879" s="46"/>
      <c r="O2879" s="46"/>
      <c r="P2879" s="46"/>
      <c r="Q2879" s="46"/>
      <c r="R2879" s="46"/>
      <c r="S2879" s="46"/>
      <c r="T2879" s="46"/>
      <c r="U2879" s="46"/>
      <c r="V2879" s="46"/>
      <c r="W2879" s="46"/>
      <c r="X2879" s="11" t="str">
        <f>IF(COUNTBLANK(B2879:W2879)&gt;0,"NA",'batch classification'!J2885)</f>
        <v>NA</v>
      </c>
    </row>
    <row r="2880" spans="1:24" x14ac:dyDescent="0.25">
      <c r="A2880" s="45"/>
      <c r="B2880" s="46"/>
      <c r="C2880" s="46"/>
      <c r="D2880" s="46"/>
      <c r="E2880" s="46"/>
      <c r="F2880" s="46"/>
      <c r="G2880" s="46"/>
      <c r="H2880" s="46"/>
      <c r="I2880" s="46"/>
      <c r="J2880" s="46"/>
      <c r="K2880" s="46"/>
      <c r="L2880" s="46"/>
      <c r="M2880" s="46"/>
      <c r="N2880" s="46"/>
      <c r="O2880" s="46"/>
      <c r="P2880" s="46"/>
      <c r="Q2880" s="46"/>
      <c r="R2880" s="46"/>
      <c r="S2880" s="46"/>
      <c r="T2880" s="46"/>
      <c r="U2880" s="46"/>
      <c r="V2880" s="46"/>
      <c r="W2880" s="46"/>
      <c r="X2880" s="11" t="str">
        <f>IF(COUNTBLANK(B2880:W2880)&gt;0,"NA",'batch classification'!J2886)</f>
        <v>NA</v>
      </c>
    </row>
    <row r="2881" spans="1:24" x14ac:dyDescent="0.25">
      <c r="A2881" s="45"/>
      <c r="B2881" s="46"/>
      <c r="C2881" s="46"/>
      <c r="D2881" s="46"/>
      <c r="E2881" s="46"/>
      <c r="F2881" s="46"/>
      <c r="G2881" s="46"/>
      <c r="H2881" s="46"/>
      <c r="I2881" s="46"/>
      <c r="J2881" s="46"/>
      <c r="K2881" s="46"/>
      <c r="L2881" s="46"/>
      <c r="M2881" s="46"/>
      <c r="N2881" s="46"/>
      <c r="O2881" s="46"/>
      <c r="P2881" s="46"/>
      <c r="Q2881" s="46"/>
      <c r="R2881" s="46"/>
      <c r="S2881" s="46"/>
      <c r="T2881" s="46"/>
      <c r="U2881" s="46"/>
      <c r="V2881" s="46"/>
      <c r="W2881" s="46"/>
      <c r="X2881" s="11" t="str">
        <f>IF(COUNTBLANK(B2881:W2881)&gt;0,"NA",'batch classification'!J2887)</f>
        <v>NA</v>
      </c>
    </row>
    <row r="2882" spans="1:24" x14ac:dyDescent="0.25">
      <c r="A2882" s="45"/>
      <c r="B2882" s="46"/>
      <c r="C2882" s="46"/>
      <c r="D2882" s="46"/>
      <c r="E2882" s="46"/>
      <c r="F2882" s="46"/>
      <c r="G2882" s="46"/>
      <c r="H2882" s="46"/>
      <c r="I2882" s="46"/>
      <c r="J2882" s="46"/>
      <c r="K2882" s="46"/>
      <c r="L2882" s="46"/>
      <c r="M2882" s="46"/>
      <c r="N2882" s="46"/>
      <c r="O2882" s="46"/>
      <c r="P2882" s="46"/>
      <c r="Q2882" s="46"/>
      <c r="R2882" s="46"/>
      <c r="S2882" s="46"/>
      <c r="T2882" s="46"/>
      <c r="U2882" s="46"/>
      <c r="V2882" s="46"/>
      <c r="W2882" s="46"/>
      <c r="X2882" s="11" t="str">
        <f>IF(COUNTBLANK(B2882:W2882)&gt;0,"NA",'batch classification'!J2888)</f>
        <v>NA</v>
      </c>
    </row>
    <row r="2883" spans="1:24" x14ac:dyDescent="0.25">
      <c r="A2883" s="45"/>
      <c r="B2883" s="46"/>
      <c r="C2883" s="46"/>
      <c r="D2883" s="46"/>
      <c r="E2883" s="46"/>
      <c r="F2883" s="46"/>
      <c r="G2883" s="46"/>
      <c r="H2883" s="46"/>
      <c r="I2883" s="46"/>
      <c r="J2883" s="46"/>
      <c r="K2883" s="46"/>
      <c r="L2883" s="46"/>
      <c r="M2883" s="46"/>
      <c r="N2883" s="46"/>
      <c r="O2883" s="46"/>
      <c r="P2883" s="46"/>
      <c r="Q2883" s="46"/>
      <c r="R2883" s="46"/>
      <c r="S2883" s="46"/>
      <c r="T2883" s="46"/>
      <c r="U2883" s="46"/>
      <c r="V2883" s="46"/>
      <c r="W2883" s="46"/>
      <c r="X2883" s="11" t="str">
        <f>IF(COUNTBLANK(B2883:W2883)&gt;0,"NA",'batch classification'!J2889)</f>
        <v>NA</v>
      </c>
    </row>
    <row r="2884" spans="1:24" x14ac:dyDescent="0.25">
      <c r="A2884" s="45"/>
      <c r="B2884" s="46"/>
      <c r="C2884" s="46"/>
      <c r="D2884" s="46"/>
      <c r="E2884" s="46"/>
      <c r="F2884" s="46"/>
      <c r="G2884" s="46"/>
      <c r="H2884" s="46"/>
      <c r="I2884" s="46"/>
      <c r="J2884" s="46"/>
      <c r="K2884" s="46"/>
      <c r="L2884" s="46"/>
      <c r="M2884" s="46"/>
      <c r="N2884" s="46"/>
      <c r="O2884" s="46"/>
      <c r="P2884" s="46"/>
      <c r="Q2884" s="46"/>
      <c r="R2884" s="46"/>
      <c r="S2884" s="46"/>
      <c r="T2884" s="46"/>
      <c r="U2884" s="46"/>
      <c r="V2884" s="46"/>
      <c r="W2884" s="46"/>
      <c r="X2884" s="11" t="str">
        <f>IF(COUNTBLANK(B2884:W2884)&gt;0,"NA",'batch classification'!J2890)</f>
        <v>NA</v>
      </c>
    </row>
    <row r="2885" spans="1:24" x14ac:dyDescent="0.25">
      <c r="A2885" s="45"/>
      <c r="B2885" s="46"/>
      <c r="C2885" s="46"/>
      <c r="D2885" s="46"/>
      <c r="E2885" s="46"/>
      <c r="F2885" s="46"/>
      <c r="G2885" s="46"/>
      <c r="H2885" s="46"/>
      <c r="I2885" s="46"/>
      <c r="J2885" s="46"/>
      <c r="K2885" s="46"/>
      <c r="L2885" s="46"/>
      <c r="M2885" s="46"/>
      <c r="N2885" s="46"/>
      <c r="O2885" s="46"/>
      <c r="P2885" s="46"/>
      <c r="Q2885" s="46"/>
      <c r="R2885" s="46"/>
      <c r="S2885" s="46"/>
      <c r="T2885" s="46"/>
      <c r="U2885" s="46"/>
      <c r="V2885" s="46"/>
      <c r="W2885" s="46"/>
      <c r="X2885" s="11" t="str">
        <f>IF(COUNTBLANK(B2885:W2885)&gt;0,"NA",'batch classification'!J2891)</f>
        <v>NA</v>
      </c>
    </row>
    <row r="2886" spans="1:24" x14ac:dyDescent="0.25">
      <c r="A2886" s="45"/>
      <c r="B2886" s="46"/>
      <c r="C2886" s="46"/>
      <c r="D2886" s="46"/>
      <c r="E2886" s="46"/>
      <c r="F2886" s="46"/>
      <c r="G2886" s="46"/>
      <c r="H2886" s="46"/>
      <c r="I2886" s="46"/>
      <c r="J2886" s="46"/>
      <c r="K2886" s="46"/>
      <c r="L2886" s="46"/>
      <c r="M2886" s="46"/>
      <c r="N2886" s="46"/>
      <c r="O2886" s="46"/>
      <c r="P2886" s="46"/>
      <c r="Q2886" s="46"/>
      <c r="R2886" s="46"/>
      <c r="S2886" s="46"/>
      <c r="T2886" s="46"/>
      <c r="U2886" s="46"/>
      <c r="V2886" s="46"/>
      <c r="W2886" s="46"/>
      <c r="X2886" s="11" t="str">
        <f>IF(COUNTBLANK(B2886:W2886)&gt;0,"NA",'batch classification'!J2892)</f>
        <v>NA</v>
      </c>
    </row>
    <row r="2887" spans="1:24" x14ac:dyDescent="0.25">
      <c r="A2887" s="45"/>
      <c r="B2887" s="46"/>
      <c r="C2887" s="46"/>
      <c r="D2887" s="46"/>
      <c r="E2887" s="46"/>
      <c r="F2887" s="46"/>
      <c r="G2887" s="46"/>
      <c r="H2887" s="46"/>
      <c r="I2887" s="46"/>
      <c r="J2887" s="46"/>
      <c r="K2887" s="46"/>
      <c r="L2887" s="46"/>
      <c r="M2887" s="46"/>
      <c r="N2887" s="46"/>
      <c r="O2887" s="46"/>
      <c r="P2887" s="46"/>
      <c r="Q2887" s="46"/>
      <c r="R2887" s="46"/>
      <c r="S2887" s="46"/>
      <c r="T2887" s="46"/>
      <c r="U2887" s="46"/>
      <c r="V2887" s="46"/>
      <c r="W2887" s="46"/>
      <c r="X2887" s="11" t="str">
        <f>IF(COUNTBLANK(B2887:W2887)&gt;0,"NA",'batch classification'!J2893)</f>
        <v>NA</v>
      </c>
    </row>
    <row r="2888" spans="1:24" x14ac:dyDescent="0.25">
      <c r="A2888" s="45"/>
      <c r="B2888" s="46"/>
      <c r="C2888" s="46"/>
      <c r="D2888" s="46"/>
      <c r="E2888" s="46"/>
      <c r="F2888" s="46"/>
      <c r="G2888" s="46"/>
      <c r="H2888" s="46"/>
      <c r="I2888" s="46"/>
      <c r="J2888" s="46"/>
      <c r="K2888" s="46"/>
      <c r="L2888" s="46"/>
      <c r="M2888" s="46"/>
      <c r="N2888" s="46"/>
      <c r="O2888" s="46"/>
      <c r="P2888" s="46"/>
      <c r="Q2888" s="46"/>
      <c r="R2888" s="46"/>
      <c r="S2888" s="46"/>
      <c r="T2888" s="46"/>
      <c r="U2888" s="46"/>
      <c r="V2888" s="46"/>
      <c r="W2888" s="46"/>
      <c r="X2888" s="11" t="str">
        <f>IF(COUNTBLANK(B2888:W2888)&gt;0,"NA",'batch classification'!J2894)</f>
        <v>NA</v>
      </c>
    </row>
    <row r="2889" spans="1:24" x14ac:dyDescent="0.25">
      <c r="A2889" s="45"/>
      <c r="B2889" s="46"/>
      <c r="C2889" s="46"/>
      <c r="D2889" s="46"/>
      <c r="E2889" s="46"/>
      <c r="F2889" s="46"/>
      <c r="G2889" s="46"/>
      <c r="H2889" s="46"/>
      <c r="I2889" s="46"/>
      <c r="J2889" s="46"/>
      <c r="K2889" s="46"/>
      <c r="L2889" s="46"/>
      <c r="M2889" s="46"/>
      <c r="N2889" s="46"/>
      <c r="O2889" s="46"/>
      <c r="P2889" s="46"/>
      <c r="Q2889" s="46"/>
      <c r="R2889" s="46"/>
      <c r="S2889" s="46"/>
      <c r="T2889" s="46"/>
      <c r="U2889" s="46"/>
      <c r="V2889" s="46"/>
      <c r="W2889" s="46"/>
      <c r="X2889" s="11" t="str">
        <f>IF(COUNTBLANK(B2889:W2889)&gt;0,"NA",'batch classification'!J2895)</f>
        <v>NA</v>
      </c>
    </row>
    <row r="2890" spans="1:24" x14ac:dyDescent="0.25">
      <c r="A2890" s="45"/>
      <c r="B2890" s="46"/>
      <c r="C2890" s="46"/>
      <c r="D2890" s="46"/>
      <c r="E2890" s="46"/>
      <c r="F2890" s="46"/>
      <c r="G2890" s="46"/>
      <c r="H2890" s="46"/>
      <c r="I2890" s="46"/>
      <c r="J2890" s="46"/>
      <c r="K2890" s="46"/>
      <c r="L2890" s="46"/>
      <c r="M2890" s="46"/>
      <c r="N2890" s="46"/>
      <c r="O2890" s="46"/>
      <c r="P2890" s="46"/>
      <c r="Q2890" s="46"/>
      <c r="R2890" s="46"/>
      <c r="S2890" s="46"/>
      <c r="T2890" s="46"/>
      <c r="U2890" s="46"/>
      <c r="V2890" s="46"/>
      <c r="W2890" s="46"/>
      <c r="X2890" s="11" t="str">
        <f>IF(COUNTBLANK(B2890:W2890)&gt;0,"NA",'batch classification'!J2896)</f>
        <v>NA</v>
      </c>
    </row>
    <row r="2891" spans="1:24" x14ac:dyDescent="0.25">
      <c r="A2891" s="45"/>
      <c r="B2891" s="46"/>
      <c r="C2891" s="46"/>
      <c r="D2891" s="46"/>
      <c r="E2891" s="46"/>
      <c r="F2891" s="46"/>
      <c r="G2891" s="46"/>
      <c r="H2891" s="46"/>
      <c r="I2891" s="46"/>
      <c r="J2891" s="46"/>
      <c r="K2891" s="46"/>
      <c r="L2891" s="46"/>
      <c r="M2891" s="46"/>
      <c r="N2891" s="46"/>
      <c r="O2891" s="46"/>
      <c r="P2891" s="46"/>
      <c r="Q2891" s="46"/>
      <c r="R2891" s="46"/>
      <c r="S2891" s="46"/>
      <c r="T2891" s="46"/>
      <c r="U2891" s="46"/>
      <c r="V2891" s="46"/>
      <c r="W2891" s="46"/>
      <c r="X2891" s="11" t="str">
        <f>IF(COUNTBLANK(B2891:W2891)&gt;0,"NA",'batch classification'!J2897)</f>
        <v>NA</v>
      </c>
    </row>
    <row r="2892" spans="1:24" x14ac:dyDescent="0.25">
      <c r="A2892" s="45"/>
      <c r="B2892" s="46"/>
      <c r="C2892" s="46"/>
      <c r="D2892" s="46"/>
      <c r="E2892" s="46"/>
      <c r="F2892" s="46"/>
      <c r="G2892" s="46"/>
      <c r="H2892" s="46"/>
      <c r="I2892" s="46"/>
      <c r="J2892" s="46"/>
      <c r="K2892" s="46"/>
      <c r="L2892" s="46"/>
      <c r="M2892" s="46"/>
      <c r="N2892" s="46"/>
      <c r="O2892" s="46"/>
      <c r="P2892" s="46"/>
      <c r="Q2892" s="46"/>
      <c r="R2892" s="46"/>
      <c r="S2892" s="46"/>
      <c r="T2892" s="46"/>
      <c r="U2892" s="46"/>
      <c r="V2892" s="46"/>
      <c r="W2892" s="46"/>
      <c r="X2892" s="11" t="str">
        <f>IF(COUNTBLANK(B2892:W2892)&gt;0,"NA",'batch classification'!J2898)</f>
        <v>NA</v>
      </c>
    </row>
    <row r="2893" spans="1:24" x14ac:dyDescent="0.25">
      <c r="A2893" s="45"/>
      <c r="B2893" s="46"/>
      <c r="C2893" s="46"/>
      <c r="D2893" s="46"/>
      <c r="E2893" s="46"/>
      <c r="F2893" s="46"/>
      <c r="G2893" s="46"/>
      <c r="H2893" s="46"/>
      <c r="I2893" s="46"/>
      <c r="J2893" s="46"/>
      <c r="K2893" s="46"/>
      <c r="L2893" s="46"/>
      <c r="M2893" s="46"/>
      <c r="N2893" s="46"/>
      <c r="O2893" s="46"/>
      <c r="P2893" s="46"/>
      <c r="Q2893" s="46"/>
      <c r="R2893" s="46"/>
      <c r="S2893" s="46"/>
      <c r="T2893" s="46"/>
      <c r="U2893" s="46"/>
      <c r="V2893" s="46"/>
      <c r="W2893" s="46"/>
      <c r="X2893" s="11" t="str">
        <f>IF(COUNTBLANK(B2893:W2893)&gt;0,"NA",'batch classification'!J2899)</f>
        <v>NA</v>
      </c>
    </row>
    <row r="2894" spans="1:24" x14ac:dyDescent="0.25">
      <c r="A2894" s="45"/>
      <c r="B2894" s="46"/>
      <c r="C2894" s="46"/>
      <c r="D2894" s="46"/>
      <c r="E2894" s="46"/>
      <c r="F2894" s="46"/>
      <c r="G2894" s="46"/>
      <c r="H2894" s="46"/>
      <c r="I2894" s="46"/>
      <c r="J2894" s="46"/>
      <c r="K2894" s="46"/>
      <c r="L2894" s="46"/>
      <c r="M2894" s="46"/>
      <c r="N2894" s="46"/>
      <c r="O2894" s="46"/>
      <c r="P2894" s="46"/>
      <c r="Q2894" s="46"/>
      <c r="R2894" s="46"/>
      <c r="S2894" s="46"/>
      <c r="T2894" s="46"/>
      <c r="U2894" s="46"/>
      <c r="V2894" s="46"/>
      <c r="W2894" s="46"/>
      <c r="X2894" s="11" t="str">
        <f>IF(COUNTBLANK(B2894:W2894)&gt;0,"NA",'batch classification'!J2900)</f>
        <v>NA</v>
      </c>
    </row>
    <row r="2895" spans="1:24" x14ac:dyDescent="0.25">
      <c r="A2895" s="45"/>
      <c r="B2895" s="46"/>
      <c r="C2895" s="46"/>
      <c r="D2895" s="46"/>
      <c r="E2895" s="46"/>
      <c r="F2895" s="46"/>
      <c r="G2895" s="46"/>
      <c r="H2895" s="46"/>
      <c r="I2895" s="46"/>
      <c r="J2895" s="46"/>
      <c r="K2895" s="46"/>
      <c r="L2895" s="46"/>
      <c r="M2895" s="46"/>
      <c r="N2895" s="46"/>
      <c r="O2895" s="46"/>
      <c r="P2895" s="46"/>
      <c r="Q2895" s="46"/>
      <c r="R2895" s="46"/>
      <c r="S2895" s="46"/>
      <c r="T2895" s="46"/>
      <c r="U2895" s="46"/>
      <c r="V2895" s="46"/>
      <c r="W2895" s="46"/>
      <c r="X2895" s="11" t="str">
        <f>IF(COUNTBLANK(B2895:W2895)&gt;0,"NA",'batch classification'!J2901)</f>
        <v>NA</v>
      </c>
    </row>
    <row r="2896" spans="1:24" x14ac:dyDescent="0.25">
      <c r="A2896" s="45"/>
      <c r="B2896" s="46"/>
      <c r="C2896" s="46"/>
      <c r="D2896" s="46"/>
      <c r="E2896" s="46"/>
      <c r="F2896" s="46"/>
      <c r="G2896" s="46"/>
      <c r="H2896" s="46"/>
      <c r="I2896" s="46"/>
      <c r="J2896" s="46"/>
      <c r="K2896" s="46"/>
      <c r="L2896" s="46"/>
      <c r="M2896" s="46"/>
      <c r="N2896" s="46"/>
      <c r="O2896" s="46"/>
      <c r="P2896" s="46"/>
      <c r="Q2896" s="46"/>
      <c r="R2896" s="46"/>
      <c r="S2896" s="46"/>
      <c r="T2896" s="46"/>
      <c r="U2896" s="46"/>
      <c r="V2896" s="46"/>
      <c r="W2896" s="46"/>
      <c r="X2896" s="11" t="str">
        <f>IF(COUNTBLANK(B2896:W2896)&gt;0,"NA",'batch classification'!J2902)</f>
        <v>NA</v>
      </c>
    </row>
    <row r="2897" spans="1:24" x14ac:dyDescent="0.25">
      <c r="A2897" s="45"/>
      <c r="B2897" s="46"/>
      <c r="C2897" s="46"/>
      <c r="D2897" s="46"/>
      <c r="E2897" s="46"/>
      <c r="F2897" s="46"/>
      <c r="G2897" s="46"/>
      <c r="H2897" s="46"/>
      <c r="I2897" s="46"/>
      <c r="J2897" s="46"/>
      <c r="K2897" s="46"/>
      <c r="L2897" s="46"/>
      <c r="M2897" s="46"/>
      <c r="N2897" s="46"/>
      <c r="O2897" s="46"/>
      <c r="P2897" s="46"/>
      <c r="Q2897" s="46"/>
      <c r="R2897" s="46"/>
      <c r="S2897" s="46"/>
      <c r="T2897" s="46"/>
      <c r="U2897" s="46"/>
      <c r="V2897" s="46"/>
      <c r="W2897" s="46"/>
      <c r="X2897" s="11" t="str">
        <f>IF(COUNTBLANK(B2897:W2897)&gt;0,"NA",'batch classification'!J2903)</f>
        <v>NA</v>
      </c>
    </row>
    <row r="2898" spans="1:24" x14ac:dyDescent="0.25">
      <c r="A2898" s="45"/>
      <c r="B2898" s="46"/>
      <c r="C2898" s="46"/>
      <c r="D2898" s="46"/>
      <c r="E2898" s="46"/>
      <c r="F2898" s="46"/>
      <c r="G2898" s="46"/>
      <c r="H2898" s="46"/>
      <c r="I2898" s="46"/>
      <c r="J2898" s="46"/>
      <c r="K2898" s="46"/>
      <c r="L2898" s="46"/>
      <c r="M2898" s="46"/>
      <c r="N2898" s="46"/>
      <c r="O2898" s="46"/>
      <c r="P2898" s="46"/>
      <c r="Q2898" s="46"/>
      <c r="R2898" s="46"/>
      <c r="S2898" s="46"/>
      <c r="T2898" s="46"/>
      <c r="U2898" s="46"/>
      <c r="V2898" s="46"/>
      <c r="W2898" s="46"/>
      <c r="X2898" s="11" t="str">
        <f>IF(COUNTBLANK(B2898:W2898)&gt;0,"NA",'batch classification'!J2904)</f>
        <v>NA</v>
      </c>
    </row>
    <row r="2899" spans="1:24" x14ac:dyDescent="0.25">
      <c r="A2899" s="45"/>
      <c r="B2899" s="46"/>
      <c r="C2899" s="46"/>
      <c r="D2899" s="46"/>
      <c r="E2899" s="46"/>
      <c r="F2899" s="46"/>
      <c r="G2899" s="46"/>
      <c r="H2899" s="46"/>
      <c r="I2899" s="46"/>
      <c r="J2899" s="46"/>
      <c r="K2899" s="46"/>
      <c r="L2899" s="46"/>
      <c r="M2899" s="46"/>
      <c r="N2899" s="46"/>
      <c r="O2899" s="46"/>
      <c r="P2899" s="46"/>
      <c r="Q2899" s="46"/>
      <c r="R2899" s="46"/>
      <c r="S2899" s="46"/>
      <c r="T2899" s="46"/>
      <c r="U2899" s="46"/>
      <c r="V2899" s="46"/>
      <c r="W2899" s="46"/>
      <c r="X2899" s="11" t="str">
        <f>IF(COUNTBLANK(B2899:W2899)&gt;0,"NA",'batch classification'!J2905)</f>
        <v>NA</v>
      </c>
    </row>
    <row r="2900" spans="1:24" x14ac:dyDescent="0.25">
      <c r="A2900" s="45"/>
      <c r="B2900" s="46"/>
      <c r="C2900" s="46"/>
      <c r="D2900" s="46"/>
      <c r="E2900" s="46"/>
      <c r="F2900" s="46"/>
      <c r="G2900" s="46"/>
      <c r="H2900" s="46"/>
      <c r="I2900" s="46"/>
      <c r="J2900" s="46"/>
      <c r="K2900" s="46"/>
      <c r="L2900" s="46"/>
      <c r="M2900" s="46"/>
      <c r="N2900" s="46"/>
      <c r="O2900" s="46"/>
      <c r="P2900" s="46"/>
      <c r="Q2900" s="46"/>
      <c r="R2900" s="46"/>
      <c r="S2900" s="46"/>
      <c r="T2900" s="46"/>
      <c r="U2900" s="46"/>
      <c r="V2900" s="46"/>
      <c r="W2900" s="46"/>
      <c r="X2900" s="11" t="str">
        <f>IF(COUNTBLANK(B2900:W2900)&gt;0,"NA",'batch classification'!J2906)</f>
        <v>NA</v>
      </c>
    </row>
    <row r="2901" spans="1:24" x14ac:dyDescent="0.25">
      <c r="A2901" s="45"/>
      <c r="B2901" s="46"/>
      <c r="C2901" s="46"/>
      <c r="D2901" s="46"/>
      <c r="E2901" s="46"/>
      <c r="F2901" s="46"/>
      <c r="G2901" s="46"/>
      <c r="H2901" s="46"/>
      <c r="I2901" s="46"/>
      <c r="J2901" s="46"/>
      <c r="K2901" s="46"/>
      <c r="L2901" s="46"/>
      <c r="M2901" s="46"/>
      <c r="N2901" s="46"/>
      <c r="O2901" s="46"/>
      <c r="P2901" s="46"/>
      <c r="Q2901" s="46"/>
      <c r="R2901" s="46"/>
      <c r="S2901" s="46"/>
      <c r="T2901" s="46"/>
      <c r="U2901" s="46"/>
      <c r="V2901" s="46"/>
      <c r="W2901" s="46"/>
      <c r="X2901" s="11" t="str">
        <f>IF(COUNTBLANK(B2901:W2901)&gt;0,"NA",'batch classification'!J2907)</f>
        <v>NA</v>
      </c>
    </row>
    <row r="2902" spans="1:24" x14ac:dyDescent="0.25">
      <c r="A2902" s="45"/>
      <c r="B2902" s="46"/>
      <c r="C2902" s="46"/>
      <c r="D2902" s="46"/>
      <c r="E2902" s="46"/>
      <c r="F2902" s="46"/>
      <c r="G2902" s="46"/>
      <c r="H2902" s="46"/>
      <c r="I2902" s="46"/>
      <c r="J2902" s="46"/>
      <c r="K2902" s="46"/>
      <c r="L2902" s="46"/>
      <c r="M2902" s="46"/>
      <c r="N2902" s="46"/>
      <c r="O2902" s="46"/>
      <c r="P2902" s="46"/>
      <c r="Q2902" s="46"/>
      <c r="R2902" s="46"/>
      <c r="S2902" s="46"/>
      <c r="T2902" s="46"/>
      <c r="U2902" s="46"/>
      <c r="V2902" s="46"/>
      <c r="W2902" s="46"/>
      <c r="X2902" s="11" t="str">
        <f>IF(COUNTBLANK(B2902:W2902)&gt;0,"NA",'batch classification'!J2908)</f>
        <v>NA</v>
      </c>
    </row>
    <row r="2903" spans="1:24" x14ac:dyDescent="0.25">
      <c r="A2903" s="45"/>
      <c r="B2903" s="46"/>
      <c r="C2903" s="46"/>
      <c r="D2903" s="46"/>
      <c r="E2903" s="46"/>
      <c r="F2903" s="46"/>
      <c r="G2903" s="46"/>
      <c r="H2903" s="46"/>
      <c r="I2903" s="46"/>
      <c r="J2903" s="46"/>
      <c r="K2903" s="46"/>
      <c r="L2903" s="46"/>
      <c r="M2903" s="46"/>
      <c r="N2903" s="46"/>
      <c r="O2903" s="46"/>
      <c r="P2903" s="46"/>
      <c r="Q2903" s="46"/>
      <c r="R2903" s="46"/>
      <c r="S2903" s="46"/>
      <c r="T2903" s="46"/>
      <c r="U2903" s="46"/>
      <c r="V2903" s="46"/>
      <c r="W2903" s="46"/>
      <c r="X2903" s="11" t="str">
        <f>IF(COUNTBLANK(B2903:W2903)&gt;0,"NA",'batch classification'!J2909)</f>
        <v>NA</v>
      </c>
    </row>
    <row r="2904" spans="1:24" x14ac:dyDescent="0.25">
      <c r="A2904" s="45"/>
      <c r="B2904" s="46"/>
      <c r="C2904" s="46"/>
      <c r="D2904" s="46"/>
      <c r="E2904" s="46"/>
      <c r="F2904" s="46"/>
      <c r="G2904" s="46"/>
      <c r="H2904" s="46"/>
      <c r="I2904" s="46"/>
      <c r="J2904" s="46"/>
      <c r="K2904" s="46"/>
      <c r="L2904" s="46"/>
      <c r="M2904" s="46"/>
      <c r="N2904" s="46"/>
      <c r="O2904" s="46"/>
      <c r="P2904" s="46"/>
      <c r="Q2904" s="46"/>
      <c r="R2904" s="46"/>
      <c r="S2904" s="46"/>
      <c r="T2904" s="46"/>
      <c r="U2904" s="46"/>
      <c r="V2904" s="46"/>
      <c r="W2904" s="46"/>
      <c r="X2904" s="11" t="str">
        <f>IF(COUNTBLANK(B2904:W2904)&gt;0,"NA",'batch classification'!J2910)</f>
        <v>NA</v>
      </c>
    </row>
    <row r="2905" spans="1:24" x14ac:dyDescent="0.25">
      <c r="A2905" s="45"/>
      <c r="B2905" s="46"/>
      <c r="C2905" s="46"/>
      <c r="D2905" s="46"/>
      <c r="E2905" s="46"/>
      <c r="F2905" s="46"/>
      <c r="G2905" s="46"/>
      <c r="H2905" s="46"/>
      <c r="I2905" s="46"/>
      <c r="J2905" s="46"/>
      <c r="K2905" s="46"/>
      <c r="L2905" s="46"/>
      <c r="M2905" s="46"/>
      <c r="N2905" s="46"/>
      <c r="O2905" s="46"/>
      <c r="P2905" s="46"/>
      <c r="Q2905" s="46"/>
      <c r="R2905" s="46"/>
      <c r="S2905" s="46"/>
      <c r="T2905" s="46"/>
      <c r="U2905" s="46"/>
      <c r="V2905" s="46"/>
      <c r="W2905" s="46"/>
      <c r="X2905" s="11" t="str">
        <f>IF(COUNTBLANK(B2905:W2905)&gt;0,"NA",'batch classification'!J2911)</f>
        <v>NA</v>
      </c>
    </row>
    <row r="2906" spans="1:24" x14ac:dyDescent="0.25">
      <c r="A2906" s="45"/>
      <c r="B2906" s="46"/>
      <c r="C2906" s="46"/>
      <c r="D2906" s="46"/>
      <c r="E2906" s="46"/>
      <c r="F2906" s="46"/>
      <c r="G2906" s="46"/>
      <c r="H2906" s="46"/>
      <c r="I2906" s="46"/>
      <c r="J2906" s="46"/>
      <c r="K2906" s="46"/>
      <c r="L2906" s="46"/>
      <c r="M2906" s="46"/>
      <c r="N2906" s="46"/>
      <c r="O2906" s="46"/>
      <c r="P2906" s="46"/>
      <c r="Q2906" s="46"/>
      <c r="R2906" s="46"/>
      <c r="S2906" s="46"/>
      <c r="T2906" s="46"/>
      <c r="U2906" s="46"/>
      <c r="V2906" s="46"/>
      <c r="W2906" s="46"/>
      <c r="X2906" s="11" t="str">
        <f>IF(COUNTBLANK(B2906:W2906)&gt;0,"NA",'batch classification'!J2912)</f>
        <v>NA</v>
      </c>
    </row>
    <row r="2907" spans="1:24" x14ac:dyDescent="0.25">
      <c r="A2907" s="45"/>
      <c r="B2907" s="46"/>
      <c r="C2907" s="46"/>
      <c r="D2907" s="46"/>
      <c r="E2907" s="46"/>
      <c r="F2907" s="46"/>
      <c r="G2907" s="46"/>
      <c r="H2907" s="46"/>
      <c r="I2907" s="46"/>
      <c r="J2907" s="46"/>
      <c r="K2907" s="46"/>
      <c r="L2907" s="46"/>
      <c r="M2907" s="46"/>
      <c r="N2907" s="46"/>
      <c r="O2907" s="46"/>
      <c r="P2907" s="46"/>
      <c r="Q2907" s="46"/>
      <c r="R2907" s="46"/>
      <c r="S2907" s="46"/>
      <c r="T2907" s="46"/>
      <c r="U2907" s="46"/>
      <c r="V2907" s="46"/>
      <c r="W2907" s="46"/>
      <c r="X2907" s="11" t="str">
        <f>IF(COUNTBLANK(B2907:W2907)&gt;0,"NA",'batch classification'!J2913)</f>
        <v>NA</v>
      </c>
    </row>
    <row r="2908" spans="1:24" x14ac:dyDescent="0.25">
      <c r="A2908" s="45"/>
      <c r="B2908" s="46"/>
      <c r="C2908" s="46"/>
      <c r="D2908" s="46"/>
      <c r="E2908" s="46"/>
      <c r="F2908" s="46"/>
      <c r="G2908" s="46"/>
      <c r="H2908" s="46"/>
      <c r="I2908" s="46"/>
      <c r="J2908" s="46"/>
      <c r="K2908" s="46"/>
      <c r="L2908" s="46"/>
      <c r="M2908" s="46"/>
      <c r="N2908" s="46"/>
      <c r="O2908" s="46"/>
      <c r="P2908" s="46"/>
      <c r="Q2908" s="46"/>
      <c r="R2908" s="46"/>
      <c r="S2908" s="46"/>
      <c r="T2908" s="46"/>
      <c r="U2908" s="46"/>
      <c r="V2908" s="46"/>
      <c r="W2908" s="46"/>
      <c r="X2908" s="11" t="str">
        <f>IF(COUNTBLANK(B2908:W2908)&gt;0,"NA",'batch classification'!J2914)</f>
        <v>NA</v>
      </c>
    </row>
    <row r="2909" spans="1:24" x14ac:dyDescent="0.25">
      <c r="A2909" s="45"/>
      <c r="B2909" s="46"/>
      <c r="C2909" s="46"/>
      <c r="D2909" s="46"/>
      <c r="E2909" s="46"/>
      <c r="F2909" s="46"/>
      <c r="G2909" s="46"/>
      <c r="H2909" s="46"/>
      <c r="I2909" s="46"/>
      <c r="J2909" s="46"/>
      <c r="K2909" s="46"/>
      <c r="L2909" s="46"/>
      <c r="M2909" s="46"/>
      <c r="N2909" s="46"/>
      <c r="O2909" s="46"/>
      <c r="P2909" s="46"/>
      <c r="Q2909" s="46"/>
      <c r="R2909" s="46"/>
      <c r="S2909" s="46"/>
      <c r="T2909" s="46"/>
      <c r="U2909" s="46"/>
      <c r="V2909" s="46"/>
      <c r="W2909" s="46"/>
      <c r="X2909" s="11" t="str">
        <f>IF(COUNTBLANK(B2909:W2909)&gt;0,"NA",'batch classification'!J2915)</f>
        <v>NA</v>
      </c>
    </row>
    <row r="2910" spans="1:24" x14ac:dyDescent="0.25">
      <c r="A2910" s="45"/>
      <c r="B2910" s="46"/>
      <c r="C2910" s="46"/>
      <c r="D2910" s="46"/>
      <c r="E2910" s="46"/>
      <c r="F2910" s="46"/>
      <c r="G2910" s="46"/>
      <c r="H2910" s="46"/>
      <c r="I2910" s="46"/>
      <c r="J2910" s="46"/>
      <c r="K2910" s="46"/>
      <c r="L2910" s="46"/>
      <c r="M2910" s="46"/>
      <c r="N2910" s="46"/>
      <c r="O2910" s="46"/>
      <c r="P2910" s="46"/>
      <c r="Q2910" s="46"/>
      <c r="R2910" s="46"/>
      <c r="S2910" s="46"/>
      <c r="T2910" s="46"/>
      <c r="U2910" s="46"/>
      <c r="V2910" s="46"/>
      <c r="W2910" s="46"/>
      <c r="X2910" s="11" t="str">
        <f>IF(COUNTBLANK(B2910:W2910)&gt;0,"NA",'batch classification'!J2916)</f>
        <v>NA</v>
      </c>
    </row>
    <row r="2911" spans="1:24" x14ac:dyDescent="0.25">
      <c r="A2911" s="45"/>
      <c r="B2911" s="46"/>
      <c r="C2911" s="46"/>
      <c r="D2911" s="46"/>
      <c r="E2911" s="46"/>
      <c r="F2911" s="46"/>
      <c r="G2911" s="46"/>
      <c r="H2911" s="46"/>
      <c r="I2911" s="46"/>
      <c r="J2911" s="46"/>
      <c r="K2911" s="46"/>
      <c r="L2911" s="46"/>
      <c r="M2911" s="46"/>
      <c r="N2911" s="46"/>
      <c r="O2911" s="46"/>
      <c r="P2911" s="46"/>
      <c r="Q2911" s="46"/>
      <c r="R2911" s="46"/>
      <c r="S2911" s="46"/>
      <c r="T2911" s="46"/>
      <c r="U2911" s="46"/>
      <c r="V2911" s="46"/>
      <c r="W2911" s="46"/>
      <c r="X2911" s="11" t="str">
        <f>IF(COUNTBLANK(B2911:W2911)&gt;0,"NA",'batch classification'!J2917)</f>
        <v>NA</v>
      </c>
    </row>
    <row r="2912" spans="1:24" x14ac:dyDescent="0.25">
      <c r="A2912" s="45"/>
      <c r="B2912" s="46"/>
      <c r="C2912" s="46"/>
      <c r="D2912" s="46"/>
      <c r="E2912" s="46"/>
      <c r="F2912" s="46"/>
      <c r="G2912" s="46"/>
      <c r="H2912" s="46"/>
      <c r="I2912" s="46"/>
      <c r="J2912" s="46"/>
      <c r="K2912" s="46"/>
      <c r="L2912" s="46"/>
      <c r="M2912" s="46"/>
      <c r="N2912" s="46"/>
      <c r="O2912" s="46"/>
      <c r="P2912" s="46"/>
      <c r="Q2912" s="46"/>
      <c r="R2912" s="46"/>
      <c r="S2912" s="46"/>
      <c r="T2912" s="46"/>
      <c r="U2912" s="46"/>
      <c r="V2912" s="46"/>
      <c r="W2912" s="46"/>
      <c r="X2912" s="11" t="str">
        <f>IF(COUNTBLANK(B2912:W2912)&gt;0,"NA",'batch classification'!J2918)</f>
        <v>NA</v>
      </c>
    </row>
    <row r="2913" spans="1:24" x14ac:dyDescent="0.25">
      <c r="A2913" s="45"/>
      <c r="B2913" s="46"/>
      <c r="C2913" s="46"/>
      <c r="D2913" s="46"/>
      <c r="E2913" s="46"/>
      <c r="F2913" s="46"/>
      <c r="G2913" s="46"/>
      <c r="H2913" s="46"/>
      <c r="I2913" s="46"/>
      <c r="J2913" s="46"/>
      <c r="K2913" s="46"/>
      <c r="L2913" s="46"/>
      <c r="M2913" s="46"/>
      <c r="N2913" s="46"/>
      <c r="O2913" s="46"/>
      <c r="P2913" s="46"/>
      <c r="Q2913" s="46"/>
      <c r="R2913" s="46"/>
      <c r="S2913" s="46"/>
      <c r="T2913" s="46"/>
      <c r="U2913" s="46"/>
      <c r="V2913" s="46"/>
      <c r="W2913" s="46"/>
      <c r="X2913" s="11" t="str">
        <f>IF(COUNTBLANK(B2913:W2913)&gt;0,"NA",'batch classification'!J2919)</f>
        <v>NA</v>
      </c>
    </row>
    <row r="2914" spans="1:24" x14ac:dyDescent="0.25">
      <c r="A2914" s="45"/>
      <c r="B2914" s="46"/>
      <c r="C2914" s="46"/>
      <c r="D2914" s="46"/>
      <c r="E2914" s="46"/>
      <c r="F2914" s="46"/>
      <c r="G2914" s="46"/>
      <c r="H2914" s="46"/>
      <c r="I2914" s="46"/>
      <c r="J2914" s="46"/>
      <c r="K2914" s="46"/>
      <c r="L2914" s="46"/>
      <c r="M2914" s="46"/>
      <c r="N2914" s="46"/>
      <c r="O2914" s="46"/>
      <c r="P2914" s="46"/>
      <c r="Q2914" s="46"/>
      <c r="R2914" s="46"/>
      <c r="S2914" s="46"/>
      <c r="T2914" s="46"/>
      <c r="U2914" s="46"/>
      <c r="V2914" s="46"/>
      <c r="W2914" s="46"/>
      <c r="X2914" s="11" t="str">
        <f>IF(COUNTBLANK(B2914:W2914)&gt;0,"NA",'batch classification'!J2920)</f>
        <v>NA</v>
      </c>
    </row>
    <row r="2915" spans="1:24" x14ac:dyDescent="0.25">
      <c r="A2915" s="45"/>
      <c r="B2915" s="46"/>
      <c r="C2915" s="46"/>
      <c r="D2915" s="46"/>
      <c r="E2915" s="46"/>
      <c r="F2915" s="46"/>
      <c r="G2915" s="46"/>
      <c r="H2915" s="46"/>
      <c r="I2915" s="46"/>
      <c r="J2915" s="46"/>
      <c r="K2915" s="46"/>
      <c r="L2915" s="46"/>
      <c r="M2915" s="46"/>
      <c r="N2915" s="46"/>
      <c r="O2915" s="46"/>
      <c r="P2915" s="46"/>
      <c r="Q2915" s="46"/>
      <c r="R2915" s="46"/>
      <c r="S2915" s="46"/>
      <c r="T2915" s="46"/>
      <c r="U2915" s="46"/>
      <c r="V2915" s="46"/>
      <c r="W2915" s="46"/>
      <c r="X2915" s="11" t="str">
        <f>IF(COUNTBLANK(B2915:W2915)&gt;0,"NA",'batch classification'!J2921)</f>
        <v>NA</v>
      </c>
    </row>
    <row r="2916" spans="1:24" x14ac:dyDescent="0.25">
      <c r="A2916" s="45"/>
      <c r="B2916" s="46"/>
      <c r="C2916" s="46"/>
      <c r="D2916" s="46"/>
      <c r="E2916" s="46"/>
      <c r="F2916" s="46"/>
      <c r="G2916" s="46"/>
      <c r="H2916" s="46"/>
      <c r="I2916" s="46"/>
      <c r="J2916" s="46"/>
      <c r="K2916" s="46"/>
      <c r="L2916" s="46"/>
      <c r="M2916" s="46"/>
      <c r="N2916" s="46"/>
      <c r="O2916" s="46"/>
      <c r="P2916" s="46"/>
      <c r="Q2916" s="46"/>
      <c r="R2916" s="46"/>
      <c r="S2916" s="46"/>
      <c r="T2916" s="46"/>
      <c r="U2916" s="46"/>
      <c r="V2916" s="46"/>
      <c r="W2916" s="46"/>
      <c r="X2916" s="11" t="str">
        <f>IF(COUNTBLANK(B2916:W2916)&gt;0,"NA",'batch classification'!J2922)</f>
        <v>NA</v>
      </c>
    </row>
    <row r="2917" spans="1:24" x14ac:dyDescent="0.25">
      <c r="A2917" s="45"/>
      <c r="B2917" s="46"/>
      <c r="C2917" s="46"/>
      <c r="D2917" s="46"/>
      <c r="E2917" s="46"/>
      <c r="F2917" s="46"/>
      <c r="G2917" s="46"/>
      <c r="H2917" s="46"/>
      <c r="I2917" s="46"/>
      <c r="J2917" s="46"/>
      <c r="K2917" s="46"/>
      <c r="L2917" s="46"/>
      <c r="M2917" s="46"/>
      <c r="N2917" s="46"/>
      <c r="O2917" s="46"/>
      <c r="P2917" s="46"/>
      <c r="Q2917" s="46"/>
      <c r="R2917" s="46"/>
      <c r="S2917" s="46"/>
      <c r="T2917" s="46"/>
      <c r="U2917" s="46"/>
      <c r="V2917" s="46"/>
      <c r="W2917" s="46"/>
      <c r="X2917" s="11" t="str">
        <f>IF(COUNTBLANK(B2917:W2917)&gt;0,"NA",'batch classification'!J2923)</f>
        <v>NA</v>
      </c>
    </row>
    <row r="2918" spans="1:24" x14ac:dyDescent="0.25">
      <c r="A2918" s="45"/>
      <c r="B2918" s="46"/>
      <c r="C2918" s="46"/>
      <c r="D2918" s="46"/>
      <c r="E2918" s="46"/>
      <c r="F2918" s="46"/>
      <c r="G2918" s="46"/>
      <c r="H2918" s="46"/>
      <c r="I2918" s="46"/>
      <c r="J2918" s="46"/>
      <c r="K2918" s="46"/>
      <c r="L2918" s="46"/>
      <c r="M2918" s="46"/>
      <c r="N2918" s="46"/>
      <c r="O2918" s="46"/>
      <c r="P2918" s="46"/>
      <c r="Q2918" s="46"/>
      <c r="R2918" s="46"/>
      <c r="S2918" s="46"/>
      <c r="T2918" s="46"/>
      <c r="U2918" s="46"/>
      <c r="V2918" s="46"/>
      <c r="W2918" s="46"/>
      <c r="X2918" s="11" t="str">
        <f>IF(COUNTBLANK(B2918:W2918)&gt;0,"NA",'batch classification'!J2924)</f>
        <v>NA</v>
      </c>
    </row>
    <row r="2919" spans="1:24" x14ac:dyDescent="0.25">
      <c r="A2919" s="45"/>
      <c r="B2919" s="46"/>
      <c r="C2919" s="46"/>
      <c r="D2919" s="46"/>
      <c r="E2919" s="46"/>
      <c r="F2919" s="46"/>
      <c r="G2919" s="46"/>
      <c r="H2919" s="46"/>
      <c r="I2919" s="46"/>
      <c r="J2919" s="46"/>
      <c r="K2919" s="46"/>
      <c r="L2919" s="46"/>
      <c r="M2919" s="46"/>
      <c r="N2919" s="46"/>
      <c r="O2919" s="46"/>
      <c r="P2919" s="46"/>
      <c r="Q2919" s="46"/>
      <c r="R2919" s="46"/>
      <c r="S2919" s="46"/>
      <c r="T2919" s="46"/>
      <c r="U2919" s="46"/>
      <c r="V2919" s="46"/>
      <c r="W2919" s="46"/>
      <c r="X2919" s="11" t="str">
        <f>IF(COUNTBLANK(B2919:W2919)&gt;0,"NA",'batch classification'!J2925)</f>
        <v>NA</v>
      </c>
    </row>
    <row r="2920" spans="1:24" x14ac:dyDescent="0.25">
      <c r="A2920" s="45"/>
      <c r="B2920" s="46"/>
      <c r="C2920" s="46"/>
      <c r="D2920" s="46"/>
      <c r="E2920" s="46"/>
      <c r="F2920" s="46"/>
      <c r="G2920" s="46"/>
      <c r="H2920" s="46"/>
      <c r="I2920" s="46"/>
      <c r="J2920" s="46"/>
      <c r="K2920" s="46"/>
      <c r="L2920" s="46"/>
      <c r="M2920" s="46"/>
      <c r="N2920" s="46"/>
      <c r="O2920" s="46"/>
      <c r="P2920" s="46"/>
      <c r="Q2920" s="46"/>
      <c r="R2920" s="46"/>
      <c r="S2920" s="46"/>
      <c r="T2920" s="46"/>
      <c r="U2920" s="46"/>
      <c r="V2920" s="46"/>
      <c r="W2920" s="46"/>
      <c r="X2920" s="11" t="str">
        <f>IF(COUNTBLANK(B2920:W2920)&gt;0,"NA",'batch classification'!J2926)</f>
        <v>NA</v>
      </c>
    </row>
    <row r="2921" spans="1:24" x14ac:dyDescent="0.25">
      <c r="A2921" s="45"/>
      <c r="B2921" s="46"/>
      <c r="C2921" s="46"/>
      <c r="D2921" s="46"/>
      <c r="E2921" s="46"/>
      <c r="F2921" s="46"/>
      <c r="G2921" s="46"/>
      <c r="H2921" s="46"/>
      <c r="I2921" s="46"/>
      <c r="J2921" s="46"/>
      <c r="K2921" s="46"/>
      <c r="L2921" s="46"/>
      <c r="M2921" s="46"/>
      <c r="N2921" s="46"/>
      <c r="O2921" s="46"/>
      <c r="P2921" s="46"/>
      <c r="Q2921" s="46"/>
      <c r="R2921" s="46"/>
      <c r="S2921" s="46"/>
      <c r="T2921" s="46"/>
      <c r="U2921" s="46"/>
      <c r="V2921" s="46"/>
      <c r="W2921" s="46"/>
      <c r="X2921" s="11" t="str">
        <f>IF(COUNTBLANK(B2921:W2921)&gt;0,"NA",'batch classification'!J2927)</f>
        <v>NA</v>
      </c>
    </row>
    <row r="2922" spans="1:24" x14ac:dyDescent="0.25">
      <c r="A2922" s="45"/>
      <c r="B2922" s="46"/>
      <c r="C2922" s="46"/>
      <c r="D2922" s="46"/>
      <c r="E2922" s="46"/>
      <c r="F2922" s="46"/>
      <c r="G2922" s="46"/>
      <c r="H2922" s="46"/>
      <c r="I2922" s="46"/>
      <c r="J2922" s="46"/>
      <c r="K2922" s="46"/>
      <c r="L2922" s="46"/>
      <c r="M2922" s="46"/>
      <c r="N2922" s="46"/>
      <c r="O2922" s="46"/>
      <c r="P2922" s="46"/>
      <c r="Q2922" s="46"/>
      <c r="R2922" s="46"/>
      <c r="S2922" s="46"/>
      <c r="T2922" s="46"/>
      <c r="U2922" s="46"/>
      <c r="V2922" s="46"/>
      <c r="W2922" s="46"/>
      <c r="X2922" s="11" t="str">
        <f>IF(COUNTBLANK(B2922:W2922)&gt;0,"NA",'batch classification'!J2928)</f>
        <v>NA</v>
      </c>
    </row>
    <row r="2923" spans="1:24" x14ac:dyDescent="0.25">
      <c r="A2923" s="45"/>
      <c r="B2923" s="46"/>
      <c r="C2923" s="46"/>
      <c r="D2923" s="46"/>
      <c r="E2923" s="46"/>
      <c r="F2923" s="46"/>
      <c r="G2923" s="46"/>
      <c r="H2923" s="46"/>
      <c r="I2923" s="46"/>
      <c r="J2923" s="46"/>
      <c r="K2923" s="46"/>
      <c r="L2923" s="46"/>
      <c r="M2923" s="46"/>
      <c r="N2923" s="46"/>
      <c r="O2923" s="46"/>
      <c r="P2923" s="46"/>
      <c r="Q2923" s="46"/>
      <c r="R2923" s="46"/>
      <c r="S2923" s="46"/>
      <c r="T2923" s="46"/>
      <c r="U2923" s="46"/>
      <c r="V2923" s="46"/>
      <c r="W2923" s="46"/>
      <c r="X2923" s="11" t="str">
        <f>IF(COUNTBLANK(B2923:W2923)&gt;0,"NA",'batch classification'!J2929)</f>
        <v>NA</v>
      </c>
    </row>
    <row r="2924" spans="1:24" x14ac:dyDescent="0.25">
      <c r="A2924" s="45"/>
      <c r="B2924" s="46"/>
      <c r="C2924" s="46"/>
      <c r="D2924" s="46"/>
      <c r="E2924" s="46"/>
      <c r="F2924" s="46"/>
      <c r="G2924" s="46"/>
      <c r="H2924" s="46"/>
      <c r="I2924" s="46"/>
      <c r="J2924" s="46"/>
      <c r="K2924" s="46"/>
      <c r="L2924" s="46"/>
      <c r="M2924" s="46"/>
      <c r="N2924" s="46"/>
      <c r="O2924" s="46"/>
      <c r="P2924" s="46"/>
      <c r="Q2924" s="46"/>
      <c r="R2924" s="46"/>
      <c r="S2924" s="46"/>
      <c r="T2924" s="46"/>
      <c r="U2924" s="46"/>
      <c r="V2924" s="46"/>
      <c r="W2924" s="46"/>
      <c r="X2924" s="11" t="str">
        <f>IF(COUNTBLANK(B2924:W2924)&gt;0,"NA",'batch classification'!J2930)</f>
        <v>NA</v>
      </c>
    </row>
    <row r="2925" spans="1:24" x14ac:dyDescent="0.25">
      <c r="A2925" s="45"/>
      <c r="B2925" s="46"/>
      <c r="C2925" s="46"/>
      <c r="D2925" s="46"/>
      <c r="E2925" s="46"/>
      <c r="F2925" s="46"/>
      <c r="G2925" s="46"/>
      <c r="H2925" s="46"/>
      <c r="I2925" s="46"/>
      <c r="J2925" s="46"/>
      <c r="K2925" s="46"/>
      <c r="L2925" s="46"/>
      <c r="M2925" s="46"/>
      <c r="N2925" s="46"/>
      <c r="O2925" s="46"/>
      <c r="P2925" s="46"/>
      <c r="Q2925" s="46"/>
      <c r="R2925" s="46"/>
      <c r="S2925" s="46"/>
      <c r="T2925" s="46"/>
      <c r="U2925" s="46"/>
      <c r="V2925" s="46"/>
      <c r="W2925" s="46"/>
      <c r="X2925" s="11" t="str">
        <f>IF(COUNTBLANK(B2925:W2925)&gt;0,"NA",'batch classification'!J2931)</f>
        <v>NA</v>
      </c>
    </row>
    <row r="2926" spans="1:24" x14ac:dyDescent="0.25">
      <c r="A2926" s="45"/>
      <c r="B2926" s="46"/>
      <c r="C2926" s="46"/>
      <c r="D2926" s="46"/>
      <c r="E2926" s="46"/>
      <c r="F2926" s="46"/>
      <c r="G2926" s="46"/>
      <c r="H2926" s="46"/>
      <c r="I2926" s="46"/>
      <c r="J2926" s="46"/>
      <c r="K2926" s="46"/>
      <c r="L2926" s="46"/>
      <c r="M2926" s="46"/>
      <c r="N2926" s="46"/>
      <c r="O2926" s="46"/>
      <c r="P2926" s="46"/>
      <c r="Q2926" s="46"/>
      <c r="R2926" s="46"/>
      <c r="S2926" s="46"/>
      <c r="T2926" s="46"/>
      <c r="U2926" s="46"/>
      <c r="V2926" s="46"/>
      <c r="W2926" s="46"/>
      <c r="X2926" s="11" t="str">
        <f>IF(COUNTBLANK(B2926:W2926)&gt;0,"NA",'batch classification'!J2932)</f>
        <v>NA</v>
      </c>
    </row>
    <row r="2927" spans="1:24" x14ac:dyDescent="0.25">
      <c r="A2927" s="45"/>
      <c r="B2927" s="46"/>
      <c r="C2927" s="46"/>
      <c r="D2927" s="46"/>
      <c r="E2927" s="46"/>
      <c r="F2927" s="46"/>
      <c r="G2927" s="46"/>
      <c r="H2927" s="46"/>
      <c r="I2927" s="46"/>
      <c r="J2927" s="46"/>
      <c r="K2927" s="46"/>
      <c r="L2927" s="46"/>
      <c r="M2927" s="46"/>
      <c r="N2927" s="46"/>
      <c r="O2927" s="46"/>
      <c r="P2927" s="46"/>
      <c r="Q2927" s="46"/>
      <c r="R2927" s="46"/>
      <c r="S2927" s="46"/>
      <c r="T2927" s="46"/>
      <c r="U2927" s="46"/>
      <c r="V2927" s="46"/>
      <c r="W2927" s="46"/>
      <c r="X2927" s="11" t="str">
        <f>IF(COUNTBLANK(B2927:W2927)&gt;0,"NA",'batch classification'!J2933)</f>
        <v>NA</v>
      </c>
    </row>
    <row r="2928" spans="1:24" x14ac:dyDescent="0.25">
      <c r="A2928" s="45"/>
      <c r="B2928" s="46"/>
      <c r="C2928" s="46"/>
      <c r="D2928" s="46"/>
      <c r="E2928" s="46"/>
      <c r="F2928" s="46"/>
      <c r="G2928" s="46"/>
      <c r="H2928" s="46"/>
      <c r="I2928" s="46"/>
      <c r="J2928" s="46"/>
      <c r="K2928" s="46"/>
      <c r="L2928" s="46"/>
      <c r="M2928" s="46"/>
      <c r="N2928" s="46"/>
      <c r="O2928" s="46"/>
      <c r="P2928" s="46"/>
      <c r="Q2928" s="46"/>
      <c r="R2928" s="46"/>
      <c r="S2928" s="46"/>
      <c r="T2928" s="46"/>
      <c r="U2928" s="46"/>
      <c r="V2928" s="46"/>
      <c r="W2928" s="46"/>
      <c r="X2928" s="11" t="str">
        <f>IF(COUNTBLANK(B2928:W2928)&gt;0,"NA",'batch classification'!J2934)</f>
        <v>NA</v>
      </c>
    </row>
    <row r="2929" spans="1:24" x14ac:dyDescent="0.25">
      <c r="A2929" s="45"/>
      <c r="B2929" s="46"/>
      <c r="C2929" s="46"/>
      <c r="D2929" s="46"/>
      <c r="E2929" s="46"/>
      <c r="F2929" s="46"/>
      <c r="G2929" s="46"/>
      <c r="H2929" s="46"/>
      <c r="I2929" s="46"/>
      <c r="J2929" s="46"/>
      <c r="K2929" s="46"/>
      <c r="L2929" s="46"/>
      <c r="M2929" s="46"/>
      <c r="N2929" s="46"/>
      <c r="O2929" s="46"/>
      <c r="P2929" s="46"/>
      <c r="Q2929" s="46"/>
      <c r="R2929" s="46"/>
      <c r="S2929" s="46"/>
      <c r="T2929" s="46"/>
      <c r="U2929" s="46"/>
      <c r="V2929" s="46"/>
      <c r="W2929" s="46"/>
      <c r="X2929" s="11" t="str">
        <f>IF(COUNTBLANK(B2929:W2929)&gt;0,"NA",'batch classification'!J2935)</f>
        <v>NA</v>
      </c>
    </row>
    <row r="2930" spans="1:24" x14ac:dyDescent="0.25">
      <c r="A2930" s="45"/>
      <c r="B2930" s="46"/>
      <c r="C2930" s="46"/>
      <c r="D2930" s="46"/>
      <c r="E2930" s="46"/>
      <c r="F2930" s="46"/>
      <c r="G2930" s="46"/>
      <c r="H2930" s="46"/>
      <c r="I2930" s="46"/>
      <c r="J2930" s="46"/>
      <c r="K2930" s="46"/>
      <c r="L2930" s="46"/>
      <c r="M2930" s="46"/>
      <c r="N2930" s="46"/>
      <c r="O2930" s="46"/>
      <c r="P2930" s="46"/>
      <c r="Q2930" s="46"/>
      <c r="R2930" s="46"/>
      <c r="S2930" s="46"/>
      <c r="T2930" s="46"/>
      <c r="U2930" s="46"/>
      <c r="V2930" s="46"/>
      <c r="W2930" s="46"/>
      <c r="X2930" s="11" t="str">
        <f>IF(COUNTBLANK(B2930:W2930)&gt;0,"NA",'batch classification'!J2936)</f>
        <v>NA</v>
      </c>
    </row>
    <row r="2931" spans="1:24" x14ac:dyDescent="0.25">
      <c r="A2931" s="45"/>
      <c r="B2931" s="46"/>
      <c r="C2931" s="46"/>
      <c r="D2931" s="46"/>
      <c r="E2931" s="46"/>
      <c r="F2931" s="46"/>
      <c r="G2931" s="46"/>
      <c r="H2931" s="46"/>
      <c r="I2931" s="46"/>
      <c r="J2931" s="46"/>
      <c r="K2931" s="46"/>
      <c r="L2931" s="46"/>
      <c r="M2931" s="46"/>
      <c r="N2931" s="46"/>
      <c r="O2931" s="46"/>
      <c r="P2931" s="46"/>
      <c r="Q2931" s="46"/>
      <c r="R2931" s="46"/>
      <c r="S2931" s="46"/>
      <c r="T2931" s="46"/>
      <c r="U2931" s="46"/>
      <c r="V2931" s="46"/>
      <c r="W2931" s="46"/>
      <c r="X2931" s="11" t="str">
        <f>IF(COUNTBLANK(B2931:W2931)&gt;0,"NA",'batch classification'!J2937)</f>
        <v>NA</v>
      </c>
    </row>
    <row r="2932" spans="1:24" x14ac:dyDescent="0.25">
      <c r="A2932" s="45"/>
      <c r="B2932" s="46"/>
      <c r="C2932" s="46"/>
      <c r="D2932" s="46"/>
      <c r="E2932" s="46"/>
      <c r="F2932" s="46"/>
      <c r="G2932" s="46"/>
      <c r="H2932" s="46"/>
      <c r="I2932" s="46"/>
      <c r="J2932" s="46"/>
      <c r="K2932" s="46"/>
      <c r="L2932" s="46"/>
      <c r="M2932" s="46"/>
      <c r="N2932" s="46"/>
      <c r="O2932" s="46"/>
      <c r="P2932" s="46"/>
      <c r="Q2932" s="46"/>
      <c r="R2932" s="46"/>
      <c r="S2932" s="46"/>
      <c r="T2932" s="46"/>
      <c r="U2932" s="46"/>
      <c r="V2932" s="46"/>
      <c r="W2932" s="46"/>
      <c r="X2932" s="11" t="str">
        <f>IF(COUNTBLANK(B2932:W2932)&gt;0,"NA",'batch classification'!J2938)</f>
        <v>NA</v>
      </c>
    </row>
    <row r="2933" spans="1:24" x14ac:dyDescent="0.25">
      <c r="A2933" s="45"/>
      <c r="B2933" s="46"/>
      <c r="C2933" s="46"/>
      <c r="D2933" s="46"/>
      <c r="E2933" s="46"/>
      <c r="F2933" s="46"/>
      <c r="G2933" s="46"/>
      <c r="H2933" s="46"/>
      <c r="I2933" s="46"/>
      <c r="J2933" s="46"/>
      <c r="K2933" s="46"/>
      <c r="L2933" s="46"/>
      <c r="M2933" s="46"/>
      <c r="N2933" s="46"/>
      <c r="O2933" s="46"/>
      <c r="P2933" s="46"/>
      <c r="Q2933" s="46"/>
      <c r="R2933" s="46"/>
      <c r="S2933" s="46"/>
      <c r="T2933" s="46"/>
      <c r="U2933" s="46"/>
      <c r="V2933" s="46"/>
      <c r="W2933" s="46"/>
      <c r="X2933" s="11" t="str">
        <f>IF(COUNTBLANK(B2933:W2933)&gt;0,"NA",'batch classification'!J2939)</f>
        <v>NA</v>
      </c>
    </row>
    <row r="2934" spans="1:24" x14ac:dyDescent="0.25">
      <c r="A2934" s="45"/>
      <c r="B2934" s="46"/>
      <c r="C2934" s="46"/>
      <c r="D2934" s="46"/>
      <c r="E2934" s="46"/>
      <c r="F2934" s="46"/>
      <c r="G2934" s="46"/>
      <c r="H2934" s="46"/>
      <c r="I2934" s="46"/>
      <c r="J2934" s="46"/>
      <c r="K2934" s="46"/>
      <c r="L2934" s="46"/>
      <c r="M2934" s="46"/>
      <c r="N2934" s="46"/>
      <c r="O2934" s="46"/>
      <c r="P2934" s="46"/>
      <c r="Q2934" s="46"/>
      <c r="R2934" s="46"/>
      <c r="S2934" s="46"/>
      <c r="T2934" s="46"/>
      <c r="U2934" s="46"/>
      <c r="V2934" s="46"/>
      <c r="W2934" s="46"/>
      <c r="X2934" s="11" t="str">
        <f>IF(COUNTBLANK(B2934:W2934)&gt;0,"NA",'batch classification'!J2940)</f>
        <v>NA</v>
      </c>
    </row>
    <row r="2935" spans="1:24" x14ac:dyDescent="0.25">
      <c r="A2935" s="45"/>
      <c r="B2935" s="46"/>
      <c r="C2935" s="46"/>
      <c r="D2935" s="46"/>
      <c r="E2935" s="46"/>
      <c r="F2935" s="46"/>
      <c r="G2935" s="46"/>
      <c r="H2935" s="46"/>
      <c r="I2935" s="46"/>
      <c r="J2935" s="46"/>
      <c r="K2935" s="46"/>
      <c r="L2935" s="46"/>
      <c r="M2935" s="46"/>
      <c r="N2935" s="46"/>
      <c r="O2935" s="46"/>
      <c r="P2935" s="46"/>
      <c r="Q2935" s="46"/>
      <c r="R2935" s="46"/>
      <c r="S2935" s="46"/>
      <c r="T2935" s="46"/>
      <c r="U2935" s="46"/>
      <c r="V2935" s="46"/>
      <c r="W2935" s="46"/>
      <c r="X2935" s="11" t="str">
        <f>IF(COUNTBLANK(B2935:W2935)&gt;0,"NA",'batch classification'!J2941)</f>
        <v>NA</v>
      </c>
    </row>
    <row r="2936" spans="1:24" x14ac:dyDescent="0.25">
      <c r="A2936" s="45"/>
      <c r="B2936" s="46"/>
      <c r="C2936" s="46"/>
      <c r="D2936" s="46"/>
      <c r="E2936" s="46"/>
      <c r="F2936" s="46"/>
      <c r="G2936" s="46"/>
      <c r="H2936" s="46"/>
      <c r="I2936" s="46"/>
      <c r="J2936" s="46"/>
      <c r="K2936" s="46"/>
      <c r="L2936" s="46"/>
      <c r="M2936" s="46"/>
      <c r="N2936" s="46"/>
      <c r="O2936" s="46"/>
      <c r="P2936" s="46"/>
      <c r="Q2936" s="46"/>
      <c r="R2936" s="46"/>
      <c r="S2936" s="46"/>
      <c r="T2936" s="46"/>
      <c r="U2936" s="46"/>
      <c r="V2936" s="46"/>
      <c r="W2936" s="46"/>
      <c r="X2936" s="11" t="str">
        <f>IF(COUNTBLANK(B2936:W2936)&gt;0,"NA",'batch classification'!J2942)</f>
        <v>NA</v>
      </c>
    </row>
    <row r="2937" spans="1:24" x14ac:dyDescent="0.25">
      <c r="A2937" s="45"/>
      <c r="B2937" s="46"/>
      <c r="C2937" s="46"/>
      <c r="D2937" s="46"/>
      <c r="E2937" s="46"/>
      <c r="F2937" s="46"/>
      <c r="G2937" s="46"/>
      <c r="H2937" s="46"/>
      <c r="I2937" s="46"/>
      <c r="J2937" s="46"/>
      <c r="K2937" s="46"/>
      <c r="L2937" s="46"/>
      <c r="M2937" s="46"/>
      <c r="N2937" s="46"/>
      <c r="O2937" s="46"/>
      <c r="P2937" s="46"/>
      <c r="Q2937" s="46"/>
      <c r="R2937" s="46"/>
      <c r="S2937" s="46"/>
      <c r="T2937" s="46"/>
      <c r="U2937" s="46"/>
      <c r="V2937" s="46"/>
      <c r="W2937" s="46"/>
      <c r="X2937" s="11" t="str">
        <f>IF(COUNTBLANK(B2937:W2937)&gt;0,"NA",'batch classification'!J2943)</f>
        <v>NA</v>
      </c>
    </row>
    <row r="2938" spans="1:24" x14ac:dyDescent="0.25">
      <c r="A2938" s="45"/>
      <c r="B2938" s="46"/>
      <c r="C2938" s="46"/>
      <c r="D2938" s="46"/>
      <c r="E2938" s="46"/>
      <c r="F2938" s="46"/>
      <c r="G2938" s="46"/>
      <c r="H2938" s="46"/>
      <c r="I2938" s="46"/>
      <c r="J2938" s="46"/>
      <c r="K2938" s="46"/>
      <c r="L2938" s="46"/>
      <c r="M2938" s="46"/>
      <c r="N2938" s="46"/>
      <c r="O2938" s="46"/>
      <c r="P2938" s="46"/>
      <c r="Q2938" s="46"/>
      <c r="R2938" s="46"/>
      <c r="S2938" s="46"/>
      <c r="T2938" s="46"/>
      <c r="U2938" s="46"/>
      <c r="V2938" s="46"/>
      <c r="W2938" s="46"/>
      <c r="X2938" s="11" t="str">
        <f>IF(COUNTBLANK(B2938:W2938)&gt;0,"NA",'batch classification'!J2944)</f>
        <v>NA</v>
      </c>
    </row>
    <row r="2939" spans="1:24" x14ac:dyDescent="0.25">
      <c r="A2939" s="45"/>
      <c r="B2939" s="46"/>
      <c r="C2939" s="46"/>
      <c r="D2939" s="46"/>
      <c r="E2939" s="46"/>
      <c r="F2939" s="46"/>
      <c r="G2939" s="46"/>
      <c r="H2939" s="46"/>
      <c r="I2939" s="46"/>
      <c r="J2939" s="46"/>
      <c r="K2939" s="46"/>
      <c r="L2939" s="46"/>
      <c r="M2939" s="46"/>
      <c r="N2939" s="46"/>
      <c r="O2939" s="46"/>
      <c r="P2939" s="46"/>
      <c r="Q2939" s="46"/>
      <c r="R2939" s="46"/>
      <c r="S2939" s="46"/>
      <c r="T2939" s="46"/>
      <c r="U2939" s="46"/>
      <c r="V2939" s="46"/>
      <c r="W2939" s="46"/>
      <c r="X2939" s="11" t="str">
        <f>IF(COUNTBLANK(B2939:W2939)&gt;0,"NA",'batch classification'!J2945)</f>
        <v>NA</v>
      </c>
    </row>
    <row r="2940" spans="1:24" x14ac:dyDescent="0.25">
      <c r="A2940" s="45"/>
      <c r="B2940" s="46"/>
      <c r="C2940" s="46"/>
      <c r="D2940" s="46"/>
      <c r="E2940" s="46"/>
      <c r="F2940" s="46"/>
      <c r="G2940" s="46"/>
      <c r="H2940" s="46"/>
      <c r="I2940" s="46"/>
      <c r="J2940" s="46"/>
      <c r="K2940" s="46"/>
      <c r="L2940" s="46"/>
      <c r="M2940" s="46"/>
      <c r="N2940" s="46"/>
      <c r="O2940" s="46"/>
      <c r="P2940" s="46"/>
      <c r="Q2940" s="46"/>
      <c r="R2940" s="46"/>
      <c r="S2940" s="46"/>
      <c r="T2940" s="46"/>
      <c r="U2940" s="46"/>
      <c r="V2940" s="46"/>
      <c r="W2940" s="46"/>
      <c r="X2940" s="11" t="str">
        <f>IF(COUNTBLANK(B2940:W2940)&gt;0,"NA",'batch classification'!J2946)</f>
        <v>NA</v>
      </c>
    </row>
    <row r="2941" spans="1:24" x14ac:dyDescent="0.25">
      <c r="A2941" s="45"/>
      <c r="B2941" s="46"/>
      <c r="C2941" s="46"/>
      <c r="D2941" s="46"/>
      <c r="E2941" s="46"/>
      <c r="F2941" s="46"/>
      <c r="G2941" s="46"/>
      <c r="H2941" s="46"/>
      <c r="I2941" s="46"/>
      <c r="J2941" s="46"/>
      <c r="K2941" s="46"/>
      <c r="L2941" s="46"/>
      <c r="M2941" s="46"/>
      <c r="N2941" s="46"/>
      <c r="O2941" s="46"/>
      <c r="P2941" s="46"/>
      <c r="Q2941" s="46"/>
      <c r="R2941" s="46"/>
      <c r="S2941" s="46"/>
      <c r="T2941" s="46"/>
      <c r="U2941" s="46"/>
      <c r="V2941" s="46"/>
      <c r="W2941" s="46"/>
      <c r="X2941" s="11" t="str">
        <f>IF(COUNTBLANK(B2941:W2941)&gt;0,"NA",'batch classification'!J2947)</f>
        <v>NA</v>
      </c>
    </row>
    <row r="2942" spans="1:24" x14ac:dyDescent="0.25">
      <c r="A2942" s="45"/>
      <c r="B2942" s="46"/>
      <c r="C2942" s="46"/>
      <c r="D2942" s="46"/>
      <c r="E2942" s="46"/>
      <c r="F2942" s="46"/>
      <c r="G2942" s="46"/>
      <c r="H2942" s="46"/>
      <c r="I2942" s="46"/>
      <c r="J2942" s="46"/>
      <c r="K2942" s="46"/>
      <c r="L2942" s="46"/>
      <c r="M2942" s="46"/>
      <c r="N2942" s="46"/>
      <c r="O2942" s="46"/>
      <c r="P2942" s="46"/>
      <c r="Q2942" s="46"/>
      <c r="R2942" s="46"/>
      <c r="S2942" s="46"/>
      <c r="T2942" s="46"/>
      <c r="U2942" s="46"/>
      <c r="V2942" s="46"/>
      <c r="W2942" s="46"/>
      <c r="X2942" s="11" t="str">
        <f>IF(COUNTBLANK(B2942:W2942)&gt;0,"NA",'batch classification'!J2948)</f>
        <v>NA</v>
      </c>
    </row>
    <row r="2943" spans="1:24" x14ac:dyDescent="0.25">
      <c r="A2943" s="45"/>
      <c r="B2943" s="46"/>
      <c r="C2943" s="46"/>
      <c r="D2943" s="46"/>
      <c r="E2943" s="46"/>
      <c r="F2943" s="46"/>
      <c r="G2943" s="46"/>
      <c r="H2943" s="46"/>
      <c r="I2943" s="46"/>
      <c r="J2943" s="46"/>
      <c r="K2943" s="46"/>
      <c r="L2943" s="46"/>
      <c r="M2943" s="46"/>
      <c r="N2943" s="46"/>
      <c r="O2943" s="46"/>
      <c r="P2943" s="46"/>
      <c r="Q2943" s="46"/>
      <c r="R2943" s="46"/>
      <c r="S2943" s="46"/>
      <c r="T2943" s="46"/>
      <c r="U2943" s="46"/>
      <c r="V2943" s="46"/>
      <c r="W2943" s="46"/>
      <c r="X2943" s="11" t="str">
        <f>IF(COUNTBLANK(B2943:W2943)&gt;0,"NA",'batch classification'!J2949)</f>
        <v>NA</v>
      </c>
    </row>
    <row r="2944" spans="1:24" x14ac:dyDescent="0.25">
      <c r="A2944" s="45"/>
      <c r="B2944" s="46"/>
      <c r="C2944" s="46"/>
      <c r="D2944" s="46"/>
      <c r="E2944" s="46"/>
      <c r="F2944" s="46"/>
      <c r="G2944" s="46"/>
      <c r="H2944" s="46"/>
      <c r="I2944" s="46"/>
      <c r="J2944" s="46"/>
      <c r="K2944" s="46"/>
      <c r="L2944" s="46"/>
      <c r="M2944" s="46"/>
      <c r="N2944" s="46"/>
      <c r="O2944" s="46"/>
      <c r="P2944" s="46"/>
      <c r="Q2944" s="46"/>
      <c r="R2944" s="46"/>
      <c r="S2944" s="46"/>
      <c r="T2944" s="46"/>
      <c r="U2944" s="46"/>
      <c r="V2944" s="46"/>
      <c r="W2944" s="46"/>
      <c r="X2944" s="11" t="str">
        <f>IF(COUNTBLANK(B2944:W2944)&gt;0,"NA",'batch classification'!J2950)</f>
        <v>NA</v>
      </c>
    </row>
    <row r="2945" spans="1:24" x14ac:dyDescent="0.25">
      <c r="A2945" s="45"/>
      <c r="B2945" s="46"/>
      <c r="C2945" s="46"/>
      <c r="D2945" s="46"/>
      <c r="E2945" s="46"/>
      <c r="F2945" s="46"/>
      <c r="G2945" s="46"/>
      <c r="H2945" s="46"/>
      <c r="I2945" s="46"/>
      <c r="J2945" s="46"/>
      <c r="K2945" s="46"/>
      <c r="L2945" s="46"/>
      <c r="M2945" s="46"/>
      <c r="N2945" s="46"/>
      <c r="O2945" s="46"/>
      <c r="P2945" s="46"/>
      <c r="Q2945" s="46"/>
      <c r="R2945" s="46"/>
      <c r="S2945" s="46"/>
      <c r="T2945" s="46"/>
      <c r="U2945" s="46"/>
      <c r="V2945" s="46"/>
      <c r="W2945" s="46"/>
      <c r="X2945" s="11" t="str">
        <f>IF(COUNTBLANK(B2945:W2945)&gt;0,"NA",'batch classification'!J2951)</f>
        <v>NA</v>
      </c>
    </row>
    <row r="2946" spans="1:24" x14ac:dyDescent="0.25">
      <c r="A2946" s="45"/>
      <c r="B2946" s="46"/>
      <c r="C2946" s="46"/>
      <c r="D2946" s="46"/>
      <c r="E2946" s="46"/>
      <c r="F2946" s="46"/>
      <c r="G2946" s="46"/>
      <c r="H2946" s="46"/>
      <c r="I2946" s="46"/>
      <c r="J2946" s="46"/>
      <c r="K2946" s="46"/>
      <c r="L2946" s="46"/>
      <c r="M2946" s="46"/>
      <c r="N2946" s="46"/>
      <c r="O2946" s="46"/>
      <c r="P2946" s="46"/>
      <c r="Q2946" s="46"/>
      <c r="R2946" s="46"/>
      <c r="S2946" s="46"/>
      <c r="T2946" s="46"/>
      <c r="U2946" s="46"/>
      <c r="V2946" s="46"/>
      <c r="W2946" s="46"/>
      <c r="X2946" s="11" t="str">
        <f>IF(COUNTBLANK(B2946:W2946)&gt;0,"NA",'batch classification'!J2952)</f>
        <v>NA</v>
      </c>
    </row>
    <row r="2947" spans="1:24" x14ac:dyDescent="0.25">
      <c r="A2947" s="45"/>
      <c r="B2947" s="46"/>
      <c r="C2947" s="46"/>
      <c r="D2947" s="46"/>
      <c r="E2947" s="46"/>
      <c r="F2947" s="46"/>
      <c r="G2947" s="46"/>
      <c r="H2947" s="46"/>
      <c r="I2947" s="46"/>
      <c r="J2947" s="46"/>
      <c r="K2947" s="46"/>
      <c r="L2947" s="46"/>
      <c r="M2947" s="46"/>
      <c r="N2947" s="46"/>
      <c r="O2947" s="46"/>
      <c r="P2947" s="46"/>
      <c r="Q2947" s="46"/>
      <c r="R2947" s="46"/>
      <c r="S2947" s="46"/>
      <c r="T2947" s="46"/>
      <c r="U2947" s="46"/>
      <c r="V2947" s="46"/>
      <c r="W2947" s="46"/>
      <c r="X2947" s="11" t="str">
        <f>IF(COUNTBLANK(B2947:W2947)&gt;0,"NA",'batch classification'!J2953)</f>
        <v>NA</v>
      </c>
    </row>
    <row r="2948" spans="1:24" x14ac:dyDescent="0.25">
      <c r="A2948" s="45"/>
      <c r="B2948" s="46"/>
      <c r="C2948" s="46"/>
      <c r="D2948" s="46"/>
      <c r="E2948" s="46"/>
      <c r="F2948" s="46"/>
      <c r="G2948" s="46"/>
      <c r="H2948" s="46"/>
      <c r="I2948" s="46"/>
      <c r="J2948" s="46"/>
      <c r="K2948" s="46"/>
      <c r="L2948" s="46"/>
      <c r="M2948" s="46"/>
      <c r="N2948" s="46"/>
      <c r="O2948" s="46"/>
      <c r="P2948" s="46"/>
      <c r="Q2948" s="46"/>
      <c r="R2948" s="46"/>
      <c r="S2948" s="46"/>
      <c r="T2948" s="46"/>
      <c r="U2948" s="46"/>
      <c r="V2948" s="46"/>
      <c r="W2948" s="46"/>
      <c r="X2948" s="11" t="str">
        <f>IF(COUNTBLANK(B2948:W2948)&gt;0,"NA",'batch classification'!J2954)</f>
        <v>NA</v>
      </c>
    </row>
    <row r="2949" spans="1:24" x14ac:dyDescent="0.25">
      <c r="A2949" s="45"/>
      <c r="B2949" s="46"/>
      <c r="C2949" s="46"/>
      <c r="D2949" s="46"/>
      <c r="E2949" s="46"/>
      <c r="F2949" s="46"/>
      <c r="G2949" s="46"/>
      <c r="H2949" s="46"/>
      <c r="I2949" s="46"/>
      <c r="J2949" s="46"/>
      <c r="K2949" s="46"/>
      <c r="L2949" s="46"/>
      <c r="M2949" s="46"/>
      <c r="N2949" s="46"/>
      <c r="O2949" s="46"/>
      <c r="P2949" s="46"/>
      <c r="Q2949" s="46"/>
      <c r="R2949" s="46"/>
      <c r="S2949" s="46"/>
      <c r="T2949" s="46"/>
      <c r="U2949" s="46"/>
      <c r="V2949" s="46"/>
      <c r="W2949" s="46"/>
      <c r="X2949" s="11" t="str">
        <f>IF(COUNTBLANK(B2949:W2949)&gt;0,"NA",'batch classification'!J2955)</f>
        <v>NA</v>
      </c>
    </row>
    <row r="2950" spans="1:24" x14ac:dyDescent="0.25">
      <c r="A2950" s="45"/>
      <c r="B2950" s="46"/>
      <c r="C2950" s="46"/>
      <c r="D2950" s="46"/>
      <c r="E2950" s="46"/>
      <c r="F2950" s="46"/>
      <c r="G2950" s="46"/>
      <c r="H2950" s="46"/>
      <c r="I2950" s="46"/>
      <c r="J2950" s="46"/>
      <c r="K2950" s="46"/>
      <c r="L2950" s="46"/>
      <c r="M2950" s="46"/>
      <c r="N2950" s="46"/>
      <c r="O2950" s="46"/>
      <c r="P2950" s="46"/>
      <c r="Q2950" s="46"/>
      <c r="R2950" s="46"/>
      <c r="S2950" s="46"/>
      <c r="T2950" s="46"/>
      <c r="U2950" s="46"/>
      <c r="V2950" s="46"/>
      <c r="W2950" s="46"/>
      <c r="X2950" s="11" t="str">
        <f>IF(COUNTBLANK(B2950:W2950)&gt;0,"NA",'batch classification'!J2956)</f>
        <v>NA</v>
      </c>
    </row>
    <row r="2951" spans="1:24" x14ac:dyDescent="0.25">
      <c r="A2951" s="45"/>
      <c r="B2951" s="46"/>
      <c r="C2951" s="46"/>
      <c r="D2951" s="46"/>
      <c r="E2951" s="46"/>
      <c r="F2951" s="46"/>
      <c r="G2951" s="46"/>
      <c r="H2951" s="46"/>
      <c r="I2951" s="46"/>
      <c r="J2951" s="46"/>
      <c r="K2951" s="46"/>
      <c r="L2951" s="46"/>
      <c r="M2951" s="46"/>
      <c r="N2951" s="46"/>
      <c r="O2951" s="46"/>
      <c r="P2951" s="46"/>
      <c r="Q2951" s="46"/>
      <c r="R2951" s="46"/>
      <c r="S2951" s="46"/>
      <c r="T2951" s="46"/>
      <c r="U2951" s="46"/>
      <c r="V2951" s="46"/>
      <c r="W2951" s="46"/>
      <c r="X2951" s="11" t="str">
        <f>IF(COUNTBLANK(B2951:W2951)&gt;0,"NA",'batch classification'!J2957)</f>
        <v>NA</v>
      </c>
    </row>
    <row r="2952" spans="1:24" x14ac:dyDescent="0.25">
      <c r="A2952" s="45"/>
      <c r="B2952" s="46"/>
      <c r="C2952" s="46"/>
      <c r="D2952" s="46"/>
      <c r="E2952" s="46"/>
      <c r="F2952" s="46"/>
      <c r="G2952" s="46"/>
      <c r="H2952" s="46"/>
      <c r="I2952" s="46"/>
      <c r="J2952" s="46"/>
      <c r="K2952" s="46"/>
      <c r="L2952" s="46"/>
      <c r="M2952" s="46"/>
      <c r="N2952" s="46"/>
      <c r="O2952" s="46"/>
      <c r="P2952" s="46"/>
      <c r="Q2952" s="46"/>
      <c r="R2952" s="46"/>
      <c r="S2952" s="46"/>
      <c r="T2952" s="46"/>
      <c r="U2952" s="46"/>
      <c r="V2952" s="46"/>
      <c r="W2952" s="46"/>
      <c r="X2952" s="11" t="str">
        <f>IF(COUNTBLANK(B2952:W2952)&gt;0,"NA",'batch classification'!J2958)</f>
        <v>NA</v>
      </c>
    </row>
    <row r="2953" spans="1:24" x14ac:dyDescent="0.25">
      <c r="A2953" s="45"/>
      <c r="B2953" s="46"/>
      <c r="C2953" s="46"/>
      <c r="D2953" s="46"/>
      <c r="E2953" s="46"/>
      <c r="F2953" s="46"/>
      <c r="G2953" s="46"/>
      <c r="H2953" s="46"/>
      <c r="I2953" s="46"/>
      <c r="J2953" s="46"/>
      <c r="K2953" s="46"/>
      <c r="L2953" s="46"/>
      <c r="M2953" s="46"/>
      <c r="N2953" s="46"/>
      <c r="O2953" s="46"/>
      <c r="P2953" s="46"/>
      <c r="Q2953" s="46"/>
      <c r="R2953" s="46"/>
      <c r="S2953" s="46"/>
      <c r="T2953" s="46"/>
      <c r="U2953" s="46"/>
      <c r="V2953" s="46"/>
      <c r="W2953" s="46"/>
      <c r="X2953" s="11" t="str">
        <f>IF(COUNTBLANK(B2953:W2953)&gt;0,"NA",'batch classification'!J2959)</f>
        <v>NA</v>
      </c>
    </row>
    <row r="2954" spans="1:24" x14ac:dyDescent="0.25">
      <c r="A2954" s="45"/>
      <c r="B2954" s="46"/>
      <c r="C2954" s="46"/>
      <c r="D2954" s="46"/>
      <c r="E2954" s="46"/>
      <c r="F2954" s="46"/>
      <c r="G2954" s="46"/>
      <c r="H2954" s="46"/>
      <c r="I2954" s="46"/>
      <c r="J2954" s="46"/>
      <c r="K2954" s="46"/>
      <c r="L2954" s="46"/>
      <c r="M2954" s="46"/>
      <c r="N2954" s="46"/>
      <c r="O2954" s="46"/>
      <c r="P2954" s="46"/>
      <c r="Q2954" s="46"/>
      <c r="R2954" s="46"/>
      <c r="S2954" s="46"/>
      <c r="T2954" s="46"/>
      <c r="U2954" s="46"/>
      <c r="V2954" s="46"/>
      <c r="W2954" s="46"/>
      <c r="X2954" s="11" t="str">
        <f>IF(COUNTBLANK(B2954:W2954)&gt;0,"NA",'batch classification'!J2960)</f>
        <v>NA</v>
      </c>
    </row>
    <row r="2955" spans="1:24" x14ac:dyDescent="0.25">
      <c r="A2955" s="45"/>
      <c r="B2955" s="46"/>
      <c r="C2955" s="46"/>
      <c r="D2955" s="46"/>
      <c r="E2955" s="46"/>
      <c r="F2955" s="46"/>
      <c r="G2955" s="46"/>
      <c r="H2955" s="46"/>
      <c r="I2955" s="46"/>
      <c r="J2955" s="46"/>
      <c r="K2955" s="46"/>
      <c r="L2955" s="46"/>
      <c r="M2955" s="46"/>
      <c r="N2955" s="46"/>
      <c r="O2955" s="46"/>
      <c r="P2955" s="46"/>
      <c r="Q2955" s="46"/>
      <c r="R2955" s="46"/>
      <c r="S2955" s="46"/>
      <c r="T2955" s="46"/>
      <c r="U2955" s="46"/>
      <c r="V2955" s="46"/>
      <c r="W2955" s="46"/>
      <c r="X2955" s="11" t="str">
        <f>IF(COUNTBLANK(B2955:W2955)&gt;0,"NA",'batch classification'!J2961)</f>
        <v>NA</v>
      </c>
    </row>
    <row r="2956" spans="1:24" x14ac:dyDescent="0.25">
      <c r="A2956" s="45"/>
      <c r="B2956" s="46"/>
      <c r="C2956" s="46"/>
      <c r="D2956" s="46"/>
      <c r="E2956" s="46"/>
      <c r="F2956" s="46"/>
      <c r="G2956" s="46"/>
      <c r="H2956" s="46"/>
      <c r="I2956" s="46"/>
      <c r="J2956" s="46"/>
      <c r="K2956" s="46"/>
      <c r="L2956" s="46"/>
      <c r="M2956" s="46"/>
      <c r="N2956" s="46"/>
      <c r="O2956" s="46"/>
      <c r="P2956" s="46"/>
      <c r="Q2956" s="46"/>
      <c r="R2956" s="46"/>
      <c r="S2956" s="46"/>
      <c r="T2956" s="46"/>
      <c r="U2956" s="46"/>
      <c r="V2956" s="46"/>
      <c r="W2956" s="46"/>
      <c r="X2956" s="11" t="str">
        <f>IF(COUNTBLANK(B2956:W2956)&gt;0,"NA",'batch classification'!J2962)</f>
        <v>NA</v>
      </c>
    </row>
    <row r="2957" spans="1:24" x14ac:dyDescent="0.25">
      <c r="A2957" s="45"/>
      <c r="B2957" s="46"/>
      <c r="C2957" s="46"/>
      <c r="D2957" s="46"/>
      <c r="E2957" s="46"/>
      <c r="F2957" s="46"/>
      <c r="G2957" s="46"/>
      <c r="H2957" s="46"/>
      <c r="I2957" s="46"/>
      <c r="J2957" s="46"/>
      <c r="K2957" s="46"/>
      <c r="L2957" s="46"/>
      <c r="M2957" s="46"/>
      <c r="N2957" s="46"/>
      <c r="O2957" s="46"/>
      <c r="P2957" s="46"/>
      <c r="Q2957" s="46"/>
      <c r="R2957" s="46"/>
      <c r="S2957" s="46"/>
      <c r="T2957" s="46"/>
      <c r="U2957" s="46"/>
      <c r="V2957" s="46"/>
      <c r="W2957" s="46"/>
      <c r="X2957" s="11" t="str">
        <f>IF(COUNTBLANK(B2957:W2957)&gt;0,"NA",'batch classification'!J2963)</f>
        <v>NA</v>
      </c>
    </row>
    <row r="2958" spans="1:24" x14ac:dyDescent="0.25">
      <c r="A2958" s="45"/>
      <c r="B2958" s="46"/>
      <c r="C2958" s="46"/>
      <c r="D2958" s="46"/>
      <c r="E2958" s="46"/>
      <c r="F2958" s="46"/>
      <c r="G2958" s="46"/>
      <c r="H2958" s="46"/>
      <c r="I2958" s="46"/>
      <c r="J2958" s="46"/>
      <c r="K2958" s="46"/>
      <c r="L2958" s="46"/>
      <c r="M2958" s="46"/>
      <c r="N2958" s="46"/>
      <c r="O2958" s="46"/>
      <c r="P2958" s="46"/>
      <c r="Q2958" s="46"/>
      <c r="R2958" s="46"/>
      <c r="S2958" s="46"/>
      <c r="T2958" s="46"/>
      <c r="U2958" s="46"/>
      <c r="V2958" s="46"/>
      <c r="W2958" s="46"/>
      <c r="X2958" s="11" t="str">
        <f>IF(COUNTBLANK(B2958:W2958)&gt;0,"NA",'batch classification'!J2964)</f>
        <v>NA</v>
      </c>
    </row>
    <row r="2959" spans="1:24" x14ac:dyDescent="0.25">
      <c r="A2959" s="45"/>
      <c r="B2959" s="46"/>
      <c r="C2959" s="46"/>
      <c r="D2959" s="46"/>
      <c r="E2959" s="46"/>
      <c r="F2959" s="46"/>
      <c r="G2959" s="46"/>
      <c r="H2959" s="46"/>
      <c r="I2959" s="46"/>
      <c r="J2959" s="46"/>
      <c r="K2959" s="46"/>
      <c r="L2959" s="46"/>
      <c r="M2959" s="46"/>
      <c r="N2959" s="46"/>
      <c r="O2959" s="46"/>
      <c r="P2959" s="46"/>
      <c r="Q2959" s="46"/>
      <c r="R2959" s="46"/>
      <c r="S2959" s="46"/>
      <c r="T2959" s="46"/>
      <c r="U2959" s="46"/>
      <c r="V2959" s="46"/>
      <c r="W2959" s="46"/>
      <c r="X2959" s="11" t="str">
        <f>IF(COUNTBLANK(B2959:W2959)&gt;0,"NA",'batch classification'!J2965)</f>
        <v>NA</v>
      </c>
    </row>
    <row r="2960" spans="1:24" x14ac:dyDescent="0.25">
      <c r="A2960" s="45"/>
      <c r="B2960" s="46"/>
      <c r="C2960" s="46"/>
      <c r="D2960" s="46"/>
      <c r="E2960" s="46"/>
      <c r="F2960" s="46"/>
      <c r="G2960" s="46"/>
      <c r="H2960" s="46"/>
      <c r="I2960" s="46"/>
      <c r="J2960" s="46"/>
      <c r="K2960" s="46"/>
      <c r="L2960" s="46"/>
      <c r="M2960" s="46"/>
      <c r="N2960" s="46"/>
      <c r="O2960" s="46"/>
      <c r="P2960" s="46"/>
      <c r="Q2960" s="46"/>
      <c r="R2960" s="46"/>
      <c r="S2960" s="46"/>
      <c r="T2960" s="46"/>
      <c r="U2960" s="46"/>
      <c r="V2960" s="46"/>
      <c r="W2960" s="46"/>
      <c r="X2960" s="11" t="str">
        <f>IF(COUNTBLANK(B2960:W2960)&gt;0,"NA",'batch classification'!J2966)</f>
        <v>NA</v>
      </c>
    </row>
    <row r="2961" spans="1:24" x14ac:dyDescent="0.25">
      <c r="A2961" s="45"/>
      <c r="B2961" s="46"/>
      <c r="C2961" s="46"/>
      <c r="D2961" s="46"/>
      <c r="E2961" s="46"/>
      <c r="F2961" s="46"/>
      <c r="G2961" s="46"/>
      <c r="H2961" s="46"/>
      <c r="I2961" s="46"/>
      <c r="J2961" s="46"/>
      <c r="K2961" s="46"/>
      <c r="L2961" s="46"/>
      <c r="M2961" s="46"/>
      <c r="N2961" s="46"/>
      <c r="O2961" s="46"/>
      <c r="P2961" s="46"/>
      <c r="Q2961" s="46"/>
      <c r="R2961" s="46"/>
      <c r="S2961" s="46"/>
      <c r="T2961" s="46"/>
      <c r="U2961" s="46"/>
      <c r="V2961" s="46"/>
      <c r="W2961" s="46"/>
      <c r="X2961" s="11" t="str">
        <f>IF(COUNTBLANK(B2961:W2961)&gt;0,"NA",'batch classification'!J2967)</f>
        <v>NA</v>
      </c>
    </row>
    <row r="2962" spans="1:24" x14ac:dyDescent="0.25">
      <c r="A2962" s="45"/>
      <c r="B2962" s="46"/>
      <c r="C2962" s="46"/>
      <c r="D2962" s="46"/>
      <c r="E2962" s="46"/>
      <c r="F2962" s="46"/>
      <c r="G2962" s="46"/>
      <c r="H2962" s="46"/>
      <c r="I2962" s="46"/>
      <c r="J2962" s="46"/>
      <c r="K2962" s="46"/>
      <c r="L2962" s="46"/>
      <c r="M2962" s="46"/>
      <c r="N2962" s="46"/>
      <c r="O2962" s="46"/>
      <c r="P2962" s="46"/>
      <c r="Q2962" s="46"/>
      <c r="R2962" s="46"/>
      <c r="S2962" s="46"/>
      <c r="T2962" s="46"/>
      <c r="U2962" s="46"/>
      <c r="V2962" s="46"/>
      <c r="W2962" s="46"/>
      <c r="X2962" s="11" t="str">
        <f>IF(COUNTBLANK(B2962:W2962)&gt;0,"NA",'batch classification'!J2968)</f>
        <v>NA</v>
      </c>
    </row>
    <row r="2963" spans="1:24" x14ac:dyDescent="0.25">
      <c r="A2963" s="45"/>
      <c r="B2963" s="46"/>
      <c r="C2963" s="46"/>
      <c r="D2963" s="46"/>
      <c r="E2963" s="46"/>
      <c r="F2963" s="46"/>
      <c r="G2963" s="46"/>
      <c r="H2963" s="46"/>
      <c r="I2963" s="46"/>
      <c r="J2963" s="46"/>
      <c r="K2963" s="46"/>
      <c r="L2963" s="46"/>
      <c r="M2963" s="46"/>
      <c r="N2963" s="46"/>
      <c r="O2963" s="46"/>
      <c r="P2963" s="46"/>
      <c r="Q2963" s="46"/>
      <c r="R2963" s="46"/>
      <c r="S2963" s="46"/>
      <c r="T2963" s="46"/>
      <c r="U2963" s="46"/>
      <c r="V2963" s="46"/>
      <c r="W2963" s="46"/>
      <c r="X2963" s="11" t="str">
        <f>IF(COUNTBLANK(B2963:W2963)&gt;0,"NA",'batch classification'!J2969)</f>
        <v>NA</v>
      </c>
    </row>
    <row r="2964" spans="1:24" x14ac:dyDescent="0.25">
      <c r="A2964" s="45"/>
      <c r="B2964" s="46"/>
      <c r="C2964" s="46"/>
      <c r="D2964" s="46"/>
      <c r="E2964" s="46"/>
      <c r="F2964" s="46"/>
      <c r="G2964" s="46"/>
      <c r="H2964" s="46"/>
      <c r="I2964" s="46"/>
      <c r="J2964" s="46"/>
      <c r="K2964" s="46"/>
      <c r="L2964" s="46"/>
      <c r="M2964" s="46"/>
      <c r="N2964" s="46"/>
      <c r="O2964" s="46"/>
      <c r="P2964" s="46"/>
      <c r="Q2964" s="46"/>
      <c r="R2964" s="46"/>
      <c r="S2964" s="46"/>
      <c r="T2964" s="46"/>
      <c r="U2964" s="46"/>
      <c r="V2964" s="46"/>
      <c r="W2964" s="46"/>
      <c r="X2964" s="11" t="str">
        <f>IF(COUNTBLANK(B2964:W2964)&gt;0,"NA",'batch classification'!J2970)</f>
        <v>NA</v>
      </c>
    </row>
    <row r="2965" spans="1:24" x14ac:dyDescent="0.25">
      <c r="A2965" s="45"/>
      <c r="B2965" s="46"/>
      <c r="C2965" s="46"/>
      <c r="D2965" s="46"/>
      <c r="E2965" s="46"/>
      <c r="F2965" s="46"/>
      <c r="G2965" s="46"/>
      <c r="H2965" s="46"/>
      <c r="I2965" s="46"/>
      <c r="J2965" s="46"/>
      <c r="K2965" s="46"/>
      <c r="L2965" s="46"/>
      <c r="M2965" s="46"/>
      <c r="N2965" s="46"/>
      <c r="O2965" s="46"/>
      <c r="P2965" s="46"/>
      <c r="Q2965" s="46"/>
      <c r="R2965" s="46"/>
      <c r="S2965" s="46"/>
      <c r="T2965" s="46"/>
      <c r="U2965" s="46"/>
      <c r="V2965" s="46"/>
      <c r="W2965" s="46"/>
      <c r="X2965" s="11" t="str">
        <f>IF(COUNTBLANK(B2965:W2965)&gt;0,"NA",'batch classification'!J2971)</f>
        <v>NA</v>
      </c>
    </row>
    <row r="2966" spans="1:24" x14ac:dyDescent="0.25">
      <c r="A2966" s="45"/>
      <c r="B2966" s="46"/>
      <c r="C2966" s="46"/>
      <c r="D2966" s="46"/>
      <c r="E2966" s="46"/>
      <c r="F2966" s="46"/>
      <c r="G2966" s="46"/>
      <c r="H2966" s="46"/>
      <c r="I2966" s="46"/>
      <c r="J2966" s="46"/>
      <c r="K2966" s="46"/>
      <c r="L2966" s="46"/>
      <c r="M2966" s="46"/>
      <c r="N2966" s="46"/>
      <c r="O2966" s="46"/>
      <c r="P2966" s="46"/>
      <c r="Q2966" s="46"/>
      <c r="R2966" s="46"/>
      <c r="S2966" s="46"/>
      <c r="T2966" s="46"/>
      <c r="U2966" s="46"/>
      <c r="V2966" s="46"/>
      <c r="W2966" s="46"/>
      <c r="X2966" s="11" t="str">
        <f>IF(COUNTBLANK(B2966:W2966)&gt;0,"NA",'batch classification'!J2972)</f>
        <v>NA</v>
      </c>
    </row>
    <row r="2967" spans="1:24" x14ac:dyDescent="0.25">
      <c r="A2967" s="45"/>
      <c r="B2967" s="46"/>
      <c r="C2967" s="46"/>
      <c r="D2967" s="46"/>
      <c r="E2967" s="46"/>
      <c r="F2967" s="46"/>
      <c r="G2967" s="46"/>
      <c r="H2967" s="46"/>
      <c r="I2967" s="46"/>
      <c r="J2967" s="46"/>
      <c r="K2967" s="46"/>
      <c r="L2967" s="46"/>
      <c r="M2967" s="46"/>
      <c r="N2967" s="46"/>
      <c r="O2967" s="46"/>
      <c r="P2967" s="46"/>
      <c r="Q2967" s="46"/>
      <c r="R2967" s="46"/>
      <c r="S2967" s="46"/>
      <c r="T2967" s="46"/>
      <c r="U2967" s="46"/>
      <c r="V2967" s="46"/>
      <c r="W2967" s="46"/>
      <c r="X2967" s="11" t="str">
        <f>IF(COUNTBLANK(B2967:W2967)&gt;0,"NA",'batch classification'!J2973)</f>
        <v>NA</v>
      </c>
    </row>
    <row r="2968" spans="1:24" x14ac:dyDescent="0.25">
      <c r="A2968" s="45"/>
      <c r="B2968" s="46"/>
      <c r="C2968" s="46"/>
      <c r="D2968" s="46"/>
      <c r="E2968" s="46"/>
      <c r="F2968" s="46"/>
      <c r="G2968" s="46"/>
      <c r="H2968" s="46"/>
      <c r="I2968" s="46"/>
      <c r="J2968" s="46"/>
      <c r="K2968" s="46"/>
      <c r="L2968" s="46"/>
      <c r="M2968" s="46"/>
      <c r="N2968" s="46"/>
      <c r="O2968" s="46"/>
      <c r="P2968" s="46"/>
      <c r="Q2968" s="46"/>
      <c r="R2968" s="46"/>
      <c r="S2968" s="46"/>
      <c r="T2968" s="46"/>
      <c r="U2968" s="46"/>
      <c r="V2968" s="46"/>
      <c r="W2968" s="46"/>
      <c r="X2968" s="11" t="str">
        <f>IF(COUNTBLANK(B2968:W2968)&gt;0,"NA",'batch classification'!J2974)</f>
        <v>NA</v>
      </c>
    </row>
    <row r="2969" spans="1:24" x14ac:dyDescent="0.25">
      <c r="A2969" s="45"/>
      <c r="B2969" s="46"/>
      <c r="C2969" s="46"/>
      <c r="D2969" s="46"/>
      <c r="E2969" s="46"/>
      <c r="F2969" s="46"/>
      <c r="G2969" s="46"/>
      <c r="H2969" s="46"/>
      <c r="I2969" s="46"/>
      <c r="J2969" s="46"/>
      <c r="K2969" s="46"/>
      <c r="L2969" s="46"/>
      <c r="M2969" s="46"/>
      <c r="N2969" s="46"/>
      <c r="O2969" s="46"/>
      <c r="P2969" s="46"/>
      <c r="Q2969" s="46"/>
      <c r="R2969" s="46"/>
      <c r="S2969" s="46"/>
      <c r="T2969" s="46"/>
      <c r="U2969" s="46"/>
      <c r="V2969" s="46"/>
      <c r="W2969" s="46"/>
      <c r="X2969" s="11" t="str">
        <f>IF(COUNTBLANK(B2969:W2969)&gt;0,"NA",'batch classification'!J2975)</f>
        <v>NA</v>
      </c>
    </row>
    <row r="2970" spans="1:24" x14ac:dyDescent="0.25">
      <c r="A2970" s="45"/>
      <c r="B2970" s="46"/>
      <c r="C2970" s="46"/>
      <c r="D2970" s="46"/>
      <c r="E2970" s="46"/>
      <c r="F2970" s="46"/>
      <c r="G2970" s="46"/>
      <c r="H2970" s="46"/>
      <c r="I2970" s="46"/>
      <c r="J2970" s="46"/>
      <c r="K2970" s="46"/>
      <c r="L2970" s="46"/>
      <c r="M2970" s="46"/>
      <c r="N2970" s="46"/>
      <c r="O2970" s="46"/>
      <c r="P2970" s="46"/>
      <c r="Q2970" s="46"/>
      <c r="R2970" s="46"/>
      <c r="S2970" s="46"/>
      <c r="T2970" s="46"/>
      <c r="U2970" s="46"/>
      <c r="V2970" s="46"/>
      <c r="W2970" s="46"/>
      <c r="X2970" s="11" t="str">
        <f>IF(COUNTBLANK(B2970:W2970)&gt;0,"NA",'batch classification'!J2976)</f>
        <v>NA</v>
      </c>
    </row>
    <row r="2971" spans="1:24" x14ac:dyDescent="0.25">
      <c r="A2971" s="45"/>
      <c r="B2971" s="46"/>
      <c r="C2971" s="46"/>
      <c r="D2971" s="46"/>
      <c r="E2971" s="46"/>
      <c r="F2971" s="46"/>
      <c r="G2971" s="46"/>
      <c r="H2971" s="46"/>
      <c r="I2971" s="46"/>
      <c r="J2971" s="46"/>
      <c r="K2971" s="46"/>
      <c r="L2971" s="46"/>
      <c r="M2971" s="46"/>
      <c r="N2971" s="46"/>
      <c r="O2971" s="46"/>
      <c r="P2971" s="46"/>
      <c r="Q2971" s="46"/>
      <c r="R2971" s="46"/>
      <c r="S2971" s="46"/>
      <c r="T2971" s="46"/>
      <c r="U2971" s="46"/>
      <c r="V2971" s="46"/>
      <c r="W2971" s="46"/>
      <c r="X2971" s="11" t="str">
        <f>IF(COUNTBLANK(B2971:W2971)&gt;0,"NA",'batch classification'!J2977)</f>
        <v>NA</v>
      </c>
    </row>
    <row r="2972" spans="1:24" x14ac:dyDescent="0.25">
      <c r="A2972" s="45"/>
      <c r="B2972" s="46"/>
      <c r="C2972" s="46"/>
      <c r="D2972" s="46"/>
      <c r="E2972" s="46"/>
      <c r="F2972" s="46"/>
      <c r="G2972" s="46"/>
      <c r="H2972" s="46"/>
      <c r="I2972" s="46"/>
      <c r="J2972" s="46"/>
      <c r="K2972" s="46"/>
      <c r="L2972" s="46"/>
      <c r="M2972" s="46"/>
      <c r="N2972" s="46"/>
      <c r="O2972" s="46"/>
      <c r="P2972" s="46"/>
      <c r="Q2972" s="46"/>
      <c r="R2972" s="46"/>
      <c r="S2972" s="46"/>
      <c r="T2972" s="46"/>
      <c r="U2972" s="46"/>
      <c r="V2972" s="46"/>
      <c r="W2972" s="46"/>
      <c r="X2972" s="11" t="str">
        <f>IF(COUNTBLANK(B2972:W2972)&gt;0,"NA",'batch classification'!J2978)</f>
        <v>NA</v>
      </c>
    </row>
    <row r="2973" spans="1:24" x14ac:dyDescent="0.25">
      <c r="A2973" s="45"/>
      <c r="B2973" s="46"/>
      <c r="C2973" s="46"/>
      <c r="D2973" s="46"/>
      <c r="E2973" s="46"/>
      <c r="F2973" s="46"/>
      <c r="G2973" s="46"/>
      <c r="H2973" s="46"/>
      <c r="I2973" s="46"/>
      <c r="J2973" s="46"/>
      <c r="K2973" s="46"/>
      <c r="L2973" s="46"/>
      <c r="M2973" s="46"/>
      <c r="N2973" s="46"/>
      <c r="O2973" s="46"/>
      <c r="P2973" s="46"/>
      <c r="Q2973" s="46"/>
      <c r="R2973" s="46"/>
      <c r="S2973" s="46"/>
      <c r="T2973" s="46"/>
      <c r="U2973" s="46"/>
      <c r="V2973" s="46"/>
      <c r="W2973" s="46"/>
      <c r="X2973" s="11" t="str">
        <f>IF(COUNTBLANK(B2973:W2973)&gt;0,"NA",'batch classification'!J2979)</f>
        <v>NA</v>
      </c>
    </row>
    <row r="2974" spans="1:24" x14ac:dyDescent="0.25">
      <c r="A2974" s="45"/>
      <c r="B2974" s="46"/>
      <c r="C2974" s="46"/>
      <c r="D2974" s="46"/>
      <c r="E2974" s="46"/>
      <c r="F2974" s="46"/>
      <c r="G2974" s="46"/>
      <c r="H2974" s="46"/>
      <c r="I2974" s="46"/>
      <c r="J2974" s="46"/>
      <c r="K2974" s="46"/>
      <c r="L2974" s="46"/>
      <c r="M2974" s="46"/>
      <c r="N2974" s="46"/>
      <c r="O2974" s="46"/>
      <c r="P2974" s="46"/>
      <c r="Q2974" s="46"/>
      <c r="R2974" s="46"/>
      <c r="S2974" s="46"/>
      <c r="T2974" s="46"/>
      <c r="U2974" s="46"/>
      <c r="V2974" s="46"/>
      <c r="W2974" s="46"/>
      <c r="X2974" s="11" t="str">
        <f>IF(COUNTBLANK(B2974:W2974)&gt;0,"NA",'batch classification'!J2980)</f>
        <v>NA</v>
      </c>
    </row>
    <row r="2975" spans="1:24" x14ac:dyDescent="0.25">
      <c r="A2975" s="45"/>
      <c r="B2975" s="46"/>
      <c r="C2975" s="46"/>
      <c r="D2975" s="46"/>
      <c r="E2975" s="46"/>
      <c r="F2975" s="46"/>
      <c r="G2975" s="46"/>
      <c r="H2975" s="46"/>
      <c r="I2975" s="46"/>
      <c r="J2975" s="46"/>
      <c r="K2975" s="46"/>
      <c r="L2975" s="46"/>
      <c r="M2975" s="46"/>
      <c r="N2975" s="46"/>
      <c r="O2975" s="46"/>
      <c r="P2975" s="46"/>
      <c r="Q2975" s="46"/>
      <c r="R2975" s="46"/>
      <c r="S2975" s="46"/>
      <c r="T2975" s="46"/>
      <c r="U2975" s="46"/>
      <c r="V2975" s="46"/>
      <c r="W2975" s="46"/>
      <c r="X2975" s="11" t="str">
        <f>IF(COUNTBLANK(B2975:W2975)&gt;0,"NA",'batch classification'!J2981)</f>
        <v>NA</v>
      </c>
    </row>
    <row r="2976" spans="1:24" x14ac:dyDescent="0.25">
      <c r="A2976" s="45"/>
      <c r="B2976" s="46"/>
      <c r="C2976" s="46"/>
      <c r="D2976" s="46"/>
      <c r="E2976" s="46"/>
      <c r="F2976" s="46"/>
      <c r="G2976" s="46"/>
      <c r="H2976" s="46"/>
      <c r="I2976" s="46"/>
      <c r="J2976" s="46"/>
      <c r="K2976" s="46"/>
      <c r="L2976" s="46"/>
      <c r="M2976" s="46"/>
      <c r="N2976" s="46"/>
      <c r="O2976" s="46"/>
      <c r="P2976" s="46"/>
      <c r="Q2976" s="46"/>
      <c r="R2976" s="46"/>
      <c r="S2976" s="46"/>
      <c r="T2976" s="46"/>
      <c r="U2976" s="46"/>
      <c r="V2976" s="46"/>
      <c r="W2976" s="46"/>
      <c r="X2976" s="11" t="str">
        <f>IF(COUNTBLANK(B2976:W2976)&gt;0,"NA",'batch classification'!J2982)</f>
        <v>NA</v>
      </c>
    </row>
    <row r="2977" spans="1:24" x14ac:dyDescent="0.25">
      <c r="A2977" s="45"/>
      <c r="B2977" s="46"/>
      <c r="C2977" s="46"/>
      <c r="D2977" s="46"/>
      <c r="E2977" s="46"/>
      <c r="F2977" s="46"/>
      <c r="G2977" s="46"/>
      <c r="H2977" s="46"/>
      <c r="I2977" s="46"/>
      <c r="J2977" s="46"/>
      <c r="K2977" s="46"/>
      <c r="L2977" s="46"/>
      <c r="M2977" s="46"/>
      <c r="N2977" s="46"/>
      <c r="O2977" s="46"/>
      <c r="P2977" s="46"/>
      <c r="Q2977" s="46"/>
      <c r="R2977" s="46"/>
      <c r="S2977" s="46"/>
      <c r="T2977" s="46"/>
      <c r="U2977" s="46"/>
      <c r="V2977" s="46"/>
      <c r="W2977" s="46"/>
      <c r="X2977" s="11" t="str">
        <f>IF(COUNTBLANK(B2977:W2977)&gt;0,"NA",'batch classification'!J2983)</f>
        <v>NA</v>
      </c>
    </row>
    <row r="2978" spans="1:24" x14ac:dyDescent="0.25">
      <c r="A2978" s="45"/>
      <c r="B2978" s="46"/>
      <c r="C2978" s="46"/>
      <c r="D2978" s="46"/>
      <c r="E2978" s="46"/>
      <c r="F2978" s="46"/>
      <c r="G2978" s="46"/>
      <c r="H2978" s="46"/>
      <c r="I2978" s="46"/>
      <c r="J2978" s="46"/>
      <c r="K2978" s="46"/>
      <c r="L2978" s="46"/>
      <c r="M2978" s="46"/>
      <c r="N2978" s="46"/>
      <c r="O2978" s="46"/>
      <c r="P2978" s="46"/>
      <c r="Q2978" s="46"/>
      <c r="R2978" s="46"/>
      <c r="S2978" s="46"/>
      <c r="T2978" s="46"/>
      <c r="U2978" s="46"/>
      <c r="V2978" s="46"/>
      <c r="W2978" s="46"/>
      <c r="X2978" s="11" t="str">
        <f>IF(COUNTBLANK(B2978:W2978)&gt;0,"NA",'batch classification'!J2984)</f>
        <v>NA</v>
      </c>
    </row>
    <row r="2979" spans="1:24" x14ac:dyDescent="0.25">
      <c r="A2979" s="45"/>
      <c r="B2979" s="46"/>
      <c r="C2979" s="46"/>
      <c r="D2979" s="46"/>
      <c r="E2979" s="46"/>
      <c r="F2979" s="46"/>
      <c r="G2979" s="46"/>
      <c r="H2979" s="46"/>
      <c r="I2979" s="46"/>
      <c r="J2979" s="46"/>
      <c r="K2979" s="46"/>
      <c r="L2979" s="46"/>
      <c r="M2979" s="46"/>
      <c r="N2979" s="46"/>
      <c r="O2979" s="46"/>
      <c r="P2979" s="46"/>
      <c r="Q2979" s="46"/>
      <c r="R2979" s="46"/>
      <c r="S2979" s="46"/>
      <c r="T2979" s="46"/>
      <c r="U2979" s="46"/>
      <c r="V2979" s="46"/>
      <c r="W2979" s="46"/>
      <c r="X2979" s="11" t="str">
        <f>IF(COUNTBLANK(B2979:W2979)&gt;0,"NA",'batch classification'!J2985)</f>
        <v>NA</v>
      </c>
    </row>
    <row r="2980" spans="1:24" x14ac:dyDescent="0.25">
      <c r="A2980" s="45"/>
      <c r="B2980" s="46"/>
      <c r="C2980" s="46"/>
      <c r="D2980" s="46"/>
      <c r="E2980" s="46"/>
      <c r="F2980" s="46"/>
      <c r="G2980" s="46"/>
      <c r="H2980" s="46"/>
      <c r="I2980" s="46"/>
      <c r="J2980" s="46"/>
      <c r="K2980" s="46"/>
      <c r="L2980" s="46"/>
      <c r="M2980" s="46"/>
      <c r="N2980" s="46"/>
      <c r="O2980" s="46"/>
      <c r="P2980" s="46"/>
      <c r="Q2980" s="46"/>
      <c r="R2980" s="46"/>
      <c r="S2980" s="46"/>
      <c r="T2980" s="46"/>
      <c r="U2980" s="46"/>
      <c r="V2980" s="46"/>
      <c r="W2980" s="46"/>
      <c r="X2980" s="11" t="str">
        <f>IF(COUNTBLANK(B2980:W2980)&gt;0,"NA",'batch classification'!J2986)</f>
        <v>NA</v>
      </c>
    </row>
    <row r="2981" spans="1:24" x14ac:dyDescent="0.25">
      <c r="A2981" s="45"/>
      <c r="B2981" s="46"/>
      <c r="C2981" s="46"/>
      <c r="D2981" s="46"/>
      <c r="E2981" s="46"/>
      <c r="F2981" s="46"/>
      <c r="G2981" s="46"/>
      <c r="H2981" s="46"/>
      <c r="I2981" s="46"/>
      <c r="J2981" s="46"/>
      <c r="K2981" s="46"/>
      <c r="L2981" s="46"/>
      <c r="M2981" s="46"/>
      <c r="N2981" s="46"/>
      <c r="O2981" s="46"/>
      <c r="P2981" s="46"/>
      <c r="Q2981" s="46"/>
      <c r="R2981" s="46"/>
      <c r="S2981" s="46"/>
      <c r="T2981" s="46"/>
      <c r="U2981" s="46"/>
      <c r="V2981" s="46"/>
      <c r="W2981" s="46"/>
      <c r="X2981" s="11" t="str">
        <f>IF(COUNTBLANK(B2981:W2981)&gt;0,"NA",'batch classification'!J2987)</f>
        <v>NA</v>
      </c>
    </row>
    <row r="2982" spans="1:24" x14ac:dyDescent="0.25">
      <c r="A2982" s="45"/>
      <c r="B2982" s="46"/>
      <c r="C2982" s="46"/>
      <c r="D2982" s="46"/>
      <c r="E2982" s="46"/>
      <c r="F2982" s="46"/>
      <c r="G2982" s="46"/>
      <c r="H2982" s="46"/>
      <c r="I2982" s="46"/>
      <c r="J2982" s="46"/>
      <c r="K2982" s="46"/>
      <c r="L2982" s="46"/>
      <c r="M2982" s="46"/>
      <c r="N2982" s="46"/>
      <c r="O2982" s="46"/>
      <c r="P2982" s="46"/>
      <c r="Q2982" s="46"/>
      <c r="R2982" s="46"/>
      <c r="S2982" s="46"/>
      <c r="T2982" s="46"/>
      <c r="U2982" s="46"/>
      <c r="V2982" s="46"/>
      <c r="W2982" s="46"/>
      <c r="X2982" s="11" t="str">
        <f>IF(COUNTBLANK(B2982:W2982)&gt;0,"NA",'batch classification'!J2988)</f>
        <v>NA</v>
      </c>
    </row>
    <row r="2983" spans="1:24" x14ac:dyDescent="0.25">
      <c r="A2983" s="45"/>
      <c r="B2983" s="46"/>
      <c r="C2983" s="46"/>
      <c r="D2983" s="46"/>
      <c r="E2983" s="46"/>
      <c r="F2983" s="46"/>
      <c r="G2983" s="46"/>
      <c r="H2983" s="46"/>
      <c r="I2983" s="46"/>
      <c r="J2983" s="46"/>
      <c r="K2983" s="46"/>
      <c r="L2983" s="46"/>
      <c r="M2983" s="46"/>
      <c r="N2983" s="46"/>
      <c r="O2983" s="46"/>
      <c r="P2983" s="46"/>
      <c r="Q2983" s="46"/>
      <c r="R2983" s="46"/>
      <c r="S2983" s="46"/>
      <c r="T2983" s="46"/>
      <c r="U2983" s="46"/>
      <c r="V2983" s="46"/>
      <c r="W2983" s="46"/>
      <c r="X2983" s="11" t="str">
        <f>IF(COUNTBLANK(B2983:W2983)&gt;0,"NA",'batch classification'!J2989)</f>
        <v>NA</v>
      </c>
    </row>
    <row r="2984" spans="1:24" x14ac:dyDescent="0.25">
      <c r="A2984" s="45"/>
      <c r="B2984" s="46"/>
      <c r="C2984" s="46"/>
      <c r="D2984" s="46"/>
      <c r="E2984" s="46"/>
      <c r="F2984" s="46"/>
      <c r="G2984" s="46"/>
      <c r="H2984" s="46"/>
      <c r="I2984" s="46"/>
      <c r="J2984" s="46"/>
      <c r="K2984" s="46"/>
      <c r="L2984" s="46"/>
      <c r="M2984" s="46"/>
      <c r="N2984" s="46"/>
      <c r="O2984" s="46"/>
      <c r="P2984" s="46"/>
      <c r="Q2984" s="46"/>
      <c r="R2984" s="46"/>
      <c r="S2984" s="46"/>
      <c r="T2984" s="46"/>
      <c r="U2984" s="46"/>
      <c r="V2984" s="46"/>
      <c r="W2984" s="46"/>
      <c r="X2984" s="11" t="str">
        <f>IF(COUNTBLANK(B2984:W2984)&gt;0,"NA",'batch classification'!J2990)</f>
        <v>NA</v>
      </c>
    </row>
    <row r="2985" spans="1:24" x14ac:dyDescent="0.25">
      <c r="A2985" s="45"/>
      <c r="B2985" s="46"/>
      <c r="C2985" s="46"/>
      <c r="D2985" s="46"/>
      <c r="E2985" s="46"/>
      <c r="F2985" s="46"/>
      <c r="G2985" s="46"/>
      <c r="H2985" s="46"/>
      <c r="I2985" s="46"/>
      <c r="J2985" s="46"/>
      <c r="K2985" s="46"/>
      <c r="L2985" s="46"/>
      <c r="M2985" s="46"/>
      <c r="N2985" s="46"/>
      <c r="O2985" s="46"/>
      <c r="P2985" s="46"/>
      <c r="Q2985" s="46"/>
      <c r="R2985" s="46"/>
      <c r="S2985" s="46"/>
      <c r="T2985" s="46"/>
      <c r="U2985" s="46"/>
      <c r="V2985" s="46"/>
      <c r="W2985" s="46"/>
      <c r="X2985" s="11" t="str">
        <f>IF(COUNTBLANK(B2985:W2985)&gt;0,"NA",'batch classification'!J2991)</f>
        <v>NA</v>
      </c>
    </row>
    <row r="2986" spans="1:24" x14ac:dyDescent="0.25">
      <c r="A2986" s="45"/>
      <c r="B2986" s="46"/>
      <c r="C2986" s="46"/>
      <c r="D2986" s="46"/>
      <c r="E2986" s="46"/>
      <c r="F2986" s="46"/>
      <c r="G2986" s="46"/>
      <c r="H2986" s="46"/>
      <c r="I2986" s="46"/>
      <c r="J2986" s="46"/>
      <c r="K2986" s="46"/>
      <c r="L2986" s="46"/>
      <c r="M2986" s="46"/>
      <c r="N2986" s="46"/>
      <c r="O2986" s="46"/>
      <c r="P2986" s="46"/>
      <c r="Q2986" s="46"/>
      <c r="R2986" s="46"/>
      <c r="S2986" s="46"/>
      <c r="T2986" s="46"/>
      <c r="U2986" s="46"/>
      <c r="V2986" s="46"/>
      <c r="W2986" s="46"/>
      <c r="X2986" s="11" t="str">
        <f>IF(COUNTBLANK(B2986:W2986)&gt;0,"NA",'batch classification'!J2992)</f>
        <v>NA</v>
      </c>
    </row>
    <row r="2987" spans="1:24" x14ac:dyDescent="0.25">
      <c r="A2987" s="45"/>
      <c r="B2987" s="46"/>
      <c r="C2987" s="46"/>
      <c r="D2987" s="46"/>
      <c r="E2987" s="46"/>
      <c r="F2987" s="46"/>
      <c r="G2987" s="46"/>
      <c r="H2987" s="46"/>
      <c r="I2987" s="46"/>
      <c r="J2987" s="46"/>
      <c r="K2987" s="46"/>
      <c r="L2987" s="46"/>
      <c r="M2987" s="46"/>
      <c r="N2987" s="46"/>
      <c r="O2987" s="46"/>
      <c r="P2987" s="46"/>
      <c r="Q2987" s="46"/>
      <c r="R2987" s="46"/>
      <c r="S2987" s="46"/>
      <c r="T2987" s="46"/>
      <c r="U2987" s="46"/>
      <c r="V2987" s="46"/>
      <c r="W2987" s="46"/>
      <c r="X2987" s="11" t="str">
        <f>IF(COUNTBLANK(B2987:W2987)&gt;0,"NA",'batch classification'!J2993)</f>
        <v>NA</v>
      </c>
    </row>
    <row r="2988" spans="1:24" x14ac:dyDescent="0.25">
      <c r="A2988" s="45"/>
      <c r="B2988" s="46"/>
      <c r="C2988" s="46"/>
      <c r="D2988" s="46"/>
      <c r="E2988" s="46"/>
      <c r="F2988" s="46"/>
      <c r="G2988" s="46"/>
      <c r="H2988" s="46"/>
      <c r="I2988" s="46"/>
      <c r="J2988" s="46"/>
      <c r="K2988" s="46"/>
      <c r="L2988" s="46"/>
      <c r="M2988" s="46"/>
      <c r="N2988" s="46"/>
      <c r="O2988" s="46"/>
      <c r="P2988" s="46"/>
      <c r="Q2988" s="46"/>
      <c r="R2988" s="46"/>
      <c r="S2988" s="46"/>
      <c r="T2988" s="46"/>
      <c r="U2988" s="46"/>
      <c r="V2988" s="46"/>
      <c r="W2988" s="46"/>
      <c r="X2988" s="11" t="str">
        <f>IF(COUNTBLANK(B2988:W2988)&gt;0,"NA",'batch classification'!J2994)</f>
        <v>NA</v>
      </c>
    </row>
    <row r="2989" spans="1:24" x14ac:dyDescent="0.25">
      <c r="A2989" s="45"/>
      <c r="B2989" s="46"/>
      <c r="C2989" s="46"/>
      <c r="D2989" s="46"/>
      <c r="E2989" s="46"/>
      <c r="F2989" s="46"/>
      <c r="G2989" s="46"/>
      <c r="H2989" s="46"/>
      <c r="I2989" s="46"/>
      <c r="J2989" s="46"/>
      <c r="K2989" s="46"/>
      <c r="L2989" s="46"/>
      <c r="M2989" s="46"/>
      <c r="N2989" s="46"/>
      <c r="O2989" s="46"/>
      <c r="P2989" s="46"/>
      <c r="Q2989" s="46"/>
      <c r="R2989" s="46"/>
      <c r="S2989" s="46"/>
      <c r="T2989" s="46"/>
      <c r="U2989" s="46"/>
      <c r="V2989" s="46"/>
      <c r="W2989" s="46"/>
      <c r="X2989" s="11" t="str">
        <f>IF(COUNTBLANK(B2989:W2989)&gt;0,"NA",'batch classification'!J2995)</f>
        <v>NA</v>
      </c>
    </row>
    <row r="2990" spans="1:24" x14ac:dyDescent="0.25">
      <c r="A2990" s="45"/>
      <c r="B2990" s="46"/>
      <c r="C2990" s="46"/>
      <c r="D2990" s="46"/>
      <c r="E2990" s="46"/>
      <c r="F2990" s="46"/>
      <c r="G2990" s="46"/>
      <c r="H2990" s="46"/>
      <c r="I2990" s="46"/>
      <c r="J2990" s="46"/>
      <c r="K2990" s="46"/>
      <c r="L2990" s="46"/>
      <c r="M2990" s="46"/>
      <c r="N2990" s="46"/>
      <c r="O2990" s="46"/>
      <c r="P2990" s="46"/>
      <c r="Q2990" s="46"/>
      <c r="R2990" s="46"/>
      <c r="S2990" s="46"/>
      <c r="T2990" s="46"/>
      <c r="U2990" s="46"/>
      <c r="V2990" s="46"/>
      <c r="W2990" s="46"/>
      <c r="X2990" s="11" t="str">
        <f>IF(COUNTBLANK(B2990:W2990)&gt;0,"NA",'batch classification'!J2996)</f>
        <v>NA</v>
      </c>
    </row>
  </sheetData>
  <mergeCells count="3">
    <mergeCell ref="A1:X1"/>
    <mergeCell ref="D2:P2"/>
    <mergeCell ref="Q2:W2"/>
  </mergeCell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996"/>
  <sheetViews>
    <sheetView workbookViewId="0">
      <selection activeCell="A15" sqref="A15"/>
    </sheetView>
  </sheetViews>
  <sheetFormatPr defaultRowHeight="15" x14ac:dyDescent="0.25"/>
  <cols>
    <col min="1" max="1" width="16.42578125" bestFit="1" customWidth="1"/>
  </cols>
  <sheetData>
    <row r="1" spans="1:25" ht="16.5" customHeight="1" x14ac:dyDescent="0.25">
      <c r="A1" s="40" t="s">
        <v>0</v>
      </c>
      <c r="B1" s="41"/>
      <c r="C1" s="42" t="s">
        <v>18</v>
      </c>
      <c r="D1" s="42" t="s">
        <v>19</v>
      </c>
      <c r="E1" s="42" t="s">
        <v>28</v>
      </c>
      <c r="F1" s="42" t="s">
        <v>29</v>
      </c>
      <c r="G1" s="42" t="s">
        <v>30</v>
      </c>
      <c r="H1" s="42" t="s">
        <v>31</v>
      </c>
      <c r="I1" s="42" t="s">
        <v>32</v>
      </c>
      <c r="J1" s="42" t="s">
        <v>33</v>
      </c>
      <c r="K1" s="42" t="s">
        <v>34</v>
      </c>
      <c r="L1" s="42" t="s">
        <v>35</v>
      </c>
      <c r="M1" s="42" t="s">
        <v>36</v>
      </c>
      <c r="N1" s="42" t="s">
        <v>37</v>
      </c>
      <c r="O1" s="42" t="s">
        <v>38</v>
      </c>
      <c r="P1" s="42" t="s">
        <v>39</v>
      </c>
      <c r="Q1" s="42" t="s">
        <v>40</v>
      </c>
      <c r="R1" s="42" t="s">
        <v>69</v>
      </c>
      <c r="S1" s="42" t="s">
        <v>70</v>
      </c>
      <c r="T1" s="42" t="s">
        <v>71</v>
      </c>
      <c r="U1" s="42" t="s">
        <v>72</v>
      </c>
      <c r="V1" s="42" t="s">
        <v>73</v>
      </c>
      <c r="W1" s="42" t="s">
        <v>74</v>
      </c>
      <c r="X1" s="42" t="s">
        <v>75</v>
      </c>
      <c r="Y1" s="42" t="s">
        <v>1</v>
      </c>
    </row>
    <row r="2" spans="1:25" x14ac:dyDescent="0.25">
      <c r="A2" s="47" t="s">
        <v>64</v>
      </c>
      <c r="B2" s="39" t="s">
        <v>12</v>
      </c>
      <c r="C2" s="43">
        <v>32.910025521734767</v>
      </c>
      <c r="D2" s="43">
        <v>4.1319718055494876</v>
      </c>
      <c r="E2" s="43">
        <v>1.7210335779223971</v>
      </c>
      <c r="F2" s="43">
        <v>2.8325743462200452</v>
      </c>
      <c r="G2" s="43">
        <v>1.3874160642238804</v>
      </c>
      <c r="H2" s="43">
        <v>-0.34755460572206337</v>
      </c>
      <c r="I2" s="43">
        <v>1.0124625728848751</v>
      </c>
      <c r="J2" s="43">
        <v>1.4113815309469948</v>
      </c>
      <c r="K2" s="43">
        <v>3.67368190250534</v>
      </c>
      <c r="L2" s="43">
        <v>-0.51501509791102829</v>
      </c>
      <c r="M2" s="43">
        <v>0.20073495733005303</v>
      </c>
      <c r="N2" s="43">
        <v>6.1244375040448017E-2</v>
      </c>
      <c r="O2" s="43">
        <v>-2.5998283712700689</v>
      </c>
      <c r="P2" s="43">
        <v>2.7689737539409247</v>
      </c>
      <c r="Q2" s="43">
        <v>-0.84810455104575999</v>
      </c>
      <c r="R2" s="43">
        <v>3.4818543244645563</v>
      </c>
      <c r="S2" s="43">
        <v>1.0742349694307394</v>
      </c>
      <c r="T2" s="43">
        <v>6.4227710590516587</v>
      </c>
      <c r="U2" s="43">
        <v>-1.525045420466185</v>
      </c>
      <c r="V2" s="43">
        <v>0.34821998660640657</v>
      </c>
      <c r="W2" s="43">
        <v>-1.9265875371589386E-3</v>
      </c>
      <c r="X2" s="43">
        <v>0.30116396603346146</v>
      </c>
      <c r="Y2" s="43">
        <v>-49.12272534143483</v>
      </c>
    </row>
    <row r="3" spans="1:25" x14ac:dyDescent="0.25">
      <c r="A3" s="47" t="s">
        <v>65</v>
      </c>
      <c r="B3" s="39" t="s">
        <v>13</v>
      </c>
      <c r="C3" s="43">
        <v>31.439024344183572</v>
      </c>
      <c r="D3" s="43">
        <v>2.2480861657359297</v>
      </c>
      <c r="E3" s="43">
        <v>0.26458688129254831</v>
      </c>
      <c r="F3" s="43">
        <v>0.64891991851800124</v>
      </c>
      <c r="G3" s="43">
        <v>0.11164825051409764</v>
      </c>
      <c r="H3" s="43">
        <v>-5.7512330295904857E-2</v>
      </c>
      <c r="I3" s="43">
        <v>1.5227062653344798</v>
      </c>
      <c r="J3" s="43">
        <v>1.2521723656915573</v>
      </c>
      <c r="K3" s="43">
        <v>3.7259091718139286</v>
      </c>
      <c r="L3" s="43">
        <v>0.85418017646517375</v>
      </c>
      <c r="M3" s="43">
        <v>-0.39561559292047754</v>
      </c>
      <c r="N3" s="43">
        <v>-0.95664334551969299</v>
      </c>
      <c r="O3" s="43">
        <v>-0.84323105205866222</v>
      </c>
      <c r="P3" s="43">
        <v>1.0160488214531787</v>
      </c>
      <c r="Q3" s="43">
        <v>-0.58224411829134659</v>
      </c>
      <c r="R3" s="43">
        <v>1.7444885029343826</v>
      </c>
      <c r="S3" s="43">
        <v>0.74493597758974328</v>
      </c>
      <c r="T3" s="43">
        <v>4.4528462515042628</v>
      </c>
      <c r="U3" s="43">
        <v>-1.5972448120775491</v>
      </c>
      <c r="V3" s="43">
        <v>1.2314003949545171</v>
      </c>
      <c r="W3" s="43">
        <v>-0.40533994875061385</v>
      </c>
      <c r="X3" s="43">
        <v>0.72424338142405575</v>
      </c>
      <c r="Y3" s="43">
        <v>-36.514029388465531</v>
      </c>
    </row>
    <row r="4" spans="1:25" x14ac:dyDescent="0.25">
      <c r="A4" s="47" t="s">
        <v>66</v>
      </c>
      <c r="B4" s="39" t="s">
        <v>14</v>
      </c>
      <c r="C4" s="43">
        <v>33.553583306006971</v>
      </c>
      <c r="D4" s="43">
        <v>1.7912110472440943</v>
      </c>
      <c r="E4" s="43">
        <v>0.91622513925757043</v>
      </c>
      <c r="F4" s="43">
        <v>1.5241867712950297</v>
      </c>
      <c r="G4" s="43">
        <v>1.5608163509118878</v>
      </c>
      <c r="H4" s="43">
        <v>-0.23767126469269342</v>
      </c>
      <c r="I4" s="43">
        <v>1.5107928994223783</v>
      </c>
      <c r="J4" s="43">
        <v>1.8639592119786697</v>
      </c>
      <c r="K4" s="43">
        <v>3.3958691924041551</v>
      </c>
      <c r="L4" s="43">
        <v>2.4366014382851738E-2</v>
      </c>
      <c r="M4" s="43">
        <v>0.31822764518447322</v>
      </c>
      <c r="N4" s="43">
        <v>0.11539092665538567</v>
      </c>
      <c r="O4" s="43">
        <v>-0.45972362156950469</v>
      </c>
      <c r="P4" s="43">
        <v>1.1804734027783756</v>
      </c>
      <c r="Q4" s="43">
        <v>-0.23617003031642023</v>
      </c>
      <c r="R4" s="43">
        <v>2.6958377909948439</v>
      </c>
      <c r="S4" s="43">
        <v>1.2684610240066538</v>
      </c>
      <c r="T4" s="43">
        <v>6.1499379245430381</v>
      </c>
      <c r="U4" s="43">
        <v>-1.9786971145775589</v>
      </c>
      <c r="V4" s="43">
        <v>1.5514666060547972</v>
      </c>
      <c r="W4" s="43">
        <v>-0.56307363561461199</v>
      </c>
      <c r="X4" s="43">
        <v>1.1073825478450567</v>
      </c>
      <c r="Y4" s="43">
        <v>-44.639843068043824</v>
      </c>
    </row>
    <row r="5" spans="1:25" x14ac:dyDescent="0.25">
      <c r="A5" s="47" t="s">
        <v>67</v>
      </c>
      <c r="B5" s="39" t="s">
        <v>15</v>
      </c>
      <c r="C5" s="43">
        <v>32.140823230158148</v>
      </c>
      <c r="D5" s="43">
        <v>4.2006285174350131</v>
      </c>
      <c r="E5" s="43">
        <v>1.2210356248732461</v>
      </c>
      <c r="F5" s="43">
        <v>1.4263029975997714</v>
      </c>
      <c r="G5" s="43">
        <v>0.65531957896591875</v>
      </c>
      <c r="H5" s="43">
        <v>-6.9640691094080068E-2</v>
      </c>
      <c r="I5" s="43">
        <v>9.2533499202708551</v>
      </c>
      <c r="J5" s="43">
        <v>0.77814222056581939</v>
      </c>
      <c r="K5" s="43">
        <v>13.418399658327139</v>
      </c>
      <c r="L5" s="43">
        <v>0.66856619773432224</v>
      </c>
      <c r="M5" s="43">
        <v>-0.15516926769422629</v>
      </c>
      <c r="N5" s="43">
        <v>-0.85763686469548039</v>
      </c>
      <c r="O5" s="43">
        <v>-1.4679140080357016</v>
      </c>
      <c r="P5" s="43">
        <v>2.3469393024290079</v>
      </c>
      <c r="Q5" s="43">
        <v>-0.75536890619871278</v>
      </c>
      <c r="R5" s="43">
        <v>5.1427414949604264</v>
      </c>
      <c r="S5" s="43">
        <v>-7.9133747182872444E-2</v>
      </c>
      <c r="T5" s="43">
        <v>3.4803019287620969</v>
      </c>
      <c r="U5" s="43">
        <v>-1.1575048835847461</v>
      </c>
      <c r="V5" s="43">
        <v>0.65963399430317649</v>
      </c>
      <c r="W5" s="43">
        <v>0.28702875662605953</v>
      </c>
      <c r="X5" s="43">
        <v>-7.4633000223339449E-2</v>
      </c>
      <c r="Y5" s="43">
        <v>-51.578889182477603</v>
      </c>
    </row>
    <row r="6" spans="1:25" x14ac:dyDescent="0.25">
      <c r="A6" s="47" t="s">
        <v>68</v>
      </c>
      <c r="B6" s="39" t="s">
        <v>16</v>
      </c>
      <c r="C6" s="43">
        <v>32.965049745039451</v>
      </c>
      <c r="D6" s="43">
        <v>3.3920368374634742</v>
      </c>
      <c r="E6" s="43">
        <v>0.38192842103930413</v>
      </c>
      <c r="F6" s="43">
        <v>0.76055207131071356</v>
      </c>
      <c r="G6" s="43">
        <v>-5.4125878504978978E-2</v>
      </c>
      <c r="H6" s="43">
        <v>-0.12638849134064545</v>
      </c>
      <c r="I6" s="43">
        <v>1.2262366030928127</v>
      </c>
      <c r="J6" s="43">
        <v>1.4162972567751824</v>
      </c>
      <c r="K6" s="43">
        <v>4.0256641609894013</v>
      </c>
      <c r="L6" s="43">
        <v>0.29293959504795875</v>
      </c>
      <c r="M6" s="43">
        <v>0.73161803096032729</v>
      </c>
      <c r="N6" s="43">
        <v>0.12014522299727037</v>
      </c>
      <c r="O6" s="43">
        <v>-2.2786158154787359</v>
      </c>
      <c r="P6" s="43">
        <v>1.4202617732392848</v>
      </c>
      <c r="Q6" s="43">
        <v>7.367215597444075E-3</v>
      </c>
      <c r="R6" s="43">
        <v>3.02033700811648</v>
      </c>
      <c r="S6" s="43">
        <v>0.822181639574599</v>
      </c>
      <c r="T6" s="43">
        <v>6.3191937264329603</v>
      </c>
      <c r="U6" s="43">
        <v>1.1656942068864158</v>
      </c>
      <c r="V6" s="43">
        <v>0.61020968463574532</v>
      </c>
      <c r="W6" s="43">
        <v>1.2573232786322492</v>
      </c>
      <c r="X6" s="43">
        <v>0.26470388141532386</v>
      </c>
      <c r="Y6" s="43">
        <v>-47.741473633885199</v>
      </c>
    </row>
    <row r="7" spans="1:25" x14ac:dyDescent="0.25">
      <c r="A7" s="47" t="s">
        <v>77</v>
      </c>
      <c r="B7" s="39" t="s">
        <v>57</v>
      </c>
      <c r="C7" s="43">
        <v>15.793633399429776</v>
      </c>
      <c r="D7" s="43">
        <v>3.3261808094384073</v>
      </c>
      <c r="E7" s="43">
        <v>0.45827571354339719</v>
      </c>
      <c r="F7" s="43">
        <v>1.0653210289307133</v>
      </c>
      <c r="G7" s="43">
        <v>-4.6168331796220506E-2</v>
      </c>
      <c r="H7" s="43">
        <v>0.31235479181791675</v>
      </c>
      <c r="I7" s="43">
        <v>1.4008770514553677</v>
      </c>
      <c r="J7" s="43">
        <v>1.2639814490889105</v>
      </c>
      <c r="K7" s="43">
        <v>3.17337522198501</v>
      </c>
      <c r="L7" s="43">
        <v>0.71924936025510855</v>
      </c>
      <c r="M7" s="43">
        <v>0.22700868978149871</v>
      </c>
      <c r="N7" s="43">
        <v>-0.11120224989771968</v>
      </c>
      <c r="O7" s="43">
        <v>-1.8440777247085325</v>
      </c>
      <c r="P7" s="43">
        <v>1.4466316440588558</v>
      </c>
      <c r="Q7" s="43">
        <v>-0.39574592485780136</v>
      </c>
      <c r="R7" s="43">
        <v>2.9957318106215025</v>
      </c>
      <c r="S7" s="43">
        <v>1.1642390209259299</v>
      </c>
      <c r="T7" s="43">
        <v>6.2657678085344246</v>
      </c>
      <c r="U7" s="43">
        <v>0.68500559992690502</v>
      </c>
      <c r="V7" s="43">
        <v>0.32080359143669696</v>
      </c>
      <c r="W7" s="43">
        <v>0.83705662386479485</v>
      </c>
      <c r="X7" s="43">
        <v>8.9114086603135148E-2</v>
      </c>
      <c r="Y7" s="43">
        <v>-19.739516238059196</v>
      </c>
    </row>
    <row r="8" spans="1:25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5" x14ac:dyDescent="0.25">
      <c r="A9" s="1">
        <f>'batch tool'!A3</f>
        <v>0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62</v>
      </c>
      <c r="H9" t="s">
        <v>9</v>
      </c>
      <c r="I9" t="s">
        <v>10</v>
      </c>
      <c r="J9" t="s">
        <v>10</v>
      </c>
    </row>
    <row r="10" spans="1:25" x14ac:dyDescent="0.25">
      <c r="A10" s="1">
        <f>'batch tool'!A4</f>
        <v>0</v>
      </c>
      <c r="B10" s="7">
        <f>SUMPRODUCT($C$2:$X$2,'batch tool'!$B4:$W4)+$Y$2</f>
        <v>-49.12272534143483</v>
      </c>
      <c r="C10" s="7">
        <f>SUMPRODUCT($C$3:$X$3,'batch tool'!$B4:$W4)+$Y$3</f>
        <v>-36.514029388465531</v>
      </c>
      <c r="D10" s="7">
        <f>SUMPRODUCT($C$4:$X$4,'batch tool'!$B4:$W4)+$Y$4</f>
        <v>-44.639843068043824</v>
      </c>
      <c r="E10" s="7">
        <f>SUMPRODUCT($C$5:$X$5,'batch tool'!$B4:$W4)+$Y$5</f>
        <v>-51.578889182477603</v>
      </c>
      <c r="F10" s="7">
        <f>SUMPRODUCT($C$6:$X$6,'batch tool'!$B4:$W4)+$Y$6</f>
        <v>-47.741473633885199</v>
      </c>
      <c r="G10" s="7">
        <f>SUMPRODUCT($C$7:$X$7,'batch tool'!$B4:$W4)+$Y$7</f>
        <v>-19.739516238059196</v>
      </c>
      <c r="H10" s="7">
        <f>MAX(B10:G10)</f>
        <v>-19.739516238059196</v>
      </c>
      <c r="I10">
        <f>MATCH(H10,B10:G10,0)</f>
        <v>6</v>
      </c>
      <c r="J10" t="str" cm="1">
        <f t="array" ref="J10">INDEX($A$2:$A$7,I10)</f>
        <v>Segment 6- Self-Conscious Male</v>
      </c>
    </row>
    <row r="11" spans="1:25" x14ac:dyDescent="0.25">
      <c r="A11" s="1">
        <f>'batch tool'!A5</f>
        <v>0</v>
      </c>
      <c r="B11" s="7">
        <f>SUMPRODUCT($C$2:$X$2,'batch tool'!$B5:$W5)+$Y$2</f>
        <v>-49.12272534143483</v>
      </c>
      <c r="C11" s="7">
        <f>SUMPRODUCT($C$3:$X$3,'batch tool'!$B5:$W5)+$Y$3</f>
        <v>-36.514029388465531</v>
      </c>
      <c r="D11" s="7">
        <f>SUMPRODUCT($C$4:$X$4,'batch tool'!$B5:$W5)+$Y$4</f>
        <v>-44.639843068043824</v>
      </c>
      <c r="E11" s="7">
        <f>SUMPRODUCT($C$5:$X$5,'batch tool'!$B5:$W5)+$Y$5</f>
        <v>-51.578889182477603</v>
      </c>
      <c r="F11" s="7">
        <f>SUMPRODUCT($C$6:$X$6,'batch tool'!$B5:$W5)+$Y$6</f>
        <v>-47.741473633885199</v>
      </c>
      <c r="G11" s="7">
        <f>SUMPRODUCT($C$7:$X$7,'batch tool'!$B5:$W5)+$Y$7</f>
        <v>-19.739516238059196</v>
      </c>
      <c r="H11" s="7">
        <f t="shared" ref="H11:H74" si="0">MAX(B11:G11)</f>
        <v>-19.739516238059196</v>
      </c>
      <c r="I11">
        <f t="shared" ref="I11:I74" si="1">MATCH(H11,B11:G11,0)</f>
        <v>6</v>
      </c>
      <c r="J11" t="str" cm="1">
        <f t="array" ref="J11">INDEX($A$2:$A$7,I11)</f>
        <v>Segment 6- Self-Conscious Male</v>
      </c>
    </row>
    <row r="12" spans="1:25" x14ac:dyDescent="0.25">
      <c r="A12" s="1">
        <f>'batch tool'!A6</f>
        <v>0</v>
      </c>
      <c r="B12" s="7">
        <f>SUMPRODUCT($C$2:$X$2,'batch tool'!$B6:$W6)+$Y$2</f>
        <v>-49.12272534143483</v>
      </c>
      <c r="C12" s="7">
        <f>SUMPRODUCT($C$3:$X$3,'batch tool'!$B6:$W6)+$Y$3</f>
        <v>-36.514029388465531</v>
      </c>
      <c r="D12" s="7">
        <f>SUMPRODUCT($C$4:$X$4,'batch tool'!$B6:$W6)+$Y$4</f>
        <v>-44.639843068043824</v>
      </c>
      <c r="E12" s="7">
        <f>SUMPRODUCT($C$5:$X$5,'batch tool'!$B6:$W6)+$Y$5</f>
        <v>-51.578889182477603</v>
      </c>
      <c r="F12" s="7">
        <f>SUMPRODUCT($C$6:$X$6,'batch tool'!$B6:$W6)+$Y$6</f>
        <v>-47.741473633885199</v>
      </c>
      <c r="G12" s="7">
        <f>SUMPRODUCT($C$7:$X$7,'batch tool'!$B6:$W6)+$Y$7</f>
        <v>-19.739516238059196</v>
      </c>
      <c r="H12" s="7">
        <f t="shared" si="0"/>
        <v>-19.739516238059196</v>
      </c>
      <c r="I12">
        <f t="shared" si="1"/>
        <v>6</v>
      </c>
      <c r="J12" t="str" cm="1">
        <f t="array" ref="J12">INDEX($A$2:$A$7,I12)</f>
        <v>Segment 6- Self-Conscious Male</v>
      </c>
    </row>
    <row r="13" spans="1:25" x14ac:dyDescent="0.25">
      <c r="A13" s="1">
        <f>'batch tool'!A7</f>
        <v>0</v>
      </c>
      <c r="B13" s="7">
        <f>SUMPRODUCT($C$2:$X$2,'batch tool'!$B7:$W7)+$Y$2</f>
        <v>-49.12272534143483</v>
      </c>
      <c r="C13" s="7">
        <f>SUMPRODUCT($C$3:$X$3,'batch tool'!$B7:$W7)+$Y$3</f>
        <v>-36.514029388465531</v>
      </c>
      <c r="D13" s="7">
        <f>SUMPRODUCT($C$4:$X$4,'batch tool'!$B7:$W7)+$Y$4</f>
        <v>-44.639843068043824</v>
      </c>
      <c r="E13" s="7">
        <f>SUMPRODUCT($C$5:$X$5,'batch tool'!$B7:$W7)+$Y$5</f>
        <v>-51.578889182477603</v>
      </c>
      <c r="F13" s="7">
        <f>SUMPRODUCT($C$6:$X$6,'batch tool'!$B7:$W7)+$Y$6</f>
        <v>-47.741473633885199</v>
      </c>
      <c r="G13" s="7">
        <f>SUMPRODUCT($C$7:$X$7,'batch tool'!$B7:$W7)+$Y$7</f>
        <v>-19.739516238059196</v>
      </c>
      <c r="H13" s="7">
        <f t="shared" si="0"/>
        <v>-19.739516238059196</v>
      </c>
      <c r="I13">
        <f t="shared" si="1"/>
        <v>6</v>
      </c>
      <c r="J13" t="str" cm="1">
        <f t="array" ref="J13">INDEX($A$2:$A$7,I13)</f>
        <v>Segment 6- Self-Conscious Male</v>
      </c>
    </row>
    <row r="14" spans="1:25" x14ac:dyDescent="0.25">
      <c r="A14" s="1">
        <f>'batch tool'!A8</f>
        <v>0</v>
      </c>
      <c r="B14" s="7">
        <f>SUMPRODUCT($C$2:$X$2,'batch tool'!$B8:$W8)+$Y$2</f>
        <v>-49.12272534143483</v>
      </c>
      <c r="C14" s="7">
        <f>SUMPRODUCT($C$3:$X$3,'batch tool'!$B8:$W8)+$Y$3</f>
        <v>-36.514029388465531</v>
      </c>
      <c r="D14" s="7">
        <f>SUMPRODUCT($C$4:$X$4,'batch tool'!$B8:$W8)+$Y$4</f>
        <v>-44.639843068043824</v>
      </c>
      <c r="E14" s="7">
        <f>SUMPRODUCT($C$5:$X$5,'batch tool'!$B8:$W8)+$Y$5</f>
        <v>-51.578889182477603</v>
      </c>
      <c r="F14" s="7">
        <f>SUMPRODUCT($C$6:$X$6,'batch tool'!$B8:$W8)+$Y$6</f>
        <v>-47.741473633885199</v>
      </c>
      <c r="G14" s="7">
        <f>SUMPRODUCT($C$7:$X$7,'batch tool'!$B8:$W8)+$Y$7</f>
        <v>-19.739516238059196</v>
      </c>
      <c r="H14" s="7">
        <f t="shared" si="0"/>
        <v>-19.739516238059196</v>
      </c>
      <c r="I14">
        <f t="shared" si="1"/>
        <v>6</v>
      </c>
      <c r="J14" t="str" cm="1">
        <f t="array" ref="J14">INDEX($A$2:$A$7,I14)</f>
        <v>Segment 6- Self-Conscious Male</v>
      </c>
    </row>
    <row r="15" spans="1:25" x14ac:dyDescent="0.25">
      <c r="A15" s="1">
        <f>'batch tool'!A9</f>
        <v>0</v>
      </c>
      <c r="B15" s="7">
        <f>SUMPRODUCT($C$2:$X$2,'batch tool'!$B9:$W9)+$Y$2</f>
        <v>-49.12272534143483</v>
      </c>
      <c r="C15" s="7">
        <f>SUMPRODUCT($C$3:$X$3,'batch tool'!$B9:$W9)+$Y$3</f>
        <v>-36.514029388465531</v>
      </c>
      <c r="D15" s="7">
        <f>SUMPRODUCT($C$4:$X$4,'batch tool'!$B9:$W9)+$Y$4</f>
        <v>-44.639843068043824</v>
      </c>
      <c r="E15" s="7">
        <f>SUMPRODUCT($C$5:$X$5,'batch tool'!$B9:$W9)+$Y$5</f>
        <v>-51.578889182477603</v>
      </c>
      <c r="F15" s="7">
        <f>SUMPRODUCT($C$6:$X$6,'batch tool'!$B9:$W9)+$Y$6</f>
        <v>-47.741473633885199</v>
      </c>
      <c r="G15" s="7">
        <f>SUMPRODUCT($C$7:$X$7,'batch tool'!$B9:$W9)+$Y$7</f>
        <v>-19.739516238059196</v>
      </c>
      <c r="H15" s="7">
        <f t="shared" si="0"/>
        <v>-19.739516238059196</v>
      </c>
      <c r="I15">
        <f t="shared" si="1"/>
        <v>6</v>
      </c>
      <c r="J15" t="str" cm="1">
        <f t="array" ref="J15">INDEX($A$2:$A$7,I15)</f>
        <v>Segment 6- Self-Conscious Male</v>
      </c>
    </row>
    <row r="16" spans="1:25" x14ac:dyDescent="0.25">
      <c r="A16" s="1">
        <f>'batch tool'!A10</f>
        <v>0</v>
      </c>
      <c r="B16" s="7">
        <f>SUMPRODUCT($C$2:$X$2,'batch tool'!$B10:$W10)+$Y$2</f>
        <v>-49.12272534143483</v>
      </c>
      <c r="C16" s="7">
        <f>SUMPRODUCT($C$3:$X$3,'batch tool'!$B10:$W10)+$Y$3</f>
        <v>-36.514029388465531</v>
      </c>
      <c r="D16" s="7">
        <f>SUMPRODUCT($C$4:$X$4,'batch tool'!$B10:$W10)+$Y$4</f>
        <v>-44.639843068043824</v>
      </c>
      <c r="E16" s="7">
        <f>SUMPRODUCT($C$5:$X$5,'batch tool'!$B10:$W10)+$Y$5</f>
        <v>-51.578889182477603</v>
      </c>
      <c r="F16" s="7">
        <f>SUMPRODUCT($C$6:$X$6,'batch tool'!$B10:$W10)+$Y$6</f>
        <v>-47.741473633885199</v>
      </c>
      <c r="G16" s="7">
        <f>SUMPRODUCT($C$7:$X$7,'batch tool'!$B10:$W10)+$Y$7</f>
        <v>-19.739516238059196</v>
      </c>
      <c r="H16" s="7">
        <f t="shared" si="0"/>
        <v>-19.739516238059196</v>
      </c>
      <c r="I16">
        <f t="shared" si="1"/>
        <v>6</v>
      </c>
      <c r="J16" t="str" cm="1">
        <f t="array" ref="J16">INDEX($A$2:$A$7,I16)</f>
        <v>Segment 6- Self-Conscious Male</v>
      </c>
    </row>
    <row r="17" spans="1:10" x14ac:dyDescent="0.25">
      <c r="A17" s="1">
        <f>'batch tool'!A11</f>
        <v>0</v>
      </c>
      <c r="B17" s="7">
        <f>SUMPRODUCT($C$2:$X$2,'batch tool'!$B11:$W11)+$Y$2</f>
        <v>-49.12272534143483</v>
      </c>
      <c r="C17" s="7">
        <f>SUMPRODUCT($C$3:$X$3,'batch tool'!$B11:$W11)+$Y$3</f>
        <v>-36.514029388465531</v>
      </c>
      <c r="D17" s="7">
        <f>SUMPRODUCT($C$4:$X$4,'batch tool'!$B11:$W11)+$Y$4</f>
        <v>-44.639843068043824</v>
      </c>
      <c r="E17" s="7">
        <f>SUMPRODUCT($C$5:$X$5,'batch tool'!$B11:$W11)+$Y$5</f>
        <v>-51.578889182477603</v>
      </c>
      <c r="F17" s="7">
        <f>SUMPRODUCT($C$6:$X$6,'batch tool'!$B11:$W11)+$Y$6</f>
        <v>-47.741473633885199</v>
      </c>
      <c r="G17" s="7">
        <f>SUMPRODUCT($C$7:$X$7,'batch tool'!$B11:$W11)+$Y$7</f>
        <v>-19.739516238059196</v>
      </c>
      <c r="H17" s="7">
        <f t="shared" si="0"/>
        <v>-19.739516238059196</v>
      </c>
      <c r="I17">
        <f t="shared" si="1"/>
        <v>6</v>
      </c>
      <c r="J17" t="str" cm="1">
        <f t="array" ref="J17">INDEX($A$2:$A$7,I17)</f>
        <v>Segment 6- Self-Conscious Male</v>
      </c>
    </row>
    <row r="18" spans="1:10" x14ac:dyDescent="0.25">
      <c r="A18" s="1">
        <f>'batch tool'!A12</f>
        <v>0</v>
      </c>
      <c r="B18" s="7">
        <f>SUMPRODUCT($C$2:$X$2,'batch tool'!$B12:$W12)+$Y$2</f>
        <v>-49.12272534143483</v>
      </c>
      <c r="C18" s="7">
        <f>SUMPRODUCT($C$3:$X$3,'batch tool'!$B12:$W12)+$Y$3</f>
        <v>-36.514029388465531</v>
      </c>
      <c r="D18" s="7">
        <f>SUMPRODUCT($C$4:$X$4,'batch tool'!$B12:$W12)+$Y$4</f>
        <v>-44.639843068043824</v>
      </c>
      <c r="E18" s="7">
        <f>SUMPRODUCT($C$5:$X$5,'batch tool'!$B12:$W12)+$Y$5</f>
        <v>-51.578889182477603</v>
      </c>
      <c r="F18" s="7">
        <f>SUMPRODUCT($C$6:$X$6,'batch tool'!$B12:$W12)+$Y$6</f>
        <v>-47.741473633885199</v>
      </c>
      <c r="G18" s="7">
        <f>SUMPRODUCT($C$7:$X$7,'batch tool'!$B12:$W12)+$Y$7</f>
        <v>-19.739516238059196</v>
      </c>
      <c r="H18" s="7">
        <f t="shared" si="0"/>
        <v>-19.739516238059196</v>
      </c>
      <c r="I18">
        <f t="shared" si="1"/>
        <v>6</v>
      </c>
      <c r="J18" t="str" cm="1">
        <f t="array" ref="J18">INDEX($A$2:$A$7,I18)</f>
        <v>Segment 6- Self-Conscious Male</v>
      </c>
    </row>
    <row r="19" spans="1:10" x14ac:dyDescent="0.25">
      <c r="A19" s="1">
        <f>'batch tool'!A13</f>
        <v>0</v>
      </c>
      <c r="B19" s="7">
        <f>SUMPRODUCT($C$2:$X$2,'batch tool'!$B13:$W13)+$Y$2</f>
        <v>-49.12272534143483</v>
      </c>
      <c r="C19" s="7">
        <f>SUMPRODUCT($C$3:$X$3,'batch tool'!$B13:$W13)+$Y$3</f>
        <v>-36.514029388465531</v>
      </c>
      <c r="D19" s="7">
        <f>SUMPRODUCT($C$4:$X$4,'batch tool'!$B13:$W13)+$Y$4</f>
        <v>-44.639843068043824</v>
      </c>
      <c r="E19" s="7">
        <f>SUMPRODUCT($C$5:$X$5,'batch tool'!$B13:$W13)+$Y$5</f>
        <v>-51.578889182477603</v>
      </c>
      <c r="F19" s="7">
        <f>SUMPRODUCT($C$6:$X$6,'batch tool'!$B13:$W13)+$Y$6</f>
        <v>-47.741473633885199</v>
      </c>
      <c r="G19" s="7">
        <f>SUMPRODUCT($C$7:$X$7,'batch tool'!$B13:$W13)+$Y$7</f>
        <v>-19.739516238059196</v>
      </c>
      <c r="H19" s="7">
        <f t="shared" si="0"/>
        <v>-19.739516238059196</v>
      </c>
      <c r="I19">
        <f t="shared" si="1"/>
        <v>6</v>
      </c>
      <c r="J19" t="str" cm="1">
        <f t="array" ref="J19">INDEX($A$2:$A$7,I19)</f>
        <v>Segment 6- Self-Conscious Male</v>
      </c>
    </row>
    <row r="20" spans="1:10" x14ac:dyDescent="0.25">
      <c r="A20" s="1">
        <f>'batch tool'!A14</f>
        <v>0</v>
      </c>
      <c r="B20" s="7">
        <f>SUMPRODUCT($C$2:$X$2,'batch tool'!$B14:$W14)+$Y$2</f>
        <v>-49.12272534143483</v>
      </c>
      <c r="C20" s="7">
        <f>SUMPRODUCT($C$3:$X$3,'batch tool'!$B14:$W14)+$Y$3</f>
        <v>-36.514029388465531</v>
      </c>
      <c r="D20" s="7">
        <f>SUMPRODUCT($C$4:$X$4,'batch tool'!$B14:$W14)+$Y$4</f>
        <v>-44.639843068043824</v>
      </c>
      <c r="E20" s="7">
        <f>SUMPRODUCT($C$5:$X$5,'batch tool'!$B14:$W14)+$Y$5</f>
        <v>-51.578889182477603</v>
      </c>
      <c r="F20" s="7">
        <f>SUMPRODUCT($C$6:$X$6,'batch tool'!$B14:$W14)+$Y$6</f>
        <v>-47.741473633885199</v>
      </c>
      <c r="G20" s="7">
        <f>SUMPRODUCT($C$7:$X$7,'batch tool'!$B14:$W14)+$Y$7</f>
        <v>-19.739516238059196</v>
      </c>
      <c r="H20" s="7">
        <f t="shared" si="0"/>
        <v>-19.739516238059196</v>
      </c>
      <c r="I20">
        <f t="shared" si="1"/>
        <v>6</v>
      </c>
      <c r="J20" t="str" cm="1">
        <f t="array" ref="J20">INDEX($A$2:$A$7,I20)</f>
        <v>Segment 6- Self-Conscious Male</v>
      </c>
    </row>
    <row r="21" spans="1:10" x14ac:dyDescent="0.25">
      <c r="A21" s="1">
        <f>'batch tool'!A15</f>
        <v>0</v>
      </c>
      <c r="B21" s="7">
        <f>SUMPRODUCT($C$2:$X$2,'batch tool'!$B15:$W15)+$Y$2</f>
        <v>-49.12272534143483</v>
      </c>
      <c r="C21" s="7">
        <f>SUMPRODUCT($C$3:$X$3,'batch tool'!$B15:$W15)+$Y$3</f>
        <v>-36.514029388465531</v>
      </c>
      <c r="D21" s="7">
        <f>SUMPRODUCT($C$4:$X$4,'batch tool'!$B15:$W15)+$Y$4</f>
        <v>-44.639843068043824</v>
      </c>
      <c r="E21" s="7">
        <f>SUMPRODUCT($C$5:$X$5,'batch tool'!$B15:$W15)+$Y$5</f>
        <v>-51.578889182477603</v>
      </c>
      <c r="F21" s="7">
        <f>SUMPRODUCT($C$6:$X$6,'batch tool'!$B15:$W15)+$Y$6</f>
        <v>-47.741473633885199</v>
      </c>
      <c r="G21" s="7">
        <f>SUMPRODUCT($C$7:$X$7,'batch tool'!$B15:$W15)+$Y$7</f>
        <v>-19.739516238059196</v>
      </c>
      <c r="H21" s="7">
        <f t="shared" si="0"/>
        <v>-19.739516238059196</v>
      </c>
      <c r="I21">
        <f t="shared" si="1"/>
        <v>6</v>
      </c>
      <c r="J21" t="str" cm="1">
        <f t="array" ref="J21">INDEX($A$2:$A$7,I21)</f>
        <v>Segment 6- Self-Conscious Male</v>
      </c>
    </row>
    <row r="22" spans="1:10" x14ac:dyDescent="0.25">
      <c r="A22" s="1">
        <f>'batch tool'!A16</f>
        <v>0</v>
      </c>
      <c r="B22" s="7">
        <f>SUMPRODUCT($C$2:$X$2,'batch tool'!$B16:$W16)+$Y$2</f>
        <v>-49.12272534143483</v>
      </c>
      <c r="C22" s="7">
        <f>SUMPRODUCT($C$3:$X$3,'batch tool'!$B16:$W16)+$Y$3</f>
        <v>-36.514029388465531</v>
      </c>
      <c r="D22" s="7">
        <f>SUMPRODUCT($C$4:$X$4,'batch tool'!$B16:$W16)+$Y$4</f>
        <v>-44.639843068043824</v>
      </c>
      <c r="E22" s="7">
        <f>SUMPRODUCT($C$5:$X$5,'batch tool'!$B16:$W16)+$Y$5</f>
        <v>-51.578889182477603</v>
      </c>
      <c r="F22" s="7">
        <f>SUMPRODUCT($C$6:$X$6,'batch tool'!$B16:$W16)+$Y$6</f>
        <v>-47.741473633885199</v>
      </c>
      <c r="G22" s="7">
        <f>SUMPRODUCT($C$7:$X$7,'batch tool'!$B16:$W16)+$Y$7</f>
        <v>-19.739516238059196</v>
      </c>
      <c r="H22" s="7">
        <f t="shared" si="0"/>
        <v>-19.739516238059196</v>
      </c>
      <c r="I22">
        <f t="shared" si="1"/>
        <v>6</v>
      </c>
      <c r="J22" t="str" cm="1">
        <f t="array" ref="J22">INDEX($A$2:$A$7,I22)</f>
        <v>Segment 6- Self-Conscious Male</v>
      </c>
    </row>
    <row r="23" spans="1:10" x14ac:dyDescent="0.25">
      <c r="A23" s="1">
        <f>'batch tool'!A17</f>
        <v>0</v>
      </c>
      <c r="B23" s="7">
        <f>SUMPRODUCT($C$2:$X$2,'batch tool'!$B17:$W17)+$Y$2</f>
        <v>-49.12272534143483</v>
      </c>
      <c r="C23" s="7">
        <f>SUMPRODUCT($C$3:$X$3,'batch tool'!$B17:$W17)+$Y$3</f>
        <v>-36.514029388465531</v>
      </c>
      <c r="D23" s="7">
        <f>SUMPRODUCT($C$4:$X$4,'batch tool'!$B17:$W17)+$Y$4</f>
        <v>-44.639843068043824</v>
      </c>
      <c r="E23" s="7">
        <f>SUMPRODUCT($C$5:$X$5,'batch tool'!$B17:$W17)+$Y$5</f>
        <v>-51.578889182477603</v>
      </c>
      <c r="F23" s="7">
        <f>SUMPRODUCT($C$6:$X$6,'batch tool'!$B17:$W17)+$Y$6</f>
        <v>-47.741473633885199</v>
      </c>
      <c r="G23" s="7">
        <f>SUMPRODUCT($C$7:$X$7,'batch tool'!$B17:$W17)+$Y$7</f>
        <v>-19.739516238059196</v>
      </c>
      <c r="H23" s="7">
        <f t="shared" si="0"/>
        <v>-19.739516238059196</v>
      </c>
      <c r="I23">
        <f t="shared" si="1"/>
        <v>6</v>
      </c>
      <c r="J23" t="str" cm="1">
        <f t="array" ref="J23">INDEX($A$2:$A$7,I23)</f>
        <v>Segment 6- Self-Conscious Male</v>
      </c>
    </row>
    <row r="24" spans="1:10" x14ac:dyDescent="0.25">
      <c r="A24" s="1">
        <f>'batch tool'!A18</f>
        <v>0</v>
      </c>
      <c r="B24" s="7">
        <f>SUMPRODUCT($C$2:$X$2,'batch tool'!$B18:$W18)+$Y$2</f>
        <v>-49.12272534143483</v>
      </c>
      <c r="C24" s="7">
        <f>SUMPRODUCT($C$3:$X$3,'batch tool'!$B18:$W18)+$Y$3</f>
        <v>-36.514029388465531</v>
      </c>
      <c r="D24" s="7">
        <f>SUMPRODUCT($C$4:$X$4,'batch tool'!$B18:$W18)+$Y$4</f>
        <v>-44.639843068043824</v>
      </c>
      <c r="E24" s="7">
        <f>SUMPRODUCT($C$5:$X$5,'batch tool'!$B18:$W18)+$Y$5</f>
        <v>-51.578889182477603</v>
      </c>
      <c r="F24" s="7">
        <f>SUMPRODUCT($C$6:$X$6,'batch tool'!$B18:$W18)+$Y$6</f>
        <v>-47.741473633885199</v>
      </c>
      <c r="G24" s="7">
        <f>SUMPRODUCT($C$7:$X$7,'batch tool'!$B18:$W18)+$Y$7</f>
        <v>-19.739516238059196</v>
      </c>
      <c r="H24" s="7">
        <f t="shared" si="0"/>
        <v>-19.739516238059196</v>
      </c>
      <c r="I24">
        <f t="shared" si="1"/>
        <v>6</v>
      </c>
      <c r="J24" t="str" cm="1">
        <f t="array" ref="J24">INDEX($A$2:$A$7,I24)</f>
        <v>Segment 6- Self-Conscious Male</v>
      </c>
    </row>
    <row r="25" spans="1:10" x14ac:dyDescent="0.25">
      <c r="A25" s="1">
        <f>'batch tool'!A19</f>
        <v>0</v>
      </c>
      <c r="B25" s="7">
        <f>SUMPRODUCT($C$2:$X$2,'batch tool'!$B19:$W19)+$Y$2</f>
        <v>-49.12272534143483</v>
      </c>
      <c r="C25" s="7">
        <f>SUMPRODUCT($C$3:$X$3,'batch tool'!$B19:$W19)+$Y$3</f>
        <v>-36.514029388465531</v>
      </c>
      <c r="D25" s="7">
        <f>SUMPRODUCT($C$4:$X$4,'batch tool'!$B19:$W19)+$Y$4</f>
        <v>-44.639843068043824</v>
      </c>
      <c r="E25" s="7">
        <f>SUMPRODUCT($C$5:$X$5,'batch tool'!$B19:$W19)+$Y$5</f>
        <v>-51.578889182477603</v>
      </c>
      <c r="F25" s="7">
        <f>SUMPRODUCT($C$6:$X$6,'batch tool'!$B19:$W19)+$Y$6</f>
        <v>-47.741473633885199</v>
      </c>
      <c r="G25" s="7">
        <f>SUMPRODUCT($C$7:$X$7,'batch tool'!$B19:$W19)+$Y$7</f>
        <v>-19.739516238059196</v>
      </c>
      <c r="H25" s="7">
        <f t="shared" si="0"/>
        <v>-19.739516238059196</v>
      </c>
      <c r="I25">
        <f t="shared" si="1"/>
        <v>6</v>
      </c>
      <c r="J25" t="str" cm="1">
        <f t="array" ref="J25">INDEX($A$2:$A$7,I25)</f>
        <v>Segment 6- Self-Conscious Male</v>
      </c>
    </row>
    <row r="26" spans="1:10" x14ac:dyDescent="0.25">
      <c r="A26" s="1">
        <f>'batch tool'!A20</f>
        <v>0</v>
      </c>
      <c r="B26" s="7">
        <f>SUMPRODUCT($C$2:$X$2,'batch tool'!$B20:$W20)+$Y$2</f>
        <v>-49.12272534143483</v>
      </c>
      <c r="C26" s="7">
        <f>SUMPRODUCT($C$3:$X$3,'batch tool'!$B20:$W20)+$Y$3</f>
        <v>-36.514029388465531</v>
      </c>
      <c r="D26" s="7">
        <f>SUMPRODUCT($C$4:$X$4,'batch tool'!$B20:$W20)+$Y$4</f>
        <v>-44.639843068043824</v>
      </c>
      <c r="E26" s="7">
        <f>SUMPRODUCT($C$5:$X$5,'batch tool'!$B20:$W20)+$Y$5</f>
        <v>-51.578889182477603</v>
      </c>
      <c r="F26" s="7">
        <f>SUMPRODUCT($C$6:$X$6,'batch tool'!$B20:$W20)+$Y$6</f>
        <v>-47.741473633885199</v>
      </c>
      <c r="G26" s="7">
        <f>SUMPRODUCT($C$7:$X$7,'batch tool'!$B20:$W20)+$Y$7</f>
        <v>-19.739516238059196</v>
      </c>
      <c r="H26" s="7">
        <f t="shared" si="0"/>
        <v>-19.739516238059196</v>
      </c>
      <c r="I26">
        <f t="shared" si="1"/>
        <v>6</v>
      </c>
      <c r="J26" t="str" cm="1">
        <f t="array" ref="J26">INDEX($A$2:$A$7,I26)</f>
        <v>Segment 6- Self-Conscious Male</v>
      </c>
    </row>
    <row r="27" spans="1:10" x14ac:dyDescent="0.25">
      <c r="A27" s="1">
        <f>'batch tool'!A21</f>
        <v>0</v>
      </c>
      <c r="B27" s="7">
        <f>SUMPRODUCT($C$2:$X$2,'batch tool'!$B21:$W21)+$Y$2</f>
        <v>-49.12272534143483</v>
      </c>
      <c r="C27" s="7">
        <f>SUMPRODUCT($C$3:$X$3,'batch tool'!$B21:$W21)+$Y$3</f>
        <v>-36.514029388465531</v>
      </c>
      <c r="D27" s="7">
        <f>SUMPRODUCT($C$4:$X$4,'batch tool'!$B21:$W21)+$Y$4</f>
        <v>-44.639843068043824</v>
      </c>
      <c r="E27" s="7">
        <f>SUMPRODUCT($C$5:$X$5,'batch tool'!$B21:$W21)+$Y$5</f>
        <v>-51.578889182477603</v>
      </c>
      <c r="F27" s="7">
        <f>SUMPRODUCT($C$6:$X$6,'batch tool'!$B21:$W21)+$Y$6</f>
        <v>-47.741473633885199</v>
      </c>
      <c r="G27" s="7">
        <f>SUMPRODUCT($C$7:$X$7,'batch tool'!$B21:$W21)+$Y$7</f>
        <v>-19.739516238059196</v>
      </c>
      <c r="H27" s="7">
        <f t="shared" si="0"/>
        <v>-19.739516238059196</v>
      </c>
      <c r="I27">
        <f t="shared" si="1"/>
        <v>6</v>
      </c>
      <c r="J27" t="str" cm="1">
        <f t="array" ref="J27">INDEX($A$2:$A$7,I27)</f>
        <v>Segment 6- Self-Conscious Male</v>
      </c>
    </row>
    <row r="28" spans="1:10" x14ac:dyDescent="0.25">
      <c r="A28" s="1">
        <f>'batch tool'!A22</f>
        <v>0</v>
      </c>
      <c r="B28" s="7">
        <f>SUMPRODUCT($C$2:$X$2,'batch tool'!$B22:$W22)+$Y$2</f>
        <v>-49.12272534143483</v>
      </c>
      <c r="C28" s="7">
        <f>SUMPRODUCT($C$3:$X$3,'batch tool'!$B22:$W22)+$Y$3</f>
        <v>-36.514029388465531</v>
      </c>
      <c r="D28" s="7">
        <f>SUMPRODUCT($C$4:$X$4,'batch tool'!$B22:$W22)+$Y$4</f>
        <v>-44.639843068043824</v>
      </c>
      <c r="E28" s="7">
        <f>SUMPRODUCT($C$5:$X$5,'batch tool'!$B22:$W22)+$Y$5</f>
        <v>-51.578889182477603</v>
      </c>
      <c r="F28" s="7">
        <f>SUMPRODUCT($C$6:$X$6,'batch tool'!$B22:$W22)+$Y$6</f>
        <v>-47.741473633885199</v>
      </c>
      <c r="G28" s="7">
        <f>SUMPRODUCT($C$7:$X$7,'batch tool'!$B22:$W22)+$Y$7</f>
        <v>-19.739516238059196</v>
      </c>
      <c r="H28" s="7">
        <f t="shared" si="0"/>
        <v>-19.739516238059196</v>
      </c>
      <c r="I28">
        <f t="shared" si="1"/>
        <v>6</v>
      </c>
      <c r="J28" t="str" cm="1">
        <f t="array" ref="J28">INDEX($A$2:$A$7,I28)</f>
        <v>Segment 6- Self-Conscious Male</v>
      </c>
    </row>
    <row r="29" spans="1:10" x14ac:dyDescent="0.25">
      <c r="A29" s="1">
        <f>'batch tool'!A23</f>
        <v>0</v>
      </c>
      <c r="B29" s="7">
        <f>SUMPRODUCT($C$2:$X$2,'batch tool'!$B23:$W23)+$Y$2</f>
        <v>-49.12272534143483</v>
      </c>
      <c r="C29" s="7">
        <f>SUMPRODUCT($C$3:$X$3,'batch tool'!$B23:$W23)+$Y$3</f>
        <v>-36.514029388465531</v>
      </c>
      <c r="D29" s="7">
        <f>SUMPRODUCT($C$4:$X$4,'batch tool'!$B23:$W23)+$Y$4</f>
        <v>-44.639843068043824</v>
      </c>
      <c r="E29" s="7">
        <f>SUMPRODUCT($C$5:$X$5,'batch tool'!$B23:$W23)+$Y$5</f>
        <v>-51.578889182477603</v>
      </c>
      <c r="F29" s="7">
        <f>SUMPRODUCT($C$6:$X$6,'batch tool'!$B23:$W23)+$Y$6</f>
        <v>-47.741473633885199</v>
      </c>
      <c r="G29" s="7">
        <f>SUMPRODUCT($C$7:$X$7,'batch tool'!$B23:$W23)+$Y$7</f>
        <v>-19.739516238059196</v>
      </c>
      <c r="H29" s="7">
        <f t="shared" si="0"/>
        <v>-19.739516238059196</v>
      </c>
      <c r="I29">
        <f t="shared" si="1"/>
        <v>6</v>
      </c>
      <c r="J29" t="str" cm="1">
        <f t="array" ref="J29">INDEX($A$2:$A$7,I29)</f>
        <v>Segment 6- Self-Conscious Male</v>
      </c>
    </row>
    <row r="30" spans="1:10" x14ac:dyDescent="0.25">
      <c r="A30" s="1">
        <f>'batch tool'!A24</f>
        <v>0</v>
      </c>
      <c r="B30" s="7">
        <f>SUMPRODUCT($C$2:$X$2,'batch tool'!$B24:$W24)+$Y$2</f>
        <v>-49.12272534143483</v>
      </c>
      <c r="C30" s="7">
        <f>SUMPRODUCT($C$3:$X$3,'batch tool'!$B24:$W24)+$Y$3</f>
        <v>-36.514029388465531</v>
      </c>
      <c r="D30" s="7">
        <f>SUMPRODUCT($C$4:$X$4,'batch tool'!$B24:$W24)+$Y$4</f>
        <v>-44.639843068043824</v>
      </c>
      <c r="E30" s="7">
        <f>SUMPRODUCT($C$5:$X$5,'batch tool'!$B24:$W24)+$Y$5</f>
        <v>-51.578889182477603</v>
      </c>
      <c r="F30" s="7">
        <f>SUMPRODUCT($C$6:$X$6,'batch tool'!$B24:$W24)+$Y$6</f>
        <v>-47.741473633885199</v>
      </c>
      <c r="G30" s="7">
        <f>SUMPRODUCT($C$7:$X$7,'batch tool'!$B24:$W24)+$Y$7</f>
        <v>-19.739516238059196</v>
      </c>
      <c r="H30" s="7">
        <f t="shared" si="0"/>
        <v>-19.739516238059196</v>
      </c>
      <c r="I30">
        <f t="shared" si="1"/>
        <v>6</v>
      </c>
      <c r="J30" t="str" cm="1">
        <f t="array" ref="J30">INDEX($A$2:$A$7,I30)</f>
        <v>Segment 6- Self-Conscious Male</v>
      </c>
    </row>
    <row r="31" spans="1:10" x14ac:dyDescent="0.25">
      <c r="A31" s="1">
        <f>'batch tool'!A25</f>
        <v>0</v>
      </c>
      <c r="B31" s="7">
        <f>SUMPRODUCT($C$2:$X$2,'batch tool'!$B25:$W25)+$Y$2</f>
        <v>-49.12272534143483</v>
      </c>
      <c r="C31" s="7">
        <f>SUMPRODUCT($C$3:$X$3,'batch tool'!$B25:$W25)+$Y$3</f>
        <v>-36.514029388465531</v>
      </c>
      <c r="D31" s="7">
        <f>SUMPRODUCT($C$4:$X$4,'batch tool'!$B25:$W25)+$Y$4</f>
        <v>-44.639843068043824</v>
      </c>
      <c r="E31" s="7">
        <f>SUMPRODUCT($C$5:$X$5,'batch tool'!$B25:$W25)+$Y$5</f>
        <v>-51.578889182477603</v>
      </c>
      <c r="F31" s="7">
        <f>SUMPRODUCT($C$6:$X$6,'batch tool'!$B25:$W25)+$Y$6</f>
        <v>-47.741473633885199</v>
      </c>
      <c r="G31" s="7">
        <f>SUMPRODUCT($C$7:$X$7,'batch tool'!$B25:$W25)+$Y$7</f>
        <v>-19.739516238059196</v>
      </c>
      <c r="H31" s="7">
        <f t="shared" si="0"/>
        <v>-19.739516238059196</v>
      </c>
      <c r="I31">
        <f t="shared" si="1"/>
        <v>6</v>
      </c>
      <c r="J31" t="str" cm="1">
        <f t="array" ref="J31">INDEX($A$2:$A$7,I31)</f>
        <v>Segment 6- Self-Conscious Male</v>
      </c>
    </row>
    <row r="32" spans="1:10" x14ac:dyDescent="0.25">
      <c r="A32" s="1">
        <f>'batch tool'!A26</f>
        <v>0</v>
      </c>
      <c r="B32" s="7">
        <f>SUMPRODUCT($C$2:$X$2,'batch tool'!$B26:$W26)+$Y$2</f>
        <v>-49.12272534143483</v>
      </c>
      <c r="C32" s="7">
        <f>SUMPRODUCT($C$3:$X$3,'batch tool'!$B26:$W26)+$Y$3</f>
        <v>-36.514029388465531</v>
      </c>
      <c r="D32" s="7">
        <f>SUMPRODUCT($C$4:$X$4,'batch tool'!$B26:$W26)+$Y$4</f>
        <v>-44.639843068043824</v>
      </c>
      <c r="E32" s="7">
        <f>SUMPRODUCT($C$5:$X$5,'batch tool'!$B26:$W26)+$Y$5</f>
        <v>-51.578889182477603</v>
      </c>
      <c r="F32" s="7">
        <f>SUMPRODUCT($C$6:$X$6,'batch tool'!$B26:$W26)+$Y$6</f>
        <v>-47.741473633885199</v>
      </c>
      <c r="G32" s="7">
        <f>SUMPRODUCT($C$7:$X$7,'batch tool'!$B26:$W26)+$Y$7</f>
        <v>-19.739516238059196</v>
      </c>
      <c r="H32" s="7">
        <f t="shared" si="0"/>
        <v>-19.739516238059196</v>
      </c>
      <c r="I32">
        <f t="shared" si="1"/>
        <v>6</v>
      </c>
      <c r="J32" t="str" cm="1">
        <f t="array" ref="J32">INDEX($A$2:$A$7,I32)</f>
        <v>Segment 6- Self-Conscious Male</v>
      </c>
    </row>
    <row r="33" spans="1:10" x14ac:dyDescent="0.25">
      <c r="A33" s="1">
        <f>'batch tool'!A27</f>
        <v>0</v>
      </c>
      <c r="B33" s="7">
        <f>SUMPRODUCT($C$2:$X$2,'batch tool'!$B27:$W27)+$Y$2</f>
        <v>-49.12272534143483</v>
      </c>
      <c r="C33" s="7">
        <f>SUMPRODUCT($C$3:$X$3,'batch tool'!$B27:$W27)+$Y$3</f>
        <v>-36.514029388465531</v>
      </c>
      <c r="D33" s="7">
        <f>SUMPRODUCT($C$4:$X$4,'batch tool'!$B27:$W27)+$Y$4</f>
        <v>-44.639843068043824</v>
      </c>
      <c r="E33" s="7">
        <f>SUMPRODUCT($C$5:$X$5,'batch tool'!$B27:$W27)+$Y$5</f>
        <v>-51.578889182477603</v>
      </c>
      <c r="F33" s="7">
        <f>SUMPRODUCT($C$6:$X$6,'batch tool'!$B27:$W27)+$Y$6</f>
        <v>-47.741473633885199</v>
      </c>
      <c r="G33" s="7">
        <f>SUMPRODUCT($C$7:$X$7,'batch tool'!$B27:$W27)+$Y$7</f>
        <v>-19.739516238059196</v>
      </c>
      <c r="H33" s="7">
        <f t="shared" si="0"/>
        <v>-19.739516238059196</v>
      </c>
      <c r="I33">
        <f t="shared" si="1"/>
        <v>6</v>
      </c>
      <c r="J33" t="str" cm="1">
        <f t="array" ref="J33">INDEX($A$2:$A$7,I33)</f>
        <v>Segment 6- Self-Conscious Male</v>
      </c>
    </row>
    <row r="34" spans="1:10" x14ac:dyDescent="0.25">
      <c r="A34" s="1">
        <f>'batch tool'!A28</f>
        <v>0</v>
      </c>
      <c r="B34" s="7">
        <f>SUMPRODUCT($C$2:$X$2,'batch tool'!$B28:$W28)+$Y$2</f>
        <v>-49.12272534143483</v>
      </c>
      <c r="C34" s="7">
        <f>SUMPRODUCT($C$3:$X$3,'batch tool'!$B28:$W28)+$Y$3</f>
        <v>-36.514029388465531</v>
      </c>
      <c r="D34" s="7">
        <f>SUMPRODUCT($C$4:$X$4,'batch tool'!$B28:$W28)+$Y$4</f>
        <v>-44.639843068043824</v>
      </c>
      <c r="E34" s="7">
        <f>SUMPRODUCT($C$5:$X$5,'batch tool'!$B28:$W28)+$Y$5</f>
        <v>-51.578889182477603</v>
      </c>
      <c r="F34" s="7">
        <f>SUMPRODUCT($C$6:$X$6,'batch tool'!$B28:$W28)+$Y$6</f>
        <v>-47.741473633885199</v>
      </c>
      <c r="G34" s="7">
        <f>SUMPRODUCT($C$7:$X$7,'batch tool'!$B28:$W28)+$Y$7</f>
        <v>-19.739516238059196</v>
      </c>
      <c r="H34" s="7">
        <f t="shared" si="0"/>
        <v>-19.739516238059196</v>
      </c>
      <c r="I34">
        <f t="shared" si="1"/>
        <v>6</v>
      </c>
      <c r="J34" t="str" cm="1">
        <f t="array" ref="J34">INDEX($A$2:$A$7,I34)</f>
        <v>Segment 6- Self-Conscious Male</v>
      </c>
    </row>
    <row r="35" spans="1:10" x14ac:dyDescent="0.25">
      <c r="A35" s="1">
        <f>'batch tool'!A29</f>
        <v>0</v>
      </c>
      <c r="B35" s="7">
        <f>SUMPRODUCT($C$2:$X$2,'batch tool'!$B29:$W29)+$Y$2</f>
        <v>-49.12272534143483</v>
      </c>
      <c r="C35" s="7">
        <f>SUMPRODUCT($C$3:$X$3,'batch tool'!$B29:$W29)+$Y$3</f>
        <v>-36.514029388465531</v>
      </c>
      <c r="D35" s="7">
        <f>SUMPRODUCT($C$4:$X$4,'batch tool'!$B29:$W29)+$Y$4</f>
        <v>-44.639843068043824</v>
      </c>
      <c r="E35" s="7">
        <f>SUMPRODUCT($C$5:$X$5,'batch tool'!$B29:$W29)+$Y$5</f>
        <v>-51.578889182477603</v>
      </c>
      <c r="F35" s="7">
        <f>SUMPRODUCT($C$6:$X$6,'batch tool'!$B29:$W29)+$Y$6</f>
        <v>-47.741473633885199</v>
      </c>
      <c r="G35" s="7">
        <f>SUMPRODUCT($C$7:$X$7,'batch tool'!$B29:$W29)+$Y$7</f>
        <v>-19.739516238059196</v>
      </c>
      <c r="H35" s="7">
        <f t="shared" si="0"/>
        <v>-19.739516238059196</v>
      </c>
      <c r="I35">
        <f t="shared" si="1"/>
        <v>6</v>
      </c>
      <c r="J35" t="str" cm="1">
        <f t="array" ref="J35">INDEX($A$2:$A$7,I35)</f>
        <v>Segment 6- Self-Conscious Male</v>
      </c>
    </row>
    <row r="36" spans="1:10" x14ac:dyDescent="0.25">
      <c r="A36" s="1">
        <f>'batch tool'!A30</f>
        <v>0</v>
      </c>
      <c r="B36" s="7">
        <f>SUMPRODUCT($C$2:$X$2,'batch tool'!$B30:$W30)+$Y$2</f>
        <v>-49.12272534143483</v>
      </c>
      <c r="C36" s="7">
        <f>SUMPRODUCT($C$3:$X$3,'batch tool'!$B30:$W30)+$Y$3</f>
        <v>-36.514029388465531</v>
      </c>
      <c r="D36" s="7">
        <f>SUMPRODUCT($C$4:$X$4,'batch tool'!$B30:$W30)+$Y$4</f>
        <v>-44.639843068043824</v>
      </c>
      <c r="E36" s="7">
        <f>SUMPRODUCT($C$5:$X$5,'batch tool'!$B30:$W30)+$Y$5</f>
        <v>-51.578889182477603</v>
      </c>
      <c r="F36" s="7">
        <f>SUMPRODUCT($C$6:$X$6,'batch tool'!$B30:$W30)+$Y$6</f>
        <v>-47.741473633885199</v>
      </c>
      <c r="G36" s="7">
        <f>SUMPRODUCT($C$7:$X$7,'batch tool'!$B30:$W30)+$Y$7</f>
        <v>-19.739516238059196</v>
      </c>
      <c r="H36" s="7">
        <f t="shared" si="0"/>
        <v>-19.739516238059196</v>
      </c>
      <c r="I36">
        <f t="shared" si="1"/>
        <v>6</v>
      </c>
      <c r="J36" t="str" cm="1">
        <f t="array" ref="J36">INDEX($A$2:$A$7,I36)</f>
        <v>Segment 6- Self-Conscious Male</v>
      </c>
    </row>
    <row r="37" spans="1:10" x14ac:dyDescent="0.25">
      <c r="A37" s="1">
        <f>'batch tool'!A31</f>
        <v>0</v>
      </c>
      <c r="B37" s="7">
        <f>SUMPRODUCT($C$2:$X$2,'batch tool'!$B31:$W31)+$Y$2</f>
        <v>-49.12272534143483</v>
      </c>
      <c r="C37" s="7">
        <f>SUMPRODUCT($C$3:$X$3,'batch tool'!$B31:$W31)+$Y$3</f>
        <v>-36.514029388465531</v>
      </c>
      <c r="D37" s="7">
        <f>SUMPRODUCT($C$4:$X$4,'batch tool'!$B31:$W31)+$Y$4</f>
        <v>-44.639843068043824</v>
      </c>
      <c r="E37" s="7">
        <f>SUMPRODUCT($C$5:$X$5,'batch tool'!$B31:$W31)+$Y$5</f>
        <v>-51.578889182477603</v>
      </c>
      <c r="F37" s="7">
        <f>SUMPRODUCT($C$6:$X$6,'batch tool'!$B31:$W31)+$Y$6</f>
        <v>-47.741473633885199</v>
      </c>
      <c r="G37" s="7">
        <f>SUMPRODUCT($C$7:$X$7,'batch tool'!$B31:$W31)+$Y$7</f>
        <v>-19.739516238059196</v>
      </c>
      <c r="H37" s="7">
        <f t="shared" si="0"/>
        <v>-19.739516238059196</v>
      </c>
      <c r="I37">
        <f t="shared" si="1"/>
        <v>6</v>
      </c>
      <c r="J37" t="str" cm="1">
        <f t="array" ref="J37">INDEX($A$2:$A$7,I37)</f>
        <v>Segment 6- Self-Conscious Male</v>
      </c>
    </row>
    <row r="38" spans="1:10" x14ac:dyDescent="0.25">
      <c r="A38" s="1">
        <f>'batch tool'!A32</f>
        <v>0</v>
      </c>
      <c r="B38" s="7">
        <f>SUMPRODUCT($C$2:$X$2,'batch tool'!$B32:$W32)+$Y$2</f>
        <v>-49.12272534143483</v>
      </c>
      <c r="C38" s="7">
        <f>SUMPRODUCT($C$3:$X$3,'batch tool'!$B32:$W32)+$Y$3</f>
        <v>-36.514029388465531</v>
      </c>
      <c r="D38" s="7">
        <f>SUMPRODUCT($C$4:$X$4,'batch tool'!$B32:$W32)+$Y$4</f>
        <v>-44.639843068043824</v>
      </c>
      <c r="E38" s="7">
        <f>SUMPRODUCT($C$5:$X$5,'batch tool'!$B32:$W32)+$Y$5</f>
        <v>-51.578889182477603</v>
      </c>
      <c r="F38" s="7">
        <f>SUMPRODUCT($C$6:$X$6,'batch tool'!$B32:$W32)+$Y$6</f>
        <v>-47.741473633885199</v>
      </c>
      <c r="G38" s="7">
        <f>SUMPRODUCT($C$7:$X$7,'batch tool'!$B32:$W32)+$Y$7</f>
        <v>-19.739516238059196</v>
      </c>
      <c r="H38" s="7">
        <f t="shared" si="0"/>
        <v>-19.739516238059196</v>
      </c>
      <c r="I38">
        <f t="shared" si="1"/>
        <v>6</v>
      </c>
      <c r="J38" t="str" cm="1">
        <f t="array" ref="J38">INDEX($A$2:$A$7,I38)</f>
        <v>Segment 6- Self-Conscious Male</v>
      </c>
    </row>
    <row r="39" spans="1:10" x14ac:dyDescent="0.25">
      <c r="A39" s="1">
        <f>'batch tool'!A33</f>
        <v>0</v>
      </c>
      <c r="B39" s="7">
        <f>SUMPRODUCT($C$2:$X$2,'batch tool'!$B33:$W33)+$Y$2</f>
        <v>-49.12272534143483</v>
      </c>
      <c r="C39" s="7">
        <f>SUMPRODUCT($C$3:$X$3,'batch tool'!$B33:$W33)+$Y$3</f>
        <v>-36.514029388465531</v>
      </c>
      <c r="D39" s="7">
        <f>SUMPRODUCT($C$4:$X$4,'batch tool'!$B33:$W33)+$Y$4</f>
        <v>-44.639843068043824</v>
      </c>
      <c r="E39" s="7">
        <f>SUMPRODUCT($C$5:$X$5,'batch tool'!$B33:$W33)+$Y$5</f>
        <v>-51.578889182477603</v>
      </c>
      <c r="F39" s="7">
        <f>SUMPRODUCT($C$6:$X$6,'batch tool'!$B33:$W33)+$Y$6</f>
        <v>-47.741473633885199</v>
      </c>
      <c r="G39" s="7">
        <f>SUMPRODUCT($C$7:$X$7,'batch tool'!$B33:$W33)+$Y$7</f>
        <v>-19.739516238059196</v>
      </c>
      <c r="H39" s="7">
        <f t="shared" si="0"/>
        <v>-19.739516238059196</v>
      </c>
      <c r="I39">
        <f t="shared" si="1"/>
        <v>6</v>
      </c>
      <c r="J39" t="str" cm="1">
        <f t="array" ref="J39">INDEX($A$2:$A$7,I39)</f>
        <v>Segment 6- Self-Conscious Male</v>
      </c>
    </row>
    <row r="40" spans="1:10" x14ac:dyDescent="0.25">
      <c r="A40" s="1">
        <f>'batch tool'!A34</f>
        <v>0</v>
      </c>
      <c r="B40" s="7">
        <f>SUMPRODUCT($C$2:$X$2,'batch tool'!$B34:$W34)+$Y$2</f>
        <v>-49.12272534143483</v>
      </c>
      <c r="C40" s="7">
        <f>SUMPRODUCT($C$3:$X$3,'batch tool'!$B34:$W34)+$Y$3</f>
        <v>-36.514029388465531</v>
      </c>
      <c r="D40" s="7">
        <f>SUMPRODUCT($C$4:$X$4,'batch tool'!$B34:$W34)+$Y$4</f>
        <v>-44.639843068043824</v>
      </c>
      <c r="E40" s="7">
        <f>SUMPRODUCT($C$5:$X$5,'batch tool'!$B34:$W34)+$Y$5</f>
        <v>-51.578889182477603</v>
      </c>
      <c r="F40" s="7">
        <f>SUMPRODUCT($C$6:$X$6,'batch tool'!$B34:$W34)+$Y$6</f>
        <v>-47.741473633885199</v>
      </c>
      <c r="G40" s="7">
        <f>SUMPRODUCT($C$7:$X$7,'batch tool'!$B34:$W34)+$Y$7</f>
        <v>-19.739516238059196</v>
      </c>
      <c r="H40" s="7">
        <f t="shared" si="0"/>
        <v>-19.739516238059196</v>
      </c>
      <c r="I40">
        <f t="shared" si="1"/>
        <v>6</v>
      </c>
      <c r="J40" t="str" cm="1">
        <f t="array" ref="J40">INDEX($A$2:$A$7,I40)</f>
        <v>Segment 6- Self-Conscious Male</v>
      </c>
    </row>
    <row r="41" spans="1:10" x14ac:dyDescent="0.25">
      <c r="A41" s="1">
        <f>'batch tool'!A35</f>
        <v>0</v>
      </c>
      <c r="B41" s="7">
        <f>SUMPRODUCT($C$2:$X$2,'batch tool'!$B35:$W35)+$Y$2</f>
        <v>-49.12272534143483</v>
      </c>
      <c r="C41" s="7">
        <f>SUMPRODUCT($C$3:$X$3,'batch tool'!$B35:$W35)+$Y$3</f>
        <v>-36.514029388465531</v>
      </c>
      <c r="D41" s="7">
        <f>SUMPRODUCT($C$4:$X$4,'batch tool'!$B35:$W35)+$Y$4</f>
        <v>-44.639843068043824</v>
      </c>
      <c r="E41" s="7">
        <f>SUMPRODUCT($C$5:$X$5,'batch tool'!$B35:$W35)+$Y$5</f>
        <v>-51.578889182477603</v>
      </c>
      <c r="F41" s="7">
        <f>SUMPRODUCT($C$6:$X$6,'batch tool'!$B35:$W35)+$Y$6</f>
        <v>-47.741473633885199</v>
      </c>
      <c r="G41" s="7">
        <f>SUMPRODUCT($C$7:$X$7,'batch tool'!$B35:$W35)+$Y$7</f>
        <v>-19.739516238059196</v>
      </c>
      <c r="H41" s="7">
        <f t="shared" si="0"/>
        <v>-19.739516238059196</v>
      </c>
      <c r="I41">
        <f t="shared" si="1"/>
        <v>6</v>
      </c>
      <c r="J41" t="str" cm="1">
        <f t="array" ref="J41">INDEX($A$2:$A$7,I41)</f>
        <v>Segment 6- Self-Conscious Male</v>
      </c>
    </row>
    <row r="42" spans="1:10" x14ac:dyDescent="0.25">
      <c r="A42" s="1">
        <f>'batch tool'!A36</f>
        <v>0</v>
      </c>
      <c r="B42" s="7">
        <f>SUMPRODUCT($C$2:$X$2,'batch tool'!$B36:$W36)+$Y$2</f>
        <v>-49.12272534143483</v>
      </c>
      <c r="C42" s="7">
        <f>SUMPRODUCT($C$3:$X$3,'batch tool'!$B36:$W36)+$Y$3</f>
        <v>-36.514029388465531</v>
      </c>
      <c r="D42" s="7">
        <f>SUMPRODUCT($C$4:$X$4,'batch tool'!$B36:$W36)+$Y$4</f>
        <v>-44.639843068043824</v>
      </c>
      <c r="E42" s="7">
        <f>SUMPRODUCT($C$5:$X$5,'batch tool'!$B36:$W36)+$Y$5</f>
        <v>-51.578889182477603</v>
      </c>
      <c r="F42" s="7">
        <f>SUMPRODUCT($C$6:$X$6,'batch tool'!$B36:$W36)+$Y$6</f>
        <v>-47.741473633885199</v>
      </c>
      <c r="G42" s="7">
        <f>SUMPRODUCT($C$7:$X$7,'batch tool'!$B36:$W36)+$Y$7</f>
        <v>-19.739516238059196</v>
      </c>
      <c r="H42" s="7">
        <f t="shared" si="0"/>
        <v>-19.739516238059196</v>
      </c>
      <c r="I42">
        <f t="shared" si="1"/>
        <v>6</v>
      </c>
      <c r="J42" t="str" cm="1">
        <f t="array" ref="J42">INDEX($A$2:$A$7,I42)</f>
        <v>Segment 6- Self-Conscious Male</v>
      </c>
    </row>
    <row r="43" spans="1:10" x14ac:dyDescent="0.25">
      <c r="A43" s="1">
        <f>'batch tool'!A37</f>
        <v>0</v>
      </c>
      <c r="B43" s="7">
        <f>SUMPRODUCT($C$2:$X$2,'batch tool'!$B37:$W37)+$Y$2</f>
        <v>-49.12272534143483</v>
      </c>
      <c r="C43" s="7">
        <f>SUMPRODUCT($C$3:$X$3,'batch tool'!$B37:$W37)+$Y$3</f>
        <v>-36.514029388465531</v>
      </c>
      <c r="D43" s="7">
        <f>SUMPRODUCT($C$4:$X$4,'batch tool'!$B37:$W37)+$Y$4</f>
        <v>-44.639843068043824</v>
      </c>
      <c r="E43" s="7">
        <f>SUMPRODUCT($C$5:$X$5,'batch tool'!$B37:$W37)+$Y$5</f>
        <v>-51.578889182477603</v>
      </c>
      <c r="F43" s="7">
        <f>SUMPRODUCT($C$6:$X$6,'batch tool'!$B37:$W37)+$Y$6</f>
        <v>-47.741473633885199</v>
      </c>
      <c r="G43" s="7">
        <f>SUMPRODUCT($C$7:$X$7,'batch tool'!$B37:$W37)+$Y$7</f>
        <v>-19.739516238059196</v>
      </c>
      <c r="H43" s="7">
        <f t="shared" si="0"/>
        <v>-19.739516238059196</v>
      </c>
      <c r="I43">
        <f t="shared" si="1"/>
        <v>6</v>
      </c>
      <c r="J43" t="str" cm="1">
        <f t="array" ref="J43">INDEX($A$2:$A$7,I43)</f>
        <v>Segment 6- Self-Conscious Male</v>
      </c>
    </row>
    <row r="44" spans="1:10" x14ac:dyDescent="0.25">
      <c r="A44" s="1">
        <f>'batch tool'!A38</f>
        <v>0</v>
      </c>
      <c r="B44" s="7">
        <f>SUMPRODUCT($C$2:$X$2,'batch tool'!$B38:$W38)+$Y$2</f>
        <v>-49.12272534143483</v>
      </c>
      <c r="C44" s="7">
        <f>SUMPRODUCT($C$3:$X$3,'batch tool'!$B38:$W38)+$Y$3</f>
        <v>-36.514029388465531</v>
      </c>
      <c r="D44" s="7">
        <f>SUMPRODUCT($C$4:$X$4,'batch tool'!$B38:$W38)+$Y$4</f>
        <v>-44.639843068043824</v>
      </c>
      <c r="E44" s="7">
        <f>SUMPRODUCT($C$5:$X$5,'batch tool'!$B38:$W38)+$Y$5</f>
        <v>-51.578889182477603</v>
      </c>
      <c r="F44" s="7">
        <f>SUMPRODUCT($C$6:$X$6,'batch tool'!$B38:$W38)+$Y$6</f>
        <v>-47.741473633885199</v>
      </c>
      <c r="G44" s="7">
        <f>SUMPRODUCT($C$7:$X$7,'batch tool'!$B38:$W38)+$Y$7</f>
        <v>-19.739516238059196</v>
      </c>
      <c r="H44" s="7">
        <f t="shared" si="0"/>
        <v>-19.739516238059196</v>
      </c>
      <c r="I44">
        <f t="shared" si="1"/>
        <v>6</v>
      </c>
      <c r="J44" t="str" cm="1">
        <f t="array" ref="J44">INDEX($A$2:$A$7,I44)</f>
        <v>Segment 6- Self-Conscious Male</v>
      </c>
    </row>
    <row r="45" spans="1:10" x14ac:dyDescent="0.25">
      <c r="A45" s="1">
        <f>'batch tool'!A39</f>
        <v>0</v>
      </c>
      <c r="B45" s="7">
        <f>SUMPRODUCT($C$2:$X$2,'batch tool'!$B39:$W39)+$Y$2</f>
        <v>-49.12272534143483</v>
      </c>
      <c r="C45" s="7">
        <f>SUMPRODUCT($C$3:$X$3,'batch tool'!$B39:$W39)+$Y$3</f>
        <v>-36.514029388465531</v>
      </c>
      <c r="D45" s="7">
        <f>SUMPRODUCT($C$4:$X$4,'batch tool'!$B39:$W39)+$Y$4</f>
        <v>-44.639843068043824</v>
      </c>
      <c r="E45" s="7">
        <f>SUMPRODUCT($C$5:$X$5,'batch tool'!$B39:$W39)+$Y$5</f>
        <v>-51.578889182477603</v>
      </c>
      <c r="F45" s="7">
        <f>SUMPRODUCT($C$6:$X$6,'batch tool'!$B39:$W39)+$Y$6</f>
        <v>-47.741473633885199</v>
      </c>
      <c r="G45" s="7">
        <f>SUMPRODUCT($C$7:$X$7,'batch tool'!$B39:$W39)+$Y$7</f>
        <v>-19.739516238059196</v>
      </c>
      <c r="H45" s="7">
        <f t="shared" si="0"/>
        <v>-19.739516238059196</v>
      </c>
      <c r="I45">
        <f t="shared" si="1"/>
        <v>6</v>
      </c>
      <c r="J45" t="str" cm="1">
        <f t="array" ref="J45">INDEX($A$2:$A$7,I45)</f>
        <v>Segment 6- Self-Conscious Male</v>
      </c>
    </row>
    <row r="46" spans="1:10" x14ac:dyDescent="0.25">
      <c r="A46" s="1">
        <f>'batch tool'!A40</f>
        <v>0</v>
      </c>
      <c r="B46" s="7">
        <f>SUMPRODUCT($C$2:$X$2,'batch tool'!$B40:$W40)+$Y$2</f>
        <v>-49.12272534143483</v>
      </c>
      <c r="C46" s="7">
        <f>SUMPRODUCT($C$3:$X$3,'batch tool'!$B40:$W40)+$Y$3</f>
        <v>-36.514029388465531</v>
      </c>
      <c r="D46" s="7">
        <f>SUMPRODUCT($C$4:$X$4,'batch tool'!$B40:$W40)+$Y$4</f>
        <v>-44.639843068043824</v>
      </c>
      <c r="E46" s="7">
        <f>SUMPRODUCT($C$5:$X$5,'batch tool'!$B40:$W40)+$Y$5</f>
        <v>-51.578889182477603</v>
      </c>
      <c r="F46" s="7">
        <f>SUMPRODUCT($C$6:$X$6,'batch tool'!$B40:$W40)+$Y$6</f>
        <v>-47.741473633885199</v>
      </c>
      <c r="G46" s="7">
        <f>SUMPRODUCT($C$7:$X$7,'batch tool'!$B40:$W40)+$Y$7</f>
        <v>-19.739516238059196</v>
      </c>
      <c r="H46" s="7">
        <f t="shared" si="0"/>
        <v>-19.739516238059196</v>
      </c>
      <c r="I46">
        <f t="shared" si="1"/>
        <v>6</v>
      </c>
      <c r="J46" t="str" cm="1">
        <f t="array" ref="J46">INDEX($A$2:$A$7,I46)</f>
        <v>Segment 6- Self-Conscious Male</v>
      </c>
    </row>
    <row r="47" spans="1:10" x14ac:dyDescent="0.25">
      <c r="A47" s="1">
        <f>'batch tool'!A41</f>
        <v>0</v>
      </c>
      <c r="B47" s="7">
        <f>SUMPRODUCT($C$2:$X$2,'batch tool'!$B41:$W41)+$Y$2</f>
        <v>-49.12272534143483</v>
      </c>
      <c r="C47" s="7">
        <f>SUMPRODUCT($C$3:$X$3,'batch tool'!$B41:$W41)+$Y$3</f>
        <v>-36.514029388465531</v>
      </c>
      <c r="D47" s="7">
        <f>SUMPRODUCT($C$4:$X$4,'batch tool'!$B41:$W41)+$Y$4</f>
        <v>-44.639843068043824</v>
      </c>
      <c r="E47" s="7">
        <f>SUMPRODUCT($C$5:$X$5,'batch tool'!$B41:$W41)+$Y$5</f>
        <v>-51.578889182477603</v>
      </c>
      <c r="F47" s="7">
        <f>SUMPRODUCT($C$6:$X$6,'batch tool'!$B41:$W41)+$Y$6</f>
        <v>-47.741473633885199</v>
      </c>
      <c r="G47" s="7">
        <f>SUMPRODUCT($C$7:$X$7,'batch tool'!$B41:$W41)+$Y$7</f>
        <v>-19.739516238059196</v>
      </c>
      <c r="H47" s="7">
        <f t="shared" si="0"/>
        <v>-19.739516238059196</v>
      </c>
      <c r="I47">
        <f t="shared" si="1"/>
        <v>6</v>
      </c>
      <c r="J47" t="str" cm="1">
        <f t="array" ref="J47">INDEX($A$2:$A$7,I47)</f>
        <v>Segment 6- Self-Conscious Male</v>
      </c>
    </row>
    <row r="48" spans="1:10" x14ac:dyDescent="0.25">
      <c r="A48" s="1">
        <f>'batch tool'!A42</f>
        <v>0</v>
      </c>
      <c r="B48" s="7">
        <f>SUMPRODUCT($C$2:$X$2,'batch tool'!$B42:$W42)+$Y$2</f>
        <v>-49.12272534143483</v>
      </c>
      <c r="C48" s="7">
        <f>SUMPRODUCT($C$3:$X$3,'batch tool'!$B42:$W42)+$Y$3</f>
        <v>-36.514029388465531</v>
      </c>
      <c r="D48" s="7">
        <f>SUMPRODUCT($C$4:$X$4,'batch tool'!$B42:$W42)+$Y$4</f>
        <v>-44.639843068043824</v>
      </c>
      <c r="E48" s="7">
        <f>SUMPRODUCT($C$5:$X$5,'batch tool'!$B42:$W42)+$Y$5</f>
        <v>-51.578889182477603</v>
      </c>
      <c r="F48" s="7">
        <f>SUMPRODUCT($C$6:$X$6,'batch tool'!$B42:$W42)+$Y$6</f>
        <v>-47.741473633885199</v>
      </c>
      <c r="G48" s="7">
        <f>SUMPRODUCT($C$7:$X$7,'batch tool'!$B42:$W42)+$Y$7</f>
        <v>-19.739516238059196</v>
      </c>
      <c r="H48" s="7">
        <f t="shared" si="0"/>
        <v>-19.739516238059196</v>
      </c>
      <c r="I48">
        <f t="shared" si="1"/>
        <v>6</v>
      </c>
      <c r="J48" t="str" cm="1">
        <f t="array" ref="J48">INDEX($A$2:$A$7,I48)</f>
        <v>Segment 6- Self-Conscious Male</v>
      </c>
    </row>
    <row r="49" spans="1:10" x14ac:dyDescent="0.25">
      <c r="A49" s="1">
        <f>'batch tool'!A43</f>
        <v>0</v>
      </c>
      <c r="B49" s="7">
        <f>SUMPRODUCT($C$2:$X$2,'batch tool'!$B43:$W43)+$Y$2</f>
        <v>-49.12272534143483</v>
      </c>
      <c r="C49" s="7">
        <f>SUMPRODUCT($C$3:$X$3,'batch tool'!$B43:$W43)+$Y$3</f>
        <v>-36.514029388465531</v>
      </c>
      <c r="D49" s="7">
        <f>SUMPRODUCT($C$4:$X$4,'batch tool'!$B43:$W43)+$Y$4</f>
        <v>-44.639843068043824</v>
      </c>
      <c r="E49" s="7">
        <f>SUMPRODUCT($C$5:$X$5,'batch tool'!$B43:$W43)+$Y$5</f>
        <v>-51.578889182477603</v>
      </c>
      <c r="F49" s="7">
        <f>SUMPRODUCT($C$6:$X$6,'batch tool'!$B43:$W43)+$Y$6</f>
        <v>-47.741473633885199</v>
      </c>
      <c r="G49" s="7">
        <f>SUMPRODUCT($C$7:$X$7,'batch tool'!$B43:$W43)+$Y$7</f>
        <v>-19.739516238059196</v>
      </c>
      <c r="H49" s="7">
        <f t="shared" si="0"/>
        <v>-19.739516238059196</v>
      </c>
      <c r="I49">
        <f t="shared" si="1"/>
        <v>6</v>
      </c>
      <c r="J49" t="str" cm="1">
        <f t="array" ref="J49">INDEX($A$2:$A$7,I49)</f>
        <v>Segment 6- Self-Conscious Male</v>
      </c>
    </row>
    <row r="50" spans="1:10" x14ac:dyDescent="0.25">
      <c r="A50" s="1">
        <f>'batch tool'!A44</f>
        <v>0</v>
      </c>
      <c r="B50" s="7">
        <f>SUMPRODUCT($C$2:$X$2,'batch tool'!$B44:$W44)+$Y$2</f>
        <v>-49.12272534143483</v>
      </c>
      <c r="C50" s="7">
        <f>SUMPRODUCT($C$3:$X$3,'batch tool'!$B44:$W44)+$Y$3</f>
        <v>-36.514029388465531</v>
      </c>
      <c r="D50" s="7">
        <f>SUMPRODUCT($C$4:$X$4,'batch tool'!$B44:$W44)+$Y$4</f>
        <v>-44.639843068043824</v>
      </c>
      <c r="E50" s="7">
        <f>SUMPRODUCT($C$5:$X$5,'batch tool'!$B44:$W44)+$Y$5</f>
        <v>-51.578889182477603</v>
      </c>
      <c r="F50" s="7">
        <f>SUMPRODUCT($C$6:$X$6,'batch tool'!$B44:$W44)+$Y$6</f>
        <v>-47.741473633885199</v>
      </c>
      <c r="G50" s="7">
        <f>SUMPRODUCT($C$7:$X$7,'batch tool'!$B44:$W44)+$Y$7</f>
        <v>-19.739516238059196</v>
      </c>
      <c r="H50" s="7">
        <f t="shared" si="0"/>
        <v>-19.739516238059196</v>
      </c>
      <c r="I50">
        <f t="shared" si="1"/>
        <v>6</v>
      </c>
      <c r="J50" t="str" cm="1">
        <f t="array" ref="J50">INDEX($A$2:$A$7,I50)</f>
        <v>Segment 6- Self-Conscious Male</v>
      </c>
    </row>
    <row r="51" spans="1:10" x14ac:dyDescent="0.25">
      <c r="A51" s="1">
        <f>'batch tool'!A45</f>
        <v>0</v>
      </c>
      <c r="B51" s="7">
        <f>SUMPRODUCT($C$2:$X$2,'batch tool'!$B45:$W45)+$Y$2</f>
        <v>-49.12272534143483</v>
      </c>
      <c r="C51" s="7">
        <f>SUMPRODUCT($C$3:$X$3,'batch tool'!$B45:$W45)+$Y$3</f>
        <v>-36.514029388465531</v>
      </c>
      <c r="D51" s="7">
        <f>SUMPRODUCT($C$4:$X$4,'batch tool'!$B45:$W45)+$Y$4</f>
        <v>-44.639843068043824</v>
      </c>
      <c r="E51" s="7">
        <f>SUMPRODUCT($C$5:$X$5,'batch tool'!$B45:$W45)+$Y$5</f>
        <v>-51.578889182477603</v>
      </c>
      <c r="F51" s="7">
        <f>SUMPRODUCT($C$6:$X$6,'batch tool'!$B45:$W45)+$Y$6</f>
        <v>-47.741473633885199</v>
      </c>
      <c r="G51" s="7">
        <f>SUMPRODUCT($C$7:$X$7,'batch tool'!$B45:$W45)+$Y$7</f>
        <v>-19.739516238059196</v>
      </c>
      <c r="H51" s="7">
        <f t="shared" si="0"/>
        <v>-19.739516238059196</v>
      </c>
      <c r="I51">
        <f t="shared" si="1"/>
        <v>6</v>
      </c>
      <c r="J51" t="str" cm="1">
        <f t="array" ref="J51">INDEX($A$2:$A$7,I51)</f>
        <v>Segment 6- Self-Conscious Male</v>
      </c>
    </row>
    <row r="52" spans="1:10" x14ac:dyDescent="0.25">
      <c r="A52" s="1">
        <f>'batch tool'!A46</f>
        <v>0</v>
      </c>
      <c r="B52" s="7">
        <f>SUMPRODUCT($C$2:$X$2,'batch tool'!$B46:$W46)+$Y$2</f>
        <v>-49.12272534143483</v>
      </c>
      <c r="C52" s="7">
        <f>SUMPRODUCT($C$3:$X$3,'batch tool'!$B46:$W46)+$Y$3</f>
        <v>-36.514029388465531</v>
      </c>
      <c r="D52" s="7">
        <f>SUMPRODUCT($C$4:$X$4,'batch tool'!$B46:$W46)+$Y$4</f>
        <v>-44.639843068043824</v>
      </c>
      <c r="E52" s="7">
        <f>SUMPRODUCT($C$5:$X$5,'batch tool'!$B46:$W46)+$Y$5</f>
        <v>-51.578889182477603</v>
      </c>
      <c r="F52" s="7">
        <f>SUMPRODUCT($C$6:$X$6,'batch tool'!$B46:$W46)+$Y$6</f>
        <v>-47.741473633885199</v>
      </c>
      <c r="G52" s="7">
        <f>SUMPRODUCT($C$7:$X$7,'batch tool'!$B46:$W46)+$Y$7</f>
        <v>-19.739516238059196</v>
      </c>
      <c r="H52" s="7">
        <f t="shared" si="0"/>
        <v>-19.739516238059196</v>
      </c>
      <c r="I52">
        <f t="shared" si="1"/>
        <v>6</v>
      </c>
      <c r="J52" t="str" cm="1">
        <f t="array" ref="J52">INDEX($A$2:$A$7,I52)</f>
        <v>Segment 6- Self-Conscious Male</v>
      </c>
    </row>
    <row r="53" spans="1:10" x14ac:dyDescent="0.25">
      <c r="A53" s="1">
        <f>'batch tool'!A47</f>
        <v>0</v>
      </c>
      <c r="B53" s="7">
        <f>SUMPRODUCT($C$2:$X$2,'batch tool'!$B47:$W47)+$Y$2</f>
        <v>-49.12272534143483</v>
      </c>
      <c r="C53" s="7">
        <f>SUMPRODUCT($C$3:$X$3,'batch tool'!$B47:$W47)+$Y$3</f>
        <v>-36.514029388465531</v>
      </c>
      <c r="D53" s="7">
        <f>SUMPRODUCT($C$4:$X$4,'batch tool'!$B47:$W47)+$Y$4</f>
        <v>-44.639843068043824</v>
      </c>
      <c r="E53" s="7">
        <f>SUMPRODUCT($C$5:$X$5,'batch tool'!$B47:$W47)+$Y$5</f>
        <v>-51.578889182477603</v>
      </c>
      <c r="F53" s="7">
        <f>SUMPRODUCT($C$6:$X$6,'batch tool'!$B47:$W47)+$Y$6</f>
        <v>-47.741473633885199</v>
      </c>
      <c r="G53" s="7">
        <f>SUMPRODUCT($C$7:$X$7,'batch tool'!$B47:$W47)+$Y$7</f>
        <v>-19.739516238059196</v>
      </c>
      <c r="H53" s="7">
        <f t="shared" si="0"/>
        <v>-19.739516238059196</v>
      </c>
      <c r="I53">
        <f t="shared" si="1"/>
        <v>6</v>
      </c>
      <c r="J53" t="str" cm="1">
        <f t="array" ref="J53">INDEX($A$2:$A$7,I53)</f>
        <v>Segment 6- Self-Conscious Male</v>
      </c>
    </row>
    <row r="54" spans="1:10" x14ac:dyDescent="0.25">
      <c r="A54" s="1">
        <f>'batch tool'!A48</f>
        <v>0</v>
      </c>
      <c r="B54" s="7">
        <f>SUMPRODUCT($C$2:$X$2,'batch tool'!$B48:$W48)+$Y$2</f>
        <v>-49.12272534143483</v>
      </c>
      <c r="C54" s="7">
        <f>SUMPRODUCT($C$3:$X$3,'batch tool'!$B48:$W48)+$Y$3</f>
        <v>-36.514029388465531</v>
      </c>
      <c r="D54" s="7">
        <f>SUMPRODUCT($C$4:$X$4,'batch tool'!$B48:$W48)+$Y$4</f>
        <v>-44.639843068043824</v>
      </c>
      <c r="E54" s="7">
        <f>SUMPRODUCT($C$5:$X$5,'batch tool'!$B48:$W48)+$Y$5</f>
        <v>-51.578889182477603</v>
      </c>
      <c r="F54" s="7">
        <f>SUMPRODUCT($C$6:$X$6,'batch tool'!$B48:$W48)+$Y$6</f>
        <v>-47.741473633885199</v>
      </c>
      <c r="G54" s="7">
        <f>SUMPRODUCT($C$7:$X$7,'batch tool'!$B48:$W48)+$Y$7</f>
        <v>-19.739516238059196</v>
      </c>
      <c r="H54" s="7">
        <f t="shared" si="0"/>
        <v>-19.739516238059196</v>
      </c>
      <c r="I54">
        <f t="shared" si="1"/>
        <v>6</v>
      </c>
      <c r="J54" t="str" cm="1">
        <f t="array" ref="J54">INDEX($A$2:$A$7,I54)</f>
        <v>Segment 6- Self-Conscious Male</v>
      </c>
    </row>
    <row r="55" spans="1:10" x14ac:dyDescent="0.25">
      <c r="A55" s="1">
        <f>'batch tool'!A49</f>
        <v>0</v>
      </c>
      <c r="B55" s="7">
        <f>SUMPRODUCT($C$2:$X$2,'batch tool'!$B49:$W49)+$Y$2</f>
        <v>-49.12272534143483</v>
      </c>
      <c r="C55" s="7">
        <f>SUMPRODUCT($C$3:$X$3,'batch tool'!$B49:$W49)+$Y$3</f>
        <v>-36.514029388465531</v>
      </c>
      <c r="D55" s="7">
        <f>SUMPRODUCT($C$4:$X$4,'batch tool'!$B49:$W49)+$Y$4</f>
        <v>-44.639843068043824</v>
      </c>
      <c r="E55" s="7">
        <f>SUMPRODUCT($C$5:$X$5,'batch tool'!$B49:$W49)+$Y$5</f>
        <v>-51.578889182477603</v>
      </c>
      <c r="F55" s="7">
        <f>SUMPRODUCT($C$6:$X$6,'batch tool'!$B49:$W49)+$Y$6</f>
        <v>-47.741473633885199</v>
      </c>
      <c r="G55" s="7">
        <f>SUMPRODUCT($C$7:$X$7,'batch tool'!$B49:$W49)+$Y$7</f>
        <v>-19.739516238059196</v>
      </c>
      <c r="H55" s="7">
        <f t="shared" si="0"/>
        <v>-19.739516238059196</v>
      </c>
      <c r="I55">
        <f t="shared" si="1"/>
        <v>6</v>
      </c>
      <c r="J55" t="str" cm="1">
        <f t="array" ref="J55">INDEX($A$2:$A$7,I55)</f>
        <v>Segment 6- Self-Conscious Male</v>
      </c>
    </row>
    <row r="56" spans="1:10" x14ac:dyDescent="0.25">
      <c r="A56" s="1">
        <f>'batch tool'!A50</f>
        <v>0</v>
      </c>
      <c r="B56" s="7">
        <f>SUMPRODUCT($C$2:$X$2,'batch tool'!$B50:$W50)+$Y$2</f>
        <v>-49.12272534143483</v>
      </c>
      <c r="C56" s="7">
        <f>SUMPRODUCT($C$3:$X$3,'batch tool'!$B50:$W50)+$Y$3</f>
        <v>-36.514029388465531</v>
      </c>
      <c r="D56" s="7">
        <f>SUMPRODUCT($C$4:$X$4,'batch tool'!$B50:$W50)+$Y$4</f>
        <v>-44.639843068043824</v>
      </c>
      <c r="E56" s="7">
        <f>SUMPRODUCT($C$5:$X$5,'batch tool'!$B50:$W50)+$Y$5</f>
        <v>-51.578889182477603</v>
      </c>
      <c r="F56" s="7">
        <f>SUMPRODUCT($C$6:$X$6,'batch tool'!$B50:$W50)+$Y$6</f>
        <v>-47.741473633885199</v>
      </c>
      <c r="G56" s="7">
        <f>SUMPRODUCT($C$7:$X$7,'batch tool'!$B50:$W50)+$Y$7</f>
        <v>-19.739516238059196</v>
      </c>
      <c r="H56" s="7">
        <f t="shared" si="0"/>
        <v>-19.739516238059196</v>
      </c>
      <c r="I56">
        <f t="shared" si="1"/>
        <v>6</v>
      </c>
      <c r="J56" t="str" cm="1">
        <f t="array" ref="J56">INDEX($A$2:$A$7,I56)</f>
        <v>Segment 6- Self-Conscious Male</v>
      </c>
    </row>
    <row r="57" spans="1:10" x14ac:dyDescent="0.25">
      <c r="A57" s="1">
        <f>'batch tool'!A51</f>
        <v>0</v>
      </c>
      <c r="B57" s="7">
        <f>SUMPRODUCT($C$2:$X$2,'batch tool'!$B51:$W51)+$Y$2</f>
        <v>-49.12272534143483</v>
      </c>
      <c r="C57" s="7">
        <f>SUMPRODUCT($C$3:$X$3,'batch tool'!$B51:$W51)+$Y$3</f>
        <v>-36.514029388465531</v>
      </c>
      <c r="D57" s="7">
        <f>SUMPRODUCT($C$4:$X$4,'batch tool'!$B51:$W51)+$Y$4</f>
        <v>-44.639843068043824</v>
      </c>
      <c r="E57" s="7">
        <f>SUMPRODUCT($C$5:$X$5,'batch tool'!$B51:$W51)+$Y$5</f>
        <v>-51.578889182477603</v>
      </c>
      <c r="F57" s="7">
        <f>SUMPRODUCT($C$6:$X$6,'batch tool'!$B51:$W51)+$Y$6</f>
        <v>-47.741473633885199</v>
      </c>
      <c r="G57" s="7">
        <f>SUMPRODUCT($C$7:$X$7,'batch tool'!$B51:$W51)+$Y$7</f>
        <v>-19.739516238059196</v>
      </c>
      <c r="H57" s="7">
        <f t="shared" si="0"/>
        <v>-19.739516238059196</v>
      </c>
      <c r="I57">
        <f t="shared" si="1"/>
        <v>6</v>
      </c>
      <c r="J57" t="str" cm="1">
        <f t="array" ref="J57">INDEX($A$2:$A$7,I57)</f>
        <v>Segment 6- Self-Conscious Male</v>
      </c>
    </row>
    <row r="58" spans="1:10" x14ac:dyDescent="0.25">
      <c r="A58" s="1">
        <f>'batch tool'!A52</f>
        <v>0</v>
      </c>
      <c r="B58" s="7">
        <f>SUMPRODUCT($C$2:$X$2,'batch tool'!$B52:$W52)+$Y$2</f>
        <v>-49.12272534143483</v>
      </c>
      <c r="C58" s="7">
        <f>SUMPRODUCT($C$3:$X$3,'batch tool'!$B52:$W52)+$Y$3</f>
        <v>-36.514029388465531</v>
      </c>
      <c r="D58" s="7">
        <f>SUMPRODUCT($C$4:$X$4,'batch tool'!$B52:$W52)+$Y$4</f>
        <v>-44.639843068043824</v>
      </c>
      <c r="E58" s="7">
        <f>SUMPRODUCT($C$5:$X$5,'batch tool'!$B52:$W52)+$Y$5</f>
        <v>-51.578889182477603</v>
      </c>
      <c r="F58" s="7">
        <f>SUMPRODUCT($C$6:$X$6,'batch tool'!$B52:$W52)+$Y$6</f>
        <v>-47.741473633885199</v>
      </c>
      <c r="G58" s="7">
        <f>SUMPRODUCT($C$7:$X$7,'batch tool'!$B52:$W52)+$Y$7</f>
        <v>-19.739516238059196</v>
      </c>
      <c r="H58" s="7">
        <f t="shared" si="0"/>
        <v>-19.739516238059196</v>
      </c>
      <c r="I58">
        <f t="shared" si="1"/>
        <v>6</v>
      </c>
      <c r="J58" t="str" cm="1">
        <f t="array" ref="J58">INDEX($A$2:$A$7,I58)</f>
        <v>Segment 6- Self-Conscious Male</v>
      </c>
    </row>
    <row r="59" spans="1:10" x14ac:dyDescent="0.25">
      <c r="A59" s="1">
        <f>'batch tool'!A53</f>
        <v>0</v>
      </c>
      <c r="B59" s="7">
        <f>SUMPRODUCT($C$2:$X$2,'batch tool'!$B53:$W53)+$Y$2</f>
        <v>-49.12272534143483</v>
      </c>
      <c r="C59" s="7">
        <f>SUMPRODUCT($C$3:$X$3,'batch tool'!$B53:$W53)+$Y$3</f>
        <v>-36.514029388465531</v>
      </c>
      <c r="D59" s="7">
        <f>SUMPRODUCT($C$4:$X$4,'batch tool'!$B53:$W53)+$Y$4</f>
        <v>-44.639843068043824</v>
      </c>
      <c r="E59" s="7">
        <f>SUMPRODUCT($C$5:$X$5,'batch tool'!$B53:$W53)+$Y$5</f>
        <v>-51.578889182477603</v>
      </c>
      <c r="F59" s="7">
        <f>SUMPRODUCT($C$6:$X$6,'batch tool'!$B53:$W53)+$Y$6</f>
        <v>-47.741473633885199</v>
      </c>
      <c r="G59" s="7">
        <f>SUMPRODUCT($C$7:$X$7,'batch tool'!$B53:$W53)+$Y$7</f>
        <v>-19.739516238059196</v>
      </c>
      <c r="H59" s="7">
        <f t="shared" si="0"/>
        <v>-19.739516238059196</v>
      </c>
      <c r="I59">
        <f t="shared" si="1"/>
        <v>6</v>
      </c>
      <c r="J59" t="str" cm="1">
        <f t="array" ref="J59">INDEX($A$2:$A$7,I59)</f>
        <v>Segment 6- Self-Conscious Male</v>
      </c>
    </row>
    <row r="60" spans="1:10" x14ac:dyDescent="0.25">
      <c r="A60" s="1">
        <f>'batch tool'!A54</f>
        <v>0</v>
      </c>
      <c r="B60" s="7">
        <f>SUMPRODUCT($C$2:$X$2,'batch tool'!$B54:$W54)+$Y$2</f>
        <v>-49.12272534143483</v>
      </c>
      <c r="C60" s="7">
        <f>SUMPRODUCT($C$3:$X$3,'batch tool'!$B54:$W54)+$Y$3</f>
        <v>-36.514029388465531</v>
      </c>
      <c r="D60" s="7">
        <f>SUMPRODUCT($C$4:$X$4,'batch tool'!$B54:$W54)+$Y$4</f>
        <v>-44.639843068043824</v>
      </c>
      <c r="E60" s="7">
        <f>SUMPRODUCT($C$5:$X$5,'batch tool'!$B54:$W54)+$Y$5</f>
        <v>-51.578889182477603</v>
      </c>
      <c r="F60" s="7">
        <f>SUMPRODUCT($C$6:$X$6,'batch tool'!$B54:$W54)+$Y$6</f>
        <v>-47.741473633885199</v>
      </c>
      <c r="G60" s="7">
        <f>SUMPRODUCT($C$7:$X$7,'batch tool'!$B54:$W54)+$Y$7</f>
        <v>-19.739516238059196</v>
      </c>
      <c r="H60" s="7">
        <f t="shared" si="0"/>
        <v>-19.739516238059196</v>
      </c>
      <c r="I60">
        <f t="shared" si="1"/>
        <v>6</v>
      </c>
      <c r="J60" t="str" cm="1">
        <f t="array" ref="J60">INDEX($A$2:$A$7,I60)</f>
        <v>Segment 6- Self-Conscious Male</v>
      </c>
    </row>
    <row r="61" spans="1:10" x14ac:dyDescent="0.25">
      <c r="A61" s="1">
        <f>'batch tool'!A55</f>
        <v>0</v>
      </c>
      <c r="B61" s="7">
        <f>SUMPRODUCT($C$2:$X$2,'batch tool'!$B55:$W55)+$Y$2</f>
        <v>-49.12272534143483</v>
      </c>
      <c r="C61" s="7">
        <f>SUMPRODUCT($C$3:$X$3,'batch tool'!$B55:$W55)+$Y$3</f>
        <v>-36.514029388465531</v>
      </c>
      <c r="D61" s="7">
        <f>SUMPRODUCT($C$4:$X$4,'batch tool'!$B55:$W55)+$Y$4</f>
        <v>-44.639843068043824</v>
      </c>
      <c r="E61" s="7">
        <f>SUMPRODUCT($C$5:$X$5,'batch tool'!$B55:$W55)+$Y$5</f>
        <v>-51.578889182477603</v>
      </c>
      <c r="F61" s="7">
        <f>SUMPRODUCT($C$6:$X$6,'batch tool'!$B55:$W55)+$Y$6</f>
        <v>-47.741473633885199</v>
      </c>
      <c r="G61" s="7">
        <f>SUMPRODUCT($C$7:$X$7,'batch tool'!$B55:$W55)+$Y$7</f>
        <v>-19.739516238059196</v>
      </c>
      <c r="H61" s="7">
        <f t="shared" si="0"/>
        <v>-19.739516238059196</v>
      </c>
      <c r="I61">
        <f t="shared" si="1"/>
        <v>6</v>
      </c>
      <c r="J61" t="str" cm="1">
        <f t="array" ref="J61">INDEX($A$2:$A$7,I61)</f>
        <v>Segment 6- Self-Conscious Male</v>
      </c>
    </row>
    <row r="62" spans="1:10" x14ac:dyDescent="0.25">
      <c r="A62" s="1">
        <f>'batch tool'!A56</f>
        <v>0</v>
      </c>
      <c r="B62" s="7">
        <f>SUMPRODUCT($C$2:$X$2,'batch tool'!$B56:$W56)+$Y$2</f>
        <v>-49.12272534143483</v>
      </c>
      <c r="C62" s="7">
        <f>SUMPRODUCT($C$3:$X$3,'batch tool'!$B56:$W56)+$Y$3</f>
        <v>-36.514029388465531</v>
      </c>
      <c r="D62" s="7">
        <f>SUMPRODUCT($C$4:$X$4,'batch tool'!$B56:$W56)+$Y$4</f>
        <v>-44.639843068043824</v>
      </c>
      <c r="E62" s="7">
        <f>SUMPRODUCT($C$5:$X$5,'batch tool'!$B56:$W56)+$Y$5</f>
        <v>-51.578889182477603</v>
      </c>
      <c r="F62" s="7">
        <f>SUMPRODUCT($C$6:$X$6,'batch tool'!$B56:$W56)+$Y$6</f>
        <v>-47.741473633885199</v>
      </c>
      <c r="G62" s="7">
        <f>SUMPRODUCT($C$7:$X$7,'batch tool'!$B56:$W56)+$Y$7</f>
        <v>-19.739516238059196</v>
      </c>
      <c r="H62" s="7">
        <f t="shared" si="0"/>
        <v>-19.739516238059196</v>
      </c>
      <c r="I62">
        <f t="shared" si="1"/>
        <v>6</v>
      </c>
      <c r="J62" t="str" cm="1">
        <f t="array" ref="J62">INDEX($A$2:$A$7,I62)</f>
        <v>Segment 6- Self-Conscious Male</v>
      </c>
    </row>
    <row r="63" spans="1:10" x14ac:dyDescent="0.25">
      <c r="A63" s="1">
        <f>'batch tool'!A57</f>
        <v>0</v>
      </c>
      <c r="B63" s="7">
        <f>SUMPRODUCT($C$2:$X$2,'batch tool'!$B57:$W57)+$Y$2</f>
        <v>-49.12272534143483</v>
      </c>
      <c r="C63" s="7">
        <f>SUMPRODUCT($C$3:$X$3,'batch tool'!$B57:$W57)+$Y$3</f>
        <v>-36.514029388465531</v>
      </c>
      <c r="D63" s="7">
        <f>SUMPRODUCT($C$4:$X$4,'batch tool'!$B57:$W57)+$Y$4</f>
        <v>-44.639843068043824</v>
      </c>
      <c r="E63" s="7">
        <f>SUMPRODUCT($C$5:$X$5,'batch tool'!$B57:$W57)+$Y$5</f>
        <v>-51.578889182477603</v>
      </c>
      <c r="F63" s="7">
        <f>SUMPRODUCT($C$6:$X$6,'batch tool'!$B57:$W57)+$Y$6</f>
        <v>-47.741473633885199</v>
      </c>
      <c r="G63" s="7">
        <f>SUMPRODUCT($C$7:$X$7,'batch tool'!$B57:$W57)+$Y$7</f>
        <v>-19.739516238059196</v>
      </c>
      <c r="H63" s="7">
        <f t="shared" si="0"/>
        <v>-19.739516238059196</v>
      </c>
      <c r="I63">
        <f t="shared" si="1"/>
        <v>6</v>
      </c>
      <c r="J63" t="str" cm="1">
        <f t="array" ref="J63">INDEX($A$2:$A$7,I63)</f>
        <v>Segment 6- Self-Conscious Male</v>
      </c>
    </row>
    <row r="64" spans="1:10" x14ac:dyDescent="0.25">
      <c r="A64" s="1">
        <f>'batch tool'!A58</f>
        <v>0</v>
      </c>
      <c r="B64" s="7">
        <f>SUMPRODUCT($C$2:$X$2,'batch tool'!$B58:$W58)+$Y$2</f>
        <v>-49.12272534143483</v>
      </c>
      <c r="C64" s="7">
        <f>SUMPRODUCT($C$3:$X$3,'batch tool'!$B58:$W58)+$Y$3</f>
        <v>-36.514029388465531</v>
      </c>
      <c r="D64" s="7">
        <f>SUMPRODUCT($C$4:$X$4,'batch tool'!$B58:$W58)+$Y$4</f>
        <v>-44.639843068043824</v>
      </c>
      <c r="E64" s="7">
        <f>SUMPRODUCT($C$5:$X$5,'batch tool'!$B58:$W58)+$Y$5</f>
        <v>-51.578889182477603</v>
      </c>
      <c r="F64" s="7">
        <f>SUMPRODUCT($C$6:$X$6,'batch tool'!$B58:$W58)+$Y$6</f>
        <v>-47.741473633885199</v>
      </c>
      <c r="G64" s="7">
        <f>SUMPRODUCT($C$7:$X$7,'batch tool'!$B58:$W58)+$Y$7</f>
        <v>-19.739516238059196</v>
      </c>
      <c r="H64" s="7">
        <f t="shared" si="0"/>
        <v>-19.739516238059196</v>
      </c>
      <c r="I64">
        <f t="shared" si="1"/>
        <v>6</v>
      </c>
      <c r="J64" t="str" cm="1">
        <f t="array" ref="J64">INDEX($A$2:$A$7,I64)</f>
        <v>Segment 6- Self-Conscious Male</v>
      </c>
    </row>
    <row r="65" spans="1:10" x14ac:dyDescent="0.25">
      <c r="A65" s="1">
        <f>'batch tool'!A59</f>
        <v>0</v>
      </c>
      <c r="B65" s="7">
        <f>SUMPRODUCT($C$2:$X$2,'batch tool'!$B59:$W59)+$Y$2</f>
        <v>-49.12272534143483</v>
      </c>
      <c r="C65" s="7">
        <f>SUMPRODUCT($C$3:$X$3,'batch tool'!$B59:$W59)+$Y$3</f>
        <v>-36.514029388465531</v>
      </c>
      <c r="D65" s="7">
        <f>SUMPRODUCT($C$4:$X$4,'batch tool'!$B59:$W59)+$Y$4</f>
        <v>-44.639843068043824</v>
      </c>
      <c r="E65" s="7">
        <f>SUMPRODUCT($C$5:$X$5,'batch tool'!$B59:$W59)+$Y$5</f>
        <v>-51.578889182477603</v>
      </c>
      <c r="F65" s="7">
        <f>SUMPRODUCT($C$6:$X$6,'batch tool'!$B59:$W59)+$Y$6</f>
        <v>-47.741473633885199</v>
      </c>
      <c r="G65" s="7">
        <f>SUMPRODUCT($C$7:$X$7,'batch tool'!$B59:$W59)+$Y$7</f>
        <v>-19.739516238059196</v>
      </c>
      <c r="H65" s="7">
        <f t="shared" si="0"/>
        <v>-19.739516238059196</v>
      </c>
      <c r="I65">
        <f t="shared" si="1"/>
        <v>6</v>
      </c>
      <c r="J65" t="str" cm="1">
        <f t="array" ref="J65">INDEX($A$2:$A$7,I65)</f>
        <v>Segment 6- Self-Conscious Male</v>
      </c>
    </row>
    <row r="66" spans="1:10" x14ac:dyDescent="0.25">
      <c r="A66" s="1">
        <f>'batch tool'!A60</f>
        <v>0</v>
      </c>
      <c r="B66" s="7">
        <f>SUMPRODUCT($C$2:$X$2,'batch tool'!$B60:$W60)+$Y$2</f>
        <v>-49.12272534143483</v>
      </c>
      <c r="C66" s="7">
        <f>SUMPRODUCT($C$3:$X$3,'batch tool'!$B60:$W60)+$Y$3</f>
        <v>-36.514029388465531</v>
      </c>
      <c r="D66" s="7">
        <f>SUMPRODUCT($C$4:$X$4,'batch tool'!$B60:$W60)+$Y$4</f>
        <v>-44.639843068043824</v>
      </c>
      <c r="E66" s="7">
        <f>SUMPRODUCT($C$5:$X$5,'batch tool'!$B60:$W60)+$Y$5</f>
        <v>-51.578889182477603</v>
      </c>
      <c r="F66" s="7">
        <f>SUMPRODUCT($C$6:$X$6,'batch tool'!$B60:$W60)+$Y$6</f>
        <v>-47.741473633885199</v>
      </c>
      <c r="G66" s="7">
        <f>SUMPRODUCT($C$7:$X$7,'batch tool'!$B60:$W60)+$Y$7</f>
        <v>-19.739516238059196</v>
      </c>
      <c r="H66" s="7">
        <f t="shared" si="0"/>
        <v>-19.739516238059196</v>
      </c>
      <c r="I66">
        <f t="shared" si="1"/>
        <v>6</v>
      </c>
      <c r="J66" t="str" cm="1">
        <f t="array" ref="J66">INDEX($A$2:$A$7,I66)</f>
        <v>Segment 6- Self-Conscious Male</v>
      </c>
    </row>
    <row r="67" spans="1:10" x14ac:dyDescent="0.25">
      <c r="A67" s="1">
        <f>'batch tool'!A61</f>
        <v>0</v>
      </c>
      <c r="B67" s="7">
        <f>SUMPRODUCT($C$2:$X$2,'batch tool'!$B61:$W61)+$Y$2</f>
        <v>-49.12272534143483</v>
      </c>
      <c r="C67" s="7">
        <f>SUMPRODUCT($C$3:$X$3,'batch tool'!$B61:$W61)+$Y$3</f>
        <v>-36.514029388465531</v>
      </c>
      <c r="D67" s="7">
        <f>SUMPRODUCT($C$4:$X$4,'batch tool'!$B61:$W61)+$Y$4</f>
        <v>-44.639843068043824</v>
      </c>
      <c r="E67" s="7">
        <f>SUMPRODUCT($C$5:$X$5,'batch tool'!$B61:$W61)+$Y$5</f>
        <v>-51.578889182477603</v>
      </c>
      <c r="F67" s="7">
        <f>SUMPRODUCT($C$6:$X$6,'batch tool'!$B61:$W61)+$Y$6</f>
        <v>-47.741473633885199</v>
      </c>
      <c r="G67" s="7">
        <f>SUMPRODUCT($C$7:$X$7,'batch tool'!$B61:$W61)+$Y$7</f>
        <v>-19.739516238059196</v>
      </c>
      <c r="H67" s="7">
        <f t="shared" si="0"/>
        <v>-19.739516238059196</v>
      </c>
      <c r="I67">
        <f t="shared" si="1"/>
        <v>6</v>
      </c>
      <c r="J67" t="str" cm="1">
        <f t="array" ref="J67">INDEX($A$2:$A$7,I67)</f>
        <v>Segment 6- Self-Conscious Male</v>
      </c>
    </row>
    <row r="68" spans="1:10" x14ac:dyDescent="0.25">
      <c r="A68" s="1">
        <f>'batch tool'!A62</f>
        <v>0</v>
      </c>
      <c r="B68" s="7">
        <f>SUMPRODUCT($C$2:$X$2,'batch tool'!$B62:$W62)+$Y$2</f>
        <v>-49.12272534143483</v>
      </c>
      <c r="C68" s="7">
        <f>SUMPRODUCT($C$3:$X$3,'batch tool'!$B62:$W62)+$Y$3</f>
        <v>-36.514029388465531</v>
      </c>
      <c r="D68" s="7">
        <f>SUMPRODUCT($C$4:$X$4,'batch tool'!$B62:$W62)+$Y$4</f>
        <v>-44.639843068043824</v>
      </c>
      <c r="E68" s="7">
        <f>SUMPRODUCT($C$5:$X$5,'batch tool'!$B62:$W62)+$Y$5</f>
        <v>-51.578889182477603</v>
      </c>
      <c r="F68" s="7">
        <f>SUMPRODUCT($C$6:$X$6,'batch tool'!$B62:$W62)+$Y$6</f>
        <v>-47.741473633885199</v>
      </c>
      <c r="G68" s="7">
        <f>SUMPRODUCT($C$7:$X$7,'batch tool'!$B62:$W62)+$Y$7</f>
        <v>-19.739516238059196</v>
      </c>
      <c r="H68" s="7">
        <f t="shared" si="0"/>
        <v>-19.739516238059196</v>
      </c>
      <c r="I68">
        <f t="shared" si="1"/>
        <v>6</v>
      </c>
      <c r="J68" t="str" cm="1">
        <f t="array" ref="J68">INDEX($A$2:$A$7,I68)</f>
        <v>Segment 6- Self-Conscious Male</v>
      </c>
    </row>
    <row r="69" spans="1:10" x14ac:dyDescent="0.25">
      <c r="A69" s="1">
        <f>'batch tool'!A63</f>
        <v>0</v>
      </c>
      <c r="B69" s="7">
        <f>SUMPRODUCT($C$2:$X$2,'batch tool'!$B63:$W63)+$Y$2</f>
        <v>-49.12272534143483</v>
      </c>
      <c r="C69" s="7">
        <f>SUMPRODUCT($C$3:$X$3,'batch tool'!$B63:$W63)+$Y$3</f>
        <v>-36.514029388465531</v>
      </c>
      <c r="D69" s="7">
        <f>SUMPRODUCT($C$4:$X$4,'batch tool'!$B63:$W63)+$Y$4</f>
        <v>-44.639843068043824</v>
      </c>
      <c r="E69" s="7">
        <f>SUMPRODUCT($C$5:$X$5,'batch tool'!$B63:$W63)+$Y$5</f>
        <v>-51.578889182477603</v>
      </c>
      <c r="F69" s="7">
        <f>SUMPRODUCT($C$6:$X$6,'batch tool'!$B63:$W63)+$Y$6</f>
        <v>-47.741473633885199</v>
      </c>
      <c r="G69" s="7">
        <f>SUMPRODUCT($C$7:$X$7,'batch tool'!$B63:$W63)+$Y$7</f>
        <v>-19.739516238059196</v>
      </c>
      <c r="H69" s="7">
        <f t="shared" si="0"/>
        <v>-19.739516238059196</v>
      </c>
      <c r="I69">
        <f t="shared" si="1"/>
        <v>6</v>
      </c>
      <c r="J69" t="str" cm="1">
        <f t="array" ref="J69">INDEX($A$2:$A$7,I69)</f>
        <v>Segment 6- Self-Conscious Male</v>
      </c>
    </row>
    <row r="70" spans="1:10" x14ac:dyDescent="0.25">
      <c r="A70" s="1">
        <f>'batch tool'!A64</f>
        <v>0</v>
      </c>
      <c r="B70" s="7">
        <f>SUMPRODUCT($C$2:$X$2,'batch tool'!$B64:$W64)+$Y$2</f>
        <v>-49.12272534143483</v>
      </c>
      <c r="C70" s="7">
        <f>SUMPRODUCT($C$3:$X$3,'batch tool'!$B64:$W64)+$Y$3</f>
        <v>-36.514029388465531</v>
      </c>
      <c r="D70" s="7">
        <f>SUMPRODUCT($C$4:$X$4,'batch tool'!$B64:$W64)+$Y$4</f>
        <v>-44.639843068043824</v>
      </c>
      <c r="E70" s="7">
        <f>SUMPRODUCT($C$5:$X$5,'batch tool'!$B64:$W64)+$Y$5</f>
        <v>-51.578889182477603</v>
      </c>
      <c r="F70" s="7">
        <f>SUMPRODUCT($C$6:$X$6,'batch tool'!$B64:$W64)+$Y$6</f>
        <v>-47.741473633885199</v>
      </c>
      <c r="G70" s="7">
        <f>SUMPRODUCT($C$7:$X$7,'batch tool'!$B64:$W64)+$Y$7</f>
        <v>-19.739516238059196</v>
      </c>
      <c r="H70" s="7">
        <f t="shared" si="0"/>
        <v>-19.739516238059196</v>
      </c>
      <c r="I70">
        <f t="shared" si="1"/>
        <v>6</v>
      </c>
      <c r="J70" t="str" cm="1">
        <f t="array" ref="J70">INDEX($A$2:$A$7,I70)</f>
        <v>Segment 6- Self-Conscious Male</v>
      </c>
    </row>
    <row r="71" spans="1:10" x14ac:dyDescent="0.25">
      <c r="A71" s="1">
        <f>'batch tool'!A65</f>
        <v>0</v>
      </c>
      <c r="B71" s="7">
        <f>SUMPRODUCT($C$2:$X$2,'batch tool'!$B65:$W65)+$Y$2</f>
        <v>-49.12272534143483</v>
      </c>
      <c r="C71" s="7">
        <f>SUMPRODUCT($C$3:$X$3,'batch tool'!$B65:$W65)+$Y$3</f>
        <v>-36.514029388465531</v>
      </c>
      <c r="D71" s="7">
        <f>SUMPRODUCT($C$4:$X$4,'batch tool'!$B65:$W65)+$Y$4</f>
        <v>-44.639843068043824</v>
      </c>
      <c r="E71" s="7">
        <f>SUMPRODUCT($C$5:$X$5,'batch tool'!$B65:$W65)+$Y$5</f>
        <v>-51.578889182477603</v>
      </c>
      <c r="F71" s="7">
        <f>SUMPRODUCT($C$6:$X$6,'batch tool'!$B65:$W65)+$Y$6</f>
        <v>-47.741473633885199</v>
      </c>
      <c r="G71" s="7">
        <f>SUMPRODUCT($C$7:$X$7,'batch tool'!$B65:$W65)+$Y$7</f>
        <v>-19.739516238059196</v>
      </c>
      <c r="H71" s="7">
        <f t="shared" si="0"/>
        <v>-19.739516238059196</v>
      </c>
      <c r="I71">
        <f t="shared" si="1"/>
        <v>6</v>
      </c>
      <c r="J71" t="str" cm="1">
        <f t="array" ref="J71">INDEX($A$2:$A$7,I71)</f>
        <v>Segment 6- Self-Conscious Male</v>
      </c>
    </row>
    <row r="72" spans="1:10" x14ac:dyDescent="0.25">
      <c r="A72" s="1">
        <f>'batch tool'!A66</f>
        <v>0</v>
      </c>
      <c r="B72" s="7">
        <f>SUMPRODUCT($C$2:$X$2,'batch tool'!$B66:$W66)+$Y$2</f>
        <v>-49.12272534143483</v>
      </c>
      <c r="C72" s="7">
        <f>SUMPRODUCT($C$3:$X$3,'batch tool'!$B66:$W66)+$Y$3</f>
        <v>-36.514029388465531</v>
      </c>
      <c r="D72" s="7">
        <f>SUMPRODUCT($C$4:$X$4,'batch tool'!$B66:$W66)+$Y$4</f>
        <v>-44.639843068043824</v>
      </c>
      <c r="E72" s="7">
        <f>SUMPRODUCT($C$5:$X$5,'batch tool'!$B66:$W66)+$Y$5</f>
        <v>-51.578889182477603</v>
      </c>
      <c r="F72" s="7">
        <f>SUMPRODUCT($C$6:$X$6,'batch tool'!$B66:$W66)+$Y$6</f>
        <v>-47.741473633885199</v>
      </c>
      <c r="G72" s="7">
        <f>SUMPRODUCT($C$7:$X$7,'batch tool'!$B66:$W66)+$Y$7</f>
        <v>-19.739516238059196</v>
      </c>
      <c r="H72" s="7">
        <f t="shared" si="0"/>
        <v>-19.739516238059196</v>
      </c>
      <c r="I72">
        <f t="shared" si="1"/>
        <v>6</v>
      </c>
      <c r="J72" t="str" cm="1">
        <f t="array" ref="J72">INDEX($A$2:$A$7,I72)</f>
        <v>Segment 6- Self-Conscious Male</v>
      </c>
    </row>
    <row r="73" spans="1:10" x14ac:dyDescent="0.25">
      <c r="A73" s="1">
        <f>'batch tool'!A67</f>
        <v>0</v>
      </c>
      <c r="B73" s="7">
        <f>SUMPRODUCT($C$2:$X$2,'batch tool'!$B67:$W67)+$Y$2</f>
        <v>-49.12272534143483</v>
      </c>
      <c r="C73" s="7">
        <f>SUMPRODUCT($C$3:$X$3,'batch tool'!$B67:$W67)+$Y$3</f>
        <v>-36.514029388465531</v>
      </c>
      <c r="D73" s="7">
        <f>SUMPRODUCT($C$4:$X$4,'batch tool'!$B67:$W67)+$Y$4</f>
        <v>-44.639843068043824</v>
      </c>
      <c r="E73" s="7">
        <f>SUMPRODUCT($C$5:$X$5,'batch tool'!$B67:$W67)+$Y$5</f>
        <v>-51.578889182477603</v>
      </c>
      <c r="F73" s="7">
        <f>SUMPRODUCT($C$6:$X$6,'batch tool'!$B67:$W67)+$Y$6</f>
        <v>-47.741473633885199</v>
      </c>
      <c r="G73" s="7">
        <f>SUMPRODUCT($C$7:$X$7,'batch tool'!$B67:$W67)+$Y$7</f>
        <v>-19.739516238059196</v>
      </c>
      <c r="H73" s="7">
        <f t="shared" si="0"/>
        <v>-19.739516238059196</v>
      </c>
      <c r="I73">
        <f t="shared" si="1"/>
        <v>6</v>
      </c>
      <c r="J73" t="str" cm="1">
        <f t="array" ref="J73">INDEX($A$2:$A$7,I73)</f>
        <v>Segment 6- Self-Conscious Male</v>
      </c>
    </row>
    <row r="74" spans="1:10" x14ac:dyDescent="0.25">
      <c r="A74" s="1">
        <f>'batch tool'!A68</f>
        <v>0</v>
      </c>
      <c r="B74" s="7">
        <f>SUMPRODUCT($C$2:$X$2,'batch tool'!$B68:$W68)+$Y$2</f>
        <v>-49.12272534143483</v>
      </c>
      <c r="C74" s="7">
        <f>SUMPRODUCT($C$3:$X$3,'batch tool'!$B68:$W68)+$Y$3</f>
        <v>-36.514029388465531</v>
      </c>
      <c r="D74" s="7">
        <f>SUMPRODUCT($C$4:$X$4,'batch tool'!$B68:$W68)+$Y$4</f>
        <v>-44.639843068043824</v>
      </c>
      <c r="E74" s="7">
        <f>SUMPRODUCT($C$5:$X$5,'batch tool'!$B68:$W68)+$Y$5</f>
        <v>-51.578889182477603</v>
      </c>
      <c r="F74" s="7">
        <f>SUMPRODUCT($C$6:$X$6,'batch tool'!$B68:$W68)+$Y$6</f>
        <v>-47.741473633885199</v>
      </c>
      <c r="G74" s="7">
        <f>SUMPRODUCT($C$7:$X$7,'batch tool'!$B68:$W68)+$Y$7</f>
        <v>-19.739516238059196</v>
      </c>
      <c r="H74" s="7">
        <f t="shared" si="0"/>
        <v>-19.739516238059196</v>
      </c>
      <c r="I74">
        <f t="shared" si="1"/>
        <v>6</v>
      </c>
      <c r="J74" t="str" cm="1">
        <f t="array" ref="J74">INDEX($A$2:$A$7,I74)</f>
        <v>Segment 6- Self-Conscious Male</v>
      </c>
    </row>
    <row r="75" spans="1:10" x14ac:dyDescent="0.25">
      <c r="A75" s="1">
        <f>'batch tool'!A69</f>
        <v>0</v>
      </c>
      <c r="B75" s="7">
        <f>SUMPRODUCT($C$2:$X$2,'batch tool'!$B69:$W69)+$Y$2</f>
        <v>-49.12272534143483</v>
      </c>
      <c r="C75" s="7">
        <f>SUMPRODUCT($C$3:$X$3,'batch tool'!$B69:$W69)+$Y$3</f>
        <v>-36.514029388465531</v>
      </c>
      <c r="D75" s="7">
        <f>SUMPRODUCT($C$4:$X$4,'batch tool'!$B69:$W69)+$Y$4</f>
        <v>-44.639843068043824</v>
      </c>
      <c r="E75" s="7">
        <f>SUMPRODUCT($C$5:$X$5,'batch tool'!$B69:$W69)+$Y$5</f>
        <v>-51.578889182477603</v>
      </c>
      <c r="F75" s="7">
        <f>SUMPRODUCT($C$6:$X$6,'batch tool'!$B69:$W69)+$Y$6</f>
        <v>-47.741473633885199</v>
      </c>
      <c r="G75" s="7">
        <f>SUMPRODUCT($C$7:$X$7,'batch tool'!$B69:$W69)+$Y$7</f>
        <v>-19.739516238059196</v>
      </c>
      <c r="H75" s="7">
        <f t="shared" ref="H75:H138" si="2">MAX(B75:G75)</f>
        <v>-19.739516238059196</v>
      </c>
      <c r="I75">
        <f t="shared" ref="I75:I138" si="3">MATCH(H75,B75:G75,0)</f>
        <v>6</v>
      </c>
      <c r="J75" t="str" cm="1">
        <f t="array" ref="J75">INDEX($A$2:$A$7,I75)</f>
        <v>Segment 6- Self-Conscious Male</v>
      </c>
    </row>
    <row r="76" spans="1:10" x14ac:dyDescent="0.25">
      <c r="A76" s="1">
        <f>'batch tool'!A70</f>
        <v>0</v>
      </c>
      <c r="B76" s="7">
        <f>SUMPRODUCT($C$2:$X$2,'batch tool'!$B70:$W70)+$Y$2</f>
        <v>-49.12272534143483</v>
      </c>
      <c r="C76" s="7">
        <f>SUMPRODUCT($C$3:$X$3,'batch tool'!$B70:$W70)+$Y$3</f>
        <v>-36.514029388465531</v>
      </c>
      <c r="D76" s="7">
        <f>SUMPRODUCT($C$4:$X$4,'batch tool'!$B70:$W70)+$Y$4</f>
        <v>-44.639843068043824</v>
      </c>
      <c r="E76" s="7">
        <f>SUMPRODUCT($C$5:$X$5,'batch tool'!$B70:$W70)+$Y$5</f>
        <v>-51.578889182477603</v>
      </c>
      <c r="F76" s="7">
        <f>SUMPRODUCT($C$6:$X$6,'batch tool'!$B70:$W70)+$Y$6</f>
        <v>-47.741473633885199</v>
      </c>
      <c r="G76" s="7">
        <f>SUMPRODUCT($C$7:$X$7,'batch tool'!$B70:$W70)+$Y$7</f>
        <v>-19.739516238059196</v>
      </c>
      <c r="H76" s="7">
        <f t="shared" si="2"/>
        <v>-19.739516238059196</v>
      </c>
      <c r="I76">
        <f t="shared" si="3"/>
        <v>6</v>
      </c>
      <c r="J76" t="str" cm="1">
        <f t="array" ref="J76">INDEX($A$2:$A$7,I76)</f>
        <v>Segment 6- Self-Conscious Male</v>
      </c>
    </row>
    <row r="77" spans="1:10" x14ac:dyDescent="0.25">
      <c r="A77" s="1">
        <f>'batch tool'!A71</f>
        <v>0</v>
      </c>
      <c r="B77" s="7">
        <f>SUMPRODUCT($C$2:$X$2,'batch tool'!$B71:$W71)+$Y$2</f>
        <v>-49.12272534143483</v>
      </c>
      <c r="C77" s="7">
        <f>SUMPRODUCT($C$3:$X$3,'batch tool'!$B71:$W71)+$Y$3</f>
        <v>-36.514029388465531</v>
      </c>
      <c r="D77" s="7">
        <f>SUMPRODUCT($C$4:$X$4,'batch tool'!$B71:$W71)+$Y$4</f>
        <v>-44.639843068043824</v>
      </c>
      <c r="E77" s="7">
        <f>SUMPRODUCT($C$5:$X$5,'batch tool'!$B71:$W71)+$Y$5</f>
        <v>-51.578889182477603</v>
      </c>
      <c r="F77" s="7">
        <f>SUMPRODUCT($C$6:$X$6,'batch tool'!$B71:$W71)+$Y$6</f>
        <v>-47.741473633885199</v>
      </c>
      <c r="G77" s="7">
        <f>SUMPRODUCT($C$7:$X$7,'batch tool'!$B71:$W71)+$Y$7</f>
        <v>-19.739516238059196</v>
      </c>
      <c r="H77" s="7">
        <f t="shared" si="2"/>
        <v>-19.739516238059196</v>
      </c>
      <c r="I77">
        <f t="shared" si="3"/>
        <v>6</v>
      </c>
      <c r="J77" t="str" cm="1">
        <f t="array" ref="J77">INDEX($A$2:$A$7,I77)</f>
        <v>Segment 6- Self-Conscious Male</v>
      </c>
    </row>
    <row r="78" spans="1:10" x14ac:dyDescent="0.25">
      <c r="A78" s="1">
        <f>'batch tool'!A72</f>
        <v>0</v>
      </c>
      <c r="B78" s="7">
        <f>SUMPRODUCT($C$2:$X$2,'batch tool'!$B72:$W72)+$Y$2</f>
        <v>-49.12272534143483</v>
      </c>
      <c r="C78" s="7">
        <f>SUMPRODUCT($C$3:$X$3,'batch tool'!$B72:$W72)+$Y$3</f>
        <v>-36.514029388465531</v>
      </c>
      <c r="D78" s="7">
        <f>SUMPRODUCT($C$4:$X$4,'batch tool'!$B72:$W72)+$Y$4</f>
        <v>-44.639843068043824</v>
      </c>
      <c r="E78" s="7">
        <f>SUMPRODUCT($C$5:$X$5,'batch tool'!$B72:$W72)+$Y$5</f>
        <v>-51.578889182477603</v>
      </c>
      <c r="F78" s="7">
        <f>SUMPRODUCT($C$6:$X$6,'batch tool'!$B72:$W72)+$Y$6</f>
        <v>-47.741473633885199</v>
      </c>
      <c r="G78" s="7">
        <f>SUMPRODUCT($C$7:$X$7,'batch tool'!$B72:$W72)+$Y$7</f>
        <v>-19.739516238059196</v>
      </c>
      <c r="H78" s="7">
        <f t="shared" si="2"/>
        <v>-19.739516238059196</v>
      </c>
      <c r="I78">
        <f t="shared" si="3"/>
        <v>6</v>
      </c>
      <c r="J78" t="str" cm="1">
        <f t="array" ref="J78">INDEX($A$2:$A$7,I78)</f>
        <v>Segment 6- Self-Conscious Male</v>
      </c>
    </row>
    <row r="79" spans="1:10" x14ac:dyDescent="0.25">
      <c r="A79" s="1">
        <f>'batch tool'!A73</f>
        <v>0</v>
      </c>
      <c r="B79" s="7">
        <f>SUMPRODUCT($C$2:$X$2,'batch tool'!$B73:$W73)+$Y$2</f>
        <v>-49.12272534143483</v>
      </c>
      <c r="C79" s="7">
        <f>SUMPRODUCT($C$3:$X$3,'batch tool'!$B73:$W73)+$Y$3</f>
        <v>-36.514029388465531</v>
      </c>
      <c r="D79" s="7">
        <f>SUMPRODUCT($C$4:$X$4,'batch tool'!$B73:$W73)+$Y$4</f>
        <v>-44.639843068043824</v>
      </c>
      <c r="E79" s="7">
        <f>SUMPRODUCT($C$5:$X$5,'batch tool'!$B73:$W73)+$Y$5</f>
        <v>-51.578889182477603</v>
      </c>
      <c r="F79" s="7">
        <f>SUMPRODUCT($C$6:$X$6,'batch tool'!$B73:$W73)+$Y$6</f>
        <v>-47.741473633885199</v>
      </c>
      <c r="G79" s="7">
        <f>SUMPRODUCT($C$7:$X$7,'batch tool'!$B73:$W73)+$Y$7</f>
        <v>-19.739516238059196</v>
      </c>
      <c r="H79" s="7">
        <f t="shared" si="2"/>
        <v>-19.739516238059196</v>
      </c>
      <c r="I79">
        <f t="shared" si="3"/>
        <v>6</v>
      </c>
      <c r="J79" t="str" cm="1">
        <f t="array" ref="J79">INDEX($A$2:$A$7,I79)</f>
        <v>Segment 6- Self-Conscious Male</v>
      </c>
    </row>
    <row r="80" spans="1:10" x14ac:dyDescent="0.25">
      <c r="A80" s="1">
        <f>'batch tool'!A74</f>
        <v>0</v>
      </c>
      <c r="B80" s="7">
        <f>SUMPRODUCT($C$2:$X$2,'batch tool'!$B74:$W74)+$Y$2</f>
        <v>-49.12272534143483</v>
      </c>
      <c r="C80" s="7">
        <f>SUMPRODUCT($C$3:$X$3,'batch tool'!$B74:$W74)+$Y$3</f>
        <v>-36.514029388465531</v>
      </c>
      <c r="D80" s="7">
        <f>SUMPRODUCT($C$4:$X$4,'batch tool'!$B74:$W74)+$Y$4</f>
        <v>-44.639843068043824</v>
      </c>
      <c r="E80" s="7">
        <f>SUMPRODUCT($C$5:$X$5,'batch tool'!$B74:$W74)+$Y$5</f>
        <v>-51.578889182477603</v>
      </c>
      <c r="F80" s="7">
        <f>SUMPRODUCT($C$6:$X$6,'batch tool'!$B74:$W74)+$Y$6</f>
        <v>-47.741473633885199</v>
      </c>
      <c r="G80" s="7">
        <f>SUMPRODUCT($C$7:$X$7,'batch tool'!$B74:$W74)+$Y$7</f>
        <v>-19.739516238059196</v>
      </c>
      <c r="H80" s="7">
        <f t="shared" si="2"/>
        <v>-19.739516238059196</v>
      </c>
      <c r="I80">
        <f t="shared" si="3"/>
        <v>6</v>
      </c>
      <c r="J80" t="str" cm="1">
        <f t="array" ref="J80">INDEX($A$2:$A$7,I80)</f>
        <v>Segment 6- Self-Conscious Male</v>
      </c>
    </row>
    <row r="81" spans="1:10" x14ac:dyDescent="0.25">
      <c r="A81" s="1">
        <f>'batch tool'!A75</f>
        <v>0</v>
      </c>
      <c r="B81" s="7">
        <f>SUMPRODUCT($C$2:$X$2,'batch tool'!$B75:$W75)+$Y$2</f>
        <v>-49.12272534143483</v>
      </c>
      <c r="C81" s="7">
        <f>SUMPRODUCT($C$3:$X$3,'batch tool'!$B75:$W75)+$Y$3</f>
        <v>-36.514029388465531</v>
      </c>
      <c r="D81" s="7">
        <f>SUMPRODUCT($C$4:$X$4,'batch tool'!$B75:$W75)+$Y$4</f>
        <v>-44.639843068043824</v>
      </c>
      <c r="E81" s="7">
        <f>SUMPRODUCT($C$5:$X$5,'batch tool'!$B75:$W75)+$Y$5</f>
        <v>-51.578889182477603</v>
      </c>
      <c r="F81" s="7">
        <f>SUMPRODUCT($C$6:$X$6,'batch tool'!$B75:$W75)+$Y$6</f>
        <v>-47.741473633885199</v>
      </c>
      <c r="G81" s="7">
        <f>SUMPRODUCT($C$7:$X$7,'batch tool'!$B75:$W75)+$Y$7</f>
        <v>-19.739516238059196</v>
      </c>
      <c r="H81" s="7">
        <f t="shared" si="2"/>
        <v>-19.739516238059196</v>
      </c>
      <c r="I81">
        <f t="shared" si="3"/>
        <v>6</v>
      </c>
      <c r="J81" t="str" cm="1">
        <f t="array" ref="J81">INDEX($A$2:$A$7,I81)</f>
        <v>Segment 6- Self-Conscious Male</v>
      </c>
    </row>
    <row r="82" spans="1:10" x14ac:dyDescent="0.25">
      <c r="A82" s="1">
        <f>'batch tool'!A76</f>
        <v>0</v>
      </c>
      <c r="B82" s="7">
        <f>SUMPRODUCT($C$2:$X$2,'batch tool'!$B76:$W76)+$Y$2</f>
        <v>-49.12272534143483</v>
      </c>
      <c r="C82" s="7">
        <f>SUMPRODUCT($C$3:$X$3,'batch tool'!$B76:$W76)+$Y$3</f>
        <v>-36.514029388465531</v>
      </c>
      <c r="D82" s="7">
        <f>SUMPRODUCT($C$4:$X$4,'batch tool'!$B76:$W76)+$Y$4</f>
        <v>-44.639843068043824</v>
      </c>
      <c r="E82" s="7">
        <f>SUMPRODUCT($C$5:$X$5,'batch tool'!$B76:$W76)+$Y$5</f>
        <v>-51.578889182477603</v>
      </c>
      <c r="F82" s="7">
        <f>SUMPRODUCT($C$6:$X$6,'batch tool'!$B76:$W76)+$Y$6</f>
        <v>-47.741473633885199</v>
      </c>
      <c r="G82" s="7">
        <f>SUMPRODUCT($C$7:$X$7,'batch tool'!$B76:$W76)+$Y$7</f>
        <v>-19.739516238059196</v>
      </c>
      <c r="H82" s="7">
        <f t="shared" si="2"/>
        <v>-19.739516238059196</v>
      </c>
      <c r="I82">
        <f t="shared" si="3"/>
        <v>6</v>
      </c>
      <c r="J82" t="str" cm="1">
        <f t="array" ref="J82">INDEX($A$2:$A$7,I82)</f>
        <v>Segment 6- Self-Conscious Male</v>
      </c>
    </row>
    <row r="83" spans="1:10" x14ac:dyDescent="0.25">
      <c r="A83" s="1">
        <f>'batch tool'!A77</f>
        <v>0</v>
      </c>
      <c r="B83" s="7">
        <f>SUMPRODUCT($C$2:$X$2,'batch tool'!$B77:$W77)+$Y$2</f>
        <v>-49.12272534143483</v>
      </c>
      <c r="C83" s="7">
        <f>SUMPRODUCT($C$3:$X$3,'batch tool'!$B77:$W77)+$Y$3</f>
        <v>-36.514029388465531</v>
      </c>
      <c r="D83" s="7">
        <f>SUMPRODUCT($C$4:$X$4,'batch tool'!$B77:$W77)+$Y$4</f>
        <v>-44.639843068043824</v>
      </c>
      <c r="E83" s="7">
        <f>SUMPRODUCT($C$5:$X$5,'batch tool'!$B77:$W77)+$Y$5</f>
        <v>-51.578889182477603</v>
      </c>
      <c r="F83" s="7">
        <f>SUMPRODUCT($C$6:$X$6,'batch tool'!$B77:$W77)+$Y$6</f>
        <v>-47.741473633885199</v>
      </c>
      <c r="G83" s="7">
        <f>SUMPRODUCT($C$7:$X$7,'batch tool'!$B77:$W77)+$Y$7</f>
        <v>-19.739516238059196</v>
      </c>
      <c r="H83" s="7">
        <f t="shared" si="2"/>
        <v>-19.739516238059196</v>
      </c>
      <c r="I83">
        <f t="shared" si="3"/>
        <v>6</v>
      </c>
      <c r="J83" t="str" cm="1">
        <f t="array" ref="J83">INDEX($A$2:$A$7,I83)</f>
        <v>Segment 6- Self-Conscious Male</v>
      </c>
    </row>
    <row r="84" spans="1:10" x14ac:dyDescent="0.25">
      <c r="A84" s="1">
        <f>'batch tool'!A78</f>
        <v>0</v>
      </c>
      <c r="B84" s="7">
        <f>SUMPRODUCT($C$2:$X$2,'batch tool'!$B78:$W78)+$Y$2</f>
        <v>-49.12272534143483</v>
      </c>
      <c r="C84" s="7">
        <f>SUMPRODUCT($C$3:$X$3,'batch tool'!$B78:$W78)+$Y$3</f>
        <v>-36.514029388465531</v>
      </c>
      <c r="D84" s="7">
        <f>SUMPRODUCT($C$4:$X$4,'batch tool'!$B78:$W78)+$Y$4</f>
        <v>-44.639843068043824</v>
      </c>
      <c r="E84" s="7">
        <f>SUMPRODUCT($C$5:$X$5,'batch tool'!$B78:$W78)+$Y$5</f>
        <v>-51.578889182477603</v>
      </c>
      <c r="F84" s="7">
        <f>SUMPRODUCT($C$6:$X$6,'batch tool'!$B78:$W78)+$Y$6</f>
        <v>-47.741473633885199</v>
      </c>
      <c r="G84" s="7">
        <f>SUMPRODUCT($C$7:$X$7,'batch tool'!$B78:$W78)+$Y$7</f>
        <v>-19.739516238059196</v>
      </c>
      <c r="H84" s="7">
        <f t="shared" si="2"/>
        <v>-19.739516238059196</v>
      </c>
      <c r="I84">
        <f t="shared" si="3"/>
        <v>6</v>
      </c>
      <c r="J84" t="str" cm="1">
        <f t="array" ref="J84">INDEX($A$2:$A$7,I84)</f>
        <v>Segment 6- Self-Conscious Male</v>
      </c>
    </row>
    <row r="85" spans="1:10" x14ac:dyDescent="0.25">
      <c r="A85" s="1">
        <f>'batch tool'!A79</f>
        <v>0</v>
      </c>
      <c r="B85" s="7">
        <f>SUMPRODUCT($C$2:$X$2,'batch tool'!$B79:$W79)+$Y$2</f>
        <v>-49.12272534143483</v>
      </c>
      <c r="C85" s="7">
        <f>SUMPRODUCT($C$3:$X$3,'batch tool'!$B79:$W79)+$Y$3</f>
        <v>-36.514029388465531</v>
      </c>
      <c r="D85" s="7">
        <f>SUMPRODUCT($C$4:$X$4,'batch tool'!$B79:$W79)+$Y$4</f>
        <v>-44.639843068043824</v>
      </c>
      <c r="E85" s="7">
        <f>SUMPRODUCT($C$5:$X$5,'batch tool'!$B79:$W79)+$Y$5</f>
        <v>-51.578889182477603</v>
      </c>
      <c r="F85" s="7">
        <f>SUMPRODUCT($C$6:$X$6,'batch tool'!$B79:$W79)+$Y$6</f>
        <v>-47.741473633885199</v>
      </c>
      <c r="G85" s="7">
        <f>SUMPRODUCT($C$7:$X$7,'batch tool'!$B79:$W79)+$Y$7</f>
        <v>-19.739516238059196</v>
      </c>
      <c r="H85" s="7">
        <f t="shared" si="2"/>
        <v>-19.739516238059196</v>
      </c>
      <c r="I85">
        <f t="shared" si="3"/>
        <v>6</v>
      </c>
      <c r="J85" t="str" cm="1">
        <f t="array" ref="J85">INDEX($A$2:$A$7,I85)</f>
        <v>Segment 6- Self-Conscious Male</v>
      </c>
    </row>
    <row r="86" spans="1:10" x14ac:dyDescent="0.25">
      <c r="A86" s="1">
        <f>'batch tool'!A80</f>
        <v>0</v>
      </c>
      <c r="B86" s="7">
        <f>SUMPRODUCT($C$2:$X$2,'batch tool'!$B80:$W80)+$Y$2</f>
        <v>-49.12272534143483</v>
      </c>
      <c r="C86" s="7">
        <f>SUMPRODUCT($C$3:$X$3,'batch tool'!$B80:$W80)+$Y$3</f>
        <v>-36.514029388465531</v>
      </c>
      <c r="D86" s="7">
        <f>SUMPRODUCT($C$4:$X$4,'batch tool'!$B80:$W80)+$Y$4</f>
        <v>-44.639843068043824</v>
      </c>
      <c r="E86" s="7">
        <f>SUMPRODUCT($C$5:$X$5,'batch tool'!$B80:$W80)+$Y$5</f>
        <v>-51.578889182477603</v>
      </c>
      <c r="F86" s="7">
        <f>SUMPRODUCT($C$6:$X$6,'batch tool'!$B80:$W80)+$Y$6</f>
        <v>-47.741473633885199</v>
      </c>
      <c r="G86" s="7">
        <f>SUMPRODUCT($C$7:$X$7,'batch tool'!$B80:$W80)+$Y$7</f>
        <v>-19.739516238059196</v>
      </c>
      <c r="H86" s="7">
        <f t="shared" si="2"/>
        <v>-19.739516238059196</v>
      </c>
      <c r="I86">
        <f t="shared" si="3"/>
        <v>6</v>
      </c>
      <c r="J86" t="str" cm="1">
        <f t="array" ref="J86">INDEX($A$2:$A$7,I86)</f>
        <v>Segment 6- Self-Conscious Male</v>
      </c>
    </row>
    <row r="87" spans="1:10" x14ac:dyDescent="0.25">
      <c r="A87" s="1">
        <f>'batch tool'!A81</f>
        <v>0</v>
      </c>
      <c r="B87" s="7">
        <f>SUMPRODUCT($C$2:$X$2,'batch tool'!$B81:$W81)+$Y$2</f>
        <v>-49.12272534143483</v>
      </c>
      <c r="C87" s="7">
        <f>SUMPRODUCT($C$3:$X$3,'batch tool'!$B81:$W81)+$Y$3</f>
        <v>-36.514029388465531</v>
      </c>
      <c r="D87" s="7">
        <f>SUMPRODUCT($C$4:$X$4,'batch tool'!$B81:$W81)+$Y$4</f>
        <v>-44.639843068043824</v>
      </c>
      <c r="E87" s="7">
        <f>SUMPRODUCT($C$5:$X$5,'batch tool'!$B81:$W81)+$Y$5</f>
        <v>-51.578889182477603</v>
      </c>
      <c r="F87" s="7">
        <f>SUMPRODUCT($C$6:$X$6,'batch tool'!$B81:$W81)+$Y$6</f>
        <v>-47.741473633885199</v>
      </c>
      <c r="G87" s="7">
        <f>SUMPRODUCT($C$7:$X$7,'batch tool'!$B81:$W81)+$Y$7</f>
        <v>-19.739516238059196</v>
      </c>
      <c r="H87" s="7">
        <f t="shared" si="2"/>
        <v>-19.739516238059196</v>
      </c>
      <c r="I87">
        <f t="shared" si="3"/>
        <v>6</v>
      </c>
      <c r="J87" t="str" cm="1">
        <f t="array" ref="J87">INDEX($A$2:$A$7,I87)</f>
        <v>Segment 6- Self-Conscious Male</v>
      </c>
    </row>
    <row r="88" spans="1:10" x14ac:dyDescent="0.25">
      <c r="A88" s="1">
        <f>'batch tool'!A82</f>
        <v>0</v>
      </c>
      <c r="B88" s="7">
        <f>SUMPRODUCT($C$2:$X$2,'batch tool'!$B82:$W82)+$Y$2</f>
        <v>-49.12272534143483</v>
      </c>
      <c r="C88" s="7">
        <f>SUMPRODUCT($C$3:$X$3,'batch tool'!$B82:$W82)+$Y$3</f>
        <v>-36.514029388465531</v>
      </c>
      <c r="D88" s="7">
        <f>SUMPRODUCT($C$4:$X$4,'batch tool'!$B82:$W82)+$Y$4</f>
        <v>-44.639843068043824</v>
      </c>
      <c r="E88" s="7">
        <f>SUMPRODUCT($C$5:$X$5,'batch tool'!$B82:$W82)+$Y$5</f>
        <v>-51.578889182477603</v>
      </c>
      <c r="F88" s="7">
        <f>SUMPRODUCT($C$6:$X$6,'batch tool'!$B82:$W82)+$Y$6</f>
        <v>-47.741473633885199</v>
      </c>
      <c r="G88" s="7">
        <f>SUMPRODUCT($C$7:$X$7,'batch tool'!$B82:$W82)+$Y$7</f>
        <v>-19.739516238059196</v>
      </c>
      <c r="H88" s="7">
        <f t="shared" si="2"/>
        <v>-19.739516238059196</v>
      </c>
      <c r="I88">
        <f t="shared" si="3"/>
        <v>6</v>
      </c>
      <c r="J88" t="str" cm="1">
        <f t="array" ref="J88">INDEX($A$2:$A$7,I88)</f>
        <v>Segment 6- Self-Conscious Male</v>
      </c>
    </row>
    <row r="89" spans="1:10" x14ac:dyDescent="0.25">
      <c r="A89" s="1">
        <f>'batch tool'!A83</f>
        <v>0</v>
      </c>
      <c r="B89" s="7">
        <f>SUMPRODUCT($C$2:$X$2,'batch tool'!$B83:$W83)+$Y$2</f>
        <v>-49.12272534143483</v>
      </c>
      <c r="C89" s="7">
        <f>SUMPRODUCT($C$3:$X$3,'batch tool'!$B83:$W83)+$Y$3</f>
        <v>-36.514029388465531</v>
      </c>
      <c r="D89" s="7">
        <f>SUMPRODUCT($C$4:$X$4,'batch tool'!$B83:$W83)+$Y$4</f>
        <v>-44.639843068043824</v>
      </c>
      <c r="E89" s="7">
        <f>SUMPRODUCT($C$5:$X$5,'batch tool'!$B83:$W83)+$Y$5</f>
        <v>-51.578889182477603</v>
      </c>
      <c r="F89" s="7">
        <f>SUMPRODUCT($C$6:$X$6,'batch tool'!$B83:$W83)+$Y$6</f>
        <v>-47.741473633885199</v>
      </c>
      <c r="G89" s="7">
        <f>SUMPRODUCT($C$7:$X$7,'batch tool'!$B83:$W83)+$Y$7</f>
        <v>-19.739516238059196</v>
      </c>
      <c r="H89" s="7">
        <f t="shared" si="2"/>
        <v>-19.739516238059196</v>
      </c>
      <c r="I89">
        <f t="shared" si="3"/>
        <v>6</v>
      </c>
      <c r="J89" t="str" cm="1">
        <f t="array" ref="J89">INDEX($A$2:$A$7,I89)</f>
        <v>Segment 6- Self-Conscious Male</v>
      </c>
    </row>
    <row r="90" spans="1:10" x14ac:dyDescent="0.25">
      <c r="A90" s="1">
        <f>'batch tool'!A84</f>
        <v>0</v>
      </c>
      <c r="B90" s="7">
        <f>SUMPRODUCT($C$2:$X$2,'batch tool'!$B84:$W84)+$Y$2</f>
        <v>-49.12272534143483</v>
      </c>
      <c r="C90" s="7">
        <f>SUMPRODUCT($C$3:$X$3,'batch tool'!$B84:$W84)+$Y$3</f>
        <v>-36.514029388465531</v>
      </c>
      <c r="D90" s="7">
        <f>SUMPRODUCT($C$4:$X$4,'batch tool'!$B84:$W84)+$Y$4</f>
        <v>-44.639843068043824</v>
      </c>
      <c r="E90" s="7">
        <f>SUMPRODUCT($C$5:$X$5,'batch tool'!$B84:$W84)+$Y$5</f>
        <v>-51.578889182477603</v>
      </c>
      <c r="F90" s="7">
        <f>SUMPRODUCT($C$6:$X$6,'batch tool'!$B84:$W84)+$Y$6</f>
        <v>-47.741473633885199</v>
      </c>
      <c r="G90" s="7">
        <f>SUMPRODUCT($C$7:$X$7,'batch tool'!$B84:$W84)+$Y$7</f>
        <v>-19.739516238059196</v>
      </c>
      <c r="H90" s="7">
        <f t="shared" si="2"/>
        <v>-19.739516238059196</v>
      </c>
      <c r="I90">
        <f t="shared" si="3"/>
        <v>6</v>
      </c>
      <c r="J90" t="str" cm="1">
        <f t="array" ref="J90">INDEX($A$2:$A$7,I90)</f>
        <v>Segment 6- Self-Conscious Male</v>
      </c>
    </row>
    <row r="91" spans="1:10" x14ac:dyDescent="0.25">
      <c r="A91" s="1">
        <f>'batch tool'!A85</f>
        <v>0</v>
      </c>
      <c r="B91" s="7">
        <f>SUMPRODUCT($C$2:$X$2,'batch tool'!$B85:$W85)+$Y$2</f>
        <v>-49.12272534143483</v>
      </c>
      <c r="C91" s="7">
        <f>SUMPRODUCT($C$3:$X$3,'batch tool'!$B85:$W85)+$Y$3</f>
        <v>-36.514029388465531</v>
      </c>
      <c r="D91" s="7">
        <f>SUMPRODUCT($C$4:$X$4,'batch tool'!$B85:$W85)+$Y$4</f>
        <v>-44.639843068043824</v>
      </c>
      <c r="E91" s="7">
        <f>SUMPRODUCT($C$5:$X$5,'batch tool'!$B85:$W85)+$Y$5</f>
        <v>-51.578889182477603</v>
      </c>
      <c r="F91" s="7">
        <f>SUMPRODUCT($C$6:$X$6,'batch tool'!$B85:$W85)+$Y$6</f>
        <v>-47.741473633885199</v>
      </c>
      <c r="G91" s="7">
        <f>SUMPRODUCT($C$7:$X$7,'batch tool'!$B85:$W85)+$Y$7</f>
        <v>-19.739516238059196</v>
      </c>
      <c r="H91" s="7">
        <f t="shared" si="2"/>
        <v>-19.739516238059196</v>
      </c>
      <c r="I91">
        <f t="shared" si="3"/>
        <v>6</v>
      </c>
      <c r="J91" t="str" cm="1">
        <f t="array" ref="J91">INDEX($A$2:$A$7,I91)</f>
        <v>Segment 6- Self-Conscious Male</v>
      </c>
    </row>
    <row r="92" spans="1:10" x14ac:dyDescent="0.25">
      <c r="A92" s="1">
        <f>'batch tool'!A86</f>
        <v>0</v>
      </c>
      <c r="B92" s="7">
        <f>SUMPRODUCT($C$2:$X$2,'batch tool'!$B86:$W86)+$Y$2</f>
        <v>-49.12272534143483</v>
      </c>
      <c r="C92" s="7">
        <f>SUMPRODUCT($C$3:$X$3,'batch tool'!$B86:$W86)+$Y$3</f>
        <v>-36.514029388465531</v>
      </c>
      <c r="D92" s="7">
        <f>SUMPRODUCT($C$4:$X$4,'batch tool'!$B86:$W86)+$Y$4</f>
        <v>-44.639843068043824</v>
      </c>
      <c r="E92" s="7">
        <f>SUMPRODUCT($C$5:$X$5,'batch tool'!$B86:$W86)+$Y$5</f>
        <v>-51.578889182477603</v>
      </c>
      <c r="F92" s="7">
        <f>SUMPRODUCT($C$6:$X$6,'batch tool'!$B86:$W86)+$Y$6</f>
        <v>-47.741473633885199</v>
      </c>
      <c r="G92" s="7">
        <f>SUMPRODUCT($C$7:$X$7,'batch tool'!$B86:$W86)+$Y$7</f>
        <v>-19.739516238059196</v>
      </c>
      <c r="H92" s="7">
        <f t="shared" si="2"/>
        <v>-19.739516238059196</v>
      </c>
      <c r="I92">
        <f t="shared" si="3"/>
        <v>6</v>
      </c>
      <c r="J92" t="str" cm="1">
        <f t="array" ref="J92">INDEX($A$2:$A$7,I92)</f>
        <v>Segment 6- Self-Conscious Male</v>
      </c>
    </row>
    <row r="93" spans="1:10" x14ac:dyDescent="0.25">
      <c r="A93" s="1">
        <f>'batch tool'!A87</f>
        <v>0</v>
      </c>
      <c r="B93" s="7">
        <f>SUMPRODUCT($C$2:$X$2,'batch tool'!$B87:$W87)+$Y$2</f>
        <v>-49.12272534143483</v>
      </c>
      <c r="C93" s="7">
        <f>SUMPRODUCT($C$3:$X$3,'batch tool'!$B87:$W87)+$Y$3</f>
        <v>-36.514029388465531</v>
      </c>
      <c r="D93" s="7">
        <f>SUMPRODUCT($C$4:$X$4,'batch tool'!$B87:$W87)+$Y$4</f>
        <v>-44.639843068043824</v>
      </c>
      <c r="E93" s="7">
        <f>SUMPRODUCT($C$5:$X$5,'batch tool'!$B87:$W87)+$Y$5</f>
        <v>-51.578889182477603</v>
      </c>
      <c r="F93" s="7">
        <f>SUMPRODUCT($C$6:$X$6,'batch tool'!$B87:$W87)+$Y$6</f>
        <v>-47.741473633885199</v>
      </c>
      <c r="G93" s="7">
        <f>SUMPRODUCT($C$7:$X$7,'batch tool'!$B87:$W87)+$Y$7</f>
        <v>-19.739516238059196</v>
      </c>
      <c r="H93" s="7">
        <f t="shared" si="2"/>
        <v>-19.739516238059196</v>
      </c>
      <c r="I93">
        <f t="shared" si="3"/>
        <v>6</v>
      </c>
      <c r="J93" t="str" cm="1">
        <f t="array" ref="J93">INDEX($A$2:$A$7,I93)</f>
        <v>Segment 6- Self-Conscious Male</v>
      </c>
    </row>
    <row r="94" spans="1:10" x14ac:dyDescent="0.25">
      <c r="A94" s="1">
        <f>'batch tool'!A88</f>
        <v>0</v>
      </c>
      <c r="B94" s="7">
        <f>SUMPRODUCT($C$2:$X$2,'batch tool'!$B88:$W88)+$Y$2</f>
        <v>-49.12272534143483</v>
      </c>
      <c r="C94" s="7">
        <f>SUMPRODUCT($C$3:$X$3,'batch tool'!$B88:$W88)+$Y$3</f>
        <v>-36.514029388465531</v>
      </c>
      <c r="D94" s="7">
        <f>SUMPRODUCT($C$4:$X$4,'batch tool'!$B88:$W88)+$Y$4</f>
        <v>-44.639843068043824</v>
      </c>
      <c r="E94" s="7">
        <f>SUMPRODUCT($C$5:$X$5,'batch tool'!$B88:$W88)+$Y$5</f>
        <v>-51.578889182477603</v>
      </c>
      <c r="F94" s="7">
        <f>SUMPRODUCT($C$6:$X$6,'batch tool'!$B88:$W88)+$Y$6</f>
        <v>-47.741473633885199</v>
      </c>
      <c r="G94" s="7">
        <f>SUMPRODUCT($C$7:$X$7,'batch tool'!$B88:$W88)+$Y$7</f>
        <v>-19.739516238059196</v>
      </c>
      <c r="H94" s="7">
        <f t="shared" si="2"/>
        <v>-19.739516238059196</v>
      </c>
      <c r="I94">
        <f t="shared" si="3"/>
        <v>6</v>
      </c>
      <c r="J94" t="str" cm="1">
        <f t="array" ref="J94">INDEX($A$2:$A$7,I94)</f>
        <v>Segment 6- Self-Conscious Male</v>
      </c>
    </row>
    <row r="95" spans="1:10" x14ac:dyDescent="0.25">
      <c r="A95" s="1">
        <f>'batch tool'!A89</f>
        <v>0</v>
      </c>
      <c r="B95" s="7">
        <f>SUMPRODUCT($C$2:$X$2,'batch tool'!$B89:$W89)+$Y$2</f>
        <v>-49.12272534143483</v>
      </c>
      <c r="C95" s="7">
        <f>SUMPRODUCT($C$3:$X$3,'batch tool'!$B89:$W89)+$Y$3</f>
        <v>-36.514029388465531</v>
      </c>
      <c r="D95" s="7">
        <f>SUMPRODUCT($C$4:$X$4,'batch tool'!$B89:$W89)+$Y$4</f>
        <v>-44.639843068043824</v>
      </c>
      <c r="E95" s="7">
        <f>SUMPRODUCT($C$5:$X$5,'batch tool'!$B89:$W89)+$Y$5</f>
        <v>-51.578889182477603</v>
      </c>
      <c r="F95" s="7">
        <f>SUMPRODUCT($C$6:$X$6,'batch tool'!$B89:$W89)+$Y$6</f>
        <v>-47.741473633885199</v>
      </c>
      <c r="G95" s="7">
        <f>SUMPRODUCT($C$7:$X$7,'batch tool'!$B89:$W89)+$Y$7</f>
        <v>-19.739516238059196</v>
      </c>
      <c r="H95" s="7">
        <f t="shared" si="2"/>
        <v>-19.739516238059196</v>
      </c>
      <c r="I95">
        <f t="shared" si="3"/>
        <v>6</v>
      </c>
      <c r="J95" t="str" cm="1">
        <f t="array" ref="J95">INDEX($A$2:$A$7,I95)</f>
        <v>Segment 6- Self-Conscious Male</v>
      </c>
    </row>
    <row r="96" spans="1:10" x14ac:dyDescent="0.25">
      <c r="A96" s="1">
        <f>'batch tool'!A90</f>
        <v>0</v>
      </c>
      <c r="B96" s="7">
        <f>SUMPRODUCT($C$2:$X$2,'batch tool'!$B90:$W90)+$Y$2</f>
        <v>-49.12272534143483</v>
      </c>
      <c r="C96" s="7">
        <f>SUMPRODUCT($C$3:$X$3,'batch tool'!$B90:$W90)+$Y$3</f>
        <v>-36.514029388465531</v>
      </c>
      <c r="D96" s="7">
        <f>SUMPRODUCT($C$4:$X$4,'batch tool'!$B90:$W90)+$Y$4</f>
        <v>-44.639843068043824</v>
      </c>
      <c r="E96" s="7">
        <f>SUMPRODUCT($C$5:$X$5,'batch tool'!$B90:$W90)+$Y$5</f>
        <v>-51.578889182477603</v>
      </c>
      <c r="F96" s="7">
        <f>SUMPRODUCT($C$6:$X$6,'batch tool'!$B90:$W90)+$Y$6</f>
        <v>-47.741473633885199</v>
      </c>
      <c r="G96" s="7">
        <f>SUMPRODUCT($C$7:$X$7,'batch tool'!$B90:$W90)+$Y$7</f>
        <v>-19.739516238059196</v>
      </c>
      <c r="H96" s="7">
        <f t="shared" si="2"/>
        <v>-19.739516238059196</v>
      </c>
      <c r="I96">
        <f t="shared" si="3"/>
        <v>6</v>
      </c>
      <c r="J96" t="str" cm="1">
        <f t="array" ref="J96">INDEX($A$2:$A$7,I96)</f>
        <v>Segment 6- Self-Conscious Male</v>
      </c>
    </row>
    <row r="97" spans="1:10" x14ac:dyDescent="0.25">
      <c r="A97" s="1">
        <f>'batch tool'!A91</f>
        <v>0</v>
      </c>
      <c r="B97" s="7">
        <f>SUMPRODUCT($C$2:$X$2,'batch tool'!$B91:$W91)+$Y$2</f>
        <v>-49.12272534143483</v>
      </c>
      <c r="C97" s="7">
        <f>SUMPRODUCT($C$3:$X$3,'batch tool'!$B91:$W91)+$Y$3</f>
        <v>-36.514029388465531</v>
      </c>
      <c r="D97" s="7">
        <f>SUMPRODUCT($C$4:$X$4,'batch tool'!$B91:$W91)+$Y$4</f>
        <v>-44.639843068043824</v>
      </c>
      <c r="E97" s="7">
        <f>SUMPRODUCT($C$5:$X$5,'batch tool'!$B91:$W91)+$Y$5</f>
        <v>-51.578889182477603</v>
      </c>
      <c r="F97" s="7">
        <f>SUMPRODUCT($C$6:$X$6,'batch tool'!$B91:$W91)+$Y$6</f>
        <v>-47.741473633885199</v>
      </c>
      <c r="G97" s="7">
        <f>SUMPRODUCT($C$7:$X$7,'batch tool'!$B91:$W91)+$Y$7</f>
        <v>-19.739516238059196</v>
      </c>
      <c r="H97" s="7">
        <f t="shared" si="2"/>
        <v>-19.739516238059196</v>
      </c>
      <c r="I97">
        <f t="shared" si="3"/>
        <v>6</v>
      </c>
      <c r="J97" t="str" cm="1">
        <f t="array" ref="J97">INDEX($A$2:$A$7,I97)</f>
        <v>Segment 6- Self-Conscious Male</v>
      </c>
    </row>
    <row r="98" spans="1:10" x14ac:dyDescent="0.25">
      <c r="A98" s="1">
        <f>'batch tool'!A92</f>
        <v>0</v>
      </c>
      <c r="B98" s="7">
        <f>SUMPRODUCT($C$2:$X$2,'batch tool'!$B92:$W92)+$Y$2</f>
        <v>-49.12272534143483</v>
      </c>
      <c r="C98" s="7">
        <f>SUMPRODUCT($C$3:$X$3,'batch tool'!$B92:$W92)+$Y$3</f>
        <v>-36.514029388465531</v>
      </c>
      <c r="D98" s="7">
        <f>SUMPRODUCT($C$4:$X$4,'batch tool'!$B92:$W92)+$Y$4</f>
        <v>-44.639843068043824</v>
      </c>
      <c r="E98" s="7">
        <f>SUMPRODUCT($C$5:$X$5,'batch tool'!$B92:$W92)+$Y$5</f>
        <v>-51.578889182477603</v>
      </c>
      <c r="F98" s="7">
        <f>SUMPRODUCT($C$6:$X$6,'batch tool'!$B92:$W92)+$Y$6</f>
        <v>-47.741473633885199</v>
      </c>
      <c r="G98" s="7">
        <f>SUMPRODUCT($C$7:$X$7,'batch tool'!$B92:$W92)+$Y$7</f>
        <v>-19.739516238059196</v>
      </c>
      <c r="H98" s="7">
        <f t="shared" si="2"/>
        <v>-19.739516238059196</v>
      </c>
      <c r="I98">
        <f t="shared" si="3"/>
        <v>6</v>
      </c>
      <c r="J98" t="str" cm="1">
        <f t="array" ref="J98">INDEX($A$2:$A$7,I98)</f>
        <v>Segment 6- Self-Conscious Male</v>
      </c>
    </row>
    <row r="99" spans="1:10" x14ac:dyDescent="0.25">
      <c r="A99" s="1">
        <f>'batch tool'!A93</f>
        <v>0</v>
      </c>
      <c r="B99" s="7">
        <f>SUMPRODUCT($C$2:$X$2,'batch tool'!$B93:$W93)+$Y$2</f>
        <v>-49.12272534143483</v>
      </c>
      <c r="C99" s="7">
        <f>SUMPRODUCT($C$3:$X$3,'batch tool'!$B93:$W93)+$Y$3</f>
        <v>-36.514029388465531</v>
      </c>
      <c r="D99" s="7">
        <f>SUMPRODUCT($C$4:$X$4,'batch tool'!$B93:$W93)+$Y$4</f>
        <v>-44.639843068043824</v>
      </c>
      <c r="E99" s="7">
        <f>SUMPRODUCT($C$5:$X$5,'batch tool'!$B93:$W93)+$Y$5</f>
        <v>-51.578889182477603</v>
      </c>
      <c r="F99" s="7">
        <f>SUMPRODUCT($C$6:$X$6,'batch tool'!$B93:$W93)+$Y$6</f>
        <v>-47.741473633885199</v>
      </c>
      <c r="G99" s="7">
        <f>SUMPRODUCT($C$7:$X$7,'batch tool'!$B93:$W93)+$Y$7</f>
        <v>-19.739516238059196</v>
      </c>
      <c r="H99" s="7">
        <f t="shared" si="2"/>
        <v>-19.739516238059196</v>
      </c>
      <c r="I99">
        <f t="shared" si="3"/>
        <v>6</v>
      </c>
      <c r="J99" t="str" cm="1">
        <f t="array" ref="J99">INDEX($A$2:$A$7,I99)</f>
        <v>Segment 6- Self-Conscious Male</v>
      </c>
    </row>
    <row r="100" spans="1:10" x14ac:dyDescent="0.25">
      <c r="A100" s="1">
        <f>'batch tool'!A94</f>
        <v>0</v>
      </c>
      <c r="B100" s="7">
        <f>SUMPRODUCT($C$2:$X$2,'batch tool'!$B94:$W94)+$Y$2</f>
        <v>-49.12272534143483</v>
      </c>
      <c r="C100" s="7">
        <f>SUMPRODUCT($C$3:$X$3,'batch tool'!$B94:$W94)+$Y$3</f>
        <v>-36.514029388465531</v>
      </c>
      <c r="D100" s="7">
        <f>SUMPRODUCT($C$4:$X$4,'batch tool'!$B94:$W94)+$Y$4</f>
        <v>-44.639843068043824</v>
      </c>
      <c r="E100" s="7">
        <f>SUMPRODUCT($C$5:$X$5,'batch tool'!$B94:$W94)+$Y$5</f>
        <v>-51.578889182477603</v>
      </c>
      <c r="F100" s="7">
        <f>SUMPRODUCT($C$6:$X$6,'batch tool'!$B94:$W94)+$Y$6</f>
        <v>-47.741473633885199</v>
      </c>
      <c r="G100" s="7">
        <f>SUMPRODUCT($C$7:$X$7,'batch tool'!$B94:$W94)+$Y$7</f>
        <v>-19.739516238059196</v>
      </c>
      <c r="H100" s="7">
        <f t="shared" si="2"/>
        <v>-19.739516238059196</v>
      </c>
      <c r="I100">
        <f t="shared" si="3"/>
        <v>6</v>
      </c>
      <c r="J100" t="str" cm="1">
        <f t="array" ref="J100">INDEX($A$2:$A$7,I100)</f>
        <v>Segment 6- Self-Conscious Male</v>
      </c>
    </row>
    <row r="101" spans="1:10" x14ac:dyDescent="0.25">
      <c r="A101" s="1">
        <f>'batch tool'!A95</f>
        <v>0</v>
      </c>
      <c r="B101" s="7">
        <f>SUMPRODUCT($C$2:$X$2,'batch tool'!$B95:$W95)+$Y$2</f>
        <v>-49.12272534143483</v>
      </c>
      <c r="C101" s="7">
        <f>SUMPRODUCT($C$3:$X$3,'batch tool'!$B95:$W95)+$Y$3</f>
        <v>-36.514029388465531</v>
      </c>
      <c r="D101" s="7">
        <f>SUMPRODUCT($C$4:$X$4,'batch tool'!$B95:$W95)+$Y$4</f>
        <v>-44.639843068043824</v>
      </c>
      <c r="E101" s="7">
        <f>SUMPRODUCT($C$5:$X$5,'batch tool'!$B95:$W95)+$Y$5</f>
        <v>-51.578889182477603</v>
      </c>
      <c r="F101" s="7">
        <f>SUMPRODUCT($C$6:$X$6,'batch tool'!$B95:$W95)+$Y$6</f>
        <v>-47.741473633885199</v>
      </c>
      <c r="G101" s="7">
        <f>SUMPRODUCT($C$7:$X$7,'batch tool'!$B95:$W95)+$Y$7</f>
        <v>-19.739516238059196</v>
      </c>
      <c r="H101" s="7">
        <f t="shared" si="2"/>
        <v>-19.739516238059196</v>
      </c>
      <c r="I101">
        <f t="shared" si="3"/>
        <v>6</v>
      </c>
      <c r="J101" t="str" cm="1">
        <f t="array" ref="J101">INDEX($A$2:$A$7,I101)</f>
        <v>Segment 6- Self-Conscious Male</v>
      </c>
    </row>
    <row r="102" spans="1:10" x14ac:dyDescent="0.25">
      <c r="A102" s="1">
        <f>'batch tool'!A96</f>
        <v>0</v>
      </c>
      <c r="B102" s="7">
        <f>SUMPRODUCT($C$2:$X$2,'batch tool'!$B96:$W96)+$Y$2</f>
        <v>-49.12272534143483</v>
      </c>
      <c r="C102" s="7">
        <f>SUMPRODUCT($C$3:$X$3,'batch tool'!$B96:$W96)+$Y$3</f>
        <v>-36.514029388465531</v>
      </c>
      <c r="D102" s="7">
        <f>SUMPRODUCT($C$4:$X$4,'batch tool'!$B96:$W96)+$Y$4</f>
        <v>-44.639843068043824</v>
      </c>
      <c r="E102" s="7">
        <f>SUMPRODUCT($C$5:$X$5,'batch tool'!$B96:$W96)+$Y$5</f>
        <v>-51.578889182477603</v>
      </c>
      <c r="F102" s="7">
        <f>SUMPRODUCT($C$6:$X$6,'batch tool'!$B96:$W96)+$Y$6</f>
        <v>-47.741473633885199</v>
      </c>
      <c r="G102" s="7">
        <f>SUMPRODUCT($C$7:$X$7,'batch tool'!$B96:$W96)+$Y$7</f>
        <v>-19.739516238059196</v>
      </c>
      <c r="H102" s="7">
        <f t="shared" si="2"/>
        <v>-19.739516238059196</v>
      </c>
      <c r="I102">
        <f t="shared" si="3"/>
        <v>6</v>
      </c>
      <c r="J102" t="str" cm="1">
        <f t="array" ref="J102">INDEX($A$2:$A$7,I102)</f>
        <v>Segment 6- Self-Conscious Male</v>
      </c>
    </row>
    <row r="103" spans="1:10" x14ac:dyDescent="0.25">
      <c r="A103" s="1">
        <f>'batch tool'!A97</f>
        <v>0</v>
      </c>
      <c r="B103" s="7">
        <f>SUMPRODUCT($C$2:$X$2,'batch tool'!$B97:$W97)+$Y$2</f>
        <v>-49.12272534143483</v>
      </c>
      <c r="C103" s="7">
        <f>SUMPRODUCT($C$3:$X$3,'batch tool'!$B97:$W97)+$Y$3</f>
        <v>-36.514029388465531</v>
      </c>
      <c r="D103" s="7">
        <f>SUMPRODUCT($C$4:$X$4,'batch tool'!$B97:$W97)+$Y$4</f>
        <v>-44.639843068043824</v>
      </c>
      <c r="E103" s="7">
        <f>SUMPRODUCT($C$5:$X$5,'batch tool'!$B97:$W97)+$Y$5</f>
        <v>-51.578889182477603</v>
      </c>
      <c r="F103" s="7">
        <f>SUMPRODUCT($C$6:$X$6,'batch tool'!$B97:$W97)+$Y$6</f>
        <v>-47.741473633885199</v>
      </c>
      <c r="G103" s="7">
        <f>SUMPRODUCT($C$7:$X$7,'batch tool'!$B97:$W97)+$Y$7</f>
        <v>-19.739516238059196</v>
      </c>
      <c r="H103" s="7">
        <f t="shared" si="2"/>
        <v>-19.739516238059196</v>
      </c>
      <c r="I103">
        <f t="shared" si="3"/>
        <v>6</v>
      </c>
      <c r="J103" t="str" cm="1">
        <f t="array" ref="J103">INDEX($A$2:$A$7,I103)</f>
        <v>Segment 6- Self-Conscious Male</v>
      </c>
    </row>
    <row r="104" spans="1:10" x14ac:dyDescent="0.25">
      <c r="A104" s="1">
        <f>'batch tool'!A98</f>
        <v>0</v>
      </c>
      <c r="B104" s="7">
        <f>SUMPRODUCT($C$2:$X$2,'batch tool'!$B98:$W98)+$Y$2</f>
        <v>-49.12272534143483</v>
      </c>
      <c r="C104" s="7">
        <f>SUMPRODUCT($C$3:$X$3,'batch tool'!$B98:$W98)+$Y$3</f>
        <v>-36.514029388465531</v>
      </c>
      <c r="D104" s="7">
        <f>SUMPRODUCT($C$4:$X$4,'batch tool'!$B98:$W98)+$Y$4</f>
        <v>-44.639843068043824</v>
      </c>
      <c r="E104" s="7">
        <f>SUMPRODUCT($C$5:$X$5,'batch tool'!$B98:$W98)+$Y$5</f>
        <v>-51.578889182477603</v>
      </c>
      <c r="F104" s="7">
        <f>SUMPRODUCT($C$6:$X$6,'batch tool'!$B98:$W98)+$Y$6</f>
        <v>-47.741473633885199</v>
      </c>
      <c r="G104" s="7">
        <f>SUMPRODUCT($C$7:$X$7,'batch tool'!$B98:$W98)+$Y$7</f>
        <v>-19.739516238059196</v>
      </c>
      <c r="H104" s="7">
        <f t="shared" si="2"/>
        <v>-19.739516238059196</v>
      </c>
      <c r="I104">
        <f t="shared" si="3"/>
        <v>6</v>
      </c>
      <c r="J104" t="str" cm="1">
        <f t="array" ref="J104">INDEX($A$2:$A$7,I104)</f>
        <v>Segment 6- Self-Conscious Male</v>
      </c>
    </row>
    <row r="105" spans="1:10" x14ac:dyDescent="0.25">
      <c r="A105" s="1">
        <f>'batch tool'!A99</f>
        <v>0</v>
      </c>
      <c r="B105" s="7">
        <f>SUMPRODUCT($C$2:$X$2,'batch tool'!$B99:$W99)+$Y$2</f>
        <v>-49.12272534143483</v>
      </c>
      <c r="C105" s="7">
        <f>SUMPRODUCT($C$3:$X$3,'batch tool'!$B99:$W99)+$Y$3</f>
        <v>-36.514029388465531</v>
      </c>
      <c r="D105" s="7">
        <f>SUMPRODUCT($C$4:$X$4,'batch tool'!$B99:$W99)+$Y$4</f>
        <v>-44.639843068043824</v>
      </c>
      <c r="E105" s="7">
        <f>SUMPRODUCT($C$5:$X$5,'batch tool'!$B99:$W99)+$Y$5</f>
        <v>-51.578889182477603</v>
      </c>
      <c r="F105" s="7">
        <f>SUMPRODUCT($C$6:$X$6,'batch tool'!$B99:$W99)+$Y$6</f>
        <v>-47.741473633885199</v>
      </c>
      <c r="G105" s="7">
        <f>SUMPRODUCT($C$7:$X$7,'batch tool'!$B99:$W99)+$Y$7</f>
        <v>-19.739516238059196</v>
      </c>
      <c r="H105" s="7">
        <f t="shared" si="2"/>
        <v>-19.739516238059196</v>
      </c>
      <c r="I105">
        <f t="shared" si="3"/>
        <v>6</v>
      </c>
      <c r="J105" t="str" cm="1">
        <f t="array" ref="J105">INDEX($A$2:$A$7,I105)</f>
        <v>Segment 6- Self-Conscious Male</v>
      </c>
    </row>
    <row r="106" spans="1:10" x14ac:dyDescent="0.25">
      <c r="A106" s="1">
        <f>'batch tool'!A100</f>
        <v>0</v>
      </c>
      <c r="B106" s="7">
        <f>SUMPRODUCT($C$2:$X$2,'batch tool'!$B100:$W100)+$Y$2</f>
        <v>-49.12272534143483</v>
      </c>
      <c r="C106" s="7">
        <f>SUMPRODUCT($C$3:$X$3,'batch tool'!$B100:$W100)+$Y$3</f>
        <v>-36.514029388465531</v>
      </c>
      <c r="D106" s="7">
        <f>SUMPRODUCT($C$4:$X$4,'batch tool'!$B100:$W100)+$Y$4</f>
        <v>-44.639843068043824</v>
      </c>
      <c r="E106" s="7">
        <f>SUMPRODUCT($C$5:$X$5,'batch tool'!$B100:$W100)+$Y$5</f>
        <v>-51.578889182477603</v>
      </c>
      <c r="F106" s="7">
        <f>SUMPRODUCT($C$6:$X$6,'batch tool'!$B100:$W100)+$Y$6</f>
        <v>-47.741473633885199</v>
      </c>
      <c r="G106" s="7">
        <f>SUMPRODUCT($C$7:$X$7,'batch tool'!$B100:$W100)+$Y$7</f>
        <v>-19.739516238059196</v>
      </c>
      <c r="H106" s="7">
        <f t="shared" si="2"/>
        <v>-19.739516238059196</v>
      </c>
      <c r="I106">
        <f t="shared" si="3"/>
        <v>6</v>
      </c>
      <c r="J106" t="str" cm="1">
        <f t="array" ref="J106">INDEX($A$2:$A$7,I106)</f>
        <v>Segment 6- Self-Conscious Male</v>
      </c>
    </row>
    <row r="107" spans="1:10" x14ac:dyDescent="0.25">
      <c r="A107" s="1">
        <f>'batch tool'!A101</f>
        <v>0</v>
      </c>
      <c r="B107" s="7">
        <f>SUMPRODUCT($C$2:$X$2,'batch tool'!$B101:$W101)+$Y$2</f>
        <v>-49.12272534143483</v>
      </c>
      <c r="C107" s="7">
        <f>SUMPRODUCT($C$3:$X$3,'batch tool'!$B101:$W101)+$Y$3</f>
        <v>-36.514029388465531</v>
      </c>
      <c r="D107" s="7">
        <f>SUMPRODUCT($C$4:$X$4,'batch tool'!$B101:$W101)+$Y$4</f>
        <v>-44.639843068043824</v>
      </c>
      <c r="E107" s="7">
        <f>SUMPRODUCT($C$5:$X$5,'batch tool'!$B101:$W101)+$Y$5</f>
        <v>-51.578889182477603</v>
      </c>
      <c r="F107" s="7">
        <f>SUMPRODUCT($C$6:$X$6,'batch tool'!$B101:$W101)+$Y$6</f>
        <v>-47.741473633885199</v>
      </c>
      <c r="G107" s="7">
        <f>SUMPRODUCT($C$7:$X$7,'batch tool'!$B101:$W101)+$Y$7</f>
        <v>-19.739516238059196</v>
      </c>
      <c r="H107" s="7">
        <f t="shared" si="2"/>
        <v>-19.739516238059196</v>
      </c>
      <c r="I107">
        <f t="shared" si="3"/>
        <v>6</v>
      </c>
      <c r="J107" t="str" cm="1">
        <f t="array" ref="J107">INDEX($A$2:$A$7,I107)</f>
        <v>Segment 6- Self-Conscious Male</v>
      </c>
    </row>
    <row r="108" spans="1:10" x14ac:dyDescent="0.25">
      <c r="A108" s="1">
        <f>'batch tool'!A102</f>
        <v>0</v>
      </c>
      <c r="B108" s="7">
        <f>SUMPRODUCT($C$2:$X$2,'batch tool'!$B102:$W102)+$Y$2</f>
        <v>-49.12272534143483</v>
      </c>
      <c r="C108" s="7">
        <f>SUMPRODUCT($C$3:$X$3,'batch tool'!$B102:$W102)+$Y$3</f>
        <v>-36.514029388465531</v>
      </c>
      <c r="D108" s="7">
        <f>SUMPRODUCT($C$4:$X$4,'batch tool'!$B102:$W102)+$Y$4</f>
        <v>-44.639843068043824</v>
      </c>
      <c r="E108" s="7">
        <f>SUMPRODUCT($C$5:$X$5,'batch tool'!$B102:$W102)+$Y$5</f>
        <v>-51.578889182477603</v>
      </c>
      <c r="F108" s="7">
        <f>SUMPRODUCT($C$6:$X$6,'batch tool'!$B102:$W102)+$Y$6</f>
        <v>-47.741473633885199</v>
      </c>
      <c r="G108" s="7">
        <f>SUMPRODUCT($C$7:$X$7,'batch tool'!$B102:$W102)+$Y$7</f>
        <v>-19.739516238059196</v>
      </c>
      <c r="H108" s="7">
        <f t="shared" si="2"/>
        <v>-19.739516238059196</v>
      </c>
      <c r="I108">
        <f t="shared" si="3"/>
        <v>6</v>
      </c>
      <c r="J108" t="str" cm="1">
        <f t="array" ref="J108">INDEX($A$2:$A$7,I108)</f>
        <v>Segment 6- Self-Conscious Male</v>
      </c>
    </row>
    <row r="109" spans="1:10" x14ac:dyDescent="0.25">
      <c r="A109" s="1">
        <f>'batch tool'!A103</f>
        <v>0</v>
      </c>
      <c r="B109" s="7">
        <f>SUMPRODUCT($C$2:$X$2,'batch tool'!$B103:$W103)+$Y$2</f>
        <v>-49.12272534143483</v>
      </c>
      <c r="C109" s="7">
        <f>SUMPRODUCT($C$3:$X$3,'batch tool'!$B103:$W103)+$Y$3</f>
        <v>-36.514029388465531</v>
      </c>
      <c r="D109" s="7">
        <f>SUMPRODUCT($C$4:$X$4,'batch tool'!$B103:$W103)+$Y$4</f>
        <v>-44.639843068043824</v>
      </c>
      <c r="E109" s="7">
        <f>SUMPRODUCT($C$5:$X$5,'batch tool'!$B103:$W103)+$Y$5</f>
        <v>-51.578889182477603</v>
      </c>
      <c r="F109" s="7">
        <f>SUMPRODUCT($C$6:$X$6,'batch tool'!$B103:$W103)+$Y$6</f>
        <v>-47.741473633885199</v>
      </c>
      <c r="G109" s="7">
        <f>SUMPRODUCT($C$7:$X$7,'batch tool'!$B103:$W103)+$Y$7</f>
        <v>-19.739516238059196</v>
      </c>
      <c r="H109" s="7">
        <f t="shared" si="2"/>
        <v>-19.739516238059196</v>
      </c>
      <c r="I109">
        <f t="shared" si="3"/>
        <v>6</v>
      </c>
      <c r="J109" t="str" cm="1">
        <f t="array" ref="J109">INDEX($A$2:$A$7,I109)</f>
        <v>Segment 6- Self-Conscious Male</v>
      </c>
    </row>
    <row r="110" spans="1:10" x14ac:dyDescent="0.25">
      <c r="A110" s="1">
        <f>'batch tool'!A104</f>
        <v>0</v>
      </c>
      <c r="B110" s="7">
        <f>SUMPRODUCT($C$2:$X$2,'batch tool'!$B104:$W104)+$Y$2</f>
        <v>-49.12272534143483</v>
      </c>
      <c r="C110" s="7">
        <f>SUMPRODUCT($C$3:$X$3,'batch tool'!$B104:$W104)+$Y$3</f>
        <v>-36.514029388465531</v>
      </c>
      <c r="D110" s="7">
        <f>SUMPRODUCT($C$4:$X$4,'batch tool'!$B104:$W104)+$Y$4</f>
        <v>-44.639843068043824</v>
      </c>
      <c r="E110" s="7">
        <f>SUMPRODUCT($C$5:$X$5,'batch tool'!$B104:$W104)+$Y$5</f>
        <v>-51.578889182477603</v>
      </c>
      <c r="F110" s="7">
        <f>SUMPRODUCT($C$6:$X$6,'batch tool'!$B104:$W104)+$Y$6</f>
        <v>-47.741473633885199</v>
      </c>
      <c r="G110" s="7">
        <f>SUMPRODUCT($C$7:$X$7,'batch tool'!$B104:$W104)+$Y$7</f>
        <v>-19.739516238059196</v>
      </c>
      <c r="H110" s="7">
        <f t="shared" si="2"/>
        <v>-19.739516238059196</v>
      </c>
      <c r="I110">
        <f t="shared" si="3"/>
        <v>6</v>
      </c>
      <c r="J110" t="str" cm="1">
        <f t="array" ref="J110">INDEX($A$2:$A$7,I110)</f>
        <v>Segment 6- Self-Conscious Male</v>
      </c>
    </row>
    <row r="111" spans="1:10" x14ac:dyDescent="0.25">
      <c r="A111" s="1">
        <f>'batch tool'!A105</f>
        <v>0</v>
      </c>
      <c r="B111" s="7">
        <f>SUMPRODUCT($C$2:$X$2,'batch tool'!$B105:$W105)+$Y$2</f>
        <v>-49.12272534143483</v>
      </c>
      <c r="C111" s="7">
        <f>SUMPRODUCT($C$3:$X$3,'batch tool'!$B105:$W105)+$Y$3</f>
        <v>-36.514029388465531</v>
      </c>
      <c r="D111" s="7">
        <f>SUMPRODUCT($C$4:$X$4,'batch tool'!$B105:$W105)+$Y$4</f>
        <v>-44.639843068043824</v>
      </c>
      <c r="E111" s="7">
        <f>SUMPRODUCT($C$5:$X$5,'batch tool'!$B105:$W105)+$Y$5</f>
        <v>-51.578889182477603</v>
      </c>
      <c r="F111" s="7">
        <f>SUMPRODUCT($C$6:$X$6,'batch tool'!$B105:$W105)+$Y$6</f>
        <v>-47.741473633885199</v>
      </c>
      <c r="G111" s="7">
        <f>SUMPRODUCT($C$7:$X$7,'batch tool'!$B105:$W105)+$Y$7</f>
        <v>-19.739516238059196</v>
      </c>
      <c r="H111" s="7">
        <f t="shared" si="2"/>
        <v>-19.739516238059196</v>
      </c>
      <c r="I111">
        <f t="shared" si="3"/>
        <v>6</v>
      </c>
      <c r="J111" t="str" cm="1">
        <f t="array" ref="J111">INDEX($A$2:$A$7,I111)</f>
        <v>Segment 6- Self-Conscious Male</v>
      </c>
    </row>
    <row r="112" spans="1:10" x14ac:dyDescent="0.25">
      <c r="A112" s="1">
        <f>'batch tool'!A106</f>
        <v>0</v>
      </c>
      <c r="B112" s="7">
        <f>SUMPRODUCT($C$2:$X$2,'batch tool'!$B106:$W106)+$Y$2</f>
        <v>-49.12272534143483</v>
      </c>
      <c r="C112" s="7">
        <f>SUMPRODUCT($C$3:$X$3,'batch tool'!$B106:$W106)+$Y$3</f>
        <v>-36.514029388465531</v>
      </c>
      <c r="D112" s="7">
        <f>SUMPRODUCT($C$4:$X$4,'batch tool'!$B106:$W106)+$Y$4</f>
        <v>-44.639843068043824</v>
      </c>
      <c r="E112" s="7">
        <f>SUMPRODUCT($C$5:$X$5,'batch tool'!$B106:$W106)+$Y$5</f>
        <v>-51.578889182477603</v>
      </c>
      <c r="F112" s="7">
        <f>SUMPRODUCT($C$6:$X$6,'batch tool'!$B106:$W106)+$Y$6</f>
        <v>-47.741473633885199</v>
      </c>
      <c r="G112" s="7">
        <f>SUMPRODUCT($C$7:$X$7,'batch tool'!$B106:$W106)+$Y$7</f>
        <v>-19.739516238059196</v>
      </c>
      <c r="H112" s="7">
        <f t="shared" si="2"/>
        <v>-19.739516238059196</v>
      </c>
      <c r="I112">
        <f t="shared" si="3"/>
        <v>6</v>
      </c>
      <c r="J112" t="str" cm="1">
        <f t="array" ref="J112">INDEX($A$2:$A$7,I112)</f>
        <v>Segment 6- Self-Conscious Male</v>
      </c>
    </row>
    <row r="113" spans="1:10" x14ac:dyDescent="0.25">
      <c r="A113" s="1">
        <f>'batch tool'!A107</f>
        <v>0</v>
      </c>
      <c r="B113" s="7">
        <f>SUMPRODUCT($C$2:$X$2,'batch tool'!$B107:$W107)+$Y$2</f>
        <v>-49.12272534143483</v>
      </c>
      <c r="C113" s="7">
        <f>SUMPRODUCT($C$3:$X$3,'batch tool'!$B107:$W107)+$Y$3</f>
        <v>-36.514029388465531</v>
      </c>
      <c r="D113" s="7">
        <f>SUMPRODUCT($C$4:$X$4,'batch tool'!$B107:$W107)+$Y$4</f>
        <v>-44.639843068043824</v>
      </c>
      <c r="E113" s="7">
        <f>SUMPRODUCT($C$5:$X$5,'batch tool'!$B107:$W107)+$Y$5</f>
        <v>-51.578889182477603</v>
      </c>
      <c r="F113" s="7">
        <f>SUMPRODUCT($C$6:$X$6,'batch tool'!$B107:$W107)+$Y$6</f>
        <v>-47.741473633885199</v>
      </c>
      <c r="G113" s="7">
        <f>SUMPRODUCT($C$7:$X$7,'batch tool'!$B107:$W107)+$Y$7</f>
        <v>-19.739516238059196</v>
      </c>
      <c r="H113" s="7">
        <f t="shared" si="2"/>
        <v>-19.739516238059196</v>
      </c>
      <c r="I113">
        <f t="shared" si="3"/>
        <v>6</v>
      </c>
      <c r="J113" t="str" cm="1">
        <f t="array" ref="J113">INDEX($A$2:$A$7,I113)</f>
        <v>Segment 6- Self-Conscious Male</v>
      </c>
    </row>
    <row r="114" spans="1:10" x14ac:dyDescent="0.25">
      <c r="A114" s="1">
        <f>'batch tool'!A108</f>
        <v>0</v>
      </c>
      <c r="B114" s="7">
        <f>SUMPRODUCT($C$2:$X$2,'batch tool'!$B108:$W108)+$Y$2</f>
        <v>-49.12272534143483</v>
      </c>
      <c r="C114" s="7">
        <f>SUMPRODUCT($C$3:$X$3,'batch tool'!$B108:$W108)+$Y$3</f>
        <v>-36.514029388465531</v>
      </c>
      <c r="D114" s="7">
        <f>SUMPRODUCT($C$4:$X$4,'batch tool'!$B108:$W108)+$Y$4</f>
        <v>-44.639843068043824</v>
      </c>
      <c r="E114" s="7">
        <f>SUMPRODUCT($C$5:$X$5,'batch tool'!$B108:$W108)+$Y$5</f>
        <v>-51.578889182477603</v>
      </c>
      <c r="F114" s="7">
        <f>SUMPRODUCT($C$6:$X$6,'batch tool'!$B108:$W108)+$Y$6</f>
        <v>-47.741473633885199</v>
      </c>
      <c r="G114" s="7">
        <f>SUMPRODUCT($C$7:$X$7,'batch tool'!$B108:$W108)+$Y$7</f>
        <v>-19.739516238059196</v>
      </c>
      <c r="H114" s="7">
        <f t="shared" si="2"/>
        <v>-19.739516238059196</v>
      </c>
      <c r="I114">
        <f t="shared" si="3"/>
        <v>6</v>
      </c>
      <c r="J114" t="str" cm="1">
        <f t="array" ref="J114">INDEX($A$2:$A$7,I114)</f>
        <v>Segment 6- Self-Conscious Male</v>
      </c>
    </row>
    <row r="115" spans="1:10" x14ac:dyDescent="0.25">
      <c r="A115" s="1">
        <f>'batch tool'!A109</f>
        <v>0</v>
      </c>
      <c r="B115" s="7">
        <f>SUMPRODUCT($C$2:$X$2,'batch tool'!$B109:$W109)+$Y$2</f>
        <v>-49.12272534143483</v>
      </c>
      <c r="C115" s="7">
        <f>SUMPRODUCT($C$3:$X$3,'batch tool'!$B109:$W109)+$Y$3</f>
        <v>-36.514029388465531</v>
      </c>
      <c r="D115" s="7">
        <f>SUMPRODUCT($C$4:$X$4,'batch tool'!$B109:$W109)+$Y$4</f>
        <v>-44.639843068043824</v>
      </c>
      <c r="E115" s="7">
        <f>SUMPRODUCT($C$5:$X$5,'batch tool'!$B109:$W109)+$Y$5</f>
        <v>-51.578889182477603</v>
      </c>
      <c r="F115" s="7">
        <f>SUMPRODUCT($C$6:$X$6,'batch tool'!$B109:$W109)+$Y$6</f>
        <v>-47.741473633885199</v>
      </c>
      <c r="G115" s="7">
        <f>SUMPRODUCT($C$7:$X$7,'batch tool'!$B109:$W109)+$Y$7</f>
        <v>-19.739516238059196</v>
      </c>
      <c r="H115" s="7">
        <f t="shared" si="2"/>
        <v>-19.739516238059196</v>
      </c>
      <c r="I115">
        <f t="shared" si="3"/>
        <v>6</v>
      </c>
      <c r="J115" t="str" cm="1">
        <f t="array" ref="J115">INDEX($A$2:$A$7,I115)</f>
        <v>Segment 6- Self-Conscious Male</v>
      </c>
    </row>
    <row r="116" spans="1:10" x14ac:dyDescent="0.25">
      <c r="A116" s="1">
        <f>'batch tool'!A110</f>
        <v>0</v>
      </c>
      <c r="B116" s="7">
        <f>SUMPRODUCT($C$2:$X$2,'batch tool'!$B110:$W110)+$Y$2</f>
        <v>-49.12272534143483</v>
      </c>
      <c r="C116" s="7">
        <f>SUMPRODUCT($C$3:$X$3,'batch tool'!$B110:$W110)+$Y$3</f>
        <v>-36.514029388465531</v>
      </c>
      <c r="D116" s="7">
        <f>SUMPRODUCT($C$4:$X$4,'batch tool'!$B110:$W110)+$Y$4</f>
        <v>-44.639843068043824</v>
      </c>
      <c r="E116" s="7">
        <f>SUMPRODUCT($C$5:$X$5,'batch tool'!$B110:$W110)+$Y$5</f>
        <v>-51.578889182477603</v>
      </c>
      <c r="F116" s="7">
        <f>SUMPRODUCT($C$6:$X$6,'batch tool'!$B110:$W110)+$Y$6</f>
        <v>-47.741473633885199</v>
      </c>
      <c r="G116" s="7">
        <f>SUMPRODUCT($C$7:$X$7,'batch tool'!$B110:$W110)+$Y$7</f>
        <v>-19.739516238059196</v>
      </c>
      <c r="H116" s="7">
        <f t="shared" si="2"/>
        <v>-19.739516238059196</v>
      </c>
      <c r="I116">
        <f t="shared" si="3"/>
        <v>6</v>
      </c>
      <c r="J116" t="str" cm="1">
        <f t="array" ref="J116">INDEX($A$2:$A$7,I116)</f>
        <v>Segment 6- Self-Conscious Male</v>
      </c>
    </row>
    <row r="117" spans="1:10" x14ac:dyDescent="0.25">
      <c r="A117" s="1">
        <f>'batch tool'!A111</f>
        <v>0</v>
      </c>
      <c r="B117" s="7">
        <f>SUMPRODUCT($C$2:$X$2,'batch tool'!$B111:$W111)+$Y$2</f>
        <v>-49.12272534143483</v>
      </c>
      <c r="C117" s="7">
        <f>SUMPRODUCT($C$3:$X$3,'batch tool'!$B111:$W111)+$Y$3</f>
        <v>-36.514029388465531</v>
      </c>
      <c r="D117" s="7">
        <f>SUMPRODUCT($C$4:$X$4,'batch tool'!$B111:$W111)+$Y$4</f>
        <v>-44.639843068043824</v>
      </c>
      <c r="E117" s="7">
        <f>SUMPRODUCT($C$5:$X$5,'batch tool'!$B111:$W111)+$Y$5</f>
        <v>-51.578889182477603</v>
      </c>
      <c r="F117" s="7">
        <f>SUMPRODUCT($C$6:$X$6,'batch tool'!$B111:$W111)+$Y$6</f>
        <v>-47.741473633885199</v>
      </c>
      <c r="G117" s="7">
        <f>SUMPRODUCT($C$7:$X$7,'batch tool'!$B111:$W111)+$Y$7</f>
        <v>-19.739516238059196</v>
      </c>
      <c r="H117" s="7">
        <f t="shared" si="2"/>
        <v>-19.739516238059196</v>
      </c>
      <c r="I117">
        <f t="shared" si="3"/>
        <v>6</v>
      </c>
      <c r="J117" t="str" cm="1">
        <f t="array" ref="J117">INDEX($A$2:$A$7,I117)</f>
        <v>Segment 6- Self-Conscious Male</v>
      </c>
    </row>
    <row r="118" spans="1:10" x14ac:dyDescent="0.25">
      <c r="A118" s="1">
        <f>'batch tool'!A112</f>
        <v>0</v>
      </c>
      <c r="B118" s="7">
        <f>SUMPRODUCT($C$2:$X$2,'batch tool'!$B112:$W112)+$Y$2</f>
        <v>-49.12272534143483</v>
      </c>
      <c r="C118" s="7">
        <f>SUMPRODUCT($C$3:$X$3,'batch tool'!$B112:$W112)+$Y$3</f>
        <v>-36.514029388465531</v>
      </c>
      <c r="D118" s="7">
        <f>SUMPRODUCT($C$4:$X$4,'batch tool'!$B112:$W112)+$Y$4</f>
        <v>-44.639843068043824</v>
      </c>
      <c r="E118" s="7">
        <f>SUMPRODUCT($C$5:$X$5,'batch tool'!$B112:$W112)+$Y$5</f>
        <v>-51.578889182477603</v>
      </c>
      <c r="F118" s="7">
        <f>SUMPRODUCT($C$6:$X$6,'batch tool'!$B112:$W112)+$Y$6</f>
        <v>-47.741473633885199</v>
      </c>
      <c r="G118" s="7">
        <f>SUMPRODUCT($C$7:$X$7,'batch tool'!$B112:$W112)+$Y$7</f>
        <v>-19.739516238059196</v>
      </c>
      <c r="H118" s="7">
        <f t="shared" si="2"/>
        <v>-19.739516238059196</v>
      </c>
      <c r="I118">
        <f t="shared" si="3"/>
        <v>6</v>
      </c>
      <c r="J118" t="str" cm="1">
        <f t="array" ref="J118">INDEX($A$2:$A$7,I118)</f>
        <v>Segment 6- Self-Conscious Male</v>
      </c>
    </row>
    <row r="119" spans="1:10" x14ac:dyDescent="0.25">
      <c r="A119" s="1">
        <f>'batch tool'!A113</f>
        <v>0</v>
      </c>
      <c r="B119" s="7">
        <f>SUMPRODUCT($C$2:$X$2,'batch tool'!$B113:$W113)+$Y$2</f>
        <v>-49.12272534143483</v>
      </c>
      <c r="C119" s="7">
        <f>SUMPRODUCT($C$3:$X$3,'batch tool'!$B113:$W113)+$Y$3</f>
        <v>-36.514029388465531</v>
      </c>
      <c r="D119" s="7">
        <f>SUMPRODUCT($C$4:$X$4,'batch tool'!$B113:$W113)+$Y$4</f>
        <v>-44.639843068043824</v>
      </c>
      <c r="E119" s="7">
        <f>SUMPRODUCT($C$5:$X$5,'batch tool'!$B113:$W113)+$Y$5</f>
        <v>-51.578889182477603</v>
      </c>
      <c r="F119" s="7">
        <f>SUMPRODUCT($C$6:$X$6,'batch tool'!$B113:$W113)+$Y$6</f>
        <v>-47.741473633885199</v>
      </c>
      <c r="G119" s="7">
        <f>SUMPRODUCT($C$7:$X$7,'batch tool'!$B113:$W113)+$Y$7</f>
        <v>-19.739516238059196</v>
      </c>
      <c r="H119" s="7">
        <f t="shared" si="2"/>
        <v>-19.739516238059196</v>
      </c>
      <c r="I119">
        <f t="shared" si="3"/>
        <v>6</v>
      </c>
      <c r="J119" t="str" cm="1">
        <f t="array" ref="J119">INDEX($A$2:$A$7,I119)</f>
        <v>Segment 6- Self-Conscious Male</v>
      </c>
    </row>
    <row r="120" spans="1:10" x14ac:dyDescent="0.25">
      <c r="A120" s="1">
        <f>'batch tool'!A114</f>
        <v>0</v>
      </c>
      <c r="B120" s="7">
        <f>SUMPRODUCT($C$2:$X$2,'batch tool'!$B114:$W114)+$Y$2</f>
        <v>-49.12272534143483</v>
      </c>
      <c r="C120" s="7">
        <f>SUMPRODUCT($C$3:$X$3,'batch tool'!$B114:$W114)+$Y$3</f>
        <v>-36.514029388465531</v>
      </c>
      <c r="D120" s="7">
        <f>SUMPRODUCT($C$4:$X$4,'batch tool'!$B114:$W114)+$Y$4</f>
        <v>-44.639843068043824</v>
      </c>
      <c r="E120" s="7">
        <f>SUMPRODUCT($C$5:$X$5,'batch tool'!$B114:$W114)+$Y$5</f>
        <v>-51.578889182477603</v>
      </c>
      <c r="F120" s="7">
        <f>SUMPRODUCT($C$6:$X$6,'batch tool'!$B114:$W114)+$Y$6</f>
        <v>-47.741473633885199</v>
      </c>
      <c r="G120" s="7">
        <f>SUMPRODUCT($C$7:$X$7,'batch tool'!$B114:$W114)+$Y$7</f>
        <v>-19.739516238059196</v>
      </c>
      <c r="H120" s="7">
        <f t="shared" si="2"/>
        <v>-19.739516238059196</v>
      </c>
      <c r="I120">
        <f t="shared" si="3"/>
        <v>6</v>
      </c>
      <c r="J120" t="str" cm="1">
        <f t="array" ref="J120">INDEX($A$2:$A$7,I120)</f>
        <v>Segment 6- Self-Conscious Male</v>
      </c>
    </row>
    <row r="121" spans="1:10" x14ac:dyDescent="0.25">
      <c r="A121" s="1">
        <f>'batch tool'!A115</f>
        <v>0</v>
      </c>
      <c r="B121" s="7">
        <f>SUMPRODUCT($C$2:$X$2,'batch tool'!$B115:$W115)+$Y$2</f>
        <v>-49.12272534143483</v>
      </c>
      <c r="C121" s="7">
        <f>SUMPRODUCT($C$3:$X$3,'batch tool'!$B115:$W115)+$Y$3</f>
        <v>-36.514029388465531</v>
      </c>
      <c r="D121" s="7">
        <f>SUMPRODUCT($C$4:$X$4,'batch tool'!$B115:$W115)+$Y$4</f>
        <v>-44.639843068043824</v>
      </c>
      <c r="E121" s="7">
        <f>SUMPRODUCT($C$5:$X$5,'batch tool'!$B115:$W115)+$Y$5</f>
        <v>-51.578889182477603</v>
      </c>
      <c r="F121" s="7">
        <f>SUMPRODUCT($C$6:$X$6,'batch tool'!$B115:$W115)+$Y$6</f>
        <v>-47.741473633885199</v>
      </c>
      <c r="G121" s="7">
        <f>SUMPRODUCT($C$7:$X$7,'batch tool'!$B115:$W115)+$Y$7</f>
        <v>-19.739516238059196</v>
      </c>
      <c r="H121" s="7">
        <f t="shared" si="2"/>
        <v>-19.739516238059196</v>
      </c>
      <c r="I121">
        <f t="shared" si="3"/>
        <v>6</v>
      </c>
      <c r="J121" t="str" cm="1">
        <f t="array" ref="J121">INDEX($A$2:$A$7,I121)</f>
        <v>Segment 6- Self-Conscious Male</v>
      </c>
    </row>
    <row r="122" spans="1:10" x14ac:dyDescent="0.25">
      <c r="A122" s="1">
        <f>'batch tool'!A116</f>
        <v>0</v>
      </c>
      <c r="B122" s="7">
        <f>SUMPRODUCT($C$2:$X$2,'batch tool'!$B116:$W116)+$Y$2</f>
        <v>-49.12272534143483</v>
      </c>
      <c r="C122" s="7">
        <f>SUMPRODUCT($C$3:$X$3,'batch tool'!$B116:$W116)+$Y$3</f>
        <v>-36.514029388465531</v>
      </c>
      <c r="D122" s="7">
        <f>SUMPRODUCT($C$4:$X$4,'batch tool'!$B116:$W116)+$Y$4</f>
        <v>-44.639843068043824</v>
      </c>
      <c r="E122" s="7">
        <f>SUMPRODUCT($C$5:$X$5,'batch tool'!$B116:$W116)+$Y$5</f>
        <v>-51.578889182477603</v>
      </c>
      <c r="F122" s="7">
        <f>SUMPRODUCT($C$6:$X$6,'batch tool'!$B116:$W116)+$Y$6</f>
        <v>-47.741473633885199</v>
      </c>
      <c r="G122" s="7">
        <f>SUMPRODUCT($C$7:$X$7,'batch tool'!$B116:$W116)+$Y$7</f>
        <v>-19.739516238059196</v>
      </c>
      <c r="H122" s="7">
        <f t="shared" si="2"/>
        <v>-19.739516238059196</v>
      </c>
      <c r="I122">
        <f t="shared" si="3"/>
        <v>6</v>
      </c>
      <c r="J122" t="str" cm="1">
        <f t="array" ref="J122">INDEX($A$2:$A$7,I122)</f>
        <v>Segment 6- Self-Conscious Male</v>
      </c>
    </row>
    <row r="123" spans="1:10" x14ac:dyDescent="0.25">
      <c r="A123" s="1">
        <f>'batch tool'!A117</f>
        <v>0</v>
      </c>
      <c r="B123" s="7">
        <f>SUMPRODUCT($C$2:$X$2,'batch tool'!$B117:$W117)+$Y$2</f>
        <v>-49.12272534143483</v>
      </c>
      <c r="C123" s="7">
        <f>SUMPRODUCT($C$3:$X$3,'batch tool'!$B117:$W117)+$Y$3</f>
        <v>-36.514029388465531</v>
      </c>
      <c r="D123" s="7">
        <f>SUMPRODUCT($C$4:$X$4,'batch tool'!$B117:$W117)+$Y$4</f>
        <v>-44.639843068043824</v>
      </c>
      <c r="E123" s="7">
        <f>SUMPRODUCT($C$5:$X$5,'batch tool'!$B117:$W117)+$Y$5</f>
        <v>-51.578889182477603</v>
      </c>
      <c r="F123" s="7">
        <f>SUMPRODUCT($C$6:$X$6,'batch tool'!$B117:$W117)+$Y$6</f>
        <v>-47.741473633885199</v>
      </c>
      <c r="G123" s="7">
        <f>SUMPRODUCT($C$7:$X$7,'batch tool'!$B117:$W117)+$Y$7</f>
        <v>-19.739516238059196</v>
      </c>
      <c r="H123" s="7">
        <f t="shared" si="2"/>
        <v>-19.739516238059196</v>
      </c>
      <c r="I123">
        <f t="shared" si="3"/>
        <v>6</v>
      </c>
      <c r="J123" t="str" cm="1">
        <f t="array" ref="J123">INDEX($A$2:$A$7,I123)</f>
        <v>Segment 6- Self-Conscious Male</v>
      </c>
    </row>
    <row r="124" spans="1:10" x14ac:dyDescent="0.25">
      <c r="A124" s="1">
        <f>'batch tool'!A118</f>
        <v>0</v>
      </c>
      <c r="B124" s="7">
        <f>SUMPRODUCT($C$2:$X$2,'batch tool'!$B118:$W118)+$Y$2</f>
        <v>-49.12272534143483</v>
      </c>
      <c r="C124" s="7">
        <f>SUMPRODUCT($C$3:$X$3,'batch tool'!$B118:$W118)+$Y$3</f>
        <v>-36.514029388465531</v>
      </c>
      <c r="D124" s="7">
        <f>SUMPRODUCT($C$4:$X$4,'batch tool'!$B118:$W118)+$Y$4</f>
        <v>-44.639843068043824</v>
      </c>
      <c r="E124" s="7">
        <f>SUMPRODUCT($C$5:$X$5,'batch tool'!$B118:$W118)+$Y$5</f>
        <v>-51.578889182477603</v>
      </c>
      <c r="F124" s="7">
        <f>SUMPRODUCT($C$6:$X$6,'batch tool'!$B118:$W118)+$Y$6</f>
        <v>-47.741473633885199</v>
      </c>
      <c r="G124" s="7">
        <f>SUMPRODUCT($C$7:$X$7,'batch tool'!$B118:$W118)+$Y$7</f>
        <v>-19.739516238059196</v>
      </c>
      <c r="H124" s="7">
        <f t="shared" si="2"/>
        <v>-19.739516238059196</v>
      </c>
      <c r="I124">
        <f t="shared" si="3"/>
        <v>6</v>
      </c>
      <c r="J124" t="str" cm="1">
        <f t="array" ref="J124">INDEX($A$2:$A$7,I124)</f>
        <v>Segment 6- Self-Conscious Male</v>
      </c>
    </row>
    <row r="125" spans="1:10" x14ac:dyDescent="0.25">
      <c r="A125" s="1">
        <f>'batch tool'!A119</f>
        <v>0</v>
      </c>
      <c r="B125" s="7">
        <f>SUMPRODUCT($C$2:$X$2,'batch tool'!$B119:$W119)+$Y$2</f>
        <v>-49.12272534143483</v>
      </c>
      <c r="C125" s="7">
        <f>SUMPRODUCT($C$3:$X$3,'batch tool'!$B119:$W119)+$Y$3</f>
        <v>-36.514029388465531</v>
      </c>
      <c r="D125" s="7">
        <f>SUMPRODUCT($C$4:$X$4,'batch tool'!$B119:$W119)+$Y$4</f>
        <v>-44.639843068043824</v>
      </c>
      <c r="E125" s="7">
        <f>SUMPRODUCT($C$5:$X$5,'batch tool'!$B119:$W119)+$Y$5</f>
        <v>-51.578889182477603</v>
      </c>
      <c r="F125" s="7">
        <f>SUMPRODUCT($C$6:$X$6,'batch tool'!$B119:$W119)+$Y$6</f>
        <v>-47.741473633885199</v>
      </c>
      <c r="G125" s="7">
        <f>SUMPRODUCT($C$7:$X$7,'batch tool'!$B119:$W119)+$Y$7</f>
        <v>-19.739516238059196</v>
      </c>
      <c r="H125" s="7">
        <f t="shared" si="2"/>
        <v>-19.739516238059196</v>
      </c>
      <c r="I125">
        <f t="shared" si="3"/>
        <v>6</v>
      </c>
      <c r="J125" t="str" cm="1">
        <f t="array" ref="J125">INDEX($A$2:$A$7,I125)</f>
        <v>Segment 6- Self-Conscious Male</v>
      </c>
    </row>
    <row r="126" spans="1:10" x14ac:dyDescent="0.25">
      <c r="A126" s="1">
        <f>'batch tool'!A120</f>
        <v>0</v>
      </c>
      <c r="B126" s="7">
        <f>SUMPRODUCT($C$2:$X$2,'batch tool'!$B120:$W120)+$Y$2</f>
        <v>-49.12272534143483</v>
      </c>
      <c r="C126" s="7">
        <f>SUMPRODUCT($C$3:$X$3,'batch tool'!$B120:$W120)+$Y$3</f>
        <v>-36.514029388465531</v>
      </c>
      <c r="D126" s="7">
        <f>SUMPRODUCT($C$4:$X$4,'batch tool'!$B120:$W120)+$Y$4</f>
        <v>-44.639843068043824</v>
      </c>
      <c r="E126" s="7">
        <f>SUMPRODUCT($C$5:$X$5,'batch tool'!$B120:$W120)+$Y$5</f>
        <v>-51.578889182477603</v>
      </c>
      <c r="F126" s="7">
        <f>SUMPRODUCT($C$6:$X$6,'batch tool'!$B120:$W120)+$Y$6</f>
        <v>-47.741473633885199</v>
      </c>
      <c r="G126" s="7">
        <f>SUMPRODUCT($C$7:$X$7,'batch tool'!$B120:$W120)+$Y$7</f>
        <v>-19.739516238059196</v>
      </c>
      <c r="H126" s="7">
        <f t="shared" si="2"/>
        <v>-19.739516238059196</v>
      </c>
      <c r="I126">
        <f t="shared" si="3"/>
        <v>6</v>
      </c>
      <c r="J126" t="str" cm="1">
        <f t="array" ref="J126">INDEX($A$2:$A$7,I126)</f>
        <v>Segment 6- Self-Conscious Male</v>
      </c>
    </row>
    <row r="127" spans="1:10" x14ac:dyDescent="0.25">
      <c r="A127" s="1">
        <f>'batch tool'!A121</f>
        <v>0</v>
      </c>
      <c r="B127" s="7">
        <f>SUMPRODUCT($C$2:$X$2,'batch tool'!$B121:$W121)+$Y$2</f>
        <v>-49.12272534143483</v>
      </c>
      <c r="C127" s="7">
        <f>SUMPRODUCT($C$3:$X$3,'batch tool'!$B121:$W121)+$Y$3</f>
        <v>-36.514029388465531</v>
      </c>
      <c r="D127" s="7">
        <f>SUMPRODUCT($C$4:$X$4,'batch tool'!$B121:$W121)+$Y$4</f>
        <v>-44.639843068043824</v>
      </c>
      <c r="E127" s="7">
        <f>SUMPRODUCT($C$5:$X$5,'batch tool'!$B121:$W121)+$Y$5</f>
        <v>-51.578889182477603</v>
      </c>
      <c r="F127" s="7">
        <f>SUMPRODUCT($C$6:$X$6,'batch tool'!$B121:$W121)+$Y$6</f>
        <v>-47.741473633885199</v>
      </c>
      <c r="G127" s="7">
        <f>SUMPRODUCT($C$7:$X$7,'batch tool'!$B121:$W121)+$Y$7</f>
        <v>-19.739516238059196</v>
      </c>
      <c r="H127" s="7">
        <f t="shared" si="2"/>
        <v>-19.739516238059196</v>
      </c>
      <c r="I127">
        <f t="shared" si="3"/>
        <v>6</v>
      </c>
      <c r="J127" t="str" cm="1">
        <f t="array" ref="J127">INDEX($A$2:$A$7,I127)</f>
        <v>Segment 6- Self-Conscious Male</v>
      </c>
    </row>
    <row r="128" spans="1:10" x14ac:dyDescent="0.25">
      <c r="A128" s="1">
        <f>'batch tool'!A122</f>
        <v>0</v>
      </c>
      <c r="B128" s="7">
        <f>SUMPRODUCT($C$2:$X$2,'batch tool'!$B122:$W122)+$Y$2</f>
        <v>-49.12272534143483</v>
      </c>
      <c r="C128" s="7">
        <f>SUMPRODUCT($C$3:$X$3,'batch tool'!$B122:$W122)+$Y$3</f>
        <v>-36.514029388465531</v>
      </c>
      <c r="D128" s="7">
        <f>SUMPRODUCT($C$4:$X$4,'batch tool'!$B122:$W122)+$Y$4</f>
        <v>-44.639843068043824</v>
      </c>
      <c r="E128" s="7">
        <f>SUMPRODUCT($C$5:$X$5,'batch tool'!$B122:$W122)+$Y$5</f>
        <v>-51.578889182477603</v>
      </c>
      <c r="F128" s="7">
        <f>SUMPRODUCT($C$6:$X$6,'batch tool'!$B122:$W122)+$Y$6</f>
        <v>-47.741473633885199</v>
      </c>
      <c r="G128" s="7">
        <f>SUMPRODUCT($C$7:$X$7,'batch tool'!$B122:$W122)+$Y$7</f>
        <v>-19.739516238059196</v>
      </c>
      <c r="H128" s="7">
        <f t="shared" si="2"/>
        <v>-19.739516238059196</v>
      </c>
      <c r="I128">
        <f t="shared" si="3"/>
        <v>6</v>
      </c>
      <c r="J128" t="str" cm="1">
        <f t="array" ref="J128">INDEX($A$2:$A$7,I128)</f>
        <v>Segment 6- Self-Conscious Male</v>
      </c>
    </row>
    <row r="129" spans="1:10" x14ac:dyDescent="0.25">
      <c r="A129" s="1">
        <f>'batch tool'!A123</f>
        <v>0</v>
      </c>
      <c r="B129" s="7">
        <f>SUMPRODUCT($C$2:$X$2,'batch tool'!$B123:$W123)+$Y$2</f>
        <v>-49.12272534143483</v>
      </c>
      <c r="C129" s="7">
        <f>SUMPRODUCT($C$3:$X$3,'batch tool'!$B123:$W123)+$Y$3</f>
        <v>-36.514029388465531</v>
      </c>
      <c r="D129" s="7">
        <f>SUMPRODUCT($C$4:$X$4,'batch tool'!$B123:$W123)+$Y$4</f>
        <v>-44.639843068043824</v>
      </c>
      <c r="E129" s="7">
        <f>SUMPRODUCT($C$5:$X$5,'batch tool'!$B123:$W123)+$Y$5</f>
        <v>-51.578889182477603</v>
      </c>
      <c r="F129" s="7">
        <f>SUMPRODUCT($C$6:$X$6,'batch tool'!$B123:$W123)+$Y$6</f>
        <v>-47.741473633885199</v>
      </c>
      <c r="G129" s="7">
        <f>SUMPRODUCT($C$7:$X$7,'batch tool'!$B123:$W123)+$Y$7</f>
        <v>-19.739516238059196</v>
      </c>
      <c r="H129" s="7">
        <f t="shared" si="2"/>
        <v>-19.739516238059196</v>
      </c>
      <c r="I129">
        <f t="shared" si="3"/>
        <v>6</v>
      </c>
      <c r="J129" t="str" cm="1">
        <f t="array" ref="J129">INDEX($A$2:$A$7,I129)</f>
        <v>Segment 6- Self-Conscious Male</v>
      </c>
    </row>
    <row r="130" spans="1:10" x14ac:dyDescent="0.25">
      <c r="A130" s="1">
        <f>'batch tool'!A124</f>
        <v>0</v>
      </c>
      <c r="B130" s="7">
        <f>SUMPRODUCT($C$2:$X$2,'batch tool'!$B124:$W124)+$Y$2</f>
        <v>-49.12272534143483</v>
      </c>
      <c r="C130" s="7">
        <f>SUMPRODUCT($C$3:$X$3,'batch tool'!$B124:$W124)+$Y$3</f>
        <v>-36.514029388465531</v>
      </c>
      <c r="D130" s="7">
        <f>SUMPRODUCT($C$4:$X$4,'batch tool'!$B124:$W124)+$Y$4</f>
        <v>-44.639843068043824</v>
      </c>
      <c r="E130" s="7">
        <f>SUMPRODUCT($C$5:$X$5,'batch tool'!$B124:$W124)+$Y$5</f>
        <v>-51.578889182477603</v>
      </c>
      <c r="F130" s="7">
        <f>SUMPRODUCT($C$6:$X$6,'batch tool'!$B124:$W124)+$Y$6</f>
        <v>-47.741473633885199</v>
      </c>
      <c r="G130" s="7">
        <f>SUMPRODUCT($C$7:$X$7,'batch tool'!$B124:$W124)+$Y$7</f>
        <v>-19.739516238059196</v>
      </c>
      <c r="H130" s="7">
        <f t="shared" si="2"/>
        <v>-19.739516238059196</v>
      </c>
      <c r="I130">
        <f t="shared" si="3"/>
        <v>6</v>
      </c>
      <c r="J130" t="str" cm="1">
        <f t="array" ref="J130">INDEX($A$2:$A$7,I130)</f>
        <v>Segment 6- Self-Conscious Male</v>
      </c>
    </row>
    <row r="131" spans="1:10" x14ac:dyDescent="0.25">
      <c r="A131" s="1">
        <f>'batch tool'!A125</f>
        <v>0</v>
      </c>
      <c r="B131" s="7">
        <f>SUMPRODUCT($C$2:$X$2,'batch tool'!$B125:$W125)+$Y$2</f>
        <v>-49.12272534143483</v>
      </c>
      <c r="C131" s="7">
        <f>SUMPRODUCT($C$3:$X$3,'batch tool'!$B125:$W125)+$Y$3</f>
        <v>-36.514029388465531</v>
      </c>
      <c r="D131" s="7">
        <f>SUMPRODUCT($C$4:$X$4,'batch tool'!$B125:$W125)+$Y$4</f>
        <v>-44.639843068043824</v>
      </c>
      <c r="E131" s="7">
        <f>SUMPRODUCT($C$5:$X$5,'batch tool'!$B125:$W125)+$Y$5</f>
        <v>-51.578889182477603</v>
      </c>
      <c r="F131" s="7">
        <f>SUMPRODUCT($C$6:$X$6,'batch tool'!$B125:$W125)+$Y$6</f>
        <v>-47.741473633885199</v>
      </c>
      <c r="G131" s="7">
        <f>SUMPRODUCT($C$7:$X$7,'batch tool'!$B125:$W125)+$Y$7</f>
        <v>-19.739516238059196</v>
      </c>
      <c r="H131" s="7">
        <f t="shared" si="2"/>
        <v>-19.739516238059196</v>
      </c>
      <c r="I131">
        <f t="shared" si="3"/>
        <v>6</v>
      </c>
      <c r="J131" t="str" cm="1">
        <f t="array" ref="J131">INDEX($A$2:$A$7,I131)</f>
        <v>Segment 6- Self-Conscious Male</v>
      </c>
    </row>
    <row r="132" spans="1:10" x14ac:dyDescent="0.25">
      <c r="A132" s="1">
        <f>'batch tool'!A126</f>
        <v>0</v>
      </c>
      <c r="B132" s="7">
        <f>SUMPRODUCT($C$2:$X$2,'batch tool'!$B126:$W126)+$Y$2</f>
        <v>-49.12272534143483</v>
      </c>
      <c r="C132" s="7">
        <f>SUMPRODUCT($C$3:$X$3,'batch tool'!$B126:$W126)+$Y$3</f>
        <v>-36.514029388465531</v>
      </c>
      <c r="D132" s="7">
        <f>SUMPRODUCT($C$4:$X$4,'batch tool'!$B126:$W126)+$Y$4</f>
        <v>-44.639843068043824</v>
      </c>
      <c r="E132" s="7">
        <f>SUMPRODUCT($C$5:$X$5,'batch tool'!$B126:$W126)+$Y$5</f>
        <v>-51.578889182477603</v>
      </c>
      <c r="F132" s="7">
        <f>SUMPRODUCT($C$6:$X$6,'batch tool'!$B126:$W126)+$Y$6</f>
        <v>-47.741473633885199</v>
      </c>
      <c r="G132" s="7">
        <f>SUMPRODUCT($C$7:$X$7,'batch tool'!$B126:$W126)+$Y$7</f>
        <v>-19.739516238059196</v>
      </c>
      <c r="H132" s="7">
        <f t="shared" si="2"/>
        <v>-19.739516238059196</v>
      </c>
      <c r="I132">
        <f t="shared" si="3"/>
        <v>6</v>
      </c>
      <c r="J132" t="str" cm="1">
        <f t="array" ref="J132">INDEX($A$2:$A$7,I132)</f>
        <v>Segment 6- Self-Conscious Male</v>
      </c>
    </row>
    <row r="133" spans="1:10" x14ac:dyDescent="0.25">
      <c r="A133" s="1">
        <f>'batch tool'!A127</f>
        <v>0</v>
      </c>
      <c r="B133" s="7">
        <f>SUMPRODUCT($C$2:$X$2,'batch tool'!$B127:$W127)+$Y$2</f>
        <v>-49.12272534143483</v>
      </c>
      <c r="C133" s="7">
        <f>SUMPRODUCT($C$3:$X$3,'batch tool'!$B127:$W127)+$Y$3</f>
        <v>-36.514029388465531</v>
      </c>
      <c r="D133" s="7">
        <f>SUMPRODUCT($C$4:$X$4,'batch tool'!$B127:$W127)+$Y$4</f>
        <v>-44.639843068043824</v>
      </c>
      <c r="E133" s="7">
        <f>SUMPRODUCT($C$5:$X$5,'batch tool'!$B127:$W127)+$Y$5</f>
        <v>-51.578889182477603</v>
      </c>
      <c r="F133" s="7">
        <f>SUMPRODUCT($C$6:$X$6,'batch tool'!$B127:$W127)+$Y$6</f>
        <v>-47.741473633885199</v>
      </c>
      <c r="G133" s="7">
        <f>SUMPRODUCT($C$7:$X$7,'batch tool'!$B127:$W127)+$Y$7</f>
        <v>-19.739516238059196</v>
      </c>
      <c r="H133" s="7">
        <f t="shared" si="2"/>
        <v>-19.739516238059196</v>
      </c>
      <c r="I133">
        <f t="shared" si="3"/>
        <v>6</v>
      </c>
      <c r="J133" t="str" cm="1">
        <f t="array" ref="J133">INDEX($A$2:$A$7,I133)</f>
        <v>Segment 6- Self-Conscious Male</v>
      </c>
    </row>
    <row r="134" spans="1:10" x14ac:dyDescent="0.25">
      <c r="A134" s="1">
        <f>'batch tool'!A128</f>
        <v>0</v>
      </c>
      <c r="B134" s="7">
        <f>SUMPRODUCT($C$2:$X$2,'batch tool'!$B128:$W128)+$Y$2</f>
        <v>-49.12272534143483</v>
      </c>
      <c r="C134" s="7">
        <f>SUMPRODUCT($C$3:$X$3,'batch tool'!$B128:$W128)+$Y$3</f>
        <v>-36.514029388465531</v>
      </c>
      <c r="D134" s="7">
        <f>SUMPRODUCT($C$4:$X$4,'batch tool'!$B128:$W128)+$Y$4</f>
        <v>-44.639843068043824</v>
      </c>
      <c r="E134" s="7">
        <f>SUMPRODUCT($C$5:$X$5,'batch tool'!$B128:$W128)+$Y$5</f>
        <v>-51.578889182477603</v>
      </c>
      <c r="F134" s="7">
        <f>SUMPRODUCT($C$6:$X$6,'batch tool'!$B128:$W128)+$Y$6</f>
        <v>-47.741473633885199</v>
      </c>
      <c r="G134" s="7">
        <f>SUMPRODUCT($C$7:$X$7,'batch tool'!$B128:$W128)+$Y$7</f>
        <v>-19.739516238059196</v>
      </c>
      <c r="H134" s="7">
        <f t="shared" si="2"/>
        <v>-19.739516238059196</v>
      </c>
      <c r="I134">
        <f t="shared" si="3"/>
        <v>6</v>
      </c>
      <c r="J134" t="str" cm="1">
        <f t="array" ref="J134">INDEX($A$2:$A$7,I134)</f>
        <v>Segment 6- Self-Conscious Male</v>
      </c>
    </row>
    <row r="135" spans="1:10" x14ac:dyDescent="0.25">
      <c r="A135" s="1">
        <f>'batch tool'!A129</f>
        <v>0</v>
      </c>
      <c r="B135" s="7">
        <f>SUMPRODUCT($C$2:$X$2,'batch tool'!$B129:$W129)+$Y$2</f>
        <v>-49.12272534143483</v>
      </c>
      <c r="C135" s="7">
        <f>SUMPRODUCT($C$3:$X$3,'batch tool'!$B129:$W129)+$Y$3</f>
        <v>-36.514029388465531</v>
      </c>
      <c r="D135" s="7">
        <f>SUMPRODUCT($C$4:$X$4,'batch tool'!$B129:$W129)+$Y$4</f>
        <v>-44.639843068043824</v>
      </c>
      <c r="E135" s="7">
        <f>SUMPRODUCT($C$5:$X$5,'batch tool'!$B129:$W129)+$Y$5</f>
        <v>-51.578889182477603</v>
      </c>
      <c r="F135" s="7">
        <f>SUMPRODUCT($C$6:$X$6,'batch tool'!$B129:$W129)+$Y$6</f>
        <v>-47.741473633885199</v>
      </c>
      <c r="G135" s="7">
        <f>SUMPRODUCT($C$7:$X$7,'batch tool'!$B129:$W129)+$Y$7</f>
        <v>-19.739516238059196</v>
      </c>
      <c r="H135" s="7">
        <f t="shared" si="2"/>
        <v>-19.739516238059196</v>
      </c>
      <c r="I135">
        <f t="shared" si="3"/>
        <v>6</v>
      </c>
      <c r="J135" t="str" cm="1">
        <f t="array" ref="J135">INDEX($A$2:$A$7,I135)</f>
        <v>Segment 6- Self-Conscious Male</v>
      </c>
    </row>
    <row r="136" spans="1:10" x14ac:dyDescent="0.25">
      <c r="A136" s="1">
        <f>'batch tool'!A130</f>
        <v>0</v>
      </c>
      <c r="B136" s="7">
        <f>SUMPRODUCT($C$2:$X$2,'batch tool'!$B130:$W130)+$Y$2</f>
        <v>-49.12272534143483</v>
      </c>
      <c r="C136" s="7">
        <f>SUMPRODUCT($C$3:$X$3,'batch tool'!$B130:$W130)+$Y$3</f>
        <v>-36.514029388465531</v>
      </c>
      <c r="D136" s="7">
        <f>SUMPRODUCT($C$4:$X$4,'batch tool'!$B130:$W130)+$Y$4</f>
        <v>-44.639843068043824</v>
      </c>
      <c r="E136" s="7">
        <f>SUMPRODUCT($C$5:$X$5,'batch tool'!$B130:$W130)+$Y$5</f>
        <v>-51.578889182477603</v>
      </c>
      <c r="F136" s="7">
        <f>SUMPRODUCT($C$6:$X$6,'batch tool'!$B130:$W130)+$Y$6</f>
        <v>-47.741473633885199</v>
      </c>
      <c r="G136" s="7">
        <f>SUMPRODUCT($C$7:$X$7,'batch tool'!$B130:$W130)+$Y$7</f>
        <v>-19.739516238059196</v>
      </c>
      <c r="H136" s="7">
        <f t="shared" si="2"/>
        <v>-19.739516238059196</v>
      </c>
      <c r="I136">
        <f t="shared" si="3"/>
        <v>6</v>
      </c>
      <c r="J136" t="str" cm="1">
        <f t="array" ref="J136">INDEX($A$2:$A$7,I136)</f>
        <v>Segment 6- Self-Conscious Male</v>
      </c>
    </row>
    <row r="137" spans="1:10" x14ac:dyDescent="0.25">
      <c r="A137" s="1">
        <f>'batch tool'!A131</f>
        <v>0</v>
      </c>
      <c r="B137" s="7">
        <f>SUMPRODUCT($C$2:$X$2,'batch tool'!$B131:$W131)+$Y$2</f>
        <v>-49.12272534143483</v>
      </c>
      <c r="C137" s="7">
        <f>SUMPRODUCT($C$3:$X$3,'batch tool'!$B131:$W131)+$Y$3</f>
        <v>-36.514029388465531</v>
      </c>
      <c r="D137" s="7">
        <f>SUMPRODUCT($C$4:$X$4,'batch tool'!$B131:$W131)+$Y$4</f>
        <v>-44.639843068043824</v>
      </c>
      <c r="E137" s="7">
        <f>SUMPRODUCT($C$5:$X$5,'batch tool'!$B131:$W131)+$Y$5</f>
        <v>-51.578889182477603</v>
      </c>
      <c r="F137" s="7">
        <f>SUMPRODUCT($C$6:$X$6,'batch tool'!$B131:$W131)+$Y$6</f>
        <v>-47.741473633885199</v>
      </c>
      <c r="G137" s="7">
        <f>SUMPRODUCT($C$7:$X$7,'batch tool'!$B131:$W131)+$Y$7</f>
        <v>-19.739516238059196</v>
      </c>
      <c r="H137" s="7">
        <f t="shared" si="2"/>
        <v>-19.739516238059196</v>
      </c>
      <c r="I137">
        <f t="shared" si="3"/>
        <v>6</v>
      </c>
      <c r="J137" t="str" cm="1">
        <f t="array" ref="J137">INDEX($A$2:$A$7,I137)</f>
        <v>Segment 6- Self-Conscious Male</v>
      </c>
    </row>
    <row r="138" spans="1:10" x14ac:dyDescent="0.25">
      <c r="A138" s="1">
        <f>'batch tool'!A132</f>
        <v>0</v>
      </c>
      <c r="B138" s="7">
        <f>SUMPRODUCT($C$2:$X$2,'batch tool'!$B132:$W132)+$Y$2</f>
        <v>-49.12272534143483</v>
      </c>
      <c r="C138" s="7">
        <f>SUMPRODUCT($C$3:$X$3,'batch tool'!$B132:$W132)+$Y$3</f>
        <v>-36.514029388465531</v>
      </c>
      <c r="D138" s="7">
        <f>SUMPRODUCT($C$4:$X$4,'batch tool'!$B132:$W132)+$Y$4</f>
        <v>-44.639843068043824</v>
      </c>
      <c r="E138" s="7">
        <f>SUMPRODUCT($C$5:$X$5,'batch tool'!$B132:$W132)+$Y$5</f>
        <v>-51.578889182477603</v>
      </c>
      <c r="F138" s="7">
        <f>SUMPRODUCT($C$6:$X$6,'batch tool'!$B132:$W132)+$Y$6</f>
        <v>-47.741473633885199</v>
      </c>
      <c r="G138" s="7">
        <f>SUMPRODUCT($C$7:$X$7,'batch tool'!$B132:$W132)+$Y$7</f>
        <v>-19.739516238059196</v>
      </c>
      <c r="H138" s="7">
        <f t="shared" si="2"/>
        <v>-19.739516238059196</v>
      </c>
      <c r="I138">
        <f t="shared" si="3"/>
        <v>6</v>
      </c>
      <c r="J138" t="str" cm="1">
        <f t="array" ref="J138">INDEX($A$2:$A$7,I138)</f>
        <v>Segment 6- Self-Conscious Male</v>
      </c>
    </row>
    <row r="139" spans="1:10" x14ac:dyDescent="0.25">
      <c r="A139" s="1">
        <f>'batch tool'!A133</f>
        <v>0</v>
      </c>
      <c r="B139" s="7">
        <f>SUMPRODUCT($C$2:$X$2,'batch tool'!$B133:$W133)+$Y$2</f>
        <v>-49.12272534143483</v>
      </c>
      <c r="C139" s="7">
        <f>SUMPRODUCT($C$3:$X$3,'batch tool'!$B133:$W133)+$Y$3</f>
        <v>-36.514029388465531</v>
      </c>
      <c r="D139" s="7">
        <f>SUMPRODUCT($C$4:$X$4,'batch tool'!$B133:$W133)+$Y$4</f>
        <v>-44.639843068043824</v>
      </c>
      <c r="E139" s="7">
        <f>SUMPRODUCT($C$5:$X$5,'batch tool'!$B133:$W133)+$Y$5</f>
        <v>-51.578889182477603</v>
      </c>
      <c r="F139" s="7">
        <f>SUMPRODUCT($C$6:$X$6,'batch tool'!$B133:$W133)+$Y$6</f>
        <v>-47.741473633885199</v>
      </c>
      <c r="G139" s="7">
        <f>SUMPRODUCT($C$7:$X$7,'batch tool'!$B133:$W133)+$Y$7</f>
        <v>-19.739516238059196</v>
      </c>
      <c r="H139" s="7">
        <f t="shared" ref="H139:H202" si="4">MAX(B139:G139)</f>
        <v>-19.739516238059196</v>
      </c>
      <c r="I139">
        <f t="shared" ref="I139:I202" si="5">MATCH(H139,B139:G139,0)</f>
        <v>6</v>
      </c>
      <c r="J139" t="str" cm="1">
        <f t="array" ref="J139">INDEX($A$2:$A$7,I139)</f>
        <v>Segment 6- Self-Conscious Male</v>
      </c>
    </row>
    <row r="140" spans="1:10" x14ac:dyDescent="0.25">
      <c r="A140" s="1">
        <f>'batch tool'!A134</f>
        <v>0</v>
      </c>
      <c r="B140" s="7">
        <f>SUMPRODUCT($C$2:$X$2,'batch tool'!$B134:$W134)+$Y$2</f>
        <v>-49.12272534143483</v>
      </c>
      <c r="C140" s="7">
        <f>SUMPRODUCT($C$3:$X$3,'batch tool'!$B134:$W134)+$Y$3</f>
        <v>-36.514029388465531</v>
      </c>
      <c r="D140" s="7">
        <f>SUMPRODUCT($C$4:$X$4,'batch tool'!$B134:$W134)+$Y$4</f>
        <v>-44.639843068043824</v>
      </c>
      <c r="E140" s="7">
        <f>SUMPRODUCT($C$5:$X$5,'batch tool'!$B134:$W134)+$Y$5</f>
        <v>-51.578889182477603</v>
      </c>
      <c r="F140" s="7">
        <f>SUMPRODUCT($C$6:$X$6,'batch tool'!$B134:$W134)+$Y$6</f>
        <v>-47.741473633885199</v>
      </c>
      <c r="G140" s="7">
        <f>SUMPRODUCT($C$7:$X$7,'batch tool'!$B134:$W134)+$Y$7</f>
        <v>-19.739516238059196</v>
      </c>
      <c r="H140" s="7">
        <f t="shared" si="4"/>
        <v>-19.739516238059196</v>
      </c>
      <c r="I140">
        <f t="shared" si="5"/>
        <v>6</v>
      </c>
      <c r="J140" t="str" cm="1">
        <f t="array" ref="J140">INDEX($A$2:$A$7,I140)</f>
        <v>Segment 6- Self-Conscious Male</v>
      </c>
    </row>
    <row r="141" spans="1:10" x14ac:dyDescent="0.25">
      <c r="A141" s="1">
        <f>'batch tool'!A135</f>
        <v>0</v>
      </c>
      <c r="B141" s="7">
        <f>SUMPRODUCT($C$2:$X$2,'batch tool'!$B135:$W135)+$Y$2</f>
        <v>-49.12272534143483</v>
      </c>
      <c r="C141" s="7">
        <f>SUMPRODUCT($C$3:$X$3,'batch tool'!$B135:$W135)+$Y$3</f>
        <v>-36.514029388465531</v>
      </c>
      <c r="D141" s="7">
        <f>SUMPRODUCT($C$4:$X$4,'batch tool'!$B135:$W135)+$Y$4</f>
        <v>-44.639843068043824</v>
      </c>
      <c r="E141" s="7">
        <f>SUMPRODUCT($C$5:$X$5,'batch tool'!$B135:$W135)+$Y$5</f>
        <v>-51.578889182477603</v>
      </c>
      <c r="F141" s="7">
        <f>SUMPRODUCT($C$6:$X$6,'batch tool'!$B135:$W135)+$Y$6</f>
        <v>-47.741473633885199</v>
      </c>
      <c r="G141" s="7">
        <f>SUMPRODUCT($C$7:$X$7,'batch tool'!$B135:$W135)+$Y$7</f>
        <v>-19.739516238059196</v>
      </c>
      <c r="H141" s="7">
        <f t="shared" si="4"/>
        <v>-19.739516238059196</v>
      </c>
      <c r="I141">
        <f t="shared" si="5"/>
        <v>6</v>
      </c>
      <c r="J141" t="str" cm="1">
        <f t="array" ref="J141">INDEX($A$2:$A$7,I141)</f>
        <v>Segment 6- Self-Conscious Male</v>
      </c>
    </row>
    <row r="142" spans="1:10" x14ac:dyDescent="0.25">
      <c r="A142" s="1">
        <f>'batch tool'!A136</f>
        <v>0</v>
      </c>
      <c r="B142" s="7">
        <f>SUMPRODUCT($C$2:$X$2,'batch tool'!$B136:$W136)+$Y$2</f>
        <v>-49.12272534143483</v>
      </c>
      <c r="C142" s="7">
        <f>SUMPRODUCT($C$3:$X$3,'batch tool'!$B136:$W136)+$Y$3</f>
        <v>-36.514029388465531</v>
      </c>
      <c r="D142" s="7">
        <f>SUMPRODUCT($C$4:$X$4,'batch tool'!$B136:$W136)+$Y$4</f>
        <v>-44.639843068043824</v>
      </c>
      <c r="E142" s="7">
        <f>SUMPRODUCT($C$5:$X$5,'batch tool'!$B136:$W136)+$Y$5</f>
        <v>-51.578889182477603</v>
      </c>
      <c r="F142" s="7">
        <f>SUMPRODUCT($C$6:$X$6,'batch tool'!$B136:$W136)+$Y$6</f>
        <v>-47.741473633885199</v>
      </c>
      <c r="G142" s="7">
        <f>SUMPRODUCT($C$7:$X$7,'batch tool'!$B136:$W136)+$Y$7</f>
        <v>-19.739516238059196</v>
      </c>
      <c r="H142" s="7">
        <f t="shared" si="4"/>
        <v>-19.739516238059196</v>
      </c>
      <c r="I142">
        <f t="shared" si="5"/>
        <v>6</v>
      </c>
      <c r="J142" t="str" cm="1">
        <f t="array" ref="J142">INDEX($A$2:$A$7,I142)</f>
        <v>Segment 6- Self-Conscious Male</v>
      </c>
    </row>
    <row r="143" spans="1:10" x14ac:dyDescent="0.25">
      <c r="A143" s="1">
        <f>'batch tool'!A137</f>
        <v>0</v>
      </c>
      <c r="B143" s="7">
        <f>SUMPRODUCT($C$2:$X$2,'batch tool'!$B137:$W137)+$Y$2</f>
        <v>-49.12272534143483</v>
      </c>
      <c r="C143" s="7">
        <f>SUMPRODUCT($C$3:$X$3,'batch tool'!$B137:$W137)+$Y$3</f>
        <v>-36.514029388465531</v>
      </c>
      <c r="D143" s="7">
        <f>SUMPRODUCT($C$4:$X$4,'batch tool'!$B137:$W137)+$Y$4</f>
        <v>-44.639843068043824</v>
      </c>
      <c r="E143" s="7">
        <f>SUMPRODUCT($C$5:$X$5,'batch tool'!$B137:$W137)+$Y$5</f>
        <v>-51.578889182477603</v>
      </c>
      <c r="F143" s="7">
        <f>SUMPRODUCT($C$6:$X$6,'batch tool'!$B137:$W137)+$Y$6</f>
        <v>-47.741473633885199</v>
      </c>
      <c r="G143" s="7">
        <f>SUMPRODUCT($C$7:$X$7,'batch tool'!$B137:$W137)+$Y$7</f>
        <v>-19.739516238059196</v>
      </c>
      <c r="H143" s="7">
        <f t="shared" si="4"/>
        <v>-19.739516238059196</v>
      </c>
      <c r="I143">
        <f t="shared" si="5"/>
        <v>6</v>
      </c>
      <c r="J143" t="str" cm="1">
        <f t="array" ref="J143">INDEX($A$2:$A$7,I143)</f>
        <v>Segment 6- Self-Conscious Male</v>
      </c>
    </row>
    <row r="144" spans="1:10" x14ac:dyDescent="0.25">
      <c r="A144" s="1">
        <f>'batch tool'!A138</f>
        <v>0</v>
      </c>
      <c r="B144" s="7">
        <f>SUMPRODUCT($C$2:$X$2,'batch tool'!$B138:$W138)+$Y$2</f>
        <v>-49.12272534143483</v>
      </c>
      <c r="C144" s="7">
        <f>SUMPRODUCT($C$3:$X$3,'batch tool'!$B138:$W138)+$Y$3</f>
        <v>-36.514029388465531</v>
      </c>
      <c r="D144" s="7">
        <f>SUMPRODUCT($C$4:$X$4,'batch tool'!$B138:$W138)+$Y$4</f>
        <v>-44.639843068043824</v>
      </c>
      <c r="E144" s="7">
        <f>SUMPRODUCT($C$5:$X$5,'batch tool'!$B138:$W138)+$Y$5</f>
        <v>-51.578889182477603</v>
      </c>
      <c r="F144" s="7">
        <f>SUMPRODUCT($C$6:$X$6,'batch tool'!$B138:$W138)+$Y$6</f>
        <v>-47.741473633885199</v>
      </c>
      <c r="G144" s="7">
        <f>SUMPRODUCT($C$7:$X$7,'batch tool'!$B138:$W138)+$Y$7</f>
        <v>-19.739516238059196</v>
      </c>
      <c r="H144" s="7">
        <f t="shared" si="4"/>
        <v>-19.739516238059196</v>
      </c>
      <c r="I144">
        <f t="shared" si="5"/>
        <v>6</v>
      </c>
      <c r="J144" t="str" cm="1">
        <f t="array" ref="J144">INDEX($A$2:$A$7,I144)</f>
        <v>Segment 6- Self-Conscious Male</v>
      </c>
    </row>
    <row r="145" spans="1:10" x14ac:dyDescent="0.25">
      <c r="A145" s="1">
        <f>'batch tool'!A139</f>
        <v>0</v>
      </c>
      <c r="B145" s="7">
        <f>SUMPRODUCT($C$2:$X$2,'batch tool'!$B139:$W139)+$Y$2</f>
        <v>-49.12272534143483</v>
      </c>
      <c r="C145" s="7">
        <f>SUMPRODUCT($C$3:$X$3,'batch tool'!$B139:$W139)+$Y$3</f>
        <v>-36.514029388465531</v>
      </c>
      <c r="D145" s="7">
        <f>SUMPRODUCT($C$4:$X$4,'batch tool'!$B139:$W139)+$Y$4</f>
        <v>-44.639843068043824</v>
      </c>
      <c r="E145" s="7">
        <f>SUMPRODUCT($C$5:$X$5,'batch tool'!$B139:$W139)+$Y$5</f>
        <v>-51.578889182477603</v>
      </c>
      <c r="F145" s="7">
        <f>SUMPRODUCT($C$6:$X$6,'batch tool'!$B139:$W139)+$Y$6</f>
        <v>-47.741473633885199</v>
      </c>
      <c r="G145" s="7">
        <f>SUMPRODUCT($C$7:$X$7,'batch tool'!$B139:$W139)+$Y$7</f>
        <v>-19.739516238059196</v>
      </c>
      <c r="H145" s="7">
        <f t="shared" si="4"/>
        <v>-19.739516238059196</v>
      </c>
      <c r="I145">
        <f t="shared" si="5"/>
        <v>6</v>
      </c>
      <c r="J145" t="str" cm="1">
        <f t="array" ref="J145">INDEX($A$2:$A$7,I145)</f>
        <v>Segment 6- Self-Conscious Male</v>
      </c>
    </row>
    <row r="146" spans="1:10" x14ac:dyDescent="0.25">
      <c r="A146" s="1">
        <f>'batch tool'!A140</f>
        <v>0</v>
      </c>
      <c r="B146" s="7">
        <f>SUMPRODUCT($C$2:$X$2,'batch tool'!$B140:$W140)+$Y$2</f>
        <v>-49.12272534143483</v>
      </c>
      <c r="C146" s="7">
        <f>SUMPRODUCT($C$3:$X$3,'batch tool'!$B140:$W140)+$Y$3</f>
        <v>-36.514029388465531</v>
      </c>
      <c r="D146" s="7">
        <f>SUMPRODUCT($C$4:$X$4,'batch tool'!$B140:$W140)+$Y$4</f>
        <v>-44.639843068043824</v>
      </c>
      <c r="E146" s="7">
        <f>SUMPRODUCT($C$5:$X$5,'batch tool'!$B140:$W140)+$Y$5</f>
        <v>-51.578889182477603</v>
      </c>
      <c r="F146" s="7">
        <f>SUMPRODUCT($C$6:$X$6,'batch tool'!$B140:$W140)+$Y$6</f>
        <v>-47.741473633885199</v>
      </c>
      <c r="G146" s="7">
        <f>SUMPRODUCT($C$7:$X$7,'batch tool'!$B140:$W140)+$Y$7</f>
        <v>-19.739516238059196</v>
      </c>
      <c r="H146" s="7">
        <f t="shared" si="4"/>
        <v>-19.739516238059196</v>
      </c>
      <c r="I146">
        <f t="shared" si="5"/>
        <v>6</v>
      </c>
      <c r="J146" t="str" cm="1">
        <f t="array" ref="J146">INDEX($A$2:$A$7,I146)</f>
        <v>Segment 6- Self-Conscious Male</v>
      </c>
    </row>
    <row r="147" spans="1:10" x14ac:dyDescent="0.25">
      <c r="A147" s="1">
        <f>'batch tool'!A141</f>
        <v>0</v>
      </c>
      <c r="B147" s="7">
        <f>SUMPRODUCT($C$2:$X$2,'batch tool'!$B141:$W141)+$Y$2</f>
        <v>-49.12272534143483</v>
      </c>
      <c r="C147" s="7">
        <f>SUMPRODUCT($C$3:$X$3,'batch tool'!$B141:$W141)+$Y$3</f>
        <v>-36.514029388465531</v>
      </c>
      <c r="D147" s="7">
        <f>SUMPRODUCT($C$4:$X$4,'batch tool'!$B141:$W141)+$Y$4</f>
        <v>-44.639843068043824</v>
      </c>
      <c r="E147" s="7">
        <f>SUMPRODUCT($C$5:$X$5,'batch tool'!$B141:$W141)+$Y$5</f>
        <v>-51.578889182477603</v>
      </c>
      <c r="F147" s="7">
        <f>SUMPRODUCT($C$6:$X$6,'batch tool'!$B141:$W141)+$Y$6</f>
        <v>-47.741473633885199</v>
      </c>
      <c r="G147" s="7">
        <f>SUMPRODUCT($C$7:$X$7,'batch tool'!$B141:$W141)+$Y$7</f>
        <v>-19.739516238059196</v>
      </c>
      <c r="H147" s="7">
        <f t="shared" si="4"/>
        <v>-19.739516238059196</v>
      </c>
      <c r="I147">
        <f t="shared" si="5"/>
        <v>6</v>
      </c>
      <c r="J147" t="str" cm="1">
        <f t="array" ref="J147">INDEX($A$2:$A$7,I147)</f>
        <v>Segment 6- Self-Conscious Male</v>
      </c>
    </row>
    <row r="148" spans="1:10" x14ac:dyDescent="0.25">
      <c r="A148" s="1">
        <f>'batch tool'!A142</f>
        <v>0</v>
      </c>
      <c r="B148" s="7">
        <f>SUMPRODUCT($C$2:$X$2,'batch tool'!$B142:$W142)+$Y$2</f>
        <v>-49.12272534143483</v>
      </c>
      <c r="C148" s="7">
        <f>SUMPRODUCT($C$3:$X$3,'batch tool'!$B142:$W142)+$Y$3</f>
        <v>-36.514029388465531</v>
      </c>
      <c r="D148" s="7">
        <f>SUMPRODUCT($C$4:$X$4,'batch tool'!$B142:$W142)+$Y$4</f>
        <v>-44.639843068043824</v>
      </c>
      <c r="E148" s="7">
        <f>SUMPRODUCT($C$5:$X$5,'batch tool'!$B142:$W142)+$Y$5</f>
        <v>-51.578889182477603</v>
      </c>
      <c r="F148" s="7">
        <f>SUMPRODUCT($C$6:$X$6,'batch tool'!$B142:$W142)+$Y$6</f>
        <v>-47.741473633885199</v>
      </c>
      <c r="G148" s="7">
        <f>SUMPRODUCT($C$7:$X$7,'batch tool'!$B142:$W142)+$Y$7</f>
        <v>-19.739516238059196</v>
      </c>
      <c r="H148" s="7">
        <f t="shared" si="4"/>
        <v>-19.739516238059196</v>
      </c>
      <c r="I148">
        <f t="shared" si="5"/>
        <v>6</v>
      </c>
      <c r="J148" t="str" cm="1">
        <f t="array" ref="J148">INDEX($A$2:$A$7,I148)</f>
        <v>Segment 6- Self-Conscious Male</v>
      </c>
    </row>
    <row r="149" spans="1:10" x14ac:dyDescent="0.25">
      <c r="A149" s="1">
        <f>'batch tool'!A143</f>
        <v>0</v>
      </c>
      <c r="B149" s="7">
        <f>SUMPRODUCT($C$2:$X$2,'batch tool'!$B143:$W143)+$Y$2</f>
        <v>-49.12272534143483</v>
      </c>
      <c r="C149" s="7">
        <f>SUMPRODUCT($C$3:$X$3,'batch tool'!$B143:$W143)+$Y$3</f>
        <v>-36.514029388465531</v>
      </c>
      <c r="D149" s="7">
        <f>SUMPRODUCT($C$4:$X$4,'batch tool'!$B143:$W143)+$Y$4</f>
        <v>-44.639843068043824</v>
      </c>
      <c r="E149" s="7">
        <f>SUMPRODUCT($C$5:$X$5,'batch tool'!$B143:$W143)+$Y$5</f>
        <v>-51.578889182477603</v>
      </c>
      <c r="F149" s="7">
        <f>SUMPRODUCT($C$6:$X$6,'batch tool'!$B143:$W143)+$Y$6</f>
        <v>-47.741473633885199</v>
      </c>
      <c r="G149" s="7">
        <f>SUMPRODUCT($C$7:$X$7,'batch tool'!$B143:$W143)+$Y$7</f>
        <v>-19.739516238059196</v>
      </c>
      <c r="H149" s="7">
        <f t="shared" si="4"/>
        <v>-19.739516238059196</v>
      </c>
      <c r="I149">
        <f t="shared" si="5"/>
        <v>6</v>
      </c>
      <c r="J149" t="str" cm="1">
        <f t="array" ref="J149">INDEX($A$2:$A$7,I149)</f>
        <v>Segment 6- Self-Conscious Male</v>
      </c>
    </row>
    <row r="150" spans="1:10" x14ac:dyDescent="0.25">
      <c r="A150" s="1">
        <f>'batch tool'!A144</f>
        <v>0</v>
      </c>
      <c r="B150" s="7">
        <f>SUMPRODUCT($C$2:$X$2,'batch tool'!$B144:$W144)+$Y$2</f>
        <v>-49.12272534143483</v>
      </c>
      <c r="C150" s="7">
        <f>SUMPRODUCT($C$3:$X$3,'batch tool'!$B144:$W144)+$Y$3</f>
        <v>-36.514029388465531</v>
      </c>
      <c r="D150" s="7">
        <f>SUMPRODUCT($C$4:$X$4,'batch tool'!$B144:$W144)+$Y$4</f>
        <v>-44.639843068043824</v>
      </c>
      <c r="E150" s="7">
        <f>SUMPRODUCT($C$5:$X$5,'batch tool'!$B144:$W144)+$Y$5</f>
        <v>-51.578889182477603</v>
      </c>
      <c r="F150" s="7">
        <f>SUMPRODUCT($C$6:$X$6,'batch tool'!$B144:$W144)+$Y$6</f>
        <v>-47.741473633885199</v>
      </c>
      <c r="G150" s="7">
        <f>SUMPRODUCT($C$7:$X$7,'batch tool'!$B144:$W144)+$Y$7</f>
        <v>-19.739516238059196</v>
      </c>
      <c r="H150" s="7">
        <f t="shared" si="4"/>
        <v>-19.739516238059196</v>
      </c>
      <c r="I150">
        <f t="shared" si="5"/>
        <v>6</v>
      </c>
      <c r="J150" t="str" cm="1">
        <f t="array" ref="J150">INDEX($A$2:$A$7,I150)</f>
        <v>Segment 6- Self-Conscious Male</v>
      </c>
    </row>
    <row r="151" spans="1:10" x14ac:dyDescent="0.25">
      <c r="A151" s="1">
        <f>'batch tool'!A145</f>
        <v>0</v>
      </c>
      <c r="B151" s="7">
        <f>SUMPRODUCT($C$2:$X$2,'batch tool'!$B145:$W145)+$Y$2</f>
        <v>-49.12272534143483</v>
      </c>
      <c r="C151" s="7">
        <f>SUMPRODUCT($C$3:$X$3,'batch tool'!$B145:$W145)+$Y$3</f>
        <v>-36.514029388465531</v>
      </c>
      <c r="D151" s="7">
        <f>SUMPRODUCT($C$4:$X$4,'batch tool'!$B145:$W145)+$Y$4</f>
        <v>-44.639843068043824</v>
      </c>
      <c r="E151" s="7">
        <f>SUMPRODUCT($C$5:$X$5,'batch tool'!$B145:$W145)+$Y$5</f>
        <v>-51.578889182477603</v>
      </c>
      <c r="F151" s="7">
        <f>SUMPRODUCT($C$6:$X$6,'batch tool'!$B145:$W145)+$Y$6</f>
        <v>-47.741473633885199</v>
      </c>
      <c r="G151" s="7">
        <f>SUMPRODUCT($C$7:$X$7,'batch tool'!$B145:$W145)+$Y$7</f>
        <v>-19.739516238059196</v>
      </c>
      <c r="H151" s="7">
        <f t="shared" si="4"/>
        <v>-19.739516238059196</v>
      </c>
      <c r="I151">
        <f t="shared" si="5"/>
        <v>6</v>
      </c>
      <c r="J151" t="str" cm="1">
        <f t="array" ref="J151">INDEX($A$2:$A$7,I151)</f>
        <v>Segment 6- Self-Conscious Male</v>
      </c>
    </row>
    <row r="152" spans="1:10" x14ac:dyDescent="0.25">
      <c r="A152" s="1">
        <f>'batch tool'!A146</f>
        <v>0</v>
      </c>
      <c r="B152" s="7">
        <f>SUMPRODUCT($C$2:$X$2,'batch tool'!$B146:$W146)+$Y$2</f>
        <v>-49.12272534143483</v>
      </c>
      <c r="C152" s="7">
        <f>SUMPRODUCT($C$3:$X$3,'batch tool'!$B146:$W146)+$Y$3</f>
        <v>-36.514029388465531</v>
      </c>
      <c r="D152" s="7">
        <f>SUMPRODUCT($C$4:$X$4,'batch tool'!$B146:$W146)+$Y$4</f>
        <v>-44.639843068043824</v>
      </c>
      <c r="E152" s="7">
        <f>SUMPRODUCT($C$5:$X$5,'batch tool'!$B146:$W146)+$Y$5</f>
        <v>-51.578889182477603</v>
      </c>
      <c r="F152" s="7">
        <f>SUMPRODUCT($C$6:$X$6,'batch tool'!$B146:$W146)+$Y$6</f>
        <v>-47.741473633885199</v>
      </c>
      <c r="G152" s="7">
        <f>SUMPRODUCT($C$7:$X$7,'batch tool'!$B146:$W146)+$Y$7</f>
        <v>-19.739516238059196</v>
      </c>
      <c r="H152" s="7">
        <f t="shared" si="4"/>
        <v>-19.739516238059196</v>
      </c>
      <c r="I152">
        <f t="shared" si="5"/>
        <v>6</v>
      </c>
      <c r="J152" t="str" cm="1">
        <f t="array" ref="J152">INDEX($A$2:$A$7,I152)</f>
        <v>Segment 6- Self-Conscious Male</v>
      </c>
    </row>
    <row r="153" spans="1:10" x14ac:dyDescent="0.25">
      <c r="A153" s="1">
        <f>'batch tool'!A147</f>
        <v>0</v>
      </c>
      <c r="B153" s="7">
        <f>SUMPRODUCT($C$2:$X$2,'batch tool'!$B147:$W147)+$Y$2</f>
        <v>-49.12272534143483</v>
      </c>
      <c r="C153" s="7">
        <f>SUMPRODUCT($C$3:$X$3,'batch tool'!$B147:$W147)+$Y$3</f>
        <v>-36.514029388465531</v>
      </c>
      <c r="D153" s="7">
        <f>SUMPRODUCT($C$4:$X$4,'batch tool'!$B147:$W147)+$Y$4</f>
        <v>-44.639843068043824</v>
      </c>
      <c r="E153" s="7">
        <f>SUMPRODUCT($C$5:$X$5,'batch tool'!$B147:$W147)+$Y$5</f>
        <v>-51.578889182477603</v>
      </c>
      <c r="F153" s="7">
        <f>SUMPRODUCT($C$6:$X$6,'batch tool'!$B147:$W147)+$Y$6</f>
        <v>-47.741473633885199</v>
      </c>
      <c r="G153" s="7">
        <f>SUMPRODUCT($C$7:$X$7,'batch tool'!$B147:$W147)+$Y$7</f>
        <v>-19.739516238059196</v>
      </c>
      <c r="H153" s="7">
        <f t="shared" si="4"/>
        <v>-19.739516238059196</v>
      </c>
      <c r="I153">
        <f t="shared" si="5"/>
        <v>6</v>
      </c>
      <c r="J153" t="str" cm="1">
        <f t="array" ref="J153">INDEX($A$2:$A$7,I153)</f>
        <v>Segment 6- Self-Conscious Male</v>
      </c>
    </row>
    <row r="154" spans="1:10" x14ac:dyDescent="0.25">
      <c r="A154" s="1">
        <f>'batch tool'!A148</f>
        <v>0</v>
      </c>
      <c r="B154" s="7">
        <f>SUMPRODUCT($C$2:$X$2,'batch tool'!$B148:$W148)+$Y$2</f>
        <v>-49.12272534143483</v>
      </c>
      <c r="C154" s="7">
        <f>SUMPRODUCT($C$3:$X$3,'batch tool'!$B148:$W148)+$Y$3</f>
        <v>-36.514029388465531</v>
      </c>
      <c r="D154" s="7">
        <f>SUMPRODUCT($C$4:$X$4,'batch tool'!$B148:$W148)+$Y$4</f>
        <v>-44.639843068043824</v>
      </c>
      <c r="E154" s="7">
        <f>SUMPRODUCT($C$5:$X$5,'batch tool'!$B148:$W148)+$Y$5</f>
        <v>-51.578889182477603</v>
      </c>
      <c r="F154" s="7">
        <f>SUMPRODUCT($C$6:$X$6,'batch tool'!$B148:$W148)+$Y$6</f>
        <v>-47.741473633885199</v>
      </c>
      <c r="G154" s="7">
        <f>SUMPRODUCT($C$7:$X$7,'batch tool'!$B148:$W148)+$Y$7</f>
        <v>-19.739516238059196</v>
      </c>
      <c r="H154" s="7">
        <f t="shared" si="4"/>
        <v>-19.739516238059196</v>
      </c>
      <c r="I154">
        <f t="shared" si="5"/>
        <v>6</v>
      </c>
      <c r="J154" t="str" cm="1">
        <f t="array" ref="J154">INDEX($A$2:$A$7,I154)</f>
        <v>Segment 6- Self-Conscious Male</v>
      </c>
    </row>
    <row r="155" spans="1:10" x14ac:dyDescent="0.25">
      <c r="A155" s="1">
        <f>'batch tool'!A149</f>
        <v>0</v>
      </c>
      <c r="B155" s="7">
        <f>SUMPRODUCT($C$2:$X$2,'batch tool'!$B149:$W149)+$Y$2</f>
        <v>-49.12272534143483</v>
      </c>
      <c r="C155" s="7">
        <f>SUMPRODUCT($C$3:$X$3,'batch tool'!$B149:$W149)+$Y$3</f>
        <v>-36.514029388465531</v>
      </c>
      <c r="D155" s="7">
        <f>SUMPRODUCT($C$4:$X$4,'batch tool'!$B149:$W149)+$Y$4</f>
        <v>-44.639843068043824</v>
      </c>
      <c r="E155" s="7">
        <f>SUMPRODUCT($C$5:$X$5,'batch tool'!$B149:$W149)+$Y$5</f>
        <v>-51.578889182477603</v>
      </c>
      <c r="F155" s="7">
        <f>SUMPRODUCT($C$6:$X$6,'batch tool'!$B149:$W149)+$Y$6</f>
        <v>-47.741473633885199</v>
      </c>
      <c r="G155" s="7">
        <f>SUMPRODUCT($C$7:$X$7,'batch tool'!$B149:$W149)+$Y$7</f>
        <v>-19.739516238059196</v>
      </c>
      <c r="H155" s="7">
        <f t="shared" si="4"/>
        <v>-19.739516238059196</v>
      </c>
      <c r="I155">
        <f t="shared" si="5"/>
        <v>6</v>
      </c>
      <c r="J155" t="str" cm="1">
        <f t="array" ref="J155">INDEX($A$2:$A$7,I155)</f>
        <v>Segment 6- Self-Conscious Male</v>
      </c>
    </row>
    <row r="156" spans="1:10" x14ac:dyDescent="0.25">
      <c r="A156" s="1">
        <f>'batch tool'!A150</f>
        <v>0</v>
      </c>
      <c r="B156" s="7">
        <f>SUMPRODUCT($C$2:$X$2,'batch tool'!$B150:$W150)+$Y$2</f>
        <v>-49.12272534143483</v>
      </c>
      <c r="C156" s="7">
        <f>SUMPRODUCT($C$3:$X$3,'batch tool'!$B150:$W150)+$Y$3</f>
        <v>-36.514029388465531</v>
      </c>
      <c r="D156" s="7">
        <f>SUMPRODUCT($C$4:$X$4,'batch tool'!$B150:$W150)+$Y$4</f>
        <v>-44.639843068043824</v>
      </c>
      <c r="E156" s="7">
        <f>SUMPRODUCT($C$5:$X$5,'batch tool'!$B150:$W150)+$Y$5</f>
        <v>-51.578889182477603</v>
      </c>
      <c r="F156" s="7">
        <f>SUMPRODUCT($C$6:$X$6,'batch tool'!$B150:$W150)+$Y$6</f>
        <v>-47.741473633885199</v>
      </c>
      <c r="G156" s="7">
        <f>SUMPRODUCT($C$7:$X$7,'batch tool'!$B150:$W150)+$Y$7</f>
        <v>-19.739516238059196</v>
      </c>
      <c r="H156" s="7">
        <f t="shared" si="4"/>
        <v>-19.739516238059196</v>
      </c>
      <c r="I156">
        <f t="shared" si="5"/>
        <v>6</v>
      </c>
      <c r="J156" t="str" cm="1">
        <f t="array" ref="J156">INDEX($A$2:$A$7,I156)</f>
        <v>Segment 6- Self-Conscious Male</v>
      </c>
    </row>
    <row r="157" spans="1:10" x14ac:dyDescent="0.25">
      <c r="A157" s="1">
        <f>'batch tool'!A151</f>
        <v>0</v>
      </c>
      <c r="B157" s="7">
        <f>SUMPRODUCT($C$2:$X$2,'batch tool'!$B151:$W151)+$Y$2</f>
        <v>-49.12272534143483</v>
      </c>
      <c r="C157" s="7">
        <f>SUMPRODUCT($C$3:$X$3,'batch tool'!$B151:$W151)+$Y$3</f>
        <v>-36.514029388465531</v>
      </c>
      <c r="D157" s="7">
        <f>SUMPRODUCT($C$4:$X$4,'batch tool'!$B151:$W151)+$Y$4</f>
        <v>-44.639843068043824</v>
      </c>
      <c r="E157" s="7">
        <f>SUMPRODUCT($C$5:$X$5,'batch tool'!$B151:$W151)+$Y$5</f>
        <v>-51.578889182477603</v>
      </c>
      <c r="F157" s="7">
        <f>SUMPRODUCT($C$6:$X$6,'batch tool'!$B151:$W151)+$Y$6</f>
        <v>-47.741473633885199</v>
      </c>
      <c r="G157" s="7">
        <f>SUMPRODUCT($C$7:$X$7,'batch tool'!$B151:$W151)+$Y$7</f>
        <v>-19.739516238059196</v>
      </c>
      <c r="H157" s="7">
        <f t="shared" si="4"/>
        <v>-19.739516238059196</v>
      </c>
      <c r="I157">
        <f t="shared" si="5"/>
        <v>6</v>
      </c>
      <c r="J157" t="str" cm="1">
        <f t="array" ref="J157">INDEX($A$2:$A$7,I157)</f>
        <v>Segment 6- Self-Conscious Male</v>
      </c>
    </row>
    <row r="158" spans="1:10" x14ac:dyDescent="0.25">
      <c r="A158" s="1">
        <f>'batch tool'!A152</f>
        <v>0</v>
      </c>
      <c r="B158" s="7">
        <f>SUMPRODUCT($C$2:$X$2,'batch tool'!$B152:$W152)+$Y$2</f>
        <v>-49.12272534143483</v>
      </c>
      <c r="C158" s="7">
        <f>SUMPRODUCT($C$3:$X$3,'batch tool'!$B152:$W152)+$Y$3</f>
        <v>-36.514029388465531</v>
      </c>
      <c r="D158" s="7">
        <f>SUMPRODUCT($C$4:$X$4,'batch tool'!$B152:$W152)+$Y$4</f>
        <v>-44.639843068043824</v>
      </c>
      <c r="E158" s="7">
        <f>SUMPRODUCT($C$5:$X$5,'batch tool'!$B152:$W152)+$Y$5</f>
        <v>-51.578889182477603</v>
      </c>
      <c r="F158" s="7">
        <f>SUMPRODUCT($C$6:$X$6,'batch tool'!$B152:$W152)+$Y$6</f>
        <v>-47.741473633885199</v>
      </c>
      <c r="G158" s="7">
        <f>SUMPRODUCT($C$7:$X$7,'batch tool'!$B152:$W152)+$Y$7</f>
        <v>-19.739516238059196</v>
      </c>
      <c r="H158" s="7">
        <f t="shared" si="4"/>
        <v>-19.739516238059196</v>
      </c>
      <c r="I158">
        <f t="shared" si="5"/>
        <v>6</v>
      </c>
      <c r="J158" t="str" cm="1">
        <f t="array" ref="J158">INDEX($A$2:$A$7,I158)</f>
        <v>Segment 6- Self-Conscious Male</v>
      </c>
    </row>
    <row r="159" spans="1:10" x14ac:dyDescent="0.25">
      <c r="A159" s="1">
        <f>'batch tool'!A153</f>
        <v>0</v>
      </c>
      <c r="B159" s="7">
        <f>SUMPRODUCT($C$2:$X$2,'batch tool'!$B153:$W153)+$Y$2</f>
        <v>-49.12272534143483</v>
      </c>
      <c r="C159" s="7">
        <f>SUMPRODUCT($C$3:$X$3,'batch tool'!$B153:$W153)+$Y$3</f>
        <v>-36.514029388465531</v>
      </c>
      <c r="D159" s="7">
        <f>SUMPRODUCT($C$4:$X$4,'batch tool'!$B153:$W153)+$Y$4</f>
        <v>-44.639843068043824</v>
      </c>
      <c r="E159" s="7">
        <f>SUMPRODUCT($C$5:$X$5,'batch tool'!$B153:$W153)+$Y$5</f>
        <v>-51.578889182477603</v>
      </c>
      <c r="F159" s="7">
        <f>SUMPRODUCT($C$6:$X$6,'batch tool'!$B153:$W153)+$Y$6</f>
        <v>-47.741473633885199</v>
      </c>
      <c r="G159" s="7">
        <f>SUMPRODUCT($C$7:$X$7,'batch tool'!$B153:$W153)+$Y$7</f>
        <v>-19.739516238059196</v>
      </c>
      <c r="H159" s="7">
        <f t="shared" si="4"/>
        <v>-19.739516238059196</v>
      </c>
      <c r="I159">
        <f t="shared" si="5"/>
        <v>6</v>
      </c>
      <c r="J159" t="str" cm="1">
        <f t="array" ref="J159">INDEX($A$2:$A$7,I159)</f>
        <v>Segment 6- Self-Conscious Male</v>
      </c>
    </row>
    <row r="160" spans="1:10" x14ac:dyDescent="0.25">
      <c r="A160" s="1">
        <f>'batch tool'!A154</f>
        <v>0</v>
      </c>
      <c r="B160" s="7">
        <f>SUMPRODUCT($C$2:$X$2,'batch tool'!$B154:$W154)+$Y$2</f>
        <v>-49.12272534143483</v>
      </c>
      <c r="C160" s="7">
        <f>SUMPRODUCT($C$3:$X$3,'batch tool'!$B154:$W154)+$Y$3</f>
        <v>-36.514029388465531</v>
      </c>
      <c r="D160" s="7">
        <f>SUMPRODUCT($C$4:$X$4,'batch tool'!$B154:$W154)+$Y$4</f>
        <v>-44.639843068043824</v>
      </c>
      <c r="E160" s="7">
        <f>SUMPRODUCT($C$5:$X$5,'batch tool'!$B154:$W154)+$Y$5</f>
        <v>-51.578889182477603</v>
      </c>
      <c r="F160" s="7">
        <f>SUMPRODUCT($C$6:$X$6,'batch tool'!$B154:$W154)+$Y$6</f>
        <v>-47.741473633885199</v>
      </c>
      <c r="G160" s="7">
        <f>SUMPRODUCT($C$7:$X$7,'batch tool'!$B154:$W154)+$Y$7</f>
        <v>-19.739516238059196</v>
      </c>
      <c r="H160" s="7">
        <f t="shared" si="4"/>
        <v>-19.739516238059196</v>
      </c>
      <c r="I160">
        <f t="shared" si="5"/>
        <v>6</v>
      </c>
      <c r="J160" t="str" cm="1">
        <f t="array" ref="J160">INDEX($A$2:$A$7,I160)</f>
        <v>Segment 6- Self-Conscious Male</v>
      </c>
    </row>
    <row r="161" spans="1:10" x14ac:dyDescent="0.25">
      <c r="A161" s="1">
        <f>'batch tool'!A155</f>
        <v>0</v>
      </c>
      <c r="B161" s="7">
        <f>SUMPRODUCT($C$2:$X$2,'batch tool'!$B155:$W155)+$Y$2</f>
        <v>-49.12272534143483</v>
      </c>
      <c r="C161" s="7">
        <f>SUMPRODUCT($C$3:$X$3,'batch tool'!$B155:$W155)+$Y$3</f>
        <v>-36.514029388465531</v>
      </c>
      <c r="D161" s="7">
        <f>SUMPRODUCT($C$4:$X$4,'batch tool'!$B155:$W155)+$Y$4</f>
        <v>-44.639843068043824</v>
      </c>
      <c r="E161" s="7">
        <f>SUMPRODUCT($C$5:$X$5,'batch tool'!$B155:$W155)+$Y$5</f>
        <v>-51.578889182477603</v>
      </c>
      <c r="F161" s="7">
        <f>SUMPRODUCT($C$6:$X$6,'batch tool'!$B155:$W155)+$Y$6</f>
        <v>-47.741473633885199</v>
      </c>
      <c r="G161" s="7">
        <f>SUMPRODUCT($C$7:$X$7,'batch tool'!$B155:$W155)+$Y$7</f>
        <v>-19.739516238059196</v>
      </c>
      <c r="H161" s="7">
        <f t="shared" si="4"/>
        <v>-19.739516238059196</v>
      </c>
      <c r="I161">
        <f t="shared" si="5"/>
        <v>6</v>
      </c>
      <c r="J161" t="str" cm="1">
        <f t="array" ref="J161">INDEX($A$2:$A$7,I161)</f>
        <v>Segment 6- Self-Conscious Male</v>
      </c>
    </row>
    <row r="162" spans="1:10" x14ac:dyDescent="0.25">
      <c r="A162" s="1">
        <f>'batch tool'!A156</f>
        <v>0</v>
      </c>
      <c r="B162" s="7">
        <f>SUMPRODUCT($C$2:$X$2,'batch tool'!$B156:$W156)+$Y$2</f>
        <v>-49.12272534143483</v>
      </c>
      <c r="C162" s="7">
        <f>SUMPRODUCT($C$3:$X$3,'batch tool'!$B156:$W156)+$Y$3</f>
        <v>-36.514029388465531</v>
      </c>
      <c r="D162" s="7">
        <f>SUMPRODUCT($C$4:$X$4,'batch tool'!$B156:$W156)+$Y$4</f>
        <v>-44.639843068043824</v>
      </c>
      <c r="E162" s="7">
        <f>SUMPRODUCT($C$5:$X$5,'batch tool'!$B156:$W156)+$Y$5</f>
        <v>-51.578889182477603</v>
      </c>
      <c r="F162" s="7">
        <f>SUMPRODUCT($C$6:$X$6,'batch tool'!$B156:$W156)+$Y$6</f>
        <v>-47.741473633885199</v>
      </c>
      <c r="G162" s="7">
        <f>SUMPRODUCT($C$7:$X$7,'batch tool'!$B156:$W156)+$Y$7</f>
        <v>-19.739516238059196</v>
      </c>
      <c r="H162" s="7">
        <f t="shared" si="4"/>
        <v>-19.739516238059196</v>
      </c>
      <c r="I162">
        <f t="shared" si="5"/>
        <v>6</v>
      </c>
      <c r="J162" t="str" cm="1">
        <f t="array" ref="J162">INDEX($A$2:$A$7,I162)</f>
        <v>Segment 6- Self-Conscious Male</v>
      </c>
    </row>
    <row r="163" spans="1:10" x14ac:dyDescent="0.25">
      <c r="A163" s="1">
        <f>'batch tool'!A157</f>
        <v>0</v>
      </c>
      <c r="B163" s="7">
        <f>SUMPRODUCT($C$2:$X$2,'batch tool'!$B157:$W157)+$Y$2</f>
        <v>-49.12272534143483</v>
      </c>
      <c r="C163" s="7">
        <f>SUMPRODUCT($C$3:$X$3,'batch tool'!$B157:$W157)+$Y$3</f>
        <v>-36.514029388465531</v>
      </c>
      <c r="D163" s="7">
        <f>SUMPRODUCT($C$4:$X$4,'batch tool'!$B157:$W157)+$Y$4</f>
        <v>-44.639843068043824</v>
      </c>
      <c r="E163" s="7">
        <f>SUMPRODUCT($C$5:$X$5,'batch tool'!$B157:$W157)+$Y$5</f>
        <v>-51.578889182477603</v>
      </c>
      <c r="F163" s="7">
        <f>SUMPRODUCT($C$6:$X$6,'batch tool'!$B157:$W157)+$Y$6</f>
        <v>-47.741473633885199</v>
      </c>
      <c r="G163" s="7">
        <f>SUMPRODUCT($C$7:$X$7,'batch tool'!$B157:$W157)+$Y$7</f>
        <v>-19.739516238059196</v>
      </c>
      <c r="H163" s="7">
        <f t="shared" si="4"/>
        <v>-19.739516238059196</v>
      </c>
      <c r="I163">
        <f t="shared" si="5"/>
        <v>6</v>
      </c>
      <c r="J163" t="str" cm="1">
        <f t="array" ref="J163">INDEX($A$2:$A$7,I163)</f>
        <v>Segment 6- Self-Conscious Male</v>
      </c>
    </row>
    <row r="164" spans="1:10" x14ac:dyDescent="0.25">
      <c r="A164" s="1">
        <f>'batch tool'!A158</f>
        <v>0</v>
      </c>
      <c r="B164" s="7">
        <f>SUMPRODUCT($C$2:$X$2,'batch tool'!$B158:$W158)+$Y$2</f>
        <v>-49.12272534143483</v>
      </c>
      <c r="C164" s="7">
        <f>SUMPRODUCT($C$3:$X$3,'batch tool'!$B158:$W158)+$Y$3</f>
        <v>-36.514029388465531</v>
      </c>
      <c r="D164" s="7">
        <f>SUMPRODUCT($C$4:$X$4,'batch tool'!$B158:$W158)+$Y$4</f>
        <v>-44.639843068043824</v>
      </c>
      <c r="E164" s="7">
        <f>SUMPRODUCT($C$5:$X$5,'batch tool'!$B158:$W158)+$Y$5</f>
        <v>-51.578889182477603</v>
      </c>
      <c r="F164" s="7">
        <f>SUMPRODUCT($C$6:$X$6,'batch tool'!$B158:$W158)+$Y$6</f>
        <v>-47.741473633885199</v>
      </c>
      <c r="G164" s="7">
        <f>SUMPRODUCT($C$7:$X$7,'batch tool'!$B158:$W158)+$Y$7</f>
        <v>-19.739516238059196</v>
      </c>
      <c r="H164" s="7">
        <f t="shared" si="4"/>
        <v>-19.739516238059196</v>
      </c>
      <c r="I164">
        <f t="shared" si="5"/>
        <v>6</v>
      </c>
      <c r="J164" t="str" cm="1">
        <f t="array" ref="J164">INDEX($A$2:$A$7,I164)</f>
        <v>Segment 6- Self-Conscious Male</v>
      </c>
    </row>
    <row r="165" spans="1:10" x14ac:dyDescent="0.25">
      <c r="A165" s="1">
        <f>'batch tool'!A159</f>
        <v>0</v>
      </c>
      <c r="B165" s="7">
        <f>SUMPRODUCT($C$2:$X$2,'batch tool'!$B159:$W159)+$Y$2</f>
        <v>-49.12272534143483</v>
      </c>
      <c r="C165" s="7">
        <f>SUMPRODUCT($C$3:$X$3,'batch tool'!$B159:$W159)+$Y$3</f>
        <v>-36.514029388465531</v>
      </c>
      <c r="D165" s="7">
        <f>SUMPRODUCT($C$4:$X$4,'batch tool'!$B159:$W159)+$Y$4</f>
        <v>-44.639843068043824</v>
      </c>
      <c r="E165" s="7">
        <f>SUMPRODUCT($C$5:$X$5,'batch tool'!$B159:$W159)+$Y$5</f>
        <v>-51.578889182477603</v>
      </c>
      <c r="F165" s="7">
        <f>SUMPRODUCT($C$6:$X$6,'batch tool'!$B159:$W159)+$Y$6</f>
        <v>-47.741473633885199</v>
      </c>
      <c r="G165" s="7">
        <f>SUMPRODUCT($C$7:$X$7,'batch tool'!$B159:$W159)+$Y$7</f>
        <v>-19.739516238059196</v>
      </c>
      <c r="H165" s="7">
        <f t="shared" si="4"/>
        <v>-19.739516238059196</v>
      </c>
      <c r="I165">
        <f t="shared" si="5"/>
        <v>6</v>
      </c>
      <c r="J165" t="str" cm="1">
        <f t="array" ref="J165">INDEX($A$2:$A$7,I165)</f>
        <v>Segment 6- Self-Conscious Male</v>
      </c>
    </row>
    <row r="166" spans="1:10" x14ac:dyDescent="0.25">
      <c r="A166" s="1">
        <f>'batch tool'!A160</f>
        <v>0</v>
      </c>
      <c r="B166" s="7">
        <f>SUMPRODUCT($C$2:$X$2,'batch tool'!$B160:$W160)+$Y$2</f>
        <v>-49.12272534143483</v>
      </c>
      <c r="C166" s="7">
        <f>SUMPRODUCT($C$3:$X$3,'batch tool'!$B160:$W160)+$Y$3</f>
        <v>-36.514029388465531</v>
      </c>
      <c r="D166" s="7">
        <f>SUMPRODUCT($C$4:$X$4,'batch tool'!$B160:$W160)+$Y$4</f>
        <v>-44.639843068043824</v>
      </c>
      <c r="E166" s="7">
        <f>SUMPRODUCT($C$5:$X$5,'batch tool'!$B160:$W160)+$Y$5</f>
        <v>-51.578889182477603</v>
      </c>
      <c r="F166" s="7">
        <f>SUMPRODUCT($C$6:$X$6,'batch tool'!$B160:$W160)+$Y$6</f>
        <v>-47.741473633885199</v>
      </c>
      <c r="G166" s="7">
        <f>SUMPRODUCT($C$7:$X$7,'batch tool'!$B160:$W160)+$Y$7</f>
        <v>-19.739516238059196</v>
      </c>
      <c r="H166" s="7">
        <f t="shared" si="4"/>
        <v>-19.739516238059196</v>
      </c>
      <c r="I166">
        <f t="shared" si="5"/>
        <v>6</v>
      </c>
      <c r="J166" t="str" cm="1">
        <f t="array" ref="J166">INDEX($A$2:$A$7,I166)</f>
        <v>Segment 6- Self-Conscious Male</v>
      </c>
    </row>
    <row r="167" spans="1:10" x14ac:dyDescent="0.25">
      <c r="A167" s="1">
        <f>'batch tool'!A161</f>
        <v>0</v>
      </c>
      <c r="B167" s="7">
        <f>SUMPRODUCT($C$2:$X$2,'batch tool'!$B161:$W161)+$Y$2</f>
        <v>-49.12272534143483</v>
      </c>
      <c r="C167" s="7">
        <f>SUMPRODUCT($C$3:$X$3,'batch tool'!$B161:$W161)+$Y$3</f>
        <v>-36.514029388465531</v>
      </c>
      <c r="D167" s="7">
        <f>SUMPRODUCT($C$4:$X$4,'batch tool'!$B161:$W161)+$Y$4</f>
        <v>-44.639843068043824</v>
      </c>
      <c r="E167" s="7">
        <f>SUMPRODUCT($C$5:$X$5,'batch tool'!$B161:$W161)+$Y$5</f>
        <v>-51.578889182477603</v>
      </c>
      <c r="F167" s="7">
        <f>SUMPRODUCT($C$6:$X$6,'batch tool'!$B161:$W161)+$Y$6</f>
        <v>-47.741473633885199</v>
      </c>
      <c r="G167" s="7">
        <f>SUMPRODUCT($C$7:$X$7,'batch tool'!$B161:$W161)+$Y$7</f>
        <v>-19.739516238059196</v>
      </c>
      <c r="H167" s="7">
        <f t="shared" si="4"/>
        <v>-19.739516238059196</v>
      </c>
      <c r="I167">
        <f t="shared" si="5"/>
        <v>6</v>
      </c>
      <c r="J167" t="str" cm="1">
        <f t="array" ref="J167">INDEX($A$2:$A$7,I167)</f>
        <v>Segment 6- Self-Conscious Male</v>
      </c>
    </row>
    <row r="168" spans="1:10" x14ac:dyDescent="0.25">
      <c r="A168" s="1">
        <f>'batch tool'!A162</f>
        <v>0</v>
      </c>
      <c r="B168" s="7">
        <f>SUMPRODUCT($C$2:$X$2,'batch tool'!$B162:$W162)+$Y$2</f>
        <v>-49.12272534143483</v>
      </c>
      <c r="C168" s="7">
        <f>SUMPRODUCT($C$3:$X$3,'batch tool'!$B162:$W162)+$Y$3</f>
        <v>-36.514029388465531</v>
      </c>
      <c r="D168" s="7">
        <f>SUMPRODUCT($C$4:$X$4,'batch tool'!$B162:$W162)+$Y$4</f>
        <v>-44.639843068043824</v>
      </c>
      <c r="E168" s="7">
        <f>SUMPRODUCT($C$5:$X$5,'batch tool'!$B162:$W162)+$Y$5</f>
        <v>-51.578889182477603</v>
      </c>
      <c r="F168" s="7">
        <f>SUMPRODUCT($C$6:$X$6,'batch tool'!$B162:$W162)+$Y$6</f>
        <v>-47.741473633885199</v>
      </c>
      <c r="G168" s="7">
        <f>SUMPRODUCT($C$7:$X$7,'batch tool'!$B162:$W162)+$Y$7</f>
        <v>-19.739516238059196</v>
      </c>
      <c r="H168" s="7">
        <f t="shared" si="4"/>
        <v>-19.739516238059196</v>
      </c>
      <c r="I168">
        <f t="shared" si="5"/>
        <v>6</v>
      </c>
      <c r="J168" t="str" cm="1">
        <f t="array" ref="J168">INDEX($A$2:$A$7,I168)</f>
        <v>Segment 6- Self-Conscious Male</v>
      </c>
    </row>
    <row r="169" spans="1:10" x14ac:dyDescent="0.25">
      <c r="A169" s="1">
        <f>'batch tool'!A163</f>
        <v>0</v>
      </c>
      <c r="B169" s="7">
        <f>SUMPRODUCT($C$2:$X$2,'batch tool'!$B163:$W163)+$Y$2</f>
        <v>-49.12272534143483</v>
      </c>
      <c r="C169" s="7">
        <f>SUMPRODUCT($C$3:$X$3,'batch tool'!$B163:$W163)+$Y$3</f>
        <v>-36.514029388465531</v>
      </c>
      <c r="D169" s="7">
        <f>SUMPRODUCT($C$4:$X$4,'batch tool'!$B163:$W163)+$Y$4</f>
        <v>-44.639843068043824</v>
      </c>
      <c r="E169" s="7">
        <f>SUMPRODUCT($C$5:$X$5,'batch tool'!$B163:$W163)+$Y$5</f>
        <v>-51.578889182477603</v>
      </c>
      <c r="F169" s="7">
        <f>SUMPRODUCT($C$6:$X$6,'batch tool'!$B163:$W163)+$Y$6</f>
        <v>-47.741473633885199</v>
      </c>
      <c r="G169" s="7">
        <f>SUMPRODUCT($C$7:$X$7,'batch tool'!$B163:$W163)+$Y$7</f>
        <v>-19.739516238059196</v>
      </c>
      <c r="H169" s="7">
        <f t="shared" si="4"/>
        <v>-19.739516238059196</v>
      </c>
      <c r="I169">
        <f t="shared" si="5"/>
        <v>6</v>
      </c>
      <c r="J169" t="str" cm="1">
        <f t="array" ref="J169">INDEX($A$2:$A$7,I169)</f>
        <v>Segment 6- Self-Conscious Male</v>
      </c>
    </row>
    <row r="170" spans="1:10" x14ac:dyDescent="0.25">
      <c r="A170" s="1">
        <f>'batch tool'!A164</f>
        <v>0</v>
      </c>
      <c r="B170" s="7">
        <f>SUMPRODUCT($C$2:$X$2,'batch tool'!$B164:$W164)+$Y$2</f>
        <v>-49.12272534143483</v>
      </c>
      <c r="C170" s="7">
        <f>SUMPRODUCT($C$3:$X$3,'batch tool'!$B164:$W164)+$Y$3</f>
        <v>-36.514029388465531</v>
      </c>
      <c r="D170" s="7">
        <f>SUMPRODUCT($C$4:$X$4,'batch tool'!$B164:$W164)+$Y$4</f>
        <v>-44.639843068043824</v>
      </c>
      <c r="E170" s="7">
        <f>SUMPRODUCT($C$5:$X$5,'batch tool'!$B164:$W164)+$Y$5</f>
        <v>-51.578889182477603</v>
      </c>
      <c r="F170" s="7">
        <f>SUMPRODUCT($C$6:$X$6,'batch tool'!$B164:$W164)+$Y$6</f>
        <v>-47.741473633885199</v>
      </c>
      <c r="G170" s="7">
        <f>SUMPRODUCT($C$7:$X$7,'batch tool'!$B164:$W164)+$Y$7</f>
        <v>-19.739516238059196</v>
      </c>
      <c r="H170" s="7">
        <f t="shared" si="4"/>
        <v>-19.739516238059196</v>
      </c>
      <c r="I170">
        <f t="shared" si="5"/>
        <v>6</v>
      </c>
      <c r="J170" t="str" cm="1">
        <f t="array" ref="J170">INDEX($A$2:$A$7,I170)</f>
        <v>Segment 6- Self-Conscious Male</v>
      </c>
    </row>
    <row r="171" spans="1:10" x14ac:dyDescent="0.25">
      <c r="A171" s="1">
        <f>'batch tool'!A165</f>
        <v>0</v>
      </c>
      <c r="B171" s="7">
        <f>SUMPRODUCT($C$2:$X$2,'batch tool'!$B165:$W165)+$Y$2</f>
        <v>-49.12272534143483</v>
      </c>
      <c r="C171" s="7">
        <f>SUMPRODUCT($C$3:$X$3,'batch tool'!$B165:$W165)+$Y$3</f>
        <v>-36.514029388465531</v>
      </c>
      <c r="D171" s="7">
        <f>SUMPRODUCT($C$4:$X$4,'batch tool'!$B165:$W165)+$Y$4</f>
        <v>-44.639843068043824</v>
      </c>
      <c r="E171" s="7">
        <f>SUMPRODUCT($C$5:$X$5,'batch tool'!$B165:$W165)+$Y$5</f>
        <v>-51.578889182477603</v>
      </c>
      <c r="F171" s="7">
        <f>SUMPRODUCT($C$6:$X$6,'batch tool'!$B165:$W165)+$Y$6</f>
        <v>-47.741473633885199</v>
      </c>
      <c r="G171" s="7">
        <f>SUMPRODUCT($C$7:$X$7,'batch tool'!$B165:$W165)+$Y$7</f>
        <v>-19.739516238059196</v>
      </c>
      <c r="H171" s="7">
        <f t="shared" si="4"/>
        <v>-19.739516238059196</v>
      </c>
      <c r="I171">
        <f t="shared" si="5"/>
        <v>6</v>
      </c>
      <c r="J171" t="str" cm="1">
        <f t="array" ref="J171">INDEX($A$2:$A$7,I171)</f>
        <v>Segment 6- Self-Conscious Male</v>
      </c>
    </row>
    <row r="172" spans="1:10" x14ac:dyDescent="0.25">
      <c r="A172" s="1">
        <f>'batch tool'!A166</f>
        <v>0</v>
      </c>
      <c r="B172" s="7">
        <f>SUMPRODUCT($C$2:$X$2,'batch tool'!$B166:$W166)+$Y$2</f>
        <v>-49.12272534143483</v>
      </c>
      <c r="C172" s="7">
        <f>SUMPRODUCT($C$3:$X$3,'batch tool'!$B166:$W166)+$Y$3</f>
        <v>-36.514029388465531</v>
      </c>
      <c r="D172" s="7">
        <f>SUMPRODUCT($C$4:$X$4,'batch tool'!$B166:$W166)+$Y$4</f>
        <v>-44.639843068043824</v>
      </c>
      <c r="E172" s="7">
        <f>SUMPRODUCT($C$5:$X$5,'batch tool'!$B166:$W166)+$Y$5</f>
        <v>-51.578889182477603</v>
      </c>
      <c r="F172" s="7">
        <f>SUMPRODUCT($C$6:$X$6,'batch tool'!$B166:$W166)+$Y$6</f>
        <v>-47.741473633885199</v>
      </c>
      <c r="G172" s="7">
        <f>SUMPRODUCT($C$7:$X$7,'batch tool'!$B166:$W166)+$Y$7</f>
        <v>-19.739516238059196</v>
      </c>
      <c r="H172" s="7">
        <f t="shared" si="4"/>
        <v>-19.739516238059196</v>
      </c>
      <c r="I172">
        <f t="shared" si="5"/>
        <v>6</v>
      </c>
      <c r="J172" t="str" cm="1">
        <f t="array" ref="J172">INDEX($A$2:$A$7,I172)</f>
        <v>Segment 6- Self-Conscious Male</v>
      </c>
    </row>
    <row r="173" spans="1:10" x14ac:dyDescent="0.25">
      <c r="A173" s="1">
        <f>'batch tool'!A167</f>
        <v>0</v>
      </c>
      <c r="B173" s="7">
        <f>SUMPRODUCT($C$2:$X$2,'batch tool'!$B167:$W167)+$Y$2</f>
        <v>-49.12272534143483</v>
      </c>
      <c r="C173" s="7">
        <f>SUMPRODUCT($C$3:$X$3,'batch tool'!$B167:$W167)+$Y$3</f>
        <v>-36.514029388465531</v>
      </c>
      <c r="D173" s="7">
        <f>SUMPRODUCT($C$4:$X$4,'batch tool'!$B167:$W167)+$Y$4</f>
        <v>-44.639843068043824</v>
      </c>
      <c r="E173" s="7">
        <f>SUMPRODUCT($C$5:$X$5,'batch tool'!$B167:$W167)+$Y$5</f>
        <v>-51.578889182477603</v>
      </c>
      <c r="F173" s="7">
        <f>SUMPRODUCT($C$6:$X$6,'batch tool'!$B167:$W167)+$Y$6</f>
        <v>-47.741473633885199</v>
      </c>
      <c r="G173" s="7">
        <f>SUMPRODUCT($C$7:$X$7,'batch tool'!$B167:$W167)+$Y$7</f>
        <v>-19.739516238059196</v>
      </c>
      <c r="H173" s="7">
        <f t="shared" si="4"/>
        <v>-19.739516238059196</v>
      </c>
      <c r="I173">
        <f t="shared" si="5"/>
        <v>6</v>
      </c>
      <c r="J173" t="str" cm="1">
        <f t="array" ref="J173">INDEX($A$2:$A$7,I173)</f>
        <v>Segment 6- Self-Conscious Male</v>
      </c>
    </row>
    <row r="174" spans="1:10" x14ac:dyDescent="0.25">
      <c r="A174" s="1">
        <f>'batch tool'!A168</f>
        <v>0</v>
      </c>
      <c r="B174" s="7">
        <f>SUMPRODUCT($C$2:$X$2,'batch tool'!$B168:$W168)+$Y$2</f>
        <v>-49.12272534143483</v>
      </c>
      <c r="C174" s="7">
        <f>SUMPRODUCT($C$3:$X$3,'batch tool'!$B168:$W168)+$Y$3</f>
        <v>-36.514029388465531</v>
      </c>
      <c r="D174" s="7">
        <f>SUMPRODUCT($C$4:$X$4,'batch tool'!$B168:$W168)+$Y$4</f>
        <v>-44.639843068043824</v>
      </c>
      <c r="E174" s="7">
        <f>SUMPRODUCT($C$5:$X$5,'batch tool'!$B168:$W168)+$Y$5</f>
        <v>-51.578889182477603</v>
      </c>
      <c r="F174" s="7">
        <f>SUMPRODUCT($C$6:$X$6,'batch tool'!$B168:$W168)+$Y$6</f>
        <v>-47.741473633885199</v>
      </c>
      <c r="G174" s="7">
        <f>SUMPRODUCT($C$7:$X$7,'batch tool'!$B168:$W168)+$Y$7</f>
        <v>-19.739516238059196</v>
      </c>
      <c r="H174" s="7">
        <f t="shared" si="4"/>
        <v>-19.739516238059196</v>
      </c>
      <c r="I174">
        <f t="shared" si="5"/>
        <v>6</v>
      </c>
      <c r="J174" t="str" cm="1">
        <f t="array" ref="J174">INDEX($A$2:$A$7,I174)</f>
        <v>Segment 6- Self-Conscious Male</v>
      </c>
    </row>
    <row r="175" spans="1:10" x14ac:dyDescent="0.25">
      <c r="A175" s="1">
        <f>'batch tool'!A169</f>
        <v>0</v>
      </c>
      <c r="B175" s="7">
        <f>SUMPRODUCT($C$2:$X$2,'batch tool'!$B169:$W169)+$Y$2</f>
        <v>-49.12272534143483</v>
      </c>
      <c r="C175" s="7">
        <f>SUMPRODUCT($C$3:$X$3,'batch tool'!$B169:$W169)+$Y$3</f>
        <v>-36.514029388465531</v>
      </c>
      <c r="D175" s="7">
        <f>SUMPRODUCT($C$4:$X$4,'batch tool'!$B169:$W169)+$Y$4</f>
        <v>-44.639843068043824</v>
      </c>
      <c r="E175" s="7">
        <f>SUMPRODUCT($C$5:$X$5,'batch tool'!$B169:$W169)+$Y$5</f>
        <v>-51.578889182477603</v>
      </c>
      <c r="F175" s="7">
        <f>SUMPRODUCT($C$6:$X$6,'batch tool'!$B169:$W169)+$Y$6</f>
        <v>-47.741473633885199</v>
      </c>
      <c r="G175" s="7">
        <f>SUMPRODUCT($C$7:$X$7,'batch tool'!$B169:$W169)+$Y$7</f>
        <v>-19.739516238059196</v>
      </c>
      <c r="H175" s="7">
        <f t="shared" si="4"/>
        <v>-19.739516238059196</v>
      </c>
      <c r="I175">
        <f t="shared" si="5"/>
        <v>6</v>
      </c>
      <c r="J175" t="str" cm="1">
        <f t="array" ref="J175">INDEX($A$2:$A$7,I175)</f>
        <v>Segment 6- Self-Conscious Male</v>
      </c>
    </row>
    <row r="176" spans="1:10" x14ac:dyDescent="0.25">
      <c r="A176" s="1">
        <f>'batch tool'!A170</f>
        <v>0</v>
      </c>
      <c r="B176" s="7">
        <f>SUMPRODUCT($C$2:$X$2,'batch tool'!$B170:$W170)+$Y$2</f>
        <v>-49.12272534143483</v>
      </c>
      <c r="C176" s="7">
        <f>SUMPRODUCT($C$3:$X$3,'batch tool'!$B170:$W170)+$Y$3</f>
        <v>-36.514029388465531</v>
      </c>
      <c r="D176" s="7">
        <f>SUMPRODUCT($C$4:$X$4,'batch tool'!$B170:$W170)+$Y$4</f>
        <v>-44.639843068043824</v>
      </c>
      <c r="E176" s="7">
        <f>SUMPRODUCT($C$5:$X$5,'batch tool'!$B170:$W170)+$Y$5</f>
        <v>-51.578889182477603</v>
      </c>
      <c r="F176" s="7">
        <f>SUMPRODUCT($C$6:$X$6,'batch tool'!$B170:$W170)+$Y$6</f>
        <v>-47.741473633885199</v>
      </c>
      <c r="G176" s="7">
        <f>SUMPRODUCT($C$7:$X$7,'batch tool'!$B170:$W170)+$Y$7</f>
        <v>-19.739516238059196</v>
      </c>
      <c r="H176" s="7">
        <f t="shared" si="4"/>
        <v>-19.739516238059196</v>
      </c>
      <c r="I176">
        <f t="shared" si="5"/>
        <v>6</v>
      </c>
      <c r="J176" t="str" cm="1">
        <f t="array" ref="J176">INDEX($A$2:$A$7,I176)</f>
        <v>Segment 6- Self-Conscious Male</v>
      </c>
    </row>
    <row r="177" spans="1:10" x14ac:dyDescent="0.25">
      <c r="A177" s="1">
        <f>'batch tool'!A171</f>
        <v>0</v>
      </c>
      <c r="B177" s="7">
        <f>SUMPRODUCT($C$2:$X$2,'batch tool'!$B171:$W171)+$Y$2</f>
        <v>-49.12272534143483</v>
      </c>
      <c r="C177" s="7">
        <f>SUMPRODUCT($C$3:$X$3,'batch tool'!$B171:$W171)+$Y$3</f>
        <v>-36.514029388465531</v>
      </c>
      <c r="D177" s="7">
        <f>SUMPRODUCT($C$4:$X$4,'batch tool'!$B171:$W171)+$Y$4</f>
        <v>-44.639843068043824</v>
      </c>
      <c r="E177" s="7">
        <f>SUMPRODUCT($C$5:$X$5,'batch tool'!$B171:$W171)+$Y$5</f>
        <v>-51.578889182477603</v>
      </c>
      <c r="F177" s="7">
        <f>SUMPRODUCT($C$6:$X$6,'batch tool'!$B171:$W171)+$Y$6</f>
        <v>-47.741473633885199</v>
      </c>
      <c r="G177" s="7">
        <f>SUMPRODUCT($C$7:$X$7,'batch tool'!$B171:$W171)+$Y$7</f>
        <v>-19.739516238059196</v>
      </c>
      <c r="H177" s="7">
        <f t="shared" si="4"/>
        <v>-19.739516238059196</v>
      </c>
      <c r="I177">
        <f t="shared" si="5"/>
        <v>6</v>
      </c>
      <c r="J177" t="str" cm="1">
        <f t="array" ref="J177">INDEX($A$2:$A$7,I177)</f>
        <v>Segment 6- Self-Conscious Male</v>
      </c>
    </row>
    <row r="178" spans="1:10" x14ac:dyDescent="0.25">
      <c r="A178" s="1">
        <f>'batch tool'!A172</f>
        <v>0</v>
      </c>
      <c r="B178" s="7">
        <f>SUMPRODUCT($C$2:$X$2,'batch tool'!$B172:$W172)+$Y$2</f>
        <v>-49.12272534143483</v>
      </c>
      <c r="C178" s="7">
        <f>SUMPRODUCT($C$3:$X$3,'batch tool'!$B172:$W172)+$Y$3</f>
        <v>-36.514029388465531</v>
      </c>
      <c r="D178" s="7">
        <f>SUMPRODUCT($C$4:$X$4,'batch tool'!$B172:$W172)+$Y$4</f>
        <v>-44.639843068043824</v>
      </c>
      <c r="E178" s="7">
        <f>SUMPRODUCT($C$5:$X$5,'batch tool'!$B172:$W172)+$Y$5</f>
        <v>-51.578889182477603</v>
      </c>
      <c r="F178" s="7">
        <f>SUMPRODUCT($C$6:$X$6,'batch tool'!$B172:$W172)+$Y$6</f>
        <v>-47.741473633885199</v>
      </c>
      <c r="G178" s="7">
        <f>SUMPRODUCT($C$7:$X$7,'batch tool'!$B172:$W172)+$Y$7</f>
        <v>-19.739516238059196</v>
      </c>
      <c r="H178" s="7">
        <f t="shared" si="4"/>
        <v>-19.739516238059196</v>
      </c>
      <c r="I178">
        <f t="shared" si="5"/>
        <v>6</v>
      </c>
      <c r="J178" t="str" cm="1">
        <f t="array" ref="J178">INDEX($A$2:$A$7,I178)</f>
        <v>Segment 6- Self-Conscious Male</v>
      </c>
    </row>
    <row r="179" spans="1:10" x14ac:dyDescent="0.25">
      <c r="A179" s="1">
        <f>'batch tool'!A173</f>
        <v>0</v>
      </c>
      <c r="B179" s="7">
        <f>SUMPRODUCT($C$2:$X$2,'batch tool'!$B173:$W173)+$Y$2</f>
        <v>-49.12272534143483</v>
      </c>
      <c r="C179" s="7">
        <f>SUMPRODUCT($C$3:$X$3,'batch tool'!$B173:$W173)+$Y$3</f>
        <v>-36.514029388465531</v>
      </c>
      <c r="D179" s="7">
        <f>SUMPRODUCT($C$4:$X$4,'batch tool'!$B173:$W173)+$Y$4</f>
        <v>-44.639843068043824</v>
      </c>
      <c r="E179" s="7">
        <f>SUMPRODUCT($C$5:$X$5,'batch tool'!$B173:$W173)+$Y$5</f>
        <v>-51.578889182477603</v>
      </c>
      <c r="F179" s="7">
        <f>SUMPRODUCT($C$6:$X$6,'batch tool'!$B173:$W173)+$Y$6</f>
        <v>-47.741473633885199</v>
      </c>
      <c r="G179" s="7">
        <f>SUMPRODUCT($C$7:$X$7,'batch tool'!$B173:$W173)+$Y$7</f>
        <v>-19.739516238059196</v>
      </c>
      <c r="H179" s="7">
        <f t="shared" si="4"/>
        <v>-19.739516238059196</v>
      </c>
      <c r="I179">
        <f t="shared" si="5"/>
        <v>6</v>
      </c>
      <c r="J179" t="str" cm="1">
        <f t="array" ref="J179">INDEX($A$2:$A$7,I179)</f>
        <v>Segment 6- Self-Conscious Male</v>
      </c>
    </row>
    <row r="180" spans="1:10" x14ac:dyDescent="0.25">
      <c r="A180" s="1">
        <f>'batch tool'!A174</f>
        <v>0</v>
      </c>
      <c r="B180" s="7">
        <f>SUMPRODUCT($C$2:$X$2,'batch tool'!$B174:$W174)+$Y$2</f>
        <v>-49.12272534143483</v>
      </c>
      <c r="C180" s="7">
        <f>SUMPRODUCT($C$3:$X$3,'batch tool'!$B174:$W174)+$Y$3</f>
        <v>-36.514029388465531</v>
      </c>
      <c r="D180" s="7">
        <f>SUMPRODUCT($C$4:$X$4,'batch tool'!$B174:$W174)+$Y$4</f>
        <v>-44.639843068043824</v>
      </c>
      <c r="E180" s="7">
        <f>SUMPRODUCT($C$5:$X$5,'batch tool'!$B174:$W174)+$Y$5</f>
        <v>-51.578889182477603</v>
      </c>
      <c r="F180" s="7">
        <f>SUMPRODUCT($C$6:$X$6,'batch tool'!$B174:$W174)+$Y$6</f>
        <v>-47.741473633885199</v>
      </c>
      <c r="G180" s="7">
        <f>SUMPRODUCT($C$7:$X$7,'batch tool'!$B174:$W174)+$Y$7</f>
        <v>-19.739516238059196</v>
      </c>
      <c r="H180" s="7">
        <f t="shared" si="4"/>
        <v>-19.739516238059196</v>
      </c>
      <c r="I180">
        <f t="shared" si="5"/>
        <v>6</v>
      </c>
      <c r="J180" t="str" cm="1">
        <f t="array" ref="J180">INDEX($A$2:$A$7,I180)</f>
        <v>Segment 6- Self-Conscious Male</v>
      </c>
    </row>
    <row r="181" spans="1:10" x14ac:dyDescent="0.25">
      <c r="A181" s="1">
        <f>'batch tool'!A175</f>
        <v>0</v>
      </c>
      <c r="B181" s="7">
        <f>SUMPRODUCT($C$2:$X$2,'batch tool'!$B175:$W175)+$Y$2</f>
        <v>-49.12272534143483</v>
      </c>
      <c r="C181" s="7">
        <f>SUMPRODUCT($C$3:$X$3,'batch tool'!$B175:$W175)+$Y$3</f>
        <v>-36.514029388465531</v>
      </c>
      <c r="D181" s="7">
        <f>SUMPRODUCT($C$4:$X$4,'batch tool'!$B175:$W175)+$Y$4</f>
        <v>-44.639843068043824</v>
      </c>
      <c r="E181" s="7">
        <f>SUMPRODUCT($C$5:$X$5,'batch tool'!$B175:$W175)+$Y$5</f>
        <v>-51.578889182477603</v>
      </c>
      <c r="F181" s="7">
        <f>SUMPRODUCT($C$6:$X$6,'batch tool'!$B175:$W175)+$Y$6</f>
        <v>-47.741473633885199</v>
      </c>
      <c r="G181" s="7">
        <f>SUMPRODUCT($C$7:$X$7,'batch tool'!$B175:$W175)+$Y$7</f>
        <v>-19.739516238059196</v>
      </c>
      <c r="H181" s="7">
        <f t="shared" si="4"/>
        <v>-19.739516238059196</v>
      </c>
      <c r="I181">
        <f t="shared" si="5"/>
        <v>6</v>
      </c>
      <c r="J181" t="str" cm="1">
        <f t="array" ref="J181">INDEX($A$2:$A$7,I181)</f>
        <v>Segment 6- Self-Conscious Male</v>
      </c>
    </row>
    <row r="182" spans="1:10" x14ac:dyDescent="0.25">
      <c r="A182" s="1">
        <f>'batch tool'!A176</f>
        <v>0</v>
      </c>
      <c r="B182" s="7">
        <f>SUMPRODUCT($C$2:$X$2,'batch tool'!$B176:$W176)+$Y$2</f>
        <v>-49.12272534143483</v>
      </c>
      <c r="C182" s="7">
        <f>SUMPRODUCT($C$3:$X$3,'batch tool'!$B176:$W176)+$Y$3</f>
        <v>-36.514029388465531</v>
      </c>
      <c r="D182" s="7">
        <f>SUMPRODUCT($C$4:$X$4,'batch tool'!$B176:$W176)+$Y$4</f>
        <v>-44.639843068043824</v>
      </c>
      <c r="E182" s="7">
        <f>SUMPRODUCT($C$5:$X$5,'batch tool'!$B176:$W176)+$Y$5</f>
        <v>-51.578889182477603</v>
      </c>
      <c r="F182" s="7">
        <f>SUMPRODUCT($C$6:$X$6,'batch tool'!$B176:$W176)+$Y$6</f>
        <v>-47.741473633885199</v>
      </c>
      <c r="G182" s="7">
        <f>SUMPRODUCT($C$7:$X$7,'batch tool'!$B176:$W176)+$Y$7</f>
        <v>-19.739516238059196</v>
      </c>
      <c r="H182" s="7">
        <f t="shared" si="4"/>
        <v>-19.739516238059196</v>
      </c>
      <c r="I182">
        <f t="shared" si="5"/>
        <v>6</v>
      </c>
      <c r="J182" t="str" cm="1">
        <f t="array" ref="J182">INDEX($A$2:$A$7,I182)</f>
        <v>Segment 6- Self-Conscious Male</v>
      </c>
    </row>
    <row r="183" spans="1:10" x14ac:dyDescent="0.25">
      <c r="A183" s="1">
        <f>'batch tool'!A177</f>
        <v>0</v>
      </c>
      <c r="B183" s="7">
        <f>SUMPRODUCT($C$2:$X$2,'batch tool'!$B177:$W177)+$Y$2</f>
        <v>-49.12272534143483</v>
      </c>
      <c r="C183" s="7">
        <f>SUMPRODUCT($C$3:$X$3,'batch tool'!$B177:$W177)+$Y$3</f>
        <v>-36.514029388465531</v>
      </c>
      <c r="D183" s="7">
        <f>SUMPRODUCT($C$4:$X$4,'batch tool'!$B177:$W177)+$Y$4</f>
        <v>-44.639843068043824</v>
      </c>
      <c r="E183" s="7">
        <f>SUMPRODUCT($C$5:$X$5,'batch tool'!$B177:$W177)+$Y$5</f>
        <v>-51.578889182477603</v>
      </c>
      <c r="F183" s="7">
        <f>SUMPRODUCT($C$6:$X$6,'batch tool'!$B177:$W177)+$Y$6</f>
        <v>-47.741473633885199</v>
      </c>
      <c r="G183" s="7">
        <f>SUMPRODUCT($C$7:$X$7,'batch tool'!$B177:$W177)+$Y$7</f>
        <v>-19.739516238059196</v>
      </c>
      <c r="H183" s="7">
        <f t="shared" si="4"/>
        <v>-19.739516238059196</v>
      </c>
      <c r="I183">
        <f t="shared" si="5"/>
        <v>6</v>
      </c>
      <c r="J183" t="str" cm="1">
        <f t="array" ref="J183">INDEX($A$2:$A$7,I183)</f>
        <v>Segment 6- Self-Conscious Male</v>
      </c>
    </row>
    <row r="184" spans="1:10" x14ac:dyDescent="0.25">
      <c r="A184" s="1">
        <f>'batch tool'!A178</f>
        <v>0</v>
      </c>
      <c r="B184" s="7">
        <f>SUMPRODUCT($C$2:$X$2,'batch tool'!$B178:$W178)+$Y$2</f>
        <v>-49.12272534143483</v>
      </c>
      <c r="C184" s="7">
        <f>SUMPRODUCT($C$3:$X$3,'batch tool'!$B178:$W178)+$Y$3</f>
        <v>-36.514029388465531</v>
      </c>
      <c r="D184" s="7">
        <f>SUMPRODUCT($C$4:$X$4,'batch tool'!$B178:$W178)+$Y$4</f>
        <v>-44.639843068043824</v>
      </c>
      <c r="E184" s="7">
        <f>SUMPRODUCT($C$5:$X$5,'batch tool'!$B178:$W178)+$Y$5</f>
        <v>-51.578889182477603</v>
      </c>
      <c r="F184" s="7">
        <f>SUMPRODUCT($C$6:$X$6,'batch tool'!$B178:$W178)+$Y$6</f>
        <v>-47.741473633885199</v>
      </c>
      <c r="G184" s="7">
        <f>SUMPRODUCT($C$7:$X$7,'batch tool'!$B178:$W178)+$Y$7</f>
        <v>-19.739516238059196</v>
      </c>
      <c r="H184" s="7">
        <f t="shared" si="4"/>
        <v>-19.739516238059196</v>
      </c>
      <c r="I184">
        <f t="shared" si="5"/>
        <v>6</v>
      </c>
      <c r="J184" t="str" cm="1">
        <f t="array" ref="J184">INDEX($A$2:$A$7,I184)</f>
        <v>Segment 6- Self-Conscious Male</v>
      </c>
    </row>
    <row r="185" spans="1:10" x14ac:dyDescent="0.25">
      <c r="A185" s="1">
        <f>'batch tool'!A179</f>
        <v>0</v>
      </c>
      <c r="B185" s="7">
        <f>SUMPRODUCT($C$2:$X$2,'batch tool'!$B179:$W179)+$Y$2</f>
        <v>-49.12272534143483</v>
      </c>
      <c r="C185" s="7">
        <f>SUMPRODUCT($C$3:$X$3,'batch tool'!$B179:$W179)+$Y$3</f>
        <v>-36.514029388465531</v>
      </c>
      <c r="D185" s="7">
        <f>SUMPRODUCT($C$4:$X$4,'batch tool'!$B179:$W179)+$Y$4</f>
        <v>-44.639843068043824</v>
      </c>
      <c r="E185" s="7">
        <f>SUMPRODUCT($C$5:$X$5,'batch tool'!$B179:$W179)+$Y$5</f>
        <v>-51.578889182477603</v>
      </c>
      <c r="F185" s="7">
        <f>SUMPRODUCT($C$6:$X$6,'batch tool'!$B179:$W179)+$Y$6</f>
        <v>-47.741473633885199</v>
      </c>
      <c r="G185" s="7">
        <f>SUMPRODUCT($C$7:$X$7,'batch tool'!$B179:$W179)+$Y$7</f>
        <v>-19.739516238059196</v>
      </c>
      <c r="H185" s="7">
        <f t="shared" si="4"/>
        <v>-19.739516238059196</v>
      </c>
      <c r="I185">
        <f t="shared" si="5"/>
        <v>6</v>
      </c>
      <c r="J185" t="str" cm="1">
        <f t="array" ref="J185">INDEX($A$2:$A$7,I185)</f>
        <v>Segment 6- Self-Conscious Male</v>
      </c>
    </row>
    <row r="186" spans="1:10" x14ac:dyDescent="0.25">
      <c r="A186" s="1">
        <f>'batch tool'!A180</f>
        <v>0</v>
      </c>
      <c r="B186" s="7">
        <f>SUMPRODUCT($C$2:$X$2,'batch tool'!$B180:$W180)+$Y$2</f>
        <v>-49.12272534143483</v>
      </c>
      <c r="C186" s="7">
        <f>SUMPRODUCT($C$3:$X$3,'batch tool'!$B180:$W180)+$Y$3</f>
        <v>-36.514029388465531</v>
      </c>
      <c r="D186" s="7">
        <f>SUMPRODUCT($C$4:$X$4,'batch tool'!$B180:$W180)+$Y$4</f>
        <v>-44.639843068043824</v>
      </c>
      <c r="E186" s="7">
        <f>SUMPRODUCT($C$5:$X$5,'batch tool'!$B180:$W180)+$Y$5</f>
        <v>-51.578889182477603</v>
      </c>
      <c r="F186" s="7">
        <f>SUMPRODUCT($C$6:$X$6,'batch tool'!$B180:$W180)+$Y$6</f>
        <v>-47.741473633885199</v>
      </c>
      <c r="G186" s="7">
        <f>SUMPRODUCT($C$7:$X$7,'batch tool'!$B180:$W180)+$Y$7</f>
        <v>-19.739516238059196</v>
      </c>
      <c r="H186" s="7">
        <f t="shared" si="4"/>
        <v>-19.739516238059196</v>
      </c>
      <c r="I186">
        <f t="shared" si="5"/>
        <v>6</v>
      </c>
      <c r="J186" t="str" cm="1">
        <f t="array" ref="J186">INDEX($A$2:$A$7,I186)</f>
        <v>Segment 6- Self-Conscious Male</v>
      </c>
    </row>
    <row r="187" spans="1:10" x14ac:dyDescent="0.25">
      <c r="A187" s="1">
        <f>'batch tool'!A181</f>
        <v>0</v>
      </c>
      <c r="B187" s="7">
        <f>SUMPRODUCT($C$2:$X$2,'batch tool'!$B181:$W181)+$Y$2</f>
        <v>-49.12272534143483</v>
      </c>
      <c r="C187" s="7">
        <f>SUMPRODUCT($C$3:$X$3,'batch tool'!$B181:$W181)+$Y$3</f>
        <v>-36.514029388465531</v>
      </c>
      <c r="D187" s="7">
        <f>SUMPRODUCT($C$4:$X$4,'batch tool'!$B181:$W181)+$Y$4</f>
        <v>-44.639843068043824</v>
      </c>
      <c r="E187" s="7">
        <f>SUMPRODUCT($C$5:$X$5,'batch tool'!$B181:$W181)+$Y$5</f>
        <v>-51.578889182477603</v>
      </c>
      <c r="F187" s="7">
        <f>SUMPRODUCT($C$6:$X$6,'batch tool'!$B181:$W181)+$Y$6</f>
        <v>-47.741473633885199</v>
      </c>
      <c r="G187" s="7">
        <f>SUMPRODUCT($C$7:$X$7,'batch tool'!$B181:$W181)+$Y$7</f>
        <v>-19.739516238059196</v>
      </c>
      <c r="H187" s="7">
        <f t="shared" si="4"/>
        <v>-19.739516238059196</v>
      </c>
      <c r="I187">
        <f t="shared" si="5"/>
        <v>6</v>
      </c>
      <c r="J187" t="str" cm="1">
        <f t="array" ref="J187">INDEX($A$2:$A$7,I187)</f>
        <v>Segment 6- Self-Conscious Male</v>
      </c>
    </row>
    <row r="188" spans="1:10" x14ac:dyDescent="0.25">
      <c r="A188" s="1">
        <f>'batch tool'!A182</f>
        <v>0</v>
      </c>
      <c r="B188" s="7">
        <f>SUMPRODUCT($C$2:$X$2,'batch tool'!$B182:$W182)+$Y$2</f>
        <v>-49.12272534143483</v>
      </c>
      <c r="C188" s="7">
        <f>SUMPRODUCT($C$3:$X$3,'batch tool'!$B182:$W182)+$Y$3</f>
        <v>-36.514029388465531</v>
      </c>
      <c r="D188" s="7">
        <f>SUMPRODUCT($C$4:$X$4,'batch tool'!$B182:$W182)+$Y$4</f>
        <v>-44.639843068043824</v>
      </c>
      <c r="E188" s="7">
        <f>SUMPRODUCT($C$5:$X$5,'batch tool'!$B182:$W182)+$Y$5</f>
        <v>-51.578889182477603</v>
      </c>
      <c r="F188" s="7">
        <f>SUMPRODUCT($C$6:$X$6,'batch tool'!$B182:$W182)+$Y$6</f>
        <v>-47.741473633885199</v>
      </c>
      <c r="G188" s="7">
        <f>SUMPRODUCT($C$7:$X$7,'batch tool'!$B182:$W182)+$Y$7</f>
        <v>-19.739516238059196</v>
      </c>
      <c r="H188" s="7">
        <f t="shared" si="4"/>
        <v>-19.739516238059196</v>
      </c>
      <c r="I188">
        <f t="shared" si="5"/>
        <v>6</v>
      </c>
      <c r="J188" t="str" cm="1">
        <f t="array" ref="J188">INDEX($A$2:$A$7,I188)</f>
        <v>Segment 6- Self-Conscious Male</v>
      </c>
    </row>
    <row r="189" spans="1:10" x14ac:dyDescent="0.25">
      <c r="A189" s="1">
        <f>'batch tool'!A183</f>
        <v>0</v>
      </c>
      <c r="B189" s="7">
        <f>SUMPRODUCT($C$2:$X$2,'batch tool'!$B183:$W183)+$Y$2</f>
        <v>-49.12272534143483</v>
      </c>
      <c r="C189" s="7">
        <f>SUMPRODUCT($C$3:$X$3,'batch tool'!$B183:$W183)+$Y$3</f>
        <v>-36.514029388465531</v>
      </c>
      <c r="D189" s="7">
        <f>SUMPRODUCT($C$4:$X$4,'batch tool'!$B183:$W183)+$Y$4</f>
        <v>-44.639843068043824</v>
      </c>
      <c r="E189" s="7">
        <f>SUMPRODUCT($C$5:$X$5,'batch tool'!$B183:$W183)+$Y$5</f>
        <v>-51.578889182477603</v>
      </c>
      <c r="F189" s="7">
        <f>SUMPRODUCT($C$6:$X$6,'batch tool'!$B183:$W183)+$Y$6</f>
        <v>-47.741473633885199</v>
      </c>
      <c r="G189" s="7">
        <f>SUMPRODUCT($C$7:$X$7,'batch tool'!$B183:$W183)+$Y$7</f>
        <v>-19.739516238059196</v>
      </c>
      <c r="H189" s="7">
        <f t="shared" si="4"/>
        <v>-19.739516238059196</v>
      </c>
      <c r="I189">
        <f t="shared" si="5"/>
        <v>6</v>
      </c>
      <c r="J189" t="str" cm="1">
        <f t="array" ref="J189">INDEX($A$2:$A$7,I189)</f>
        <v>Segment 6- Self-Conscious Male</v>
      </c>
    </row>
    <row r="190" spans="1:10" x14ac:dyDescent="0.25">
      <c r="A190" s="1">
        <f>'batch tool'!A184</f>
        <v>0</v>
      </c>
      <c r="B190" s="7">
        <f>SUMPRODUCT($C$2:$X$2,'batch tool'!$B184:$W184)+$Y$2</f>
        <v>-49.12272534143483</v>
      </c>
      <c r="C190" s="7">
        <f>SUMPRODUCT($C$3:$X$3,'batch tool'!$B184:$W184)+$Y$3</f>
        <v>-36.514029388465531</v>
      </c>
      <c r="D190" s="7">
        <f>SUMPRODUCT($C$4:$X$4,'batch tool'!$B184:$W184)+$Y$4</f>
        <v>-44.639843068043824</v>
      </c>
      <c r="E190" s="7">
        <f>SUMPRODUCT($C$5:$X$5,'batch tool'!$B184:$W184)+$Y$5</f>
        <v>-51.578889182477603</v>
      </c>
      <c r="F190" s="7">
        <f>SUMPRODUCT($C$6:$X$6,'batch tool'!$B184:$W184)+$Y$6</f>
        <v>-47.741473633885199</v>
      </c>
      <c r="G190" s="7">
        <f>SUMPRODUCT($C$7:$X$7,'batch tool'!$B184:$W184)+$Y$7</f>
        <v>-19.739516238059196</v>
      </c>
      <c r="H190" s="7">
        <f t="shared" si="4"/>
        <v>-19.739516238059196</v>
      </c>
      <c r="I190">
        <f t="shared" si="5"/>
        <v>6</v>
      </c>
      <c r="J190" t="str" cm="1">
        <f t="array" ref="J190">INDEX($A$2:$A$7,I190)</f>
        <v>Segment 6- Self-Conscious Male</v>
      </c>
    </row>
    <row r="191" spans="1:10" x14ac:dyDescent="0.25">
      <c r="A191" s="1">
        <f>'batch tool'!A185</f>
        <v>0</v>
      </c>
      <c r="B191" s="7">
        <f>SUMPRODUCT($C$2:$X$2,'batch tool'!$B185:$W185)+$Y$2</f>
        <v>-49.12272534143483</v>
      </c>
      <c r="C191" s="7">
        <f>SUMPRODUCT($C$3:$X$3,'batch tool'!$B185:$W185)+$Y$3</f>
        <v>-36.514029388465531</v>
      </c>
      <c r="D191" s="7">
        <f>SUMPRODUCT($C$4:$X$4,'batch tool'!$B185:$W185)+$Y$4</f>
        <v>-44.639843068043824</v>
      </c>
      <c r="E191" s="7">
        <f>SUMPRODUCT($C$5:$X$5,'batch tool'!$B185:$W185)+$Y$5</f>
        <v>-51.578889182477603</v>
      </c>
      <c r="F191" s="7">
        <f>SUMPRODUCT($C$6:$X$6,'batch tool'!$B185:$W185)+$Y$6</f>
        <v>-47.741473633885199</v>
      </c>
      <c r="G191" s="7">
        <f>SUMPRODUCT($C$7:$X$7,'batch tool'!$B185:$W185)+$Y$7</f>
        <v>-19.739516238059196</v>
      </c>
      <c r="H191" s="7">
        <f t="shared" si="4"/>
        <v>-19.739516238059196</v>
      </c>
      <c r="I191">
        <f t="shared" si="5"/>
        <v>6</v>
      </c>
      <c r="J191" t="str" cm="1">
        <f t="array" ref="J191">INDEX($A$2:$A$7,I191)</f>
        <v>Segment 6- Self-Conscious Male</v>
      </c>
    </row>
    <row r="192" spans="1:10" x14ac:dyDescent="0.25">
      <c r="A192" s="1">
        <f>'batch tool'!A186</f>
        <v>0</v>
      </c>
      <c r="B192" s="7">
        <f>SUMPRODUCT($C$2:$X$2,'batch tool'!$B186:$W186)+$Y$2</f>
        <v>-49.12272534143483</v>
      </c>
      <c r="C192" s="7">
        <f>SUMPRODUCT($C$3:$X$3,'batch tool'!$B186:$W186)+$Y$3</f>
        <v>-36.514029388465531</v>
      </c>
      <c r="D192" s="7">
        <f>SUMPRODUCT($C$4:$X$4,'batch tool'!$B186:$W186)+$Y$4</f>
        <v>-44.639843068043824</v>
      </c>
      <c r="E192" s="7">
        <f>SUMPRODUCT($C$5:$X$5,'batch tool'!$B186:$W186)+$Y$5</f>
        <v>-51.578889182477603</v>
      </c>
      <c r="F192" s="7">
        <f>SUMPRODUCT($C$6:$X$6,'batch tool'!$B186:$W186)+$Y$6</f>
        <v>-47.741473633885199</v>
      </c>
      <c r="G192" s="7">
        <f>SUMPRODUCT($C$7:$X$7,'batch tool'!$B186:$W186)+$Y$7</f>
        <v>-19.739516238059196</v>
      </c>
      <c r="H192" s="7">
        <f t="shared" si="4"/>
        <v>-19.739516238059196</v>
      </c>
      <c r="I192">
        <f t="shared" si="5"/>
        <v>6</v>
      </c>
      <c r="J192" t="str" cm="1">
        <f t="array" ref="J192">INDEX($A$2:$A$7,I192)</f>
        <v>Segment 6- Self-Conscious Male</v>
      </c>
    </row>
    <row r="193" spans="1:10" x14ac:dyDescent="0.25">
      <c r="A193" s="1">
        <f>'batch tool'!A187</f>
        <v>0</v>
      </c>
      <c r="B193" s="7">
        <f>SUMPRODUCT($C$2:$X$2,'batch tool'!$B187:$W187)+$Y$2</f>
        <v>-49.12272534143483</v>
      </c>
      <c r="C193" s="7">
        <f>SUMPRODUCT($C$3:$X$3,'batch tool'!$B187:$W187)+$Y$3</f>
        <v>-36.514029388465531</v>
      </c>
      <c r="D193" s="7">
        <f>SUMPRODUCT($C$4:$X$4,'batch tool'!$B187:$W187)+$Y$4</f>
        <v>-44.639843068043824</v>
      </c>
      <c r="E193" s="7">
        <f>SUMPRODUCT($C$5:$X$5,'batch tool'!$B187:$W187)+$Y$5</f>
        <v>-51.578889182477603</v>
      </c>
      <c r="F193" s="7">
        <f>SUMPRODUCT($C$6:$X$6,'batch tool'!$B187:$W187)+$Y$6</f>
        <v>-47.741473633885199</v>
      </c>
      <c r="G193" s="7">
        <f>SUMPRODUCT($C$7:$X$7,'batch tool'!$B187:$W187)+$Y$7</f>
        <v>-19.739516238059196</v>
      </c>
      <c r="H193" s="7">
        <f t="shared" si="4"/>
        <v>-19.739516238059196</v>
      </c>
      <c r="I193">
        <f t="shared" si="5"/>
        <v>6</v>
      </c>
      <c r="J193" t="str" cm="1">
        <f t="array" ref="J193">INDEX($A$2:$A$7,I193)</f>
        <v>Segment 6- Self-Conscious Male</v>
      </c>
    </row>
    <row r="194" spans="1:10" x14ac:dyDescent="0.25">
      <c r="A194" s="1">
        <f>'batch tool'!A188</f>
        <v>0</v>
      </c>
      <c r="B194" s="7">
        <f>SUMPRODUCT($C$2:$X$2,'batch tool'!$B188:$W188)+$Y$2</f>
        <v>-49.12272534143483</v>
      </c>
      <c r="C194" s="7">
        <f>SUMPRODUCT($C$3:$X$3,'batch tool'!$B188:$W188)+$Y$3</f>
        <v>-36.514029388465531</v>
      </c>
      <c r="D194" s="7">
        <f>SUMPRODUCT($C$4:$X$4,'batch tool'!$B188:$W188)+$Y$4</f>
        <v>-44.639843068043824</v>
      </c>
      <c r="E194" s="7">
        <f>SUMPRODUCT($C$5:$X$5,'batch tool'!$B188:$W188)+$Y$5</f>
        <v>-51.578889182477603</v>
      </c>
      <c r="F194" s="7">
        <f>SUMPRODUCT($C$6:$X$6,'batch tool'!$B188:$W188)+$Y$6</f>
        <v>-47.741473633885199</v>
      </c>
      <c r="G194" s="7">
        <f>SUMPRODUCT($C$7:$X$7,'batch tool'!$B188:$W188)+$Y$7</f>
        <v>-19.739516238059196</v>
      </c>
      <c r="H194" s="7">
        <f t="shared" si="4"/>
        <v>-19.739516238059196</v>
      </c>
      <c r="I194">
        <f t="shared" si="5"/>
        <v>6</v>
      </c>
      <c r="J194" t="str" cm="1">
        <f t="array" ref="J194">INDEX($A$2:$A$7,I194)</f>
        <v>Segment 6- Self-Conscious Male</v>
      </c>
    </row>
    <row r="195" spans="1:10" x14ac:dyDescent="0.25">
      <c r="A195" s="1">
        <f>'batch tool'!A189</f>
        <v>0</v>
      </c>
      <c r="B195" s="7">
        <f>SUMPRODUCT($C$2:$X$2,'batch tool'!$B189:$W189)+$Y$2</f>
        <v>-49.12272534143483</v>
      </c>
      <c r="C195" s="7">
        <f>SUMPRODUCT($C$3:$X$3,'batch tool'!$B189:$W189)+$Y$3</f>
        <v>-36.514029388465531</v>
      </c>
      <c r="D195" s="7">
        <f>SUMPRODUCT($C$4:$X$4,'batch tool'!$B189:$W189)+$Y$4</f>
        <v>-44.639843068043824</v>
      </c>
      <c r="E195" s="7">
        <f>SUMPRODUCT($C$5:$X$5,'batch tool'!$B189:$W189)+$Y$5</f>
        <v>-51.578889182477603</v>
      </c>
      <c r="F195" s="7">
        <f>SUMPRODUCT($C$6:$X$6,'batch tool'!$B189:$W189)+$Y$6</f>
        <v>-47.741473633885199</v>
      </c>
      <c r="G195" s="7">
        <f>SUMPRODUCT($C$7:$X$7,'batch tool'!$B189:$W189)+$Y$7</f>
        <v>-19.739516238059196</v>
      </c>
      <c r="H195" s="7">
        <f t="shared" si="4"/>
        <v>-19.739516238059196</v>
      </c>
      <c r="I195">
        <f t="shared" si="5"/>
        <v>6</v>
      </c>
      <c r="J195" t="str" cm="1">
        <f t="array" ref="J195">INDEX($A$2:$A$7,I195)</f>
        <v>Segment 6- Self-Conscious Male</v>
      </c>
    </row>
    <row r="196" spans="1:10" x14ac:dyDescent="0.25">
      <c r="A196" s="1">
        <f>'batch tool'!A190</f>
        <v>0</v>
      </c>
      <c r="B196" s="7">
        <f>SUMPRODUCT($C$2:$X$2,'batch tool'!$B190:$W190)+$Y$2</f>
        <v>-49.12272534143483</v>
      </c>
      <c r="C196" s="7">
        <f>SUMPRODUCT($C$3:$X$3,'batch tool'!$B190:$W190)+$Y$3</f>
        <v>-36.514029388465531</v>
      </c>
      <c r="D196" s="7">
        <f>SUMPRODUCT($C$4:$X$4,'batch tool'!$B190:$W190)+$Y$4</f>
        <v>-44.639843068043824</v>
      </c>
      <c r="E196" s="7">
        <f>SUMPRODUCT($C$5:$X$5,'batch tool'!$B190:$W190)+$Y$5</f>
        <v>-51.578889182477603</v>
      </c>
      <c r="F196" s="7">
        <f>SUMPRODUCT($C$6:$X$6,'batch tool'!$B190:$W190)+$Y$6</f>
        <v>-47.741473633885199</v>
      </c>
      <c r="G196" s="7">
        <f>SUMPRODUCT($C$7:$X$7,'batch tool'!$B190:$W190)+$Y$7</f>
        <v>-19.739516238059196</v>
      </c>
      <c r="H196" s="7">
        <f t="shared" si="4"/>
        <v>-19.739516238059196</v>
      </c>
      <c r="I196">
        <f t="shared" si="5"/>
        <v>6</v>
      </c>
      <c r="J196" t="str" cm="1">
        <f t="array" ref="J196">INDEX($A$2:$A$7,I196)</f>
        <v>Segment 6- Self-Conscious Male</v>
      </c>
    </row>
    <row r="197" spans="1:10" x14ac:dyDescent="0.25">
      <c r="A197" s="1">
        <f>'batch tool'!A191</f>
        <v>0</v>
      </c>
      <c r="B197" s="7">
        <f>SUMPRODUCT($C$2:$X$2,'batch tool'!$B191:$W191)+$Y$2</f>
        <v>-49.12272534143483</v>
      </c>
      <c r="C197" s="7">
        <f>SUMPRODUCT($C$3:$X$3,'batch tool'!$B191:$W191)+$Y$3</f>
        <v>-36.514029388465531</v>
      </c>
      <c r="D197" s="7">
        <f>SUMPRODUCT($C$4:$X$4,'batch tool'!$B191:$W191)+$Y$4</f>
        <v>-44.639843068043824</v>
      </c>
      <c r="E197" s="7">
        <f>SUMPRODUCT($C$5:$X$5,'batch tool'!$B191:$W191)+$Y$5</f>
        <v>-51.578889182477603</v>
      </c>
      <c r="F197" s="7">
        <f>SUMPRODUCT($C$6:$X$6,'batch tool'!$B191:$W191)+$Y$6</f>
        <v>-47.741473633885199</v>
      </c>
      <c r="G197" s="7">
        <f>SUMPRODUCT($C$7:$X$7,'batch tool'!$B191:$W191)+$Y$7</f>
        <v>-19.739516238059196</v>
      </c>
      <c r="H197" s="7">
        <f t="shared" si="4"/>
        <v>-19.739516238059196</v>
      </c>
      <c r="I197">
        <f t="shared" si="5"/>
        <v>6</v>
      </c>
      <c r="J197" t="str" cm="1">
        <f t="array" ref="J197">INDEX($A$2:$A$7,I197)</f>
        <v>Segment 6- Self-Conscious Male</v>
      </c>
    </row>
    <row r="198" spans="1:10" x14ac:dyDescent="0.25">
      <c r="A198" s="1">
        <f>'batch tool'!A192</f>
        <v>0</v>
      </c>
      <c r="B198" s="7">
        <f>SUMPRODUCT($C$2:$X$2,'batch tool'!$B192:$W192)+$Y$2</f>
        <v>-49.12272534143483</v>
      </c>
      <c r="C198" s="7">
        <f>SUMPRODUCT($C$3:$X$3,'batch tool'!$B192:$W192)+$Y$3</f>
        <v>-36.514029388465531</v>
      </c>
      <c r="D198" s="7">
        <f>SUMPRODUCT($C$4:$X$4,'batch tool'!$B192:$W192)+$Y$4</f>
        <v>-44.639843068043824</v>
      </c>
      <c r="E198" s="7">
        <f>SUMPRODUCT($C$5:$X$5,'batch tool'!$B192:$W192)+$Y$5</f>
        <v>-51.578889182477603</v>
      </c>
      <c r="F198" s="7">
        <f>SUMPRODUCT($C$6:$X$6,'batch tool'!$B192:$W192)+$Y$6</f>
        <v>-47.741473633885199</v>
      </c>
      <c r="G198" s="7">
        <f>SUMPRODUCT($C$7:$X$7,'batch tool'!$B192:$W192)+$Y$7</f>
        <v>-19.739516238059196</v>
      </c>
      <c r="H198" s="7">
        <f t="shared" si="4"/>
        <v>-19.739516238059196</v>
      </c>
      <c r="I198">
        <f t="shared" si="5"/>
        <v>6</v>
      </c>
      <c r="J198" t="str" cm="1">
        <f t="array" ref="J198">INDEX($A$2:$A$7,I198)</f>
        <v>Segment 6- Self-Conscious Male</v>
      </c>
    </row>
    <row r="199" spans="1:10" x14ac:dyDescent="0.25">
      <c r="A199" s="1">
        <f>'batch tool'!A193</f>
        <v>0</v>
      </c>
      <c r="B199" s="7">
        <f>SUMPRODUCT($C$2:$X$2,'batch tool'!$B193:$W193)+$Y$2</f>
        <v>-49.12272534143483</v>
      </c>
      <c r="C199" s="7">
        <f>SUMPRODUCT($C$3:$X$3,'batch tool'!$B193:$W193)+$Y$3</f>
        <v>-36.514029388465531</v>
      </c>
      <c r="D199" s="7">
        <f>SUMPRODUCT($C$4:$X$4,'batch tool'!$B193:$W193)+$Y$4</f>
        <v>-44.639843068043824</v>
      </c>
      <c r="E199" s="7">
        <f>SUMPRODUCT($C$5:$X$5,'batch tool'!$B193:$W193)+$Y$5</f>
        <v>-51.578889182477603</v>
      </c>
      <c r="F199" s="7">
        <f>SUMPRODUCT($C$6:$X$6,'batch tool'!$B193:$W193)+$Y$6</f>
        <v>-47.741473633885199</v>
      </c>
      <c r="G199" s="7">
        <f>SUMPRODUCT($C$7:$X$7,'batch tool'!$B193:$W193)+$Y$7</f>
        <v>-19.739516238059196</v>
      </c>
      <c r="H199" s="7">
        <f t="shared" si="4"/>
        <v>-19.739516238059196</v>
      </c>
      <c r="I199">
        <f t="shared" si="5"/>
        <v>6</v>
      </c>
      <c r="J199" t="str" cm="1">
        <f t="array" ref="J199">INDEX($A$2:$A$7,I199)</f>
        <v>Segment 6- Self-Conscious Male</v>
      </c>
    </row>
    <row r="200" spans="1:10" x14ac:dyDescent="0.25">
      <c r="A200" s="1">
        <f>'batch tool'!A194</f>
        <v>0</v>
      </c>
      <c r="B200" s="7">
        <f>SUMPRODUCT($C$2:$X$2,'batch tool'!$B194:$W194)+$Y$2</f>
        <v>-49.12272534143483</v>
      </c>
      <c r="C200" s="7">
        <f>SUMPRODUCT($C$3:$X$3,'batch tool'!$B194:$W194)+$Y$3</f>
        <v>-36.514029388465531</v>
      </c>
      <c r="D200" s="7">
        <f>SUMPRODUCT($C$4:$X$4,'batch tool'!$B194:$W194)+$Y$4</f>
        <v>-44.639843068043824</v>
      </c>
      <c r="E200" s="7">
        <f>SUMPRODUCT($C$5:$X$5,'batch tool'!$B194:$W194)+$Y$5</f>
        <v>-51.578889182477603</v>
      </c>
      <c r="F200" s="7">
        <f>SUMPRODUCT($C$6:$X$6,'batch tool'!$B194:$W194)+$Y$6</f>
        <v>-47.741473633885199</v>
      </c>
      <c r="G200" s="7">
        <f>SUMPRODUCT($C$7:$X$7,'batch tool'!$B194:$W194)+$Y$7</f>
        <v>-19.739516238059196</v>
      </c>
      <c r="H200" s="7">
        <f t="shared" si="4"/>
        <v>-19.739516238059196</v>
      </c>
      <c r="I200">
        <f t="shared" si="5"/>
        <v>6</v>
      </c>
      <c r="J200" t="str" cm="1">
        <f t="array" ref="J200">INDEX($A$2:$A$7,I200)</f>
        <v>Segment 6- Self-Conscious Male</v>
      </c>
    </row>
    <row r="201" spans="1:10" x14ac:dyDescent="0.25">
      <c r="A201" s="1">
        <f>'batch tool'!A195</f>
        <v>0</v>
      </c>
      <c r="B201" s="7">
        <f>SUMPRODUCT($C$2:$X$2,'batch tool'!$B195:$W195)+$Y$2</f>
        <v>-49.12272534143483</v>
      </c>
      <c r="C201" s="7">
        <f>SUMPRODUCT($C$3:$X$3,'batch tool'!$B195:$W195)+$Y$3</f>
        <v>-36.514029388465531</v>
      </c>
      <c r="D201" s="7">
        <f>SUMPRODUCT($C$4:$X$4,'batch tool'!$B195:$W195)+$Y$4</f>
        <v>-44.639843068043824</v>
      </c>
      <c r="E201" s="7">
        <f>SUMPRODUCT($C$5:$X$5,'batch tool'!$B195:$W195)+$Y$5</f>
        <v>-51.578889182477603</v>
      </c>
      <c r="F201" s="7">
        <f>SUMPRODUCT($C$6:$X$6,'batch tool'!$B195:$W195)+$Y$6</f>
        <v>-47.741473633885199</v>
      </c>
      <c r="G201" s="7">
        <f>SUMPRODUCT($C$7:$X$7,'batch tool'!$B195:$W195)+$Y$7</f>
        <v>-19.739516238059196</v>
      </c>
      <c r="H201" s="7">
        <f t="shared" si="4"/>
        <v>-19.739516238059196</v>
      </c>
      <c r="I201">
        <f t="shared" si="5"/>
        <v>6</v>
      </c>
      <c r="J201" t="str" cm="1">
        <f t="array" ref="J201">INDEX($A$2:$A$7,I201)</f>
        <v>Segment 6- Self-Conscious Male</v>
      </c>
    </row>
    <row r="202" spans="1:10" x14ac:dyDescent="0.25">
      <c r="A202" s="1">
        <f>'batch tool'!A196</f>
        <v>0</v>
      </c>
      <c r="B202" s="7">
        <f>SUMPRODUCT($C$2:$X$2,'batch tool'!$B196:$W196)+$Y$2</f>
        <v>-49.12272534143483</v>
      </c>
      <c r="C202" s="7">
        <f>SUMPRODUCT($C$3:$X$3,'batch tool'!$B196:$W196)+$Y$3</f>
        <v>-36.514029388465531</v>
      </c>
      <c r="D202" s="7">
        <f>SUMPRODUCT($C$4:$X$4,'batch tool'!$B196:$W196)+$Y$4</f>
        <v>-44.639843068043824</v>
      </c>
      <c r="E202" s="7">
        <f>SUMPRODUCT($C$5:$X$5,'batch tool'!$B196:$W196)+$Y$5</f>
        <v>-51.578889182477603</v>
      </c>
      <c r="F202" s="7">
        <f>SUMPRODUCT($C$6:$X$6,'batch tool'!$B196:$W196)+$Y$6</f>
        <v>-47.741473633885199</v>
      </c>
      <c r="G202" s="7">
        <f>SUMPRODUCT($C$7:$X$7,'batch tool'!$B196:$W196)+$Y$7</f>
        <v>-19.739516238059196</v>
      </c>
      <c r="H202" s="7">
        <f t="shared" si="4"/>
        <v>-19.739516238059196</v>
      </c>
      <c r="I202">
        <f t="shared" si="5"/>
        <v>6</v>
      </c>
      <c r="J202" t="str" cm="1">
        <f t="array" ref="J202">INDEX($A$2:$A$7,I202)</f>
        <v>Segment 6- Self-Conscious Male</v>
      </c>
    </row>
    <row r="203" spans="1:10" x14ac:dyDescent="0.25">
      <c r="A203" s="1">
        <f>'batch tool'!A197</f>
        <v>0</v>
      </c>
      <c r="B203" s="7">
        <f>SUMPRODUCT($C$2:$X$2,'batch tool'!$B197:$W197)+$Y$2</f>
        <v>-49.12272534143483</v>
      </c>
      <c r="C203" s="7">
        <f>SUMPRODUCT($C$3:$X$3,'batch tool'!$B197:$W197)+$Y$3</f>
        <v>-36.514029388465531</v>
      </c>
      <c r="D203" s="7">
        <f>SUMPRODUCT($C$4:$X$4,'batch tool'!$B197:$W197)+$Y$4</f>
        <v>-44.639843068043824</v>
      </c>
      <c r="E203" s="7">
        <f>SUMPRODUCT($C$5:$X$5,'batch tool'!$B197:$W197)+$Y$5</f>
        <v>-51.578889182477603</v>
      </c>
      <c r="F203" s="7">
        <f>SUMPRODUCT($C$6:$X$6,'batch tool'!$B197:$W197)+$Y$6</f>
        <v>-47.741473633885199</v>
      </c>
      <c r="G203" s="7">
        <f>SUMPRODUCT($C$7:$X$7,'batch tool'!$B197:$W197)+$Y$7</f>
        <v>-19.739516238059196</v>
      </c>
      <c r="H203" s="7">
        <f t="shared" ref="H203:H266" si="6">MAX(B203:G203)</f>
        <v>-19.739516238059196</v>
      </c>
      <c r="I203">
        <f t="shared" ref="I203:I266" si="7">MATCH(H203,B203:G203,0)</f>
        <v>6</v>
      </c>
      <c r="J203" t="str" cm="1">
        <f t="array" ref="J203">INDEX($A$2:$A$7,I203)</f>
        <v>Segment 6- Self-Conscious Male</v>
      </c>
    </row>
    <row r="204" spans="1:10" x14ac:dyDescent="0.25">
      <c r="A204" s="1">
        <f>'batch tool'!A198</f>
        <v>0</v>
      </c>
      <c r="B204" s="7">
        <f>SUMPRODUCT($C$2:$X$2,'batch tool'!$B198:$W198)+$Y$2</f>
        <v>-49.12272534143483</v>
      </c>
      <c r="C204" s="7">
        <f>SUMPRODUCT($C$3:$X$3,'batch tool'!$B198:$W198)+$Y$3</f>
        <v>-36.514029388465531</v>
      </c>
      <c r="D204" s="7">
        <f>SUMPRODUCT($C$4:$X$4,'batch tool'!$B198:$W198)+$Y$4</f>
        <v>-44.639843068043824</v>
      </c>
      <c r="E204" s="7">
        <f>SUMPRODUCT($C$5:$X$5,'batch tool'!$B198:$W198)+$Y$5</f>
        <v>-51.578889182477603</v>
      </c>
      <c r="F204" s="7">
        <f>SUMPRODUCT($C$6:$X$6,'batch tool'!$B198:$W198)+$Y$6</f>
        <v>-47.741473633885199</v>
      </c>
      <c r="G204" s="7">
        <f>SUMPRODUCT($C$7:$X$7,'batch tool'!$B198:$W198)+$Y$7</f>
        <v>-19.739516238059196</v>
      </c>
      <c r="H204" s="7">
        <f t="shared" si="6"/>
        <v>-19.739516238059196</v>
      </c>
      <c r="I204">
        <f t="shared" si="7"/>
        <v>6</v>
      </c>
      <c r="J204" t="str" cm="1">
        <f t="array" ref="J204">INDEX($A$2:$A$7,I204)</f>
        <v>Segment 6- Self-Conscious Male</v>
      </c>
    </row>
    <row r="205" spans="1:10" x14ac:dyDescent="0.25">
      <c r="A205" s="1">
        <f>'batch tool'!A199</f>
        <v>0</v>
      </c>
      <c r="B205" s="7">
        <f>SUMPRODUCT($C$2:$X$2,'batch tool'!$B199:$W199)+$Y$2</f>
        <v>-49.12272534143483</v>
      </c>
      <c r="C205" s="7">
        <f>SUMPRODUCT($C$3:$X$3,'batch tool'!$B199:$W199)+$Y$3</f>
        <v>-36.514029388465531</v>
      </c>
      <c r="D205" s="7">
        <f>SUMPRODUCT($C$4:$X$4,'batch tool'!$B199:$W199)+$Y$4</f>
        <v>-44.639843068043824</v>
      </c>
      <c r="E205" s="7">
        <f>SUMPRODUCT($C$5:$X$5,'batch tool'!$B199:$W199)+$Y$5</f>
        <v>-51.578889182477603</v>
      </c>
      <c r="F205" s="7">
        <f>SUMPRODUCT($C$6:$X$6,'batch tool'!$B199:$W199)+$Y$6</f>
        <v>-47.741473633885199</v>
      </c>
      <c r="G205" s="7">
        <f>SUMPRODUCT($C$7:$X$7,'batch tool'!$B199:$W199)+$Y$7</f>
        <v>-19.739516238059196</v>
      </c>
      <c r="H205" s="7">
        <f t="shared" si="6"/>
        <v>-19.739516238059196</v>
      </c>
      <c r="I205">
        <f t="shared" si="7"/>
        <v>6</v>
      </c>
      <c r="J205" t="str" cm="1">
        <f t="array" ref="J205">INDEX($A$2:$A$7,I205)</f>
        <v>Segment 6- Self-Conscious Male</v>
      </c>
    </row>
    <row r="206" spans="1:10" x14ac:dyDescent="0.25">
      <c r="A206" s="1">
        <f>'batch tool'!A200</f>
        <v>0</v>
      </c>
      <c r="B206" s="7">
        <f>SUMPRODUCT($C$2:$X$2,'batch tool'!$B200:$W200)+$Y$2</f>
        <v>-49.12272534143483</v>
      </c>
      <c r="C206" s="7">
        <f>SUMPRODUCT($C$3:$X$3,'batch tool'!$B200:$W200)+$Y$3</f>
        <v>-36.514029388465531</v>
      </c>
      <c r="D206" s="7">
        <f>SUMPRODUCT($C$4:$X$4,'batch tool'!$B200:$W200)+$Y$4</f>
        <v>-44.639843068043824</v>
      </c>
      <c r="E206" s="7">
        <f>SUMPRODUCT($C$5:$X$5,'batch tool'!$B200:$W200)+$Y$5</f>
        <v>-51.578889182477603</v>
      </c>
      <c r="F206" s="7">
        <f>SUMPRODUCT($C$6:$X$6,'batch tool'!$B200:$W200)+$Y$6</f>
        <v>-47.741473633885199</v>
      </c>
      <c r="G206" s="7">
        <f>SUMPRODUCT($C$7:$X$7,'batch tool'!$B200:$W200)+$Y$7</f>
        <v>-19.739516238059196</v>
      </c>
      <c r="H206" s="7">
        <f t="shared" si="6"/>
        <v>-19.739516238059196</v>
      </c>
      <c r="I206">
        <f t="shared" si="7"/>
        <v>6</v>
      </c>
      <c r="J206" t="str" cm="1">
        <f t="array" ref="J206">INDEX($A$2:$A$7,I206)</f>
        <v>Segment 6- Self-Conscious Male</v>
      </c>
    </row>
    <row r="207" spans="1:10" x14ac:dyDescent="0.25">
      <c r="A207" s="1">
        <f>'batch tool'!A201</f>
        <v>0</v>
      </c>
      <c r="B207" s="7">
        <f>SUMPRODUCT($C$2:$X$2,'batch tool'!$B201:$W201)+$Y$2</f>
        <v>-49.12272534143483</v>
      </c>
      <c r="C207" s="7">
        <f>SUMPRODUCT($C$3:$X$3,'batch tool'!$B201:$W201)+$Y$3</f>
        <v>-36.514029388465531</v>
      </c>
      <c r="D207" s="7">
        <f>SUMPRODUCT($C$4:$X$4,'batch tool'!$B201:$W201)+$Y$4</f>
        <v>-44.639843068043824</v>
      </c>
      <c r="E207" s="7">
        <f>SUMPRODUCT($C$5:$X$5,'batch tool'!$B201:$W201)+$Y$5</f>
        <v>-51.578889182477603</v>
      </c>
      <c r="F207" s="7">
        <f>SUMPRODUCT($C$6:$X$6,'batch tool'!$B201:$W201)+$Y$6</f>
        <v>-47.741473633885199</v>
      </c>
      <c r="G207" s="7">
        <f>SUMPRODUCT($C$7:$X$7,'batch tool'!$B201:$W201)+$Y$7</f>
        <v>-19.739516238059196</v>
      </c>
      <c r="H207" s="7">
        <f t="shared" si="6"/>
        <v>-19.739516238059196</v>
      </c>
      <c r="I207">
        <f t="shared" si="7"/>
        <v>6</v>
      </c>
      <c r="J207" t="str" cm="1">
        <f t="array" ref="J207">INDEX($A$2:$A$7,I207)</f>
        <v>Segment 6- Self-Conscious Male</v>
      </c>
    </row>
    <row r="208" spans="1:10" x14ac:dyDescent="0.25">
      <c r="A208" s="1">
        <f>'batch tool'!A202</f>
        <v>0</v>
      </c>
      <c r="B208" s="7">
        <f>SUMPRODUCT($C$2:$X$2,'batch tool'!$B202:$W202)+$Y$2</f>
        <v>-49.12272534143483</v>
      </c>
      <c r="C208" s="7">
        <f>SUMPRODUCT($C$3:$X$3,'batch tool'!$B202:$W202)+$Y$3</f>
        <v>-36.514029388465531</v>
      </c>
      <c r="D208" s="7">
        <f>SUMPRODUCT($C$4:$X$4,'batch tool'!$B202:$W202)+$Y$4</f>
        <v>-44.639843068043824</v>
      </c>
      <c r="E208" s="7">
        <f>SUMPRODUCT($C$5:$X$5,'batch tool'!$B202:$W202)+$Y$5</f>
        <v>-51.578889182477603</v>
      </c>
      <c r="F208" s="7">
        <f>SUMPRODUCT($C$6:$X$6,'batch tool'!$B202:$W202)+$Y$6</f>
        <v>-47.741473633885199</v>
      </c>
      <c r="G208" s="7">
        <f>SUMPRODUCT($C$7:$X$7,'batch tool'!$B202:$W202)+$Y$7</f>
        <v>-19.739516238059196</v>
      </c>
      <c r="H208" s="7">
        <f t="shared" si="6"/>
        <v>-19.739516238059196</v>
      </c>
      <c r="I208">
        <f t="shared" si="7"/>
        <v>6</v>
      </c>
      <c r="J208" t="str" cm="1">
        <f t="array" ref="J208">INDEX($A$2:$A$7,I208)</f>
        <v>Segment 6- Self-Conscious Male</v>
      </c>
    </row>
    <row r="209" spans="1:10" x14ac:dyDescent="0.25">
      <c r="A209" s="1">
        <f>'batch tool'!A203</f>
        <v>0</v>
      </c>
      <c r="B209" s="7">
        <f>SUMPRODUCT($C$2:$X$2,'batch tool'!$B203:$W203)+$Y$2</f>
        <v>-49.12272534143483</v>
      </c>
      <c r="C209" s="7">
        <f>SUMPRODUCT($C$3:$X$3,'batch tool'!$B203:$W203)+$Y$3</f>
        <v>-36.514029388465531</v>
      </c>
      <c r="D209" s="7">
        <f>SUMPRODUCT($C$4:$X$4,'batch tool'!$B203:$W203)+$Y$4</f>
        <v>-44.639843068043824</v>
      </c>
      <c r="E209" s="7">
        <f>SUMPRODUCT($C$5:$X$5,'batch tool'!$B203:$W203)+$Y$5</f>
        <v>-51.578889182477603</v>
      </c>
      <c r="F209" s="7">
        <f>SUMPRODUCT($C$6:$X$6,'batch tool'!$B203:$W203)+$Y$6</f>
        <v>-47.741473633885199</v>
      </c>
      <c r="G209" s="7">
        <f>SUMPRODUCT($C$7:$X$7,'batch tool'!$B203:$W203)+$Y$7</f>
        <v>-19.739516238059196</v>
      </c>
      <c r="H209" s="7">
        <f t="shared" si="6"/>
        <v>-19.739516238059196</v>
      </c>
      <c r="I209">
        <f t="shared" si="7"/>
        <v>6</v>
      </c>
      <c r="J209" t="str" cm="1">
        <f t="array" ref="J209">INDEX($A$2:$A$7,I209)</f>
        <v>Segment 6- Self-Conscious Male</v>
      </c>
    </row>
    <row r="210" spans="1:10" x14ac:dyDescent="0.25">
      <c r="A210" s="1">
        <f>'batch tool'!A204</f>
        <v>0</v>
      </c>
      <c r="B210" s="7">
        <f>SUMPRODUCT($C$2:$X$2,'batch tool'!$B204:$W204)+$Y$2</f>
        <v>-49.12272534143483</v>
      </c>
      <c r="C210" s="7">
        <f>SUMPRODUCT($C$3:$X$3,'batch tool'!$B204:$W204)+$Y$3</f>
        <v>-36.514029388465531</v>
      </c>
      <c r="D210" s="7">
        <f>SUMPRODUCT($C$4:$X$4,'batch tool'!$B204:$W204)+$Y$4</f>
        <v>-44.639843068043824</v>
      </c>
      <c r="E210" s="7">
        <f>SUMPRODUCT($C$5:$X$5,'batch tool'!$B204:$W204)+$Y$5</f>
        <v>-51.578889182477603</v>
      </c>
      <c r="F210" s="7">
        <f>SUMPRODUCT($C$6:$X$6,'batch tool'!$B204:$W204)+$Y$6</f>
        <v>-47.741473633885199</v>
      </c>
      <c r="G210" s="7">
        <f>SUMPRODUCT($C$7:$X$7,'batch tool'!$B204:$W204)+$Y$7</f>
        <v>-19.739516238059196</v>
      </c>
      <c r="H210" s="7">
        <f t="shared" si="6"/>
        <v>-19.739516238059196</v>
      </c>
      <c r="I210">
        <f t="shared" si="7"/>
        <v>6</v>
      </c>
      <c r="J210" t="str" cm="1">
        <f t="array" ref="J210">INDEX($A$2:$A$7,I210)</f>
        <v>Segment 6- Self-Conscious Male</v>
      </c>
    </row>
    <row r="211" spans="1:10" x14ac:dyDescent="0.25">
      <c r="A211" s="1">
        <f>'batch tool'!A205</f>
        <v>0</v>
      </c>
      <c r="B211" s="7">
        <f>SUMPRODUCT($C$2:$X$2,'batch tool'!$B205:$W205)+$Y$2</f>
        <v>-49.12272534143483</v>
      </c>
      <c r="C211" s="7">
        <f>SUMPRODUCT($C$3:$X$3,'batch tool'!$B205:$W205)+$Y$3</f>
        <v>-36.514029388465531</v>
      </c>
      <c r="D211" s="7">
        <f>SUMPRODUCT($C$4:$X$4,'batch tool'!$B205:$W205)+$Y$4</f>
        <v>-44.639843068043824</v>
      </c>
      <c r="E211" s="7">
        <f>SUMPRODUCT($C$5:$X$5,'batch tool'!$B205:$W205)+$Y$5</f>
        <v>-51.578889182477603</v>
      </c>
      <c r="F211" s="7">
        <f>SUMPRODUCT($C$6:$X$6,'batch tool'!$B205:$W205)+$Y$6</f>
        <v>-47.741473633885199</v>
      </c>
      <c r="G211" s="7">
        <f>SUMPRODUCT($C$7:$X$7,'batch tool'!$B205:$W205)+$Y$7</f>
        <v>-19.739516238059196</v>
      </c>
      <c r="H211" s="7">
        <f t="shared" si="6"/>
        <v>-19.739516238059196</v>
      </c>
      <c r="I211">
        <f t="shared" si="7"/>
        <v>6</v>
      </c>
      <c r="J211" t="str" cm="1">
        <f t="array" ref="J211">INDEX($A$2:$A$7,I211)</f>
        <v>Segment 6- Self-Conscious Male</v>
      </c>
    </row>
    <row r="212" spans="1:10" x14ac:dyDescent="0.25">
      <c r="A212" s="1">
        <f>'batch tool'!A206</f>
        <v>0</v>
      </c>
      <c r="B212" s="7">
        <f>SUMPRODUCT($C$2:$X$2,'batch tool'!$B206:$W206)+$Y$2</f>
        <v>-49.12272534143483</v>
      </c>
      <c r="C212" s="7">
        <f>SUMPRODUCT($C$3:$X$3,'batch tool'!$B206:$W206)+$Y$3</f>
        <v>-36.514029388465531</v>
      </c>
      <c r="D212" s="7">
        <f>SUMPRODUCT($C$4:$X$4,'batch tool'!$B206:$W206)+$Y$4</f>
        <v>-44.639843068043824</v>
      </c>
      <c r="E212" s="7">
        <f>SUMPRODUCT($C$5:$X$5,'batch tool'!$B206:$W206)+$Y$5</f>
        <v>-51.578889182477603</v>
      </c>
      <c r="F212" s="7">
        <f>SUMPRODUCT($C$6:$X$6,'batch tool'!$B206:$W206)+$Y$6</f>
        <v>-47.741473633885199</v>
      </c>
      <c r="G212" s="7">
        <f>SUMPRODUCT($C$7:$X$7,'batch tool'!$B206:$W206)+$Y$7</f>
        <v>-19.739516238059196</v>
      </c>
      <c r="H212" s="7">
        <f t="shared" si="6"/>
        <v>-19.739516238059196</v>
      </c>
      <c r="I212">
        <f t="shared" si="7"/>
        <v>6</v>
      </c>
      <c r="J212" t="str" cm="1">
        <f t="array" ref="J212">INDEX($A$2:$A$7,I212)</f>
        <v>Segment 6- Self-Conscious Male</v>
      </c>
    </row>
    <row r="213" spans="1:10" x14ac:dyDescent="0.25">
      <c r="A213" s="1">
        <f>'batch tool'!A207</f>
        <v>0</v>
      </c>
      <c r="B213" s="7">
        <f>SUMPRODUCT($C$2:$X$2,'batch tool'!$B207:$W207)+$Y$2</f>
        <v>-49.12272534143483</v>
      </c>
      <c r="C213" s="7">
        <f>SUMPRODUCT($C$3:$X$3,'batch tool'!$B207:$W207)+$Y$3</f>
        <v>-36.514029388465531</v>
      </c>
      <c r="D213" s="7">
        <f>SUMPRODUCT($C$4:$X$4,'batch tool'!$B207:$W207)+$Y$4</f>
        <v>-44.639843068043824</v>
      </c>
      <c r="E213" s="7">
        <f>SUMPRODUCT($C$5:$X$5,'batch tool'!$B207:$W207)+$Y$5</f>
        <v>-51.578889182477603</v>
      </c>
      <c r="F213" s="7">
        <f>SUMPRODUCT($C$6:$X$6,'batch tool'!$B207:$W207)+$Y$6</f>
        <v>-47.741473633885199</v>
      </c>
      <c r="G213" s="7">
        <f>SUMPRODUCT($C$7:$X$7,'batch tool'!$B207:$W207)+$Y$7</f>
        <v>-19.739516238059196</v>
      </c>
      <c r="H213" s="7">
        <f t="shared" si="6"/>
        <v>-19.739516238059196</v>
      </c>
      <c r="I213">
        <f t="shared" si="7"/>
        <v>6</v>
      </c>
      <c r="J213" t="str" cm="1">
        <f t="array" ref="J213">INDEX($A$2:$A$7,I213)</f>
        <v>Segment 6- Self-Conscious Male</v>
      </c>
    </row>
    <row r="214" spans="1:10" x14ac:dyDescent="0.25">
      <c r="A214" s="1">
        <f>'batch tool'!A208</f>
        <v>0</v>
      </c>
      <c r="B214" s="7">
        <f>SUMPRODUCT($C$2:$X$2,'batch tool'!$B208:$W208)+$Y$2</f>
        <v>-49.12272534143483</v>
      </c>
      <c r="C214" s="7">
        <f>SUMPRODUCT($C$3:$X$3,'batch tool'!$B208:$W208)+$Y$3</f>
        <v>-36.514029388465531</v>
      </c>
      <c r="D214" s="7">
        <f>SUMPRODUCT($C$4:$X$4,'batch tool'!$B208:$W208)+$Y$4</f>
        <v>-44.639843068043824</v>
      </c>
      <c r="E214" s="7">
        <f>SUMPRODUCT($C$5:$X$5,'batch tool'!$B208:$W208)+$Y$5</f>
        <v>-51.578889182477603</v>
      </c>
      <c r="F214" s="7">
        <f>SUMPRODUCT($C$6:$X$6,'batch tool'!$B208:$W208)+$Y$6</f>
        <v>-47.741473633885199</v>
      </c>
      <c r="G214" s="7">
        <f>SUMPRODUCT($C$7:$X$7,'batch tool'!$B208:$W208)+$Y$7</f>
        <v>-19.739516238059196</v>
      </c>
      <c r="H214" s="7">
        <f t="shared" si="6"/>
        <v>-19.739516238059196</v>
      </c>
      <c r="I214">
        <f t="shared" si="7"/>
        <v>6</v>
      </c>
      <c r="J214" t="str" cm="1">
        <f t="array" ref="J214">INDEX($A$2:$A$7,I214)</f>
        <v>Segment 6- Self-Conscious Male</v>
      </c>
    </row>
    <row r="215" spans="1:10" x14ac:dyDescent="0.25">
      <c r="A215" s="1">
        <f>'batch tool'!A209</f>
        <v>0</v>
      </c>
      <c r="B215" s="7">
        <f>SUMPRODUCT($C$2:$X$2,'batch tool'!$B209:$W209)+$Y$2</f>
        <v>-49.12272534143483</v>
      </c>
      <c r="C215" s="7">
        <f>SUMPRODUCT($C$3:$X$3,'batch tool'!$B209:$W209)+$Y$3</f>
        <v>-36.514029388465531</v>
      </c>
      <c r="D215" s="7">
        <f>SUMPRODUCT($C$4:$X$4,'batch tool'!$B209:$W209)+$Y$4</f>
        <v>-44.639843068043824</v>
      </c>
      <c r="E215" s="7">
        <f>SUMPRODUCT($C$5:$X$5,'batch tool'!$B209:$W209)+$Y$5</f>
        <v>-51.578889182477603</v>
      </c>
      <c r="F215" s="7">
        <f>SUMPRODUCT($C$6:$X$6,'batch tool'!$B209:$W209)+$Y$6</f>
        <v>-47.741473633885199</v>
      </c>
      <c r="G215" s="7">
        <f>SUMPRODUCT($C$7:$X$7,'batch tool'!$B209:$W209)+$Y$7</f>
        <v>-19.739516238059196</v>
      </c>
      <c r="H215" s="7">
        <f t="shared" si="6"/>
        <v>-19.739516238059196</v>
      </c>
      <c r="I215">
        <f t="shared" si="7"/>
        <v>6</v>
      </c>
      <c r="J215" t="str" cm="1">
        <f t="array" ref="J215">INDEX($A$2:$A$7,I215)</f>
        <v>Segment 6- Self-Conscious Male</v>
      </c>
    </row>
    <row r="216" spans="1:10" x14ac:dyDescent="0.25">
      <c r="A216" s="1">
        <f>'batch tool'!A210</f>
        <v>0</v>
      </c>
      <c r="B216" s="7">
        <f>SUMPRODUCT($C$2:$X$2,'batch tool'!$B210:$W210)+$Y$2</f>
        <v>-49.12272534143483</v>
      </c>
      <c r="C216" s="7">
        <f>SUMPRODUCT($C$3:$X$3,'batch tool'!$B210:$W210)+$Y$3</f>
        <v>-36.514029388465531</v>
      </c>
      <c r="D216" s="7">
        <f>SUMPRODUCT($C$4:$X$4,'batch tool'!$B210:$W210)+$Y$4</f>
        <v>-44.639843068043824</v>
      </c>
      <c r="E216" s="7">
        <f>SUMPRODUCT($C$5:$X$5,'batch tool'!$B210:$W210)+$Y$5</f>
        <v>-51.578889182477603</v>
      </c>
      <c r="F216" s="7">
        <f>SUMPRODUCT($C$6:$X$6,'batch tool'!$B210:$W210)+$Y$6</f>
        <v>-47.741473633885199</v>
      </c>
      <c r="G216" s="7">
        <f>SUMPRODUCT($C$7:$X$7,'batch tool'!$B210:$W210)+$Y$7</f>
        <v>-19.739516238059196</v>
      </c>
      <c r="H216" s="7">
        <f t="shared" si="6"/>
        <v>-19.739516238059196</v>
      </c>
      <c r="I216">
        <f t="shared" si="7"/>
        <v>6</v>
      </c>
      <c r="J216" t="str" cm="1">
        <f t="array" ref="J216">INDEX($A$2:$A$7,I216)</f>
        <v>Segment 6- Self-Conscious Male</v>
      </c>
    </row>
    <row r="217" spans="1:10" x14ac:dyDescent="0.25">
      <c r="A217" s="1">
        <f>'batch tool'!A211</f>
        <v>0</v>
      </c>
      <c r="B217" s="7">
        <f>SUMPRODUCT($C$2:$X$2,'batch tool'!$B211:$W211)+$Y$2</f>
        <v>-49.12272534143483</v>
      </c>
      <c r="C217" s="7">
        <f>SUMPRODUCT($C$3:$X$3,'batch tool'!$B211:$W211)+$Y$3</f>
        <v>-36.514029388465531</v>
      </c>
      <c r="D217" s="7">
        <f>SUMPRODUCT($C$4:$X$4,'batch tool'!$B211:$W211)+$Y$4</f>
        <v>-44.639843068043824</v>
      </c>
      <c r="E217" s="7">
        <f>SUMPRODUCT($C$5:$X$5,'batch tool'!$B211:$W211)+$Y$5</f>
        <v>-51.578889182477603</v>
      </c>
      <c r="F217" s="7">
        <f>SUMPRODUCT($C$6:$X$6,'batch tool'!$B211:$W211)+$Y$6</f>
        <v>-47.741473633885199</v>
      </c>
      <c r="G217" s="7">
        <f>SUMPRODUCT($C$7:$X$7,'batch tool'!$B211:$W211)+$Y$7</f>
        <v>-19.739516238059196</v>
      </c>
      <c r="H217" s="7">
        <f t="shared" si="6"/>
        <v>-19.739516238059196</v>
      </c>
      <c r="I217">
        <f t="shared" si="7"/>
        <v>6</v>
      </c>
      <c r="J217" t="str" cm="1">
        <f t="array" ref="J217">INDEX($A$2:$A$7,I217)</f>
        <v>Segment 6- Self-Conscious Male</v>
      </c>
    </row>
    <row r="218" spans="1:10" x14ac:dyDescent="0.25">
      <c r="A218" s="1">
        <f>'batch tool'!A212</f>
        <v>0</v>
      </c>
      <c r="B218" s="7">
        <f>SUMPRODUCT($C$2:$X$2,'batch tool'!$B212:$W212)+$Y$2</f>
        <v>-49.12272534143483</v>
      </c>
      <c r="C218" s="7">
        <f>SUMPRODUCT($C$3:$X$3,'batch tool'!$B212:$W212)+$Y$3</f>
        <v>-36.514029388465531</v>
      </c>
      <c r="D218" s="7">
        <f>SUMPRODUCT($C$4:$X$4,'batch tool'!$B212:$W212)+$Y$4</f>
        <v>-44.639843068043824</v>
      </c>
      <c r="E218" s="7">
        <f>SUMPRODUCT($C$5:$X$5,'batch tool'!$B212:$W212)+$Y$5</f>
        <v>-51.578889182477603</v>
      </c>
      <c r="F218" s="7">
        <f>SUMPRODUCT($C$6:$X$6,'batch tool'!$B212:$W212)+$Y$6</f>
        <v>-47.741473633885199</v>
      </c>
      <c r="G218" s="7">
        <f>SUMPRODUCT($C$7:$X$7,'batch tool'!$B212:$W212)+$Y$7</f>
        <v>-19.739516238059196</v>
      </c>
      <c r="H218" s="7">
        <f t="shared" si="6"/>
        <v>-19.739516238059196</v>
      </c>
      <c r="I218">
        <f t="shared" si="7"/>
        <v>6</v>
      </c>
      <c r="J218" t="str" cm="1">
        <f t="array" ref="J218">INDEX($A$2:$A$7,I218)</f>
        <v>Segment 6- Self-Conscious Male</v>
      </c>
    </row>
    <row r="219" spans="1:10" x14ac:dyDescent="0.25">
      <c r="A219" s="1">
        <f>'batch tool'!A213</f>
        <v>0</v>
      </c>
      <c r="B219" s="7">
        <f>SUMPRODUCT($C$2:$X$2,'batch tool'!$B213:$W213)+$Y$2</f>
        <v>-49.12272534143483</v>
      </c>
      <c r="C219" s="7">
        <f>SUMPRODUCT($C$3:$X$3,'batch tool'!$B213:$W213)+$Y$3</f>
        <v>-36.514029388465531</v>
      </c>
      <c r="D219" s="7">
        <f>SUMPRODUCT($C$4:$X$4,'batch tool'!$B213:$W213)+$Y$4</f>
        <v>-44.639843068043824</v>
      </c>
      <c r="E219" s="7">
        <f>SUMPRODUCT($C$5:$X$5,'batch tool'!$B213:$W213)+$Y$5</f>
        <v>-51.578889182477603</v>
      </c>
      <c r="F219" s="7">
        <f>SUMPRODUCT($C$6:$X$6,'batch tool'!$B213:$W213)+$Y$6</f>
        <v>-47.741473633885199</v>
      </c>
      <c r="G219" s="7">
        <f>SUMPRODUCT($C$7:$X$7,'batch tool'!$B213:$W213)+$Y$7</f>
        <v>-19.739516238059196</v>
      </c>
      <c r="H219" s="7">
        <f t="shared" si="6"/>
        <v>-19.739516238059196</v>
      </c>
      <c r="I219">
        <f t="shared" si="7"/>
        <v>6</v>
      </c>
      <c r="J219" t="str" cm="1">
        <f t="array" ref="J219">INDEX($A$2:$A$7,I219)</f>
        <v>Segment 6- Self-Conscious Male</v>
      </c>
    </row>
    <row r="220" spans="1:10" x14ac:dyDescent="0.25">
      <c r="A220" s="1">
        <f>'batch tool'!A214</f>
        <v>0</v>
      </c>
      <c r="B220" s="7">
        <f>SUMPRODUCT($C$2:$X$2,'batch tool'!$B214:$W214)+$Y$2</f>
        <v>-49.12272534143483</v>
      </c>
      <c r="C220" s="7">
        <f>SUMPRODUCT($C$3:$X$3,'batch tool'!$B214:$W214)+$Y$3</f>
        <v>-36.514029388465531</v>
      </c>
      <c r="D220" s="7">
        <f>SUMPRODUCT($C$4:$X$4,'batch tool'!$B214:$W214)+$Y$4</f>
        <v>-44.639843068043824</v>
      </c>
      <c r="E220" s="7">
        <f>SUMPRODUCT($C$5:$X$5,'batch tool'!$B214:$W214)+$Y$5</f>
        <v>-51.578889182477603</v>
      </c>
      <c r="F220" s="7">
        <f>SUMPRODUCT($C$6:$X$6,'batch tool'!$B214:$W214)+$Y$6</f>
        <v>-47.741473633885199</v>
      </c>
      <c r="G220" s="7">
        <f>SUMPRODUCT($C$7:$X$7,'batch tool'!$B214:$W214)+$Y$7</f>
        <v>-19.739516238059196</v>
      </c>
      <c r="H220" s="7">
        <f t="shared" si="6"/>
        <v>-19.739516238059196</v>
      </c>
      <c r="I220">
        <f t="shared" si="7"/>
        <v>6</v>
      </c>
      <c r="J220" t="str" cm="1">
        <f t="array" ref="J220">INDEX($A$2:$A$7,I220)</f>
        <v>Segment 6- Self-Conscious Male</v>
      </c>
    </row>
    <row r="221" spans="1:10" x14ac:dyDescent="0.25">
      <c r="A221" s="1">
        <f>'batch tool'!A215</f>
        <v>0</v>
      </c>
      <c r="B221" s="7">
        <f>SUMPRODUCT($C$2:$X$2,'batch tool'!$B215:$W215)+$Y$2</f>
        <v>-49.12272534143483</v>
      </c>
      <c r="C221" s="7">
        <f>SUMPRODUCT($C$3:$X$3,'batch tool'!$B215:$W215)+$Y$3</f>
        <v>-36.514029388465531</v>
      </c>
      <c r="D221" s="7">
        <f>SUMPRODUCT($C$4:$X$4,'batch tool'!$B215:$W215)+$Y$4</f>
        <v>-44.639843068043824</v>
      </c>
      <c r="E221" s="7">
        <f>SUMPRODUCT($C$5:$X$5,'batch tool'!$B215:$W215)+$Y$5</f>
        <v>-51.578889182477603</v>
      </c>
      <c r="F221" s="7">
        <f>SUMPRODUCT($C$6:$X$6,'batch tool'!$B215:$W215)+$Y$6</f>
        <v>-47.741473633885199</v>
      </c>
      <c r="G221" s="7">
        <f>SUMPRODUCT($C$7:$X$7,'batch tool'!$B215:$W215)+$Y$7</f>
        <v>-19.739516238059196</v>
      </c>
      <c r="H221" s="7">
        <f t="shared" si="6"/>
        <v>-19.739516238059196</v>
      </c>
      <c r="I221">
        <f t="shared" si="7"/>
        <v>6</v>
      </c>
      <c r="J221" t="str" cm="1">
        <f t="array" ref="J221">INDEX($A$2:$A$7,I221)</f>
        <v>Segment 6- Self-Conscious Male</v>
      </c>
    </row>
    <row r="222" spans="1:10" x14ac:dyDescent="0.25">
      <c r="A222" s="1">
        <f>'batch tool'!A216</f>
        <v>0</v>
      </c>
      <c r="B222" s="7">
        <f>SUMPRODUCT($C$2:$X$2,'batch tool'!$B216:$W216)+$Y$2</f>
        <v>-49.12272534143483</v>
      </c>
      <c r="C222" s="7">
        <f>SUMPRODUCT($C$3:$X$3,'batch tool'!$B216:$W216)+$Y$3</f>
        <v>-36.514029388465531</v>
      </c>
      <c r="D222" s="7">
        <f>SUMPRODUCT($C$4:$X$4,'batch tool'!$B216:$W216)+$Y$4</f>
        <v>-44.639843068043824</v>
      </c>
      <c r="E222" s="7">
        <f>SUMPRODUCT($C$5:$X$5,'batch tool'!$B216:$W216)+$Y$5</f>
        <v>-51.578889182477603</v>
      </c>
      <c r="F222" s="7">
        <f>SUMPRODUCT($C$6:$X$6,'batch tool'!$B216:$W216)+$Y$6</f>
        <v>-47.741473633885199</v>
      </c>
      <c r="G222" s="7">
        <f>SUMPRODUCT($C$7:$X$7,'batch tool'!$B216:$W216)+$Y$7</f>
        <v>-19.739516238059196</v>
      </c>
      <c r="H222" s="7">
        <f t="shared" si="6"/>
        <v>-19.739516238059196</v>
      </c>
      <c r="I222">
        <f t="shared" si="7"/>
        <v>6</v>
      </c>
      <c r="J222" t="str" cm="1">
        <f t="array" ref="J222">INDEX($A$2:$A$7,I222)</f>
        <v>Segment 6- Self-Conscious Male</v>
      </c>
    </row>
    <row r="223" spans="1:10" x14ac:dyDescent="0.25">
      <c r="A223" s="1">
        <f>'batch tool'!A217</f>
        <v>0</v>
      </c>
      <c r="B223" s="7">
        <f>SUMPRODUCT($C$2:$X$2,'batch tool'!$B217:$W217)+$Y$2</f>
        <v>-49.12272534143483</v>
      </c>
      <c r="C223" s="7">
        <f>SUMPRODUCT($C$3:$X$3,'batch tool'!$B217:$W217)+$Y$3</f>
        <v>-36.514029388465531</v>
      </c>
      <c r="D223" s="7">
        <f>SUMPRODUCT($C$4:$X$4,'batch tool'!$B217:$W217)+$Y$4</f>
        <v>-44.639843068043824</v>
      </c>
      <c r="E223" s="7">
        <f>SUMPRODUCT($C$5:$X$5,'batch tool'!$B217:$W217)+$Y$5</f>
        <v>-51.578889182477603</v>
      </c>
      <c r="F223" s="7">
        <f>SUMPRODUCT($C$6:$X$6,'batch tool'!$B217:$W217)+$Y$6</f>
        <v>-47.741473633885199</v>
      </c>
      <c r="G223" s="7">
        <f>SUMPRODUCT($C$7:$X$7,'batch tool'!$B217:$W217)+$Y$7</f>
        <v>-19.739516238059196</v>
      </c>
      <c r="H223" s="7">
        <f t="shared" si="6"/>
        <v>-19.739516238059196</v>
      </c>
      <c r="I223">
        <f t="shared" si="7"/>
        <v>6</v>
      </c>
      <c r="J223" t="str" cm="1">
        <f t="array" ref="J223">INDEX($A$2:$A$7,I223)</f>
        <v>Segment 6- Self-Conscious Male</v>
      </c>
    </row>
    <row r="224" spans="1:10" x14ac:dyDescent="0.25">
      <c r="A224" s="1">
        <f>'batch tool'!A218</f>
        <v>0</v>
      </c>
      <c r="B224" s="7">
        <f>SUMPRODUCT($C$2:$X$2,'batch tool'!$B218:$W218)+$Y$2</f>
        <v>-49.12272534143483</v>
      </c>
      <c r="C224" s="7">
        <f>SUMPRODUCT($C$3:$X$3,'batch tool'!$B218:$W218)+$Y$3</f>
        <v>-36.514029388465531</v>
      </c>
      <c r="D224" s="7">
        <f>SUMPRODUCT($C$4:$X$4,'batch tool'!$B218:$W218)+$Y$4</f>
        <v>-44.639843068043824</v>
      </c>
      <c r="E224" s="7">
        <f>SUMPRODUCT($C$5:$X$5,'batch tool'!$B218:$W218)+$Y$5</f>
        <v>-51.578889182477603</v>
      </c>
      <c r="F224" s="7">
        <f>SUMPRODUCT($C$6:$X$6,'batch tool'!$B218:$W218)+$Y$6</f>
        <v>-47.741473633885199</v>
      </c>
      <c r="G224" s="7">
        <f>SUMPRODUCT($C$7:$X$7,'batch tool'!$B218:$W218)+$Y$7</f>
        <v>-19.739516238059196</v>
      </c>
      <c r="H224" s="7">
        <f t="shared" si="6"/>
        <v>-19.739516238059196</v>
      </c>
      <c r="I224">
        <f t="shared" si="7"/>
        <v>6</v>
      </c>
      <c r="J224" t="str" cm="1">
        <f t="array" ref="J224">INDEX($A$2:$A$7,I224)</f>
        <v>Segment 6- Self-Conscious Male</v>
      </c>
    </row>
    <row r="225" spans="1:10" x14ac:dyDescent="0.25">
      <c r="A225" s="1">
        <f>'batch tool'!A219</f>
        <v>0</v>
      </c>
      <c r="B225" s="7">
        <f>SUMPRODUCT($C$2:$X$2,'batch tool'!$B219:$W219)+$Y$2</f>
        <v>-49.12272534143483</v>
      </c>
      <c r="C225" s="7">
        <f>SUMPRODUCT($C$3:$X$3,'batch tool'!$B219:$W219)+$Y$3</f>
        <v>-36.514029388465531</v>
      </c>
      <c r="D225" s="7">
        <f>SUMPRODUCT($C$4:$X$4,'batch tool'!$B219:$W219)+$Y$4</f>
        <v>-44.639843068043824</v>
      </c>
      <c r="E225" s="7">
        <f>SUMPRODUCT($C$5:$X$5,'batch tool'!$B219:$W219)+$Y$5</f>
        <v>-51.578889182477603</v>
      </c>
      <c r="F225" s="7">
        <f>SUMPRODUCT($C$6:$X$6,'batch tool'!$B219:$W219)+$Y$6</f>
        <v>-47.741473633885199</v>
      </c>
      <c r="G225" s="7">
        <f>SUMPRODUCT($C$7:$X$7,'batch tool'!$B219:$W219)+$Y$7</f>
        <v>-19.739516238059196</v>
      </c>
      <c r="H225" s="7">
        <f t="shared" si="6"/>
        <v>-19.739516238059196</v>
      </c>
      <c r="I225">
        <f t="shared" si="7"/>
        <v>6</v>
      </c>
      <c r="J225" t="str" cm="1">
        <f t="array" ref="J225">INDEX($A$2:$A$7,I225)</f>
        <v>Segment 6- Self-Conscious Male</v>
      </c>
    </row>
    <row r="226" spans="1:10" x14ac:dyDescent="0.25">
      <c r="A226" s="1">
        <f>'batch tool'!A220</f>
        <v>0</v>
      </c>
      <c r="B226" s="7">
        <f>SUMPRODUCT($C$2:$X$2,'batch tool'!$B220:$W220)+$Y$2</f>
        <v>-49.12272534143483</v>
      </c>
      <c r="C226" s="7">
        <f>SUMPRODUCT($C$3:$X$3,'batch tool'!$B220:$W220)+$Y$3</f>
        <v>-36.514029388465531</v>
      </c>
      <c r="D226" s="7">
        <f>SUMPRODUCT($C$4:$X$4,'batch tool'!$B220:$W220)+$Y$4</f>
        <v>-44.639843068043824</v>
      </c>
      <c r="E226" s="7">
        <f>SUMPRODUCT($C$5:$X$5,'batch tool'!$B220:$W220)+$Y$5</f>
        <v>-51.578889182477603</v>
      </c>
      <c r="F226" s="7">
        <f>SUMPRODUCT($C$6:$X$6,'batch tool'!$B220:$W220)+$Y$6</f>
        <v>-47.741473633885199</v>
      </c>
      <c r="G226" s="7">
        <f>SUMPRODUCT($C$7:$X$7,'batch tool'!$B220:$W220)+$Y$7</f>
        <v>-19.739516238059196</v>
      </c>
      <c r="H226" s="7">
        <f t="shared" si="6"/>
        <v>-19.739516238059196</v>
      </c>
      <c r="I226">
        <f t="shared" si="7"/>
        <v>6</v>
      </c>
      <c r="J226" t="str" cm="1">
        <f t="array" ref="J226">INDEX($A$2:$A$7,I226)</f>
        <v>Segment 6- Self-Conscious Male</v>
      </c>
    </row>
    <row r="227" spans="1:10" x14ac:dyDescent="0.25">
      <c r="A227" s="1">
        <f>'batch tool'!A221</f>
        <v>0</v>
      </c>
      <c r="B227" s="7">
        <f>SUMPRODUCT($C$2:$X$2,'batch tool'!$B221:$W221)+$Y$2</f>
        <v>-49.12272534143483</v>
      </c>
      <c r="C227" s="7">
        <f>SUMPRODUCT($C$3:$X$3,'batch tool'!$B221:$W221)+$Y$3</f>
        <v>-36.514029388465531</v>
      </c>
      <c r="D227" s="7">
        <f>SUMPRODUCT($C$4:$X$4,'batch tool'!$B221:$W221)+$Y$4</f>
        <v>-44.639843068043824</v>
      </c>
      <c r="E227" s="7">
        <f>SUMPRODUCT($C$5:$X$5,'batch tool'!$B221:$W221)+$Y$5</f>
        <v>-51.578889182477603</v>
      </c>
      <c r="F227" s="7">
        <f>SUMPRODUCT($C$6:$X$6,'batch tool'!$B221:$W221)+$Y$6</f>
        <v>-47.741473633885199</v>
      </c>
      <c r="G227" s="7">
        <f>SUMPRODUCT($C$7:$X$7,'batch tool'!$B221:$W221)+$Y$7</f>
        <v>-19.739516238059196</v>
      </c>
      <c r="H227" s="7">
        <f t="shared" si="6"/>
        <v>-19.739516238059196</v>
      </c>
      <c r="I227">
        <f t="shared" si="7"/>
        <v>6</v>
      </c>
      <c r="J227" t="str" cm="1">
        <f t="array" ref="J227">INDEX($A$2:$A$7,I227)</f>
        <v>Segment 6- Self-Conscious Male</v>
      </c>
    </row>
    <row r="228" spans="1:10" x14ac:dyDescent="0.25">
      <c r="A228" s="1">
        <f>'batch tool'!A222</f>
        <v>0</v>
      </c>
      <c r="B228" s="7">
        <f>SUMPRODUCT($C$2:$X$2,'batch tool'!$B222:$W222)+$Y$2</f>
        <v>-49.12272534143483</v>
      </c>
      <c r="C228" s="7">
        <f>SUMPRODUCT($C$3:$X$3,'batch tool'!$B222:$W222)+$Y$3</f>
        <v>-36.514029388465531</v>
      </c>
      <c r="D228" s="7">
        <f>SUMPRODUCT($C$4:$X$4,'batch tool'!$B222:$W222)+$Y$4</f>
        <v>-44.639843068043824</v>
      </c>
      <c r="E228" s="7">
        <f>SUMPRODUCT($C$5:$X$5,'batch tool'!$B222:$W222)+$Y$5</f>
        <v>-51.578889182477603</v>
      </c>
      <c r="F228" s="7">
        <f>SUMPRODUCT($C$6:$X$6,'batch tool'!$B222:$W222)+$Y$6</f>
        <v>-47.741473633885199</v>
      </c>
      <c r="G228" s="7">
        <f>SUMPRODUCT($C$7:$X$7,'batch tool'!$B222:$W222)+$Y$7</f>
        <v>-19.739516238059196</v>
      </c>
      <c r="H228" s="7">
        <f t="shared" si="6"/>
        <v>-19.739516238059196</v>
      </c>
      <c r="I228">
        <f t="shared" si="7"/>
        <v>6</v>
      </c>
      <c r="J228" t="str" cm="1">
        <f t="array" ref="J228">INDEX($A$2:$A$7,I228)</f>
        <v>Segment 6- Self-Conscious Male</v>
      </c>
    </row>
    <row r="229" spans="1:10" x14ac:dyDescent="0.25">
      <c r="A229" s="1">
        <f>'batch tool'!A223</f>
        <v>0</v>
      </c>
      <c r="B229" s="7">
        <f>SUMPRODUCT($C$2:$X$2,'batch tool'!$B223:$W223)+$Y$2</f>
        <v>-49.12272534143483</v>
      </c>
      <c r="C229" s="7">
        <f>SUMPRODUCT($C$3:$X$3,'batch tool'!$B223:$W223)+$Y$3</f>
        <v>-36.514029388465531</v>
      </c>
      <c r="D229" s="7">
        <f>SUMPRODUCT($C$4:$X$4,'batch tool'!$B223:$W223)+$Y$4</f>
        <v>-44.639843068043824</v>
      </c>
      <c r="E229" s="7">
        <f>SUMPRODUCT($C$5:$X$5,'batch tool'!$B223:$W223)+$Y$5</f>
        <v>-51.578889182477603</v>
      </c>
      <c r="F229" s="7">
        <f>SUMPRODUCT($C$6:$X$6,'batch tool'!$B223:$W223)+$Y$6</f>
        <v>-47.741473633885199</v>
      </c>
      <c r="G229" s="7">
        <f>SUMPRODUCT($C$7:$X$7,'batch tool'!$B223:$W223)+$Y$7</f>
        <v>-19.739516238059196</v>
      </c>
      <c r="H229" s="7">
        <f t="shared" si="6"/>
        <v>-19.739516238059196</v>
      </c>
      <c r="I229">
        <f t="shared" si="7"/>
        <v>6</v>
      </c>
      <c r="J229" t="str" cm="1">
        <f t="array" ref="J229">INDEX($A$2:$A$7,I229)</f>
        <v>Segment 6- Self-Conscious Male</v>
      </c>
    </row>
    <row r="230" spans="1:10" x14ac:dyDescent="0.25">
      <c r="A230" s="1">
        <f>'batch tool'!A224</f>
        <v>0</v>
      </c>
      <c r="B230" s="7">
        <f>SUMPRODUCT($C$2:$X$2,'batch tool'!$B224:$W224)+$Y$2</f>
        <v>-49.12272534143483</v>
      </c>
      <c r="C230" s="7">
        <f>SUMPRODUCT($C$3:$X$3,'batch tool'!$B224:$W224)+$Y$3</f>
        <v>-36.514029388465531</v>
      </c>
      <c r="D230" s="7">
        <f>SUMPRODUCT($C$4:$X$4,'batch tool'!$B224:$W224)+$Y$4</f>
        <v>-44.639843068043824</v>
      </c>
      <c r="E230" s="7">
        <f>SUMPRODUCT($C$5:$X$5,'batch tool'!$B224:$W224)+$Y$5</f>
        <v>-51.578889182477603</v>
      </c>
      <c r="F230" s="7">
        <f>SUMPRODUCT($C$6:$X$6,'batch tool'!$B224:$W224)+$Y$6</f>
        <v>-47.741473633885199</v>
      </c>
      <c r="G230" s="7">
        <f>SUMPRODUCT($C$7:$X$7,'batch tool'!$B224:$W224)+$Y$7</f>
        <v>-19.739516238059196</v>
      </c>
      <c r="H230" s="7">
        <f t="shared" si="6"/>
        <v>-19.739516238059196</v>
      </c>
      <c r="I230">
        <f t="shared" si="7"/>
        <v>6</v>
      </c>
      <c r="J230" t="str" cm="1">
        <f t="array" ref="J230">INDEX($A$2:$A$7,I230)</f>
        <v>Segment 6- Self-Conscious Male</v>
      </c>
    </row>
    <row r="231" spans="1:10" x14ac:dyDescent="0.25">
      <c r="A231" s="1">
        <f>'batch tool'!A225</f>
        <v>0</v>
      </c>
      <c r="B231" s="7">
        <f>SUMPRODUCT($C$2:$X$2,'batch tool'!$B225:$W225)+$Y$2</f>
        <v>-49.12272534143483</v>
      </c>
      <c r="C231" s="7">
        <f>SUMPRODUCT($C$3:$X$3,'batch tool'!$B225:$W225)+$Y$3</f>
        <v>-36.514029388465531</v>
      </c>
      <c r="D231" s="7">
        <f>SUMPRODUCT($C$4:$X$4,'batch tool'!$B225:$W225)+$Y$4</f>
        <v>-44.639843068043824</v>
      </c>
      <c r="E231" s="7">
        <f>SUMPRODUCT($C$5:$X$5,'batch tool'!$B225:$W225)+$Y$5</f>
        <v>-51.578889182477603</v>
      </c>
      <c r="F231" s="7">
        <f>SUMPRODUCT($C$6:$X$6,'batch tool'!$B225:$W225)+$Y$6</f>
        <v>-47.741473633885199</v>
      </c>
      <c r="G231" s="7">
        <f>SUMPRODUCT($C$7:$X$7,'batch tool'!$B225:$W225)+$Y$7</f>
        <v>-19.739516238059196</v>
      </c>
      <c r="H231" s="7">
        <f t="shared" si="6"/>
        <v>-19.739516238059196</v>
      </c>
      <c r="I231">
        <f t="shared" si="7"/>
        <v>6</v>
      </c>
      <c r="J231" t="str" cm="1">
        <f t="array" ref="J231">INDEX($A$2:$A$7,I231)</f>
        <v>Segment 6- Self-Conscious Male</v>
      </c>
    </row>
    <row r="232" spans="1:10" x14ac:dyDescent="0.25">
      <c r="A232" s="1">
        <f>'batch tool'!A226</f>
        <v>0</v>
      </c>
      <c r="B232" s="7">
        <f>SUMPRODUCT($C$2:$X$2,'batch tool'!$B226:$W226)+$Y$2</f>
        <v>-49.12272534143483</v>
      </c>
      <c r="C232" s="7">
        <f>SUMPRODUCT($C$3:$X$3,'batch tool'!$B226:$W226)+$Y$3</f>
        <v>-36.514029388465531</v>
      </c>
      <c r="D232" s="7">
        <f>SUMPRODUCT($C$4:$X$4,'batch tool'!$B226:$W226)+$Y$4</f>
        <v>-44.639843068043824</v>
      </c>
      <c r="E232" s="7">
        <f>SUMPRODUCT($C$5:$X$5,'batch tool'!$B226:$W226)+$Y$5</f>
        <v>-51.578889182477603</v>
      </c>
      <c r="F232" s="7">
        <f>SUMPRODUCT($C$6:$X$6,'batch tool'!$B226:$W226)+$Y$6</f>
        <v>-47.741473633885199</v>
      </c>
      <c r="G232" s="7">
        <f>SUMPRODUCT($C$7:$X$7,'batch tool'!$B226:$W226)+$Y$7</f>
        <v>-19.739516238059196</v>
      </c>
      <c r="H232" s="7">
        <f t="shared" si="6"/>
        <v>-19.739516238059196</v>
      </c>
      <c r="I232">
        <f t="shared" si="7"/>
        <v>6</v>
      </c>
      <c r="J232" t="str" cm="1">
        <f t="array" ref="J232">INDEX($A$2:$A$7,I232)</f>
        <v>Segment 6- Self-Conscious Male</v>
      </c>
    </row>
    <row r="233" spans="1:10" x14ac:dyDescent="0.25">
      <c r="A233" s="1">
        <f>'batch tool'!A227</f>
        <v>0</v>
      </c>
      <c r="B233" s="7">
        <f>SUMPRODUCT($C$2:$X$2,'batch tool'!$B227:$W227)+$Y$2</f>
        <v>-49.12272534143483</v>
      </c>
      <c r="C233" s="7">
        <f>SUMPRODUCT($C$3:$X$3,'batch tool'!$B227:$W227)+$Y$3</f>
        <v>-36.514029388465531</v>
      </c>
      <c r="D233" s="7">
        <f>SUMPRODUCT($C$4:$X$4,'batch tool'!$B227:$W227)+$Y$4</f>
        <v>-44.639843068043824</v>
      </c>
      <c r="E233" s="7">
        <f>SUMPRODUCT($C$5:$X$5,'batch tool'!$B227:$W227)+$Y$5</f>
        <v>-51.578889182477603</v>
      </c>
      <c r="F233" s="7">
        <f>SUMPRODUCT($C$6:$X$6,'batch tool'!$B227:$W227)+$Y$6</f>
        <v>-47.741473633885199</v>
      </c>
      <c r="G233" s="7">
        <f>SUMPRODUCT($C$7:$X$7,'batch tool'!$B227:$W227)+$Y$7</f>
        <v>-19.739516238059196</v>
      </c>
      <c r="H233" s="7">
        <f t="shared" si="6"/>
        <v>-19.739516238059196</v>
      </c>
      <c r="I233">
        <f t="shared" si="7"/>
        <v>6</v>
      </c>
      <c r="J233" t="str" cm="1">
        <f t="array" ref="J233">INDEX($A$2:$A$7,I233)</f>
        <v>Segment 6- Self-Conscious Male</v>
      </c>
    </row>
    <row r="234" spans="1:10" x14ac:dyDescent="0.25">
      <c r="A234" s="1">
        <f>'batch tool'!A228</f>
        <v>0</v>
      </c>
      <c r="B234" s="7">
        <f>SUMPRODUCT($C$2:$X$2,'batch tool'!$B228:$W228)+$Y$2</f>
        <v>-49.12272534143483</v>
      </c>
      <c r="C234" s="7">
        <f>SUMPRODUCT($C$3:$X$3,'batch tool'!$B228:$W228)+$Y$3</f>
        <v>-36.514029388465531</v>
      </c>
      <c r="D234" s="7">
        <f>SUMPRODUCT($C$4:$X$4,'batch tool'!$B228:$W228)+$Y$4</f>
        <v>-44.639843068043824</v>
      </c>
      <c r="E234" s="7">
        <f>SUMPRODUCT($C$5:$X$5,'batch tool'!$B228:$W228)+$Y$5</f>
        <v>-51.578889182477603</v>
      </c>
      <c r="F234" s="7">
        <f>SUMPRODUCT($C$6:$X$6,'batch tool'!$B228:$W228)+$Y$6</f>
        <v>-47.741473633885199</v>
      </c>
      <c r="G234" s="7">
        <f>SUMPRODUCT($C$7:$X$7,'batch tool'!$B228:$W228)+$Y$7</f>
        <v>-19.739516238059196</v>
      </c>
      <c r="H234" s="7">
        <f t="shared" si="6"/>
        <v>-19.739516238059196</v>
      </c>
      <c r="I234">
        <f t="shared" si="7"/>
        <v>6</v>
      </c>
      <c r="J234" t="str" cm="1">
        <f t="array" ref="J234">INDEX($A$2:$A$7,I234)</f>
        <v>Segment 6- Self-Conscious Male</v>
      </c>
    </row>
    <row r="235" spans="1:10" x14ac:dyDescent="0.25">
      <c r="A235" s="1">
        <f>'batch tool'!A229</f>
        <v>0</v>
      </c>
      <c r="B235" s="7">
        <f>SUMPRODUCT($C$2:$X$2,'batch tool'!$B229:$W229)+$Y$2</f>
        <v>-49.12272534143483</v>
      </c>
      <c r="C235" s="7">
        <f>SUMPRODUCT($C$3:$X$3,'batch tool'!$B229:$W229)+$Y$3</f>
        <v>-36.514029388465531</v>
      </c>
      <c r="D235" s="7">
        <f>SUMPRODUCT($C$4:$X$4,'batch tool'!$B229:$W229)+$Y$4</f>
        <v>-44.639843068043824</v>
      </c>
      <c r="E235" s="7">
        <f>SUMPRODUCT($C$5:$X$5,'batch tool'!$B229:$W229)+$Y$5</f>
        <v>-51.578889182477603</v>
      </c>
      <c r="F235" s="7">
        <f>SUMPRODUCT($C$6:$X$6,'batch tool'!$B229:$W229)+$Y$6</f>
        <v>-47.741473633885199</v>
      </c>
      <c r="G235" s="7">
        <f>SUMPRODUCT($C$7:$X$7,'batch tool'!$B229:$W229)+$Y$7</f>
        <v>-19.739516238059196</v>
      </c>
      <c r="H235" s="7">
        <f t="shared" si="6"/>
        <v>-19.739516238059196</v>
      </c>
      <c r="I235">
        <f t="shared" si="7"/>
        <v>6</v>
      </c>
      <c r="J235" t="str" cm="1">
        <f t="array" ref="J235">INDEX($A$2:$A$7,I235)</f>
        <v>Segment 6- Self-Conscious Male</v>
      </c>
    </row>
    <row r="236" spans="1:10" x14ac:dyDescent="0.25">
      <c r="A236" s="1">
        <f>'batch tool'!A230</f>
        <v>0</v>
      </c>
      <c r="B236" s="7">
        <f>SUMPRODUCT($C$2:$X$2,'batch tool'!$B230:$W230)+$Y$2</f>
        <v>-49.12272534143483</v>
      </c>
      <c r="C236" s="7">
        <f>SUMPRODUCT($C$3:$X$3,'batch tool'!$B230:$W230)+$Y$3</f>
        <v>-36.514029388465531</v>
      </c>
      <c r="D236" s="7">
        <f>SUMPRODUCT($C$4:$X$4,'batch tool'!$B230:$W230)+$Y$4</f>
        <v>-44.639843068043824</v>
      </c>
      <c r="E236" s="7">
        <f>SUMPRODUCT($C$5:$X$5,'batch tool'!$B230:$W230)+$Y$5</f>
        <v>-51.578889182477603</v>
      </c>
      <c r="F236" s="7">
        <f>SUMPRODUCT($C$6:$X$6,'batch tool'!$B230:$W230)+$Y$6</f>
        <v>-47.741473633885199</v>
      </c>
      <c r="G236" s="7">
        <f>SUMPRODUCT($C$7:$X$7,'batch tool'!$B230:$W230)+$Y$7</f>
        <v>-19.739516238059196</v>
      </c>
      <c r="H236" s="7">
        <f t="shared" si="6"/>
        <v>-19.739516238059196</v>
      </c>
      <c r="I236">
        <f t="shared" si="7"/>
        <v>6</v>
      </c>
      <c r="J236" t="str" cm="1">
        <f t="array" ref="J236">INDEX($A$2:$A$7,I236)</f>
        <v>Segment 6- Self-Conscious Male</v>
      </c>
    </row>
    <row r="237" spans="1:10" x14ac:dyDescent="0.25">
      <c r="A237" s="1">
        <f>'batch tool'!A231</f>
        <v>0</v>
      </c>
      <c r="B237" s="7">
        <f>SUMPRODUCT($C$2:$X$2,'batch tool'!$B231:$W231)+$Y$2</f>
        <v>-49.12272534143483</v>
      </c>
      <c r="C237" s="7">
        <f>SUMPRODUCT($C$3:$X$3,'batch tool'!$B231:$W231)+$Y$3</f>
        <v>-36.514029388465531</v>
      </c>
      <c r="D237" s="7">
        <f>SUMPRODUCT($C$4:$X$4,'batch tool'!$B231:$W231)+$Y$4</f>
        <v>-44.639843068043824</v>
      </c>
      <c r="E237" s="7">
        <f>SUMPRODUCT($C$5:$X$5,'batch tool'!$B231:$W231)+$Y$5</f>
        <v>-51.578889182477603</v>
      </c>
      <c r="F237" s="7">
        <f>SUMPRODUCT($C$6:$X$6,'batch tool'!$B231:$W231)+$Y$6</f>
        <v>-47.741473633885199</v>
      </c>
      <c r="G237" s="7">
        <f>SUMPRODUCT($C$7:$X$7,'batch tool'!$B231:$W231)+$Y$7</f>
        <v>-19.739516238059196</v>
      </c>
      <c r="H237" s="7">
        <f t="shared" si="6"/>
        <v>-19.739516238059196</v>
      </c>
      <c r="I237">
        <f t="shared" si="7"/>
        <v>6</v>
      </c>
      <c r="J237" t="str" cm="1">
        <f t="array" ref="J237">INDEX($A$2:$A$7,I237)</f>
        <v>Segment 6- Self-Conscious Male</v>
      </c>
    </row>
    <row r="238" spans="1:10" x14ac:dyDescent="0.25">
      <c r="A238" s="1">
        <f>'batch tool'!A232</f>
        <v>0</v>
      </c>
      <c r="B238" s="7">
        <f>SUMPRODUCT($C$2:$X$2,'batch tool'!$B232:$W232)+$Y$2</f>
        <v>-49.12272534143483</v>
      </c>
      <c r="C238" s="7">
        <f>SUMPRODUCT($C$3:$X$3,'batch tool'!$B232:$W232)+$Y$3</f>
        <v>-36.514029388465531</v>
      </c>
      <c r="D238" s="7">
        <f>SUMPRODUCT($C$4:$X$4,'batch tool'!$B232:$W232)+$Y$4</f>
        <v>-44.639843068043824</v>
      </c>
      <c r="E238" s="7">
        <f>SUMPRODUCT($C$5:$X$5,'batch tool'!$B232:$W232)+$Y$5</f>
        <v>-51.578889182477603</v>
      </c>
      <c r="F238" s="7">
        <f>SUMPRODUCT($C$6:$X$6,'batch tool'!$B232:$W232)+$Y$6</f>
        <v>-47.741473633885199</v>
      </c>
      <c r="G238" s="7">
        <f>SUMPRODUCT($C$7:$X$7,'batch tool'!$B232:$W232)+$Y$7</f>
        <v>-19.739516238059196</v>
      </c>
      <c r="H238" s="7">
        <f t="shared" si="6"/>
        <v>-19.739516238059196</v>
      </c>
      <c r="I238">
        <f t="shared" si="7"/>
        <v>6</v>
      </c>
      <c r="J238" t="str" cm="1">
        <f t="array" ref="J238">INDEX($A$2:$A$7,I238)</f>
        <v>Segment 6- Self-Conscious Male</v>
      </c>
    </row>
    <row r="239" spans="1:10" x14ac:dyDescent="0.25">
      <c r="A239" s="1">
        <f>'batch tool'!A233</f>
        <v>0</v>
      </c>
      <c r="B239" s="7">
        <f>SUMPRODUCT($C$2:$X$2,'batch tool'!$B233:$W233)+$Y$2</f>
        <v>-49.12272534143483</v>
      </c>
      <c r="C239" s="7">
        <f>SUMPRODUCT($C$3:$X$3,'batch tool'!$B233:$W233)+$Y$3</f>
        <v>-36.514029388465531</v>
      </c>
      <c r="D239" s="7">
        <f>SUMPRODUCT($C$4:$X$4,'batch tool'!$B233:$W233)+$Y$4</f>
        <v>-44.639843068043824</v>
      </c>
      <c r="E239" s="7">
        <f>SUMPRODUCT($C$5:$X$5,'batch tool'!$B233:$W233)+$Y$5</f>
        <v>-51.578889182477603</v>
      </c>
      <c r="F239" s="7">
        <f>SUMPRODUCT($C$6:$X$6,'batch tool'!$B233:$W233)+$Y$6</f>
        <v>-47.741473633885199</v>
      </c>
      <c r="G239" s="7">
        <f>SUMPRODUCT($C$7:$X$7,'batch tool'!$B233:$W233)+$Y$7</f>
        <v>-19.739516238059196</v>
      </c>
      <c r="H239" s="7">
        <f t="shared" si="6"/>
        <v>-19.739516238059196</v>
      </c>
      <c r="I239">
        <f t="shared" si="7"/>
        <v>6</v>
      </c>
      <c r="J239" t="str" cm="1">
        <f t="array" ref="J239">INDEX($A$2:$A$7,I239)</f>
        <v>Segment 6- Self-Conscious Male</v>
      </c>
    </row>
    <row r="240" spans="1:10" x14ac:dyDescent="0.25">
      <c r="A240" s="1">
        <f>'batch tool'!A234</f>
        <v>0</v>
      </c>
      <c r="B240" s="7">
        <f>SUMPRODUCT($C$2:$X$2,'batch tool'!$B234:$W234)+$Y$2</f>
        <v>-49.12272534143483</v>
      </c>
      <c r="C240" s="7">
        <f>SUMPRODUCT($C$3:$X$3,'batch tool'!$B234:$W234)+$Y$3</f>
        <v>-36.514029388465531</v>
      </c>
      <c r="D240" s="7">
        <f>SUMPRODUCT($C$4:$X$4,'batch tool'!$B234:$W234)+$Y$4</f>
        <v>-44.639843068043824</v>
      </c>
      <c r="E240" s="7">
        <f>SUMPRODUCT($C$5:$X$5,'batch tool'!$B234:$W234)+$Y$5</f>
        <v>-51.578889182477603</v>
      </c>
      <c r="F240" s="7">
        <f>SUMPRODUCT($C$6:$X$6,'batch tool'!$B234:$W234)+$Y$6</f>
        <v>-47.741473633885199</v>
      </c>
      <c r="G240" s="7">
        <f>SUMPRODUCT($C$7:$X$7,'batch tool'!$B234:$W234)+$Y$7</f>
        <v>-19.739516238059196</v>
      </c>
      <c r="H240" s="7">
        <f t="shared" si="6"/>
        <v>-19.739516238059196</v>
      </c>
      <c r="I240">
        <f t="shared" si="7"/>
        <v>6</v>
      </c>
      <c r="J240" t="str" cm="1">
        <f t="array" ref="J240">INDEX($A$2:$A$7,I240)</f>
        <v>Segment 6- Self-Conscious Male</v>
      </c>
    </row>
    <row r="241" spans="1:10" x14ac:dyDescent="0.25">
      <c r="A241" s="1">
        <f>'batch tool'!A235</f>
        <v>0</v>
      </c>
      <c r="B241" s="7">
        <f>SUMPRODUCT($C$2:$X$2,'batch tool'!$B235:$W235)+$Y$2</f>
        <v>-49.12272534143483</v>
      </c>
      <c r="C241" s="7">
        <f>SUMPRODUCT($C$3:$X$3,'batch tool'!$B235:$W235)+$Y$3</f>
        <v>-36.514029388465531</v>
      </c>
      <c r="D241" s="7">
        <f>SUMPRODUCT($C$4:$X$4,'batch tool'!$B235:$W235)+$Y$4</f>
        <v>-44.639843068043824</v>
      </c>
      <c r="E241" s="7">
        <f>SUMPRODUCT($C$5:$X$5,'batch tool'!$B235:$W235)+$Y$5</f>
        <v>-51.578889182477603</v>
      </c>
      <c r="F241" s="7">
        <f>SUMPRODUCT($C$6:$X$6,'batch tool'!$B235:$W235)+$Y$6</f>
        <v>-47.741473633885199</v>
      </c>
      <c r="G241" s="7">
        <f>SUMPRODUCT($C$7:$X$7,'batch tool'!$B235:$W235)+$Y$7</f>
        <v>-19.739516238059196</v>
      </c>
      <c r="H241" s="7">
        <f t="shared" si="6"/>
        <v>-19.739516238059196</v>
      </c>
      <c r="I241">
        <f t="shared" si="7"/>
        <v>6</v>
      </c>
      <c r="J241" t="str" cm="1">
        <f t="array" ref="J241">INDEX($A$2:$A$7,I241)</f>
        <v>Segment 6- Self-Conscious Male</v>
      </c>
    </row>
    <row r="242" spans="1:10" x14ac:dyDescent="0.25">
      <c r="A242" s="1">
        <f>'batch tool'!A236</f>
        <v>0</v>
      </c>
      <c r="B242" s="7">
        <f>SUMPRODUCT($C$2:$X$2,'batch tool'!$B236:$W236)+$Y$2</f>
        <v>-49.12272534143483</v>
      </c>
      <c r="C242" s="7">
        <f>SUMPRODUCT($C$3:$X$3,'batch tool'!$B236:$W236)+$Y$3</f>
        <v>-36.514029388465531</v>
      </c>
      <c r="D242" s="7">
        <f>SUMPRODUCT($C$4:$X$4,'batch tool'!$B236:$W236)+$Y$4</f>
        <v>-44.639843068043824</v>
      </c>
      <c r="E242" s="7">
        <f>SUMPRODUCT($C$5:$X$5,'batch tool'!$B236:$W236)+$Y$5</f>
        <v>-51.578889182477603</v>
      </c>
      <c r="F242" s="7">
        <f>SUMPRODUCT($C$6:$X$6,'batch tool'!$B236:$W236)+$Y$6</f>
        <v>-47.741473633885199</v>
      </c>
      <c r="G242" s="7">
        <f>SUMPRODUCT($C$7:$X$7,'batch tool'!$B236:$W236)+$Y$7</f>
        <v>-19.739516238059196</v>
      </c>
      <c r="H242" s="7">
        <f t="shared" si="6"/>
        <v>-19.739516238059196</v>
      </c>
      <c r="I242">
        <f t="shared" si="7"/>
        <v>6</v>
      </c>
      <c r="J242" t="str" cm="1">
        <f t="array" ref="J242">INDEX($A$2:$A$7,I242)</f>
        <v>Segment 6- Self-Conscious Male</v>
      </c>
    </row>
    <row r="243" spans="1:10" x14ac:dyDescent="0.25">
      <c r="A243" s="1">
        <f>'batch tool'!A237</f>
        <v>0</v>
      </c>
      <c r="B243" s="7">
        <f>SUMPRODUCT($C$2:$X$2,'batch tool'!$B237:$W237)+$Y$2</f>
        <v>-49.12272534143483</v>
      </c>
      <c r="C243" s="7">
        <f>SUMPRODUCT($C$3:$X$3,'batch tool'!$B237:$W237)+$Y$3</f>
        <v>-36.514029388465531</v>
      </c>
      <c r="D243" s="7">
        <f>SUMPRODUCT($C$4:$X$4,'batch tool'!$B237:$W237)+$Y$4</f>
        <v>-44.639843068043824</v>
      </c>
      <c r="E243" s="7">
        <f>SUMPRODUCT($C$5:$X$5,'batch tool'!$B237:$W237)+$Y$5</f>
        <v>-51.578889182477603</v>
      </c>
      <c r="F243" s="7">
        <f>SUMPRODUCT($C$6:$X$6,'batch tool'!$B237:$W237)+$Y$6</f>
        <v>-47.741473633885199</v>
      </c>
      <c r="G243" s="7">
        <f>SUMPRODUCT($C$7:$X$7,'batch tool'!$B237:$W237)+$Y$7</f>
        <v>-19.739516238059196</v>
      </c>
      <c r="H243" s="7">
        <f t="shared" si="6"/>
        <v>-19.739516238059196</v>
      </c>
      <c r="I243">
        <f t="shared" si="7"/>
        <v>6</v>
      </c>
      <c r="J243" t="str" cm="1">
        <f t="array" ref="J243">INDEX($A$2:$A$7,I243)</f>
        <v>Segment 6- Self-Conscious Male</v>
      </c>
    </row>
    <row r="244" spans="1:10" x14ac:dyDescent="0.25">
      <c r="A244" s="1">
        <f>'batch tool'!A238</f>
        <v>0</v>
      </c>
      <c r="B244" s="7">
        <f>SUMPRODUCT($C$2:$X$2,'batch tool'!$B238:$W238)+$Y$2</f>
        <v>-49.12272534143483</v>
      </c>
      <c r="C244" s="7">
        <f>SUMPRODUCT($C$3:$X$3,'batch tool'!$B238:$W238)+$Y$3</f>
        <v>-36.514029388465531</v>
      </c>
      <c r="D244" s="7">
        <f>SUMPRODUCT($C$4:$X$4,'batch tool'!$B238:$W238)+$Y$4</f>
        <v>-44.639843068043824</v>
      </c>
      <c r="E244" s="7">
        <f>SUMPRODUCT($C$5:$X$5,'batch tool'!$B238:$W238)+$Y$5</f>
        <v>-51.578889182477603</v>
      </c>
      <c r="F244" s="7">
        <f>SUMPRODUCT($C$6:$X$6,'batch tool'!$B238:$W238)+$Y$6</f>
        <v>-47.741473633885199</v>
      </c>
      <c r="G244" s="7">
        <f>SUMPRODUCT($C$7:$X$7,'batch tool'!$B238:$W238)+$Y$7</f>
        <v>-19.739516238059196</v>
      </c>
      <c r="H244" s="7">
        <f t="shared" si="6"/>
        <v>-19.739516238059196</v>
      </c>
      <c r="I244">
        <f t="shared" si="7"/>
        <v>6</v>
      </c>
      <c r="J244" t="str" cm="1">
        <f t="array" ref="J244">INDEX($A$2:$A$7,I244)</f>
        <v>Segment 6- Self-Conscious Male</v>
      </c>
    </row>
    <row r="245" spans="1:10" x14ac:dyDescent="0.25">
      <c r="A245" s="1">
        <f>'batch tool'!A239</f>
        <v>0</v>
      </c>
      <c r="B245" s="7">
        <f>SUMPRODUCT($C$2:$X$2,'batch tool'!$B239:$W239)+$Y$2</f>
        <v>-49.12272534143483</v>
      </c>
      <c r="C245" s="7">
        <f>SUMPRODUCT($C$3:$X$3,'batch tool'!$B239:$W239)+$Y$3</f>
        <v>-36.514029388465531</v>
      </c>
      <c r="D245" s="7">
        <f>SUMPRODUCT($C$4:$X$4,'batch tool'!$B239:$W239)+$Y$4</f>
        <v>-44.639843068043824</v>
      </c>
      <c r="E245" s="7">
        <f>SUMPRODUCT($C$5:$X$5,'batch tool'!$B239:$W239)+$Y$5</f>
        <v>-51.578889182477603</v>
      </c>
      <c r="F245" s="7">
        <f>SUMPRODUCT($C$6:$X$6,'batch tool'!$B239:$W239)+$Y$6</f>
        <v>-47.741473633885199</v>
      </c>
      <c r="G245" s="7">
        <f>SUMPRODUCT($C$7:$X$7,'batch tool'!$B239:$W239)+$Y$7</f>
        <v>-19.739516238059196</v>
      </c>
      <c r="H245" s="7">
        <f t="shared" si="6"/>
        <v>-19.739516238059196</v>
      </c>
      <c r="I245">
        <f t="shared" si="7"/>
        <v>6</v>
      </c>
      <c r="J245" t="str" cm="1">
        <f t="array" ref="J245">INDEX($A$2:$A$7,I245)</f>
        <v>Segment 6- Self-Conscious Male</v>
      </c>
    </row>
    <row r="246" spans="1:10" x14ac:dyDescent="0.25">
      <c r="A246" s="1">
        <f>'batch tool'!A240</f>
        <v>0</v>
      </c>
      <c r="B246" s="7">
        <f>SUMPRODUCT($C$2:$X$2,'batch tool'!$B240:$W240)+$Y$2</f>
        <v>-49.12272534143483</v>
      </c>
      <c r="C246" s="7">
        <f>SUMPRODUCT($C$3:$X$3,'batch tool'!$B240:$W240)+$Y$3</f>
        <v>-36.514029388465531</v>
      </c>
      <c r="D246" s="7">
        <f>SUMPRODUCT($C$4:$X$4,'batch tool'!$B240:$W240)+$Y$4</f>
        <v>-44.639843068043824</v>
      </c>
      <c r="E246" s="7">
        <f>SUMPRODUCT($C$5:$X$5,'batch tool'!$B240:$W240)+$Y$5</f>
        <v>-51.578889182477603</v>
      </c>
      <c r="F246" s="7">
        <f>SUMPRODUCT($C$6:$X$6,'batch tool'!$B240:$W240)+$Y$6</f>
        <v>-47.741473633885199</v>
      </c>
      <c r="G246" s="7">
        <f>SUMPRODUCT($C$7:$X$7,'batch tool'!$B240:$W240)+$Y$7</f>
        <v>-19.739516238059196</v>
      </c>
      <c r="H246" s="7">
        <f t="shared" si="6"/>
        <v>-19.739516238059196</v>
      </c>
      <c r="I246">
        <f t="shared" si="7"/>
        <v>6</v>
      </c>
      <c r="J246" t="str" cm="1">
        <f t="array" ref="J246">INDEX($A$2:$A$7,I246)</f>
        <v>Segment 6- Self-Conscious Male</v>
      </c>
    </row>
    <row r="247" spans="1:10" x14ac:dyDescent="0.25">
      <c r="A247" s="1">
        <f>'batch tool'!A241</f>
        <v>0</v>
      </c>
      <c r="B247" s="7">
        <f>SUMPRODUCT($C$2:$X$2,'batch tool'!$B241:$W241)+$Y$2</f>
        <v>-49.12272534143483</v>
      </c>
      <c r="C247" s="7">
        <f>SUMPRODUCT($C$3:$X$3,'batch tool'!$B241:$W241)+$Y$3</f>
        <v>-36.514029388465531</v>
      </c>
      <c r="D247" s="7">
        <f>SUMPRODUCT($C$4:$X$4,'batch tool'!$B241:$W241)+$Y$4</f>
        <v>-44.639843068043824</v>
      </c>
      <c r="E247" s="7">
        <f>SUMPRODUCT($C$5:$X$5,'batch tool'!$B241:$W241)+$Y$5</f>
        <v>-51.578889182477603</v>
      </c>
      <c r="F247" s="7">
        <f>SUMPRODUCT($C$6:$X$6,'batch tool'!$B241:$W241)+$Y$6</f>
        <v>-47.741473633885199</v>
      </c>
      <c r="G247" s="7">
        <f>SUMPRODUCT($C$7:$X$7,'batch tool'!$B241:$W241)+$Y$7</f>
        <v>-19.739516238059196</v>
      </c>
      <c r="H247" s="7">
        <f t="shared" si="6"/>
        <v>-19.739516238059196</v>
      </c>
      <c r="I247">
        <f t="shared" si="7"/>
        <v>6</v>
      </c>
      <c r="J247" t="str" cm="1">
        <f t="array" ref="J247">INDEX($A$2:$A$7,I247)</f>
        <v>Segment 6- Self-Conscious Male</v>
      </c>
    </row>
    <row r="248" spans="1:10" x14ac:dyDescent="0.25">
      <c r="A248" s="1">
        <f>'batch tool'!A242</f>
        <v>0</v>
      </c>
      <c r="B248" s="7">
        <f>SUMPRODUCT($C$2:$X$2,'batch tool'!$B242:$W242)+$Y$2</f>
        <v>-49.12272534143483</v>
      </c>
      <c r="C248" s="7">
        <f>SUMPRODUCT($C$3:$X$3,'batch tool'!$B242:$W242)+$Y$3</f>
        <v>-36.514029388465531</v>
      </c>
      <c r="D248" s="7">
        <f>SUMPRODUCT($C$4:$X$4,'batch tool'!$B242:$W242)+$Y$4</f>
        <v>-44.639843068043824</v>
      </c>
      <c r="E248" s="7">
        <f>SUMPRODUCT($C$5:$X$5,'batch tool'!$B242:$W242)+$Y$5</f>
        <v>-51.578889182477603</v>
      </c>
      <c r="F248" s="7">
        <f>SUMPRODUCT($C$6:$X$6,'batch tool'!$B242:$W242)+$Y$6</f>
        <v>-47.741473633885199</v>
      </c>
      <c r="G248" s="7">
        <f>SUMPRODUCT($C$7:$X$7,'batch tool'!$B242:$W242)+$Y$7</f>
        <v>-19.739516238059196</v>
      </c>
      <c r="H248" s="7">
        <f t="shared" si="6"/>
        <v>-19.739516238059196</v>
      </c>
      <c r="I248">
        <f t="shared" si="7"/>
        <v>6</v>
      </c>
      <c r="J248" t="str" cm="1">
        <f t="array" ref="J248">INDEX($A$2:$A$7,I248)</f>
        <v>Segment 6- Self-Conscious Male</v>
      </c>
    </row>
    <row r="249" spans="1:10" x14ac:dyDescent="0.25">
      <c r="A249" s="1">
        <f>'batch tool'!A243</f>
        <v>0</v>
      </c>
      <c r="B249" s="7">
        <f>SUMPRODUCT($C$2:$X$2,'batch tool'!$B243:$W243)+$Y$2</f>
        <v>-49.12272534143483</v>
      </c>
      <c r="C249" s="7">
        <f>SUMPRODUCT($C$3:$X$3,'batch tool'!$B243:$W243)+$Y$3</f>
        <v>-36.514029388465531</v>
      </c>
      <c r="D249" s="7">
        <f>SUMPRODUCT($C$4:$X$4,'batch tool'!$B243:$W243)+$Y$4</f>
        <v>-44.639843068043824</v>
      </c>
      <c r="E249" s="7">
        <f>SUMPRODUCT($C$5:$X$5,'batch tool'!$B243:$W243)+$Y$5</f>
        <v>-51.578889182477603</v>
      </c>
      <c r="F249" s="7">
        <f>SUMPRODUCT($C$6:$X$6,'batch tool'!$B243:$W243)+$Y$6</f>
        <v>-47.741473633885199</v>
      </c>
      <c r="G249" s="7">
        <f>SUMPRODUCT($C$7:$X$7,'batch tool'!$B243:$W243)+$Y$7</f>
        <v>-19.739516238059196</v>
      </c>
      <c r="H249" s="7">
        <f t="shared" si="6"/>
        <v>-19.739516238059196</v>
      </c>
      <c r="I249">
        <f t="shared" si="7"/>
        <v>6</v>
      </c>
      <c r="J249" t="str" cm="1">
        <f t="array" ref="J249">INDEX($A$2:$A$7,I249)</f>
        <v>Segment 6- Self-Conscious Male</v>
      </c>
    </row>
    <row r="250" spans="1:10" x14ac:dyDescent="0.25">
      <c r="A250" s="1">
        <f>'batch tool'!A244</f>
        <v>0</v>
      </c>
      <c r="B250" s="7">
        <f>SUMPRODUCT($C$2:$X$2,'batch tool'!$B244:$W244)+$Y$2</f>
        <v>-49.12272534143483</v>
      </c>
      <c r="C250" s="7">
        <f>SUMPRODUCT($C$3:$X$3,'batch tool'!$B244:$W244)+$Y$3</f>
        <v>-36.514029388465531</v>
      </c>
      <c r="D250" s="7">
        <f>SUMPRODUCT($C$4:$X$4,'batch tool'!$B244:$W244)+$Y$4</f>
        <v>-44.639843068043824</v>
      </c>
      <c r="E250" s="7">
        <f>SUMPRODUCT($C$5:$X$5,'batch tool'!$B244:$W244)+$Y$5</f>
        <v>-51.578889182477603</v>
      </c>
      <c r="F250" s="7">
        <f>SUMPRODUCT($C$6:$X$6,'batch tool'!$B244:$W244)+$Y$6</f>
        <v>-47.741473633885199</v>
      </c>
      <c r="G250" s="7">
        <f>SUMPRODUCT($C$7:$X$7,'batch tool'!$B244:$W244)+$Y$7</f>
        <v>-19.739516238059196</v>
      </c>
      <c r="H250" s="7">
        <f t="shared" si="6"/>
        <v>-19.739516238059196</v>
      </c>
      <c r="I250">
        <f t="shared" si="7"/>
        <v>6</v>
      </c>
      <c r="J250" t="str" cm="1">
        <f t="array" ref="J250">INDEX($A$2:$A$7,I250)</f>
        <v>Segment 6- Self-Conscious Male</v>
      </c>
    </row>
    <row r="251" spans="1:10" x14ac:dyDescent="0.25">
      <c r="A251" s="1">
        <f>'batch tool'!A245</f>
        <v>0</v>
      </c>
      <c r="B251" s="7">
        <f>SUMPRODUCT($C$2:$X$2,'batch tool'!$B245:$W245)+$Y$2</f>
        <v>-49.12272534143483</v>
      </c>
      <c r="C251" s="7">
        <f>SUMPRODUCT($C$3:$X$3,'batch tool'!$B245:$W245)+$Y$3</f>
        <v>-36.514029388465531</v>
      </c>
      <c r="D251" s="7">
        <f>SUMPRODUCT($C$4:$X$4,'batch tool'!$B245:$W245)+$Y$4</f>
        <v>-44.639843068043824</v>
      </c>
      <c r="E251" s="7">
        <f>SUMPRODUCT($C$5:$X$5,'batch tool'!$B245:$W245)+$Y$5</f>
        <v>-51.578889182477603</v>
      </c>
      <c r="F251" s="7">
        <f>SUMPRODUCT($C$6:$X$6,'batch tool'!$B245:$W245)+$Y$6</f>
        <v>-47.741473633885199</v>
      </c>
      <c r="G251" s="7">
        <f>SUMPRODUCT($C$7:$X$7,'batch tool'!$B245:$W245)+$Y$7</f>
        <v>-19.739516238059196</v>
      </c>
      <c r="H251" s="7">
        <f t="shared" si="6"/>
        <v>-19.739516238059196</v>
      </c>
      <c r="I251">
        <f t="shared" si="7"/>
        <v>6</v>
      </c>
      <c r="J251" t="str" cm="1">
        <f t="array" ref="J251">INDEX($A$2:$A$7,I251)</f>
        <v>Segment 6- Self-Conscious Male</v>
      </c>
    </row>
    <row r="252" spans="1:10" x14ac:dyDescent="0.25">
      <c r="A252" s="1">
        <f>'batch tool'!A246</f>
        <v>0</v>
      </c>
      <c r="B252" s="7">
        <f>SUMPRODUCT($C$2:$X$2,'batch tool'!$B246:$W246)+$Y$2</f>
        <v>-49.12272534143483</v>
      </c>
      <c r="C252" s="7">
        <f>SUMPRODUCT($C$3:$X$3,'batch tool'!$B246:$W246)+$Y$3</f>
        <v>-36.514029388465531</v>
      </c>
      <c r="D252" s="7">
        <f>SUMPRODUCT($C$4:$X$4,'batch tool'!$B246:$W246)+$Y$4</f>
        <v>-44.639843068043824</v>
      </c>
      <c r="E252" s="7">
        <f>SUMPRODUCT($C$5:$X$5,'batch tool'!$B246:$W246)+$Y$5</f>
        <v>-51.578889182477603</v>
      </c>
      <c r="F252" s="7">
        <f>SUMPRODUCT($C$6:$X$6,'batch tool'!$B246:$W246)+$Y$6</f>
        <v>-47.741473633885199</v>
      </c>
      <c r="G252" s="7">
        <f>SUMPRODUCT($C$7:$X$7,'batch tool'!$B246:$W246)+$Y$7</f>
        <v>-19.739516238059196</v>
      </c>
      <c r="H252" s="7">
        <f t="shared" si="6"/>
        <v>-19.739516238059196</v>
      </c>
      <c r="I252">
        <f t="shared" si="7"/>
        <v>6</v>
      </c>
      <c r="J252" t="str" cm="1">
        <f t="array" ref="J252">INDEX($A$2:$A$7,I252)</f>
        <v>Segment 6- Self-Conscious Male</v>
      </c>
    </row>
    <row r="253" spans="1:10" x14ac:dyDescent="0.25">
      <c r="A253" s="1">
        <f>'batch tool'!A247</f>
        <v>0</v>
      </c>
      <c r="B253" s="7">
        <f>SUMPRODUCT($C$2:$X$2,'batch tool'!$B247:$W247)+$Y$2</f>
        <v>-49.12272534143483</v>
      </c>
      <c r="C253" s="7">
        <f>SUMPRODUCT($C$3:$X$3,'batch tool'!$B247:$W247)+$Y$3</f>
        <v>-36.514029388465531</v>
      </c>
      <c r="D253" s="7">
        <f>SUMPRODUCT($C$4:$X$4,'batch tool'!$B247:$W247)+$Y$4</f>
        <v>-44.639843068043824</v>
      </c>
      <c r="E253" s="7">
        <f>SUMPRODUCT($C$5:$X$5,'batch tool'!$B247:$W247)+$Y$5</f>
        <v>-51.578889182477603</v>
      </c>
      <c r="F253" s="7">
        <f>SUMPRODUCT($C$6:$X$6,'batch tool'!$B247:$W247)+$Y$6</f>
        <v>-47.741473633885199</v>
      </c>
      <c r="G253" s="7">
        <f>SUMPRODUCT($C$7:$X$7,'batch tool'!$B247:$W247)+$Y$7</f>
        <v>-19.739516238059196</v>
      </c>
      <c r="H253" s="7">
        <f t="shared" si="6"/>
        <v>-19.739516238059196</v>
      </c>
      <c r="I253">
        <f t="shared" si="7"/>
        <v>6</v>
      </c>
      <c r="J253" t="str" cm="1">
        <f t="array" ref="J253">INDEX($A$2:$A$7,I253)</f>
        <v>Segment 6- Self-Conscious Male</v>
      </c>
    </row>
    <row r="254" spans="1:10" x14ac:dyDescent="0.25">
      <c r="A254" s="1">
        <f>'batch tool'!A248</f>
        <v>0</v>
      </c>
      <c r="B254" s="7">
        <f>SUMPRODUCT($C$2:$X$2,'batch tool'!$B248:$W248)+$Y$2</f>
        <v>-49.12272534143483</v>
      </c>
      <c r="C254" s="7">
        <f>SUMPRODUCT($C$3:$X$3,'batch tool'!$B248:$W248)+$Y$3</f>
        <v>-36.514029388465531</v>
      </c>
      <c r="D254" s="7">
        <f>SUMPRODUCT($C$4:$X$4,'batch tool'!$B248:$W248)+$Y$4</f>
        <v>-44.639843068043824</v>
      </c>
      <c r="E254" s="7">
        <f>SUMPRODUCT($C$5:$X$5,'batch tool'!$B248:$W248)+$Y$5</f>
        <v>-51.578889182477603</v>
      </c>
      <c r="F254" s="7">
        <f>SUMPRODUCT($C$6:$X$6,'batch tool'!$B248:$W248)+$Y$6</f>
        <v>-47.741473633885199</v>
      </c>
      <c r="G254" s="7">
        <f>SUMPRODUCT($C$7:$X$7,'batch tool'!$B248:$W248)+$Y$7</f>
        <v>-19.739516238059196</v>
      </c>
      <c r="H254" s="7">
        <f t="shared" si="6"/>
        <v>-19.739516238059196</v>
      </c>
      <c r="I254">
        <f t="shared" si="7"/>
        <v>6</v>
      </c>
      <c r="J254" t="str" cm="1">
        <f t="array" ref="J254">INDEX($A$2:$A$7,I254)</f>
        <v>Segment 6- Self-Conscious Male</v>
      </c>
    </row>
    <row r="255" spans="1:10" x14ac:dyDescent="0.25">
      <c r="A255" s="1">
        <f>'batch tool'!A249</f>
        <v>0</v>
      </c>
      <c r="B255" s="7">
        <f>SUMPRODUCT($C$2:$X$2,'batch tool'!$B249:$W249)+$Y$2</f>
        <v>-49.12272534143483</v>
      </c>
      <c r="C255" s="7">
        <f>SUMPRODUCT($C$3:$X$3,'batch tool'!$B249:$W249)+$Y$3</f>
        <v>-36.514029388465531</v>
      </c>
      <c r="D255" s="7">
        <f>SUMPRODUCT($C$4:$X$4,'batch tool'!$B249:$W249)+$Y$4</f>
        <v>-44.639843068043824</v>
      </c>
      <c r="E255" s="7">
        <f>SUMPRODUCT($C$5:$X$5,'batch tool'!$B249:$W249)+$Y$5</f>
        <v>-51.578889182477603</v>
      </c>
      <c r="F255" s="7">
        <f>SUMPRODUCT($C$6:$X$6,'batch tool'!$B249:$W249)+$Y$6</f>
        <v>-47.741473633885199</v>
      </c>
      <c r="G255" s="7">
        <f>SUMPRODUCT($C$7:$X$7,'batch tool'!$B249:$W249)+$Y$7</f>
        <v>-19.739516238059196</v>
      </c>
      <c r="H255" s="7">
        <f t="shared" si="6"/>
        <v>-19.739516238059196</v>
      </c>
      <c r="I255">
        <f t="shared" si="7"/>
        <v>6</v>
      </c>
      <c r="J255" t="str" cm="1">
        <f t="array" ref="J255">INDEX($A$2:$A$7,I255)</f>
        <v>Segment 6- Self-Conscious Male</v>
      </c>
    </row>
    <row r="256" spans="1:10" x14ac:dyDescent="0.25">
      <c r="A256" s="1">
        <f>'batch tool'!A250</f>
        <v>0</v>
      </c>
      <c r="B256" s="7">
        <f>SUMPRODUCT($C$2:$X$2,'batch tool'!$B250:$W250)+$Y$2</f>
        <v>-49.12272534143483</v>
      </c>
      <c r="C256" s="7">
        <f>SUMPRODUCT($C$3:$X$3,'batch tool'!$B250:$W250)+$Y$3</f>
        <v>-36.514029388465531</v>
      </c>
      <c r="D256" s="7">
        <f>SUMPRODUCT($C$4:$X$4,'batch tool'!$B250:$W250)+$Y$4</f>
        <v>-44.639843068043824</v>
      </c>
      <c r="E256" s="7">
        <f>SUMPRODUCT($C$5:$X$5,'batch tool'!$B250:$W250)+$Y$5</f>
        <v>-51.578889182477603</v>
      </c>
      <c r="F256" s="7">
        <f>SUMPRODUCT($C$6:$X$6,'batch tool'!$B250:$W250)+$Y$6</f>
        <v>-47.741473633885199</v>
      </c>
      <c r="G256" s="7">
        <f>SUMPRODUCT($C$7:$X$7,'batch tool'!$B250:$W250)+$Y$7</f>
        <v>-19.739516238059196</v>
      </c>
      <c r="H256" s="7">
        <f t="shared" si="6"/>
        <v>-19.739516238059196</v>
      </c>
      <c r="I256">
        <f t="shared" si="7"/>
        <v>6</v>
      </c>
      <c r="J256" t="str" cm="1">
        <f t="array" ref="J256">INDEX($A$2:$A$7,I256)</f>
        <v>Segment 6- Self-Conscious Male</v>
      </c>
    </row>
    <row r="257" spans="1:10" x14ac:dyDescent="0.25">
      <c r="A257" s="1">
        <f>'batch tool'!A251</f>
        <v>0</v>
      </c>
      <c r="B257" s="7">
        <f>SUMPRODUCT($C$2:$X$2,'batch tool'!$B251:$W251)+$Y$2</f>
        <v>-49.12272534143483</v>
      </c>
      <c r="C257" s="7">
        <f>SUMPRODUCT($C$3:$X$3,'batch tool'!$B251:$W251)+$Y$3</f>
        <v>-36.514029388465531</v>
      </c>
      <c r="D257" s="7">
        <f>SUMPRODUCT($C$4:$X$4,'batch tool'!$B251:$W251)+$Y$4</f>
        <v>-44.639843068043824</v>
      </c>
      <c r="E257" s="7">
        <f>SUMPRODUCT($C$5:$X$5,'batch tool'!$B251:$W251)+$Y$5</f>
        <v>-51.578889182477603</v>
      </c>
      <c r="F257" s="7">
        <f>SUMPRODUCT($C$6:$X$6,'batch tool'!$B251:$W251)+$Y$6</f>
        <v>-47.741473633885199</v>
      </c>
      <c r="G257" s="7">
        <f>SUMPRODUCT($C$7:$X$7,'batch tool'!$B251:$W251)+$Y$7</f>
        <v>-19.739516238059196</v>
      </c>
      <c r="H257" s="7">
        <f t="shared" si="6"/>
        <v>-19.739516238059196</v>
      </c>
      <c r="I257">
        <f t="shared" si="7"/>
        <v>6</v>
      </c>
      <c r="J257" t="str" cm="1">
        <f t="array" ref="J257">INDEX($A$2:$A$7,I257)</f>
        <v>Segment 6- Self-Conscious Male</v>
      </c>
    </row>
    <row r="258" spans="1:10" x14ac:dyDescent="0.25">
      <c r="A258" s="1">
        <f>'batch tool'!A252</f>
        <v>0</v>
      </c>
      <c r="B258" s="7">
        <f>SUMPRODUCT($C$2:$X$2,'batch tool'!$B252:$W252)+$Y$2</f>
        <v>-49.12272534143483</v>
      </c>
      <c r="C258" s="7">
        <f>SUMPRODUCT($C$3:$X$3,'batch tool'!$B252:$W252)+$Y$3</f>
        <v>-36.514029388465531</v>
      </c>
      <c r="D258" s="7">
        <f>SUMPRODUCT($C$4:$X$4,'batch tool'!$B252:$W252)+$Y$4</f>
        <v>-44.639843068043824</v>
      </c>
      <c r="E258" s="7">
        <f>SUMPRODUCT($C$5:$X$5,'batch tool'!$B252:$W252)+$Y$5</f>
        <v>-51.578889182477603</v>
      </c>
      <c r="F258" s="7">
        <f>SUMPRODUCT($C$6:$X$6,'batch tool'!$B252:$W252)+$Y$6</f>
        <v>-47.741473633885199</v>
      </c>
      <c r="G258" s="7">
        <f>SUMPRODUCT($C$7:$X$7,'batch tool'!$B252:$W252)+$Y$7</f>
        <v>-19.739516238059196</v>
      </c>
      <c r="H258" s="7">
        <f t="shared" si="6"/>
        <v>-19.739516238059196</v>
      </c>
      <c r="I258">
        <f t="shared" si="7"/>
        <v>6</v>
      </c>
      <c r="J258" t="str" cm="1">
        <f t="array" ref="J258">INDEX($A$2:$A$7,I258)</f>
        <v>Segment 6- Self-Conscious Male</v>
      </c>
    </row>
    <row r="259" spans="1:10" x14ac:dyDescent="0.25">
      <c r="A259" s="1">
        <f>'batch tool'!A253</f>
        <v>0</v>
      </c>
      <c r="B259" s="7">
        <f>SUMPRODUCT($C$2:$X$2,'batch tool'!$B253:$W253)+$Y$2</f>
        <v>-49.12272534143483</v>
      </c>
      <c r="C259" s="7">
        <f>SUMPRODUCT($C$3:$X$3,'batch tool'!$B253:$W253)+$Y$3</f>
        <v>-36.514029388465531</v>
      </c>
      <c r="D259" s="7">
        <f>SUMPRODUCT($C$4:$X$4,'batch tool'!$B253:$W253)+$Y$4</f>
        <v>-44.639843068043824</v>
      </c>
      <c r="E259" s="7">
        <f>SUMPRODUCT($C$5:$X$5,'batch tool'!$B253:$W253)+$Y$5</f>
        <v>-51.578889182477603</v>
      </c>
      <c r="F259" s="7">
        <f>SUMPRODUCT($C$6:$X$6,'batch tool'!$B253:$W253)+$Y$6</f>
        <v>-47.741473633885199</v>
      </c>
      <c r="G259" s="7">
        <f>SUMPRODUCT($C$7:$X$7,'batch tool'!$B253:$W253)+$Y$7</f>
        <v>-19.739516238059196</v>
      </c>
      <c r="H259" s="7">
        <f t="shared" si="6"/>
        <v>-19.739516238059196</v>
      </c>
      <c r="I259">
        <f t="shared" si="7"/>
        <v>6</v>
      </c>
      <c r="J259" t="str" cm="1">
        <f t="array" ref="J259">INDEX($A$2:$A$7,I259)</f>
        <v>Segment 6- Self-Conscious Male</v>
      </c>
    </row>
    <row r="260" spans="1:10" x14ac:dyDescent="0.25">
      <c r="A260" s="1">
        <f>'batch tool'!A254</f>
        <v>0</v>
      </c>
      <c r="B260" s="7">
        <f>SUMPRODUCT($C$2:$X$2,'batch tool'!$B254:$W254)+$Y$2</f>
        <v>-49.12272534143483</v>
      </c>
      <c r="C260" s="7">
        <f>SUMPRODUCT($C$3:$X$3,'batch tool'!$B254:$W254)+$Y$3</f>
        <v>-36.514029388465531</v>
      </c>
      <c r="D260" s="7">
        <f>SUMPRODUCT($C$4:$X$4,'batch tool'!$B254:$W254)+$Y$4</f>
        <v>-44.639843068043824</v>
      </c>
      <c r="E260" s="7">
        <f>SUMPRODUCT($C$5:$X$5,'batch tool'!$B254:$W254)+$Y$5</f>
        <v>-51.578889182477603</v>
      </c>
      <c r="F260" s="7">
        <f>SUMPRODUCT($C$6:$X$6,'batch tool'!$B254:$W254)+$Y$6</f>
        <v>-47.741473633885199</v>
      </c>
      <c r="G260" s="7">
        <f>SUMPRODUCT($C$7:$X$7,'batch tool'!$B254:$W254)+$Y$7</f>
        <v>-19.739516238059196</v>
      </c>
      <c r="H260" s="7">
        <f t="shared" si="6"/>
        <v>-19.739516238059196</v>
      </c>
      <c r="I260">
        <f t="shared" si="7"/>
        <v>6</v>
      </c>
      <c r="J260" t="str" cm="1">
        <f t="array" ref="J260">INDEX($A$2:$A$7,I260)</f>
        <v>Segment 6- Self-Conscious Male</v>
      </c>
    </row>
    <row r="261" spans="1:10" x14ac:dyDescent="0.25">
      <c r="A261" s="1">
        <f>'batch tool'!A255</f>
        <v>0</v>
      </c>
      <c r="B261" s="7">
        <f>SUMPRODUCT($C$2:$X$2,'batch tool'!$B255:$W255)+$Y$2</f>
        <v>-49.12272534143483</v>
      </c>
      <c r="C261" s="7">
        <f>SUMPRODUCT($C$3:$X$3,'batch tool'!$B255:$W255)+$Y$3</f>
        <v>-36.514029388465531</v>
      </c>
      <c r="D261" s="7">
        <f>SUMPRODUCT($C$4:$X$4,'batch tool'!$B255:$W255)+$Y$4</f>
        <v>-44.639843068043824</v>
      </c>
      <c r="E261" s="7">
        <f>SUMPRODUCT($C$5:$X$5,'batch tool'!$B255:$W255)+$Y$5</f>
        <v>-51.578889182477603</v>
      </c>
      <c r="F261" s="7">
        <f>SUMPRODUCT($C$6:$X$6,'batch tool'!$B255:$W255)+$Y$6</f>
        <v>-47.741473633885199</v>
      </c>
      <c r="G261" s="7">
        <f>SUMPRODUCT($C$7:$X$7,'batch tool'!$B255:$W255)+$Y$7</f>
        <v>-19.739516238059196</v>
      </c>
      <c r="H261" s="7">
        <f t="shared" si="6"/>
        <v>-19.739516238059196</v>
      </c>
      <c r="I261">
        <f t="shared" si="7"/>
        <v>6</v>
      </c>
      <c r="J261" t="str" cm="1">
        <f t="array" ref="J261">INDEX($A$2:$A$7,I261)</f>
        <v>Segment 6- Self-Conscious Male</v>
      </c>
    </row>
    <row r="262" spans="1:10" x14ac:dyDescent="0.25">
      <c r="A262" s="1">
        <f>'batch tool'!A256</f>
        <v>0</v>
      </c>
      <c r="B262" s="7">
        <f>SUMPRODUCT($C$2:$X$2,'batch tool'!$B256:$W256)+$Y$2</f>
        <v>-49.12272534143483</v>
      </c>
      <c r="C262" s="7">
        <f>SUMPRODUCT($C$3:$X$3,'batch tool'!$B256:$W256)+$Y$3</f>
        <v>-36.514029388465531</v>
      </c>
      <c r="D262" s="7">
        <f>SUMPRODUCT($C$4:$X$4,'batch tool'!$B256:$W256)+$Y$4</f>
        <v>-44.639843068043824</v>
      </c>
      <c r="E262" s="7">
        <f>SUMPRODUCT($C$5:$X$5,'batch tool'!$B256:$W256)+$Y$5</f>
        <v>-51.578889182477603</v>
      </c>
      <c r="F262" s="7">
        <f>SUMPRODUCT($C$6:$X$6,'batch tool'!$B256:$W256)+$Y$6</f>
        <v>-47.741473633885199</v>
      </c>
      <c r="G262" s="7">
        <f>SUMPRODUCT($C$7:$X$7,'batch tool'!$B256:$W256)+$Y$7</f>
        <v>-19.739516238059196</v>
      </c>
      <c r="H262" s="7">
        <f t="shared" si="6"/>
        <v>-19.739516238059196</v>
      </c>
      <c r="I262">
        <f t="shared" si="7"/>
        <v>6</v>
      </c>
      <c r="J262" t="str" cm="1">
        <f t="array" ref="J262">INDEX($A$2:$A$7,I262)</f>
        <v>Segment 6- Self-Conscious Male</v>
      </c>
    </row>
    <row r="263" spans="1:10" x14ac:dyDescent="0.25">
      <c r="A263" s="1">
        <f>'batch tool'!A257</f>
        <v>0</v>
      </c>
      <c r="B263" s="7">
        <f>SUMPRODUCT($C$2:$X$2,'batch tool'!$B257:$W257)+$Y$2</f>
        <v>-49.12272534143483</v>
      </c>
      <c r="C263" s="7">
        <f>SUMPRODUCT($C$3:$X$3,'batch tool'!$B257:$W257)+$Y$3</f>
        <v>-36.514029388465531</v>
      </c>
      <c r="D263" s="7">
        <f>SUMPRODUCT($C$4:$X$4,'batch tool'!$B257:$W257)+$Y$4</f>
        <v>-44.639843068043824</v>
      </c>
      <c r="E263" s="7">
        <f>SUMPRODUCT($C$5:$X$5,'batch tool'!$B257:$W257)+$Y$5</f>
        <v>-51.578889182477603</v>
      </c>
      <c r="F263" s="7">
        <f>SUMPRODUCT($C$6:$X$6,'batch tool'!$B257:$W257)+$Y$6</f>
        <v>-47.741473633885199</v>
      </c>
      <c r="G263" s="7">
        <f>SUMPRODUCT($C$7:$X$7,'batch tool'!$B257:$W257)+$Y$7</f>
        <v>-19.739516238059196</v>
      </c>
      <c r="H263" s="7">
        <f t="shared" si="6"/>
        <v>-19.739516238059196</v>
      </c>
      <c r="I263">
        <f t="shared" si="7"/>
        <v>6</v>
      </c>
      <c r="J263" t="str" cm="1">
        <f t="array" ref="J263">INDEX($A$2:$A$7,I263)</f>
        <v>Segment 6- Self-Conscious Male</v>
      </c>
    </row>
    <row r="264" spans="1:10" x14ac:dyDescent="0.25">
      <c r="A264" s="1">
        <f>'batch tool'!A258</f>
        <v>0</v>
      </c>
      <c r="B264" s="7">
        <f>SUMPRODUCT($C$2:$X$2,'batch tool'!$B258:$W258)+$Y$2</f>
        <v>-49.12272534143483</v>
      </c>
      <c r="C264" s="7">
        <f>SUMPRODUCT($C$3:$X$3,'batch tool'!$B258:$W258)+$Y$3</f>
        <v>-36.514029388465531</v>
      </c>
      <c r="D264" s="7">
        <f>SUMPRODUCT($C$4:$X$4,'batch tool'!$B258:$W258)+$Y$4</f>
        <v>-44.639843068043824</v>
      </c>
      <c r="E264" s="7">
        <f>SUMPRODUCT($C$5:$X$5,'batch tool'!$B258:$W258)+$Y$5</f>
        <v>-51.578889182477603</v>
      </c>
      <c r="F264" s="7">
        <f>SUMPRODUCT($C$6:$X$6,'batch tool'!$B258:$W258)+$Y$6</f>
        <v>-47.741473633885199</v>
      </c>
      <c r="G264" s="7">
        <f>SUMPRODUCT($C$7:$X$7,'batch tool'!$B258:$W258)+$Y$7</f>
        <v>-19.739516238059196</v>
      </c>
      <c r="H264" s="7">
        <f t="shared" si="6"/>
        <v>-19.739516238059196</v>
      </c>
      <c r="I264">
        <f t="shared" si="7"/>
        <v>6</v>
      </c>
      <c r="J264" t="str" cm="1">
        <f t="array" ref="J264">INDEX($A$2:$A$7,I264)</f>
        <v>Segment 6- Self-Conscious Male</v>
      </c>
    </row>
    <row r="265" spans="1:10" x14ac:dyDescent="0.25">
      <c r="A265" s="1">
        <f>'batch tool'!A259</f>
        <v>0</v>
      </c>
      <c r="B265" s="7">
        <f>SUMPRODUCT($C$2:$X$2,'batch tool'!$B259:$W259)+$Y$2</f>
        <v>-49.12272534143483</v>
      </c>
      <c r="C265" s="7">
        <f>SUMPRODUCT($C$3:$X$3,'batch tool'!$B259:$W259)+$Y$3</f>
        <v>-36.514029388465531</v>
      </c>
      <c r="D265" s="7">
        <f>SUMPRODUCT($C$4:$X$4,'batch tool'!$B259:$W259)+$Y$4</f>
        <v>-44.639843068043824</v>
      </c>
      <c r="E265" s="7">
        <f>SUMPRODUCT($C$5:$X$5,'batch tool'!$B259:$W259)+$Y$5</f>
        <v>-51.578889182477603</v>
      </c>
      <c r="F265" s="7">
        <f>SUMPRODUCT($C$6:$X$6,'batch tool'!$B259:$W259)+$Y$6</f>
        <v>-47.741473633885199</v>
      </c>
      <c r="G265" s="7">
        <f>SUMPRODUCT($C$7:$X$7,'batch tool'!$B259:$W259)+$Y$7</f>
        <v>-19.739516238059196</v>
      </c>
      <c r="H265" s="7">
        <f t="shared" si="6"/>
        <v>-19.739516238059196</v>
      </c>
      <c r="I265">
        <f t="shared" si="7"/>
        <v>6</v>
      </c>
      <c r="J265" t="str" cm="1">
        <f t="array" ref="J265">INDEX($A$2:$A$7,I265)</f>
        <v>Segment 6- Self-Conscious Male</v>
      </c>
    </row>
    <row r="266" spans="1:10" x14ac:dyDescent="0.25">
      <c r="A266" s="1">
        <f>'batch tool'!A260</f>
        <v>0</v>
      </c>
      <c r="B266" s="7">
        <f>SUMPRODUCT($C$2:$X$2,'batch tool'!$B260:$W260)+$Y$2</f>
        <v>-49.12272534143483</v>
      </c>
      <c r="C266" s="7">
        <f>SUMPRODUCT($C$3:$X$3,'batch tool'!$B260:$W260)+$Y$3</f>
        <v>-36.514029388465531</v>
      </c>
      <c r="D266" s="7">
        <f>SUMPRODUCT($C$4:$X$4,'batch tool'!$B260:$W260)+$Y$4</f>
        <v>-44.639843068043824</v>
      </c>
      <c r="E266" s="7">
        <f>SUMPRODUCT($C$5:$X$5,'batch tool'!$B260:$W260)+$Y$5</f>
        <v>-51.578889182477603</v>
      </c>
      <c r="F266" s="7">
        <f>SUMPRODUCT($C$6:$X$6,'batch tool'!$B260:$W260)+$Y$6</f>
        <v>-47.741473633885199</v>
      </c>
      <c r="G266" s="7">
        <f>SUMPRODUCT($C$7:$X$7,'batch tool'!$B260:$W260)+$Y$7</f>
        <v>-19.739516238059196</v>
      </c>
      <c r="H266" s="7">
        <f t="shared" si="6"/>
        <v>-19.739516238059196</v>
      </c>
      <c r="I266">
        <f t="shared" si="7"/>
        <v>6</v>
      </c>
      <c r="J266" t="str" cm="1">
        <f t="array" ref="J266">INDEX($A$2:$A$7,I266)</f>
        <v>Segment 6- Self-Conscious Male</v>
      </c>
    </row>
    <row r="267" spans="1:10" x14ac:dyDescent="0.25">
      <c r="A267" s="1">
        <f>'batch tool'!A261</f>
        <v>0</v>
      </c>
      <c r="B267" s="7">
        <f>SUMPRODUCT($C$2:$X$2,'batch tool'!$B261:$W261)+$Y$2</f>
        <v>-49.12272534143483</v>
      </c>
      <c r="C267" s="7">
        <f>SUMPRODUCT($C$3:$X$3,'batch tool'!$B261:$W261)+$Y$3</f>
        <v>-36.514029388465531</v>
      </c>
      <c r="D267" s="7">
        <f>SUMPRODUCT($C$4:$X$4,'batch tool'!$B261:$W261)+$Y$4</f>
        <v>-44.639843068043824</v>
      </c>
      <c r="E267" s="7">
        <f>SUMPRODUCT($C$5:$X$5,'batch tool'!$B261:$W261)+$Y$5</f>
        <v>-51.578889182477603</v>
      </c>
      <c r="F267" s="7">
        <f>SUMPRODUCT($C$6:$X$6,'batch tool'!$B261:$W261)+$Y$6</f>
        <v>-47.741473633885199</v>
      </c>
      <c r="G267" s="7">
        <f>SUMPRODUCT($C$7:$X$7,'batch tool'!$B261:$W261)+$Y$7</f>
        <v>-19.739516238059196</v>
      </c>
      <c r="H267" s="7">
        <f t="shared" ref="H267:H330" si="8">MAX(B267:G267)</f>
        <v>-19.739516238059196</v>
      </c>
      <c r="I267">
        <f t="shared" ref="I267:I330" si="9">MATCH(H267,B267:G267,0)</f>
        <v>6</v>
      </c>
      <c r="J267" t="str" cm="1">
        <f t="array" ref="J267">INDEX($A$2:$A$7,I267)</f>
        <v>Segment 6- Self-Conscious Male</v>
      </c>
    </row>
    <row r="268" spans="1:10" x14ac:dyDescent="0.25">
      <c r="A268" s="1">
        <f>'batch tool'!A262</f>
        <v>0</v>
      </c>
      <c r="B268" s="7">
        <f>SUMPRODUCT($C$2:$X$2,'batch tool'!$B262:$W262)+$Y$2</f>
        <v>-49.12272534143483</v>
      </c>
      <c r="C268" s="7">
        <f>SUMPRODUCT($C$3:$X$3,'batch tool'!$B262:$W262)+$Y$3</f>
        <v>-36.514029388465531</v>
      </c>
      <c r="D268" s="7">
        <f>SUMPRODUCT($C$4:$X$4,'batch tool'!$B262:$W262)+$Y$4</f>
        <v>-44.639843068043824</v>
      </c>
      <c r="E268" s="7">
        <f>SUMPRODUCT($C$5:$X$5,'batch tool'!$B262:$W262)+$Y$5</f>
        <v>-51.578889182477603</v>
      </c>
      <c r="F268" s="7">
        <f>SUMPRODUCT($C$6:$X$6,'batch tool'!$B262:$W262)+$Y$6</f>
        <v>-47.741473633885199</v>
      </c>
      <c r="G268" s="7">
        <f>SUMPRODUCT($C$7:$X$7,'batch tool'!$B262:$W262)+$Y$7</f>
        <v>-19.739516238059196</v>
      </c>
      <c r="H268" s="7">
        <f t="shared" si="8"/>
        <v>-19.739516238059196</v>
      </c>
      <c r="I268">
        <f t="shared" si="9"/>
        <v>6</v>
      </c>
      <c r="J268" t="str" cm="1">
        <f t="array" ref="J268">INDEX($A$2:$A$7,I268)</f>
        <v>Segment 6- Self-Conscious Male</v>
      </c>
    </row>
    <row r="269" spans="1:10" x14ac:dyDescent="0.25">
      <c r="A269" s="1">
        <f>'batch tool'!A263</f>
        <v>0</v>
      </c>
      <c r="B269" s="7">
        <f>SUMPRODUCT($C$2:$X$2,'batch tool'!$B263:$W263)+$Y$2</f>
        <v>-49.12272534143483</v>
      </c>
      <c r="C269" s="7">
        <f>SUMPRODUCT($C$3:$X$3,'batch tool'!$B263:$W263)+$Y$3</f>
        <v>-36.514029388465531</v>
      </c>
      <c r="D269" s="7">
        <f>SUMPRODUCT($C$4:$X$4,'batch tool'!$B263:$W263)+$Y$4</f>
        <v>-44.639843068043824</v>
      </c>
      <c r="E269" s="7">
        <f>SUMPRODUCT($C$5:$X$5,'batch tool'!$B263:$W263)+$Y$5</f>
        <v>-51.578889182477603</v>
      </c>
      <c r="F269" s="7">
        <f>SUMPRODUCT($C$6:$X$6,'batch tool'!$B263:$W263)+$Y$6</f>
        <v>-47.741473633885199</v>
      </c>
      <c r="G269" s="7">
        <f>SUMPRODUCT($C$7:$X$7,'batch tool'!$B263:$W263)+$Y$7</f>
        <v>-19.739516238059196</v>
      </c>
      <c r="H269" s="7">
        <f t="shared" si="8"/>
        <v>-19.739516238059196</v>
      </c>
      <c r="I269">
        <f t="shared" si="9"/>
        <v>6</v>
      </c>
      <c r="J269" t="str" cm="1">
        <f t="array" ref="J269">INDEX($A$2:$A$7,I269)</f>
        <v>Segment 6- Self-Conscious Male</v>
      </c>
    </row>
    <row r="270" spans="1:10" x14ac:dyDescent="0.25">
      <c r="A270" s="1">
        <f>'batch tool'!A264</f>
        <v>0</v>
      </c>
      <c r="B270" s="7">
        <f>SUMPRODUCT($C$2:$X$2,'batch tool'!$B264:$W264)+$Y$2</f>
        <v>-49.12272534143483</v>
      </c>
      <c r="C270" s="7">
        <f>SUMPRODUCT($C$3:$X$3,'batch tool'!$B264:$W264)+$Y$3</f>
        <v>-36.514029388465531</v>
      </c>
      <c r="D270" s="7">
        <f>SUMPRODUCT($C$4:$X$4,'batch tool'!$B264:$W264)+$Y$4</f>
        <v>-44.639843068043824</v>
      </c>
      <c r="E270" s="7">
        <f>SUMPRODUCT($C$5:$X$5,'batch tool'!$B264:$W264)+$Y$5</f>
        <v>-51.578889182477603</v>
      </c>
      <c r="F270" s="7">
        <f>SUMPRODUCT($C$6:$X$6,'batch tool'!$B264:$W264)+$Y$6</f>
        <v>-47.741473633885199</v>
      </c>
      <c r="G270" s="7">
        <f>SUMPRODUCT($C$7:$X$7,'batch tool'!$B264:$W264)+$Y$7</f>
        <v>-19.739516238059196</v>
      </c>
      <c r="H270" s="7">
        <f t="shared" si="8"/>
        <v>-19.739516238059196</v>
      </c>
      <c r="I270">
        <f t="shared" si="9"/>
        <v>6</v>
      </c>
      <c r="J270" t="str" cm="1">
        <f t="array" ref="J270">INDEX($A$2:$A$7,I270)</f>
        <v>Segment 6- Self-Conscious Male</v>
      </c>
    </row>
    <row r="271" spans="1:10" x14ac:dyDescent="0.25">
      <c r="A271" s="1">
        <f>'batch tool'!A265</f>
        <v>0</v>
      </c>
      <c r="B271" s="7">
        <f>SUMPRODUCT($C$2:$X$2,'batch tool'!$B265:$W265)+$Y$2</f>
        <v>-49.12272534143483</v>
      </c>
      <c r="C271" s="7">
        <f>SUMPRODUCT($C$3:$X$3,'batch tool'!$B265:$W265)+$Y$3</f>
        <v>-36.514029388465531</v>
      </c>
      <c r="D271" s="7">
        <f>SUMPRODUCT($C$4:$X$4,'batch tool'!$B265:$W265)+$Y$4</f>
        <v>-44.639843068043824</v>
      </c>
      <c r="E271" s="7">
        <f>SUMPRODUCT($C$5:$X$5,'batch tool'!$B265:$W265)+$Y$5</f>
        <v>-51.578889182477603</v>
      </c>
      <c r="F271" s="7">
        <f>SUMPRODUCT($C$6:$X$6,'batch tool'!$B265:$W265)+$Y$6</f>
        <v>-47.741473633885199</v>
      </c>
      <c r="G271" s="7">
        <f>SUMPRODUCT($C$7:$X$7,'batch tool'!$B265:$W265)+$Y$7</f>
        <v>-19.739516238059196</v>
      </c>
      <c r="H271" s="7">
        <f t="shared" si="8"/>
        <v>-19.739516238059196</v>
      </c>
      <c r="I271">
        <f t="shared" si="9"/>
        <v>6</v>
      </c>
      <c r="J271" t="str" cm="1">
        <f t="array" ref="J271">INDEX($A$2:$A$7,I271)</f>
        <v>Segment 6- Self-Conscious Male</v>
      </c>
    </row>
    <row r="272" spans="1:10" x14ac:dyDescent="0.25">
      <c r="A272" s="1">
        <f>'batch tool'!A266</f>
        <v>0</v>
      </c>
      <c r="B272" s="7">
        <f>SUMPRODUCT($C$2:$X$2,'batch tool'!$B266:$W266)+$Y$2</f>
        <v>-49.12272534143483</v>
      </c>
      <c r="C272" s="7">
        <f>SUMPRODUCT($C$3:$X$3,'batch tool'!$B266:$W266)+$Y$3</f>
        <v>-36.514029388465531</v>
      </c>
      <c r="D272" s="7">
        <f>SUMPRODUCT($C$4:$X$4,'batch tool'!$B266:$W266)+$Y$4</f>
        <v>-44.639843068043824</v>
      </c>
      <c r="E272" s="7">
        <f>SUMPRODUCT($C$5:$X$5,'batch tool'!$B266:$W266)+$Y$5</f>
        <v>-51.578889182477603</v>
      </c>
      <c r="F272" s="7">
        <f>SUMPRODUCT($C$6:$X$6,'batch tool'!$B266:$W266)+$Y$6</f>
        <v>-47.741473633885199</v>
      </c>
      <c r="G272" s="7">
        <f>SUMPRODUCT($C$7:$X$7,'batch tool'!$B266:$W266)+$Y$7</f>
        <v>-19.739516238059196</v>
      </c>
      <c r="H272" s="7">
        <f t="shared" si="8"/>
        <v>-19.739516238059196</v>
      </c>
      <c r="I272">
        <f t="shared" si="9"/>
        <v>6</v>
      </c>
      <c r="J272" t="str" cm="1">
        <f t="array" ref="J272">INDEX($A$2:$A$7,I272)</f>
        <v>Segment 6- Self-Conscious Male</v>
      </c>
    </row>
    <row r="273" spans="1:10" x14ac:dyDescent="0.25">
      <c r="A273" s="1">
        <f>'batch tool'!A267</f>
        <v>0</v>
      </c>
      <c r="B273" s="7">
        <f>SUMPRODUCT($C$2:$X$2,'batch tool'!$B267:$W267)+$Y$2</f>
        <v>-49.12272534143483</v>
      </c>
      <c r="C273" s="7">
        <f>SUMPRODUCT($C$3:$X$3,'batch tool'!$B267:$W267)+$Y$3</f>
        <v>-36.514029388465531</v>
      </c>
      <c r="D273" s="7">
        <f>SUMPRODUCT($C$4:$X$4,'batch tool'!$B267:$W267)+$Y$4</f>
        <v>-44.639843068043824</v>
      </c>
      <c r="E273" s="7">
        <f>SUMPRODUCT($C$5:$X$5,'batch tool'!$B267:$W267)+$Y$5</f>
        <v>-51.578889182477603</v>
      </c>
      <c r="F273" s="7">
        <f>SUMPRODUCT($C$6:$X$6,'batch tool'!$B267:$W267)+$Y$6</f>
        <v>-47.741473633885199</v>
      </c>
      <c r="G273" s="7">
        <f>SUMPRODUCT($C$7:$X$7,'batch tool'!$B267:$W267)+$Y$7</f>
        <v>-19.739516238059196</v>
      </c>
      <c r="H273" s="7">
        <f t="shared" si="8"/>
        <v>-19.739516238059196</v>
      </c>
      <c r="I273">
        <f t="shared" si="9"/>
        <v>6</v>
      </c>
      <c r="J273" t="str" cm="1">
        <f t="array" ref="J273">INDEX($A$2:$A$7,I273)</f>
        <v>Segment 6- Self-Conscious Male</v>
      </c>
    </row>
    <row r="274" spans="1:10" x14ac:dyDescent="0.25">
      <c r="A274" s="1">
        <f>'batch tool'!A268</f>
        <v>0</v>
      </c>
      <c r="B274" s="7">
        <f>SUMPRODUCT($C$2:$X$2,'batch tool'!$B268:$W268)+$Y$2</f>
        <v>-49.12272534143483</v>
      </c>
      <c r="C274" s="7">
        <f>SUMPRODUCT($C$3:$X$3,'batch tool'!$B268:$W268)+$Y$3</f>
        <v>-36.514029388465531</v>
      </c>
      <c r="D274" s="7">
        <f>SUMPRODUCT($C$4:$X$4,'batch tool'!$B268:$W268)+$Y$4</f>
        <v>-44.639843068043824</v>
      </c>
      <c r="E274" s="7">
        <f>SUMPRODUCT($C$5:$X$5,'batch tool'!$B268:$W268)+$Y$5</f>
        <v>-51.578889182477603</v>
      </c>
      <c r="F274" s="7">
        <f>SUMPRODUCT($C$6:$X$6,'batch tool'!$B268:$W268)+$Y$6</f>
        <v>-47.741473633885199</v>
      </c>
      <c r="G274" s="7">
        <f>SUMPRODUCT($C$7:$X$7,'batch tool'!$B268:$W268)+$Y$7</f>
        <v>-19.739516238059196</v>
      </c>
      <c r="H274" s="7">
        <f t="shared" si="8"/>
        <v>-19.739516238059196</v>
      </c>
      <c r="I274">
        <f t="shared" si="9"/>
        <v>6</v>
      </c>
      <c r="J274" t="str" cm="1">
        <f t="array" ref="J274">INDEX($A$2:$A$7,I274)</f>
        <v>Segment 6- Self-Conscious Male</v>
      </c>
    </row>
    <row r="275" spans="1:10" x14ac:dyDescent="0.25">
      <c r="A275" s="1">
        <f>'batch tool'!A269</f>
        <v>0</v>
      </c>
      <c r="B275" s="7">
        <f>SUMPRODUCT($C$2:$X$2,'batch tool'!$B269:$W269)+$Y$2</f>
        <v>-49.12272534143483</v>
      </c>
      <c r="C275" s="7">
        <f>SUMPRODUCT($C$3:$X$3,'batch tool'!$B269:$W269)+$Y$3</f>
        <v>-36.514029388465531</v>
      </c>
      <c r="D275" s="7">
        <f>SUMPRODUCT($C$4:$X$4,'batch tool'!$B269:$W269)+$Y$4</f>
        <v>-44.639843068043824</v>
      </c>
      <c r="E275" s="7">
        <f>SUMPRODUCT($C$5:$X$5,'batch tool'!$B269:$W269)+$Y$5</f>
        <v>-51.578889182477603</v>
      </c>
      <c r="F275" s="7">
        <f>SUMPRODUCT($C$6:$X$6,'batch tool'!$B269:$W269)+$Y$6</f>
        <v>-47.741473633885199</v>
      </c>
      <c r="G275" s="7">
        <f>SUMPRODUCT($C$7:$X$7,'batch tool'!$B269:$W269)+$Y$7</f>
        <v>-19.739516238059196</v>
      </c>
      <c r="H275" s="7">
        <f t="shared" si="8"/>
        <v>-19.739516238059196</v>
      </c>
      <c r="I275">
        <f t="shared" si="9"/>
        <v>6</v>
      </c>
      <c r="J275" t="str" cm="1">
        <f t="array" ref="J275">INDEX($A$2:$A$7,I275)</f>
        <v>Segment 6- Self-Conscious Male</v>
      </c>
    </row>
    <row r="276" spans="1:10" x14ac:dyDescent="0.25">
      <c r="A276" s="1">
        <f>'batch tool'!A270</f>
        <v>0</v>
      </c>
      <c r="B276" s="7">
        <f>SUMPRODUCT($C$2:$X$2,'batch tool'!$B270:$W270)+$Y$2</f>
        <v>-49.12272534143483</v>
      </c>
      <c r="C276" s="7">
        <f>SUMPRODUCT($C$3:$X$3,'batch tool'!$B270:$W270)+$Y$3</f>
        <v>-36.514029388465531</v>
      </c>
      <c r="D276" s="7">
        <f>SUMPRODUCT($C$4:$X$4,'batch tool'!$B270:$W270)+$Y$4</f>
        <v>-44.639843068043824</v>
      </c>
      <c r="E276" s="7">
        <f>SUMPRODUCT($C$5:$X$5,'batch tool'!$B270:$W270)+$Y$5</f>
        <v>-51.578889182477603</v>
      </c>
      <c r="F276" s="7">
        <f>SUMPRODUCT($C$6:$X$6,'batch tool'!$B270:$W270)+$Y$6</f>
        <v>-47.741473633885199</v>
      </c>
      <c r="G276" s="7">
        <f>SUMPRODUCT($C$7:$X$7,'batch tool'!$B270:$W270)+$Y$7</f>
        <v>-19.739516238059196</v>
      </c>
      <c r="H276" s="7">
        <f t="shared" si="8"/>
        <v>-19.739516238059196</v>
      </c>
      <c r="I276">
        <f t="shared" si="9"/>
        <v>6</v>
      </c>
      <c r="J276" t="str" cm="1">
        <f t="array" ref="J276">INDEX($A$2:$A$7,I276)</f>
        <v>Segment 6- Self-Conscious Male</v>
      </c>
    </row>
    <row r="277" spans="1:10" x14ac:dyDescent="0.25">
      <c r="A277" s="1">
        <f>'batch tool'!A271</f>
        <v>0</v>
      </c>
      <c r="B277" s="7">
        <f>SUMPRODUCT($C$2:$X$2,'batch tool'!$B271:$W271)+$Y$2</f>
        <v>-49.12272534143483</v>
      </c>
      <c r="C277" s="7">
        <f>SUMPRODUCT($C$3:$X$3,'batch tool'!$B271:$W271)+$Y$3</f>
        <v>-36.514029388465531</v>
      </c>
      <c r="D277" s="7">
        <f>SUMPRODUCT($C$4:$X$4,'batch tool'!$B271:$W271)+$Y$4</f>
        <v>-44.639843068043824</v>
      </c>
      <c r="E277" s="7">
        <f>SUMPRODUCT($C$5:$X$5,'batch tool'!$B271:$W271)+$Y$5</f>
        <v>-51.578889182477603</v>
      </c>
      <c r="F277" s="7">
        <f>SUMPRODUCT($C$6:$X$6,'batch tool'!$B271:$W271)+$Y$6</f>
        <v>-47.741473633885199</v>
      </c>
      <c r="G277" s="7">
        <f>SUMPRODUCT($C$7:$X$7,'batch tool'!$B271:$W271)+$Y$7</f>
        <v>-19.739516238059196</v>
      </c>
      <c r="H277" s="7">
        <f t="shared" si="8"/>
        <v>-19.739516238059196</v>
      </c>
      <c r="I277">
        <f t="shared" si="9"/>
        <v>6</v>
      </c>
      <c r="J277" t="str" cm="1">
        <f t="array" ref="J277">INDEX($A$2:$A$7,I277)</f>
        <v>Segment 6- Self-Conscious Male</v>
      </c>
    </row>
    <row r="278" spans="1:10" x14ac:dyDescent="0.25">
      <c r="A278" s="1">
        <f>'batch tool'!A272</f>
        <v>0</v>
      </c>
      <c r="B278" s="7">
        <f>SUMPRODUCT($C$2:$X$2,'batch tool'!$B272:$W272)+$Y$2</f>
        <v>-49.12272534143483</v>
      </c>
      <c r="C278" s="7">
        <f>SUMPRODUCT($C$3:$X$3,'batch tool'!$B272:$W272)+$Y$3</f>
        <v>-36.514029388465531</v>
      </c>
      <c r="D278" s="7">
        <f>SUMPRODUCT($C$4:$X$4,'batch tool'!$B272:$W272)+$Y$4</f>
        <v>-44.639843068043824</v>
      </c>
      <c r="E278" s="7">
        <f>SUMPRODUCT($C$5:$X$5,'batch tool'!$B272:$W272)+$Y$5</f>
        <v>-51.578889182477603</v>
      </c>
      <c r="F278" s="7">
        <f>SUMPRODUCT($C$6:$X$6,'batch tool'!$B272:$W272)+$Y$6</f>
        <v>-47.741473633885199</v>
      </c>
      <c r="G278" s="7">
        <f>SUMPRODUCT($C$7:$X$7,'batch tool'!$B272:$W272)+$Y$7</f>
        <v>-19.739516238059196</v>
      </c>
      <c r="H278" s="7">
        <f t="shared" si="8"/>
        <v>-19.739516238059196</v>
      </c>
      <c r="I278">
        <f t="shared" si="9"/>
        <v>6</v>
      </c>
      <c r="J278" t="str" cm="1">
        <f t="array" ref="J278">INDEX($A$2:$A$7,I278)</f>
        <v>Segment 6- Self-Conscious Male</v>
      </c>
    </row>
    <row r="279" spans="1:10" x14ac:dyDescent="0.25">
      <c r="A279" s="1">
        <f>'batch tool'!A273</f>
        <v>0</v>
      </c>
      <c r="B279" s="7">
        <f>SUMPRODUCT($C$2:$X$2,'batch tool'!$B273:$W273)+$Y$2</f>
        <v>-49.12272534143483</v>
      </c>
      <c r="C279" s="7">
        <f>SUMPRODUCT($C$3:$X$3,'batch tool'!$B273:$W273)+$Y$3</f>
        <v>-36.514029388465531</v>
      </c>
      <c r="D279" s="7">
        <f>SUMPRODUCT($C$4:$X$4,'batch tool'!$B273:$W273)+$Y$4</f>
        <v>-44.639843068043824</v>
      </c>
      <c r="E279" s="7">
        <f>SUMPRODUCT($C$5:$X$5,'batch tool'!$B273:$W273)+$Y$5</f>
        <v>-51.578889182477603</v>
      </c>
      <c r="F279" s="7">
        <f>SUMPRODUCT($C$6:$X$6,'batch tool'!$B273:$W273)+$Y$6</f>
        <v>-47.741473633885199</v>
      </c>
      <c r="G279" s="7">
        <f>SUMPRODUCT($C$7:$X$7,'batch tool'!$B273:$W273)+$Y$7</f>
        <v>-19.739516238059196</v>
      </c>
      <c r="H279" s="7">
        <f t="shared" si="8"/>
        <v>-19.739516238059196</v>
      </c>
      <c r="I279">
        <f t="shared" si="9"/>
        <v>6</v>
      </c>
      <c r="J279" t="str" cm="1">
        <f t="array" ref="J279">INDEX($A$2:$A$7,I279)</f>
        <v>Segment 6- Self-Conscious Male</v>
      </c>
    </row>
    <row r="280" spans="1:10" x14ac:dyDescent="0.25">
      <c r="A280" s="1">
        <f>'batch tool'!A274</f>
        <v>0</v>
      </c>
      <c r="B280" s="7">
        <f>SUMPRODUCT($C$2:$X$2,'batch tool'!$B274:$W274)+$Y$2</f>
        <v>-49.12272534143483</v>
      </c>
      <c r="C280" s="7">
        <f>SUMPRODUCT($C$3:$X$3,'batch tool'!$B274:$W274)+$Y$3</f>
        <v>-36.514029388465531</v>
      </c>
      <c r="D280" s="7">
        <f>SUMPRODUCT($C$4:$X$4,'batch tool'!$B274:$W274)+$Y$4</f>
        <v>-44.639843068043824</v>
      </c>
      <c r="E280" s="7">
        <f>SUMPRODUCT($C$5:$X$5,'batch tool'!$B274:$W274)+$Y$5</f>
        <v>-51.578889182477603</v>
      </c>
      <c r="F280" s="7">
        <f>SUMPRODUCT($C$6:$X$6,'batch tool'!$B274:$W274)+$Y$6</f>
        <v>-47.741473633885199</v>
      </c>
      <c r="G280" s="7">
        <f>SUMPRODUCT($C$7:$X$7,'batch tool'!$B274:$W274)+$Y$7</f>
        <v>-19.739516238059196</v>
      </c>
      <c r="H280" s="7">
        <f t="shared" si="8"/>
        <v>-19.739516238059196</v>
      </c>
      <c r="I280">
        <f t="shared" si="9"/>
        <v>6</v>
      </c>
      <c r="J280" t="str" cm="1">
        <f t="array" ref="J280">INDEX($A$2:$A$7,I280)</f>
        <v>Segment 6- Self-Conscious Male</v>
      </c>
    </row>
    <row r="281" spans="1:10" x14ac:dyDescent="0.25">
      <c r="A281" s="1">
        <f>'batch tool'!A275</f>
        <v>0</v>
      </c>
      <c r="B281" s="7">
        <f>SUMPRODUCT($C$2:$X$2,'batch tool'!$B275:$W275)+$Y$2</f>
        <v>-49.12272534143483</v>
      </c>
      <c r="C281" s="7">
        <f>SUMPRODUCT($C$3:$X$3,'batch tool'!$B275:$W275)+$Y$3</f>
        <v>-36.514029388465531</v>
      </c>
      <c r="D281" s="7">
        <f>SUMPRODUCT($C$4:$X$4,'batch tool'!$B275:$W275)+$Y$4</f>
        <v>-44.639843068043824</v>
      </c>
      <c r="E281" s="7">
        <f>SUMPRODUCT($C$5:$X$5,'batch tool'!$B275:$W275)+$Y$5</f>
        <v>-51.578889182477603</v>
      </c>
      <c r="F281" s="7">
        <f>SUMPRODUCT($C$6:$X$6,'batch tool'!$B275:$W275)+$Y$6</f>
        <v>-47.741473633885199</v>
      </c>
      <c r="G281" s="7">
        <f>SUMPRODUCT($C$7:$X$7,'batch tool'!$B275:$W275)+$Y$7</f>
        <v>-19.739516238059196</v>
      </c>
      <c r="H281" s="7">
        <f t="shared" si="8"/>
        <v>-19.739516238059196</v>
      </c>
      <c r="I281">
        <f t="shared" si="9"/>
        <v>6</v>
      </c>
      <c r="J281" t="str" cm="1">
        <f t="array" ref="J281">INDEX($A$2:$A$7,I281)</f>
        <v>Segment 6- Self-Conscious Male</v>
      </c>
    </row>
    <row r="282" spans="1:10" x14ac:dyDescent="0.25">
      <c r="A282" s="1">
        <f>'batch tool'!A276</f>
        <v>0</v>
      </c>
      <c r="B282" s="7">
        <f>SUMPRODUCT($C$2:$X$2,'batch tool'!$B276:$W276)+$Y$2</f>
        <v>-49.12272534143483</v>
      </c>
      <c r="C282" s="7">
        <f>SUMPRODUCT($C$3:$X$3,'batch tool'!$B276:$W276)+$Y$3</f>
        <v>-36.514029388465531</v>
      </c>
      <c r="D282" s="7">
        <f>SUMPRODUCT($C$4:$X$4,'batch tool'!$B276:$W276)+$Y$4</f>
        <v>-44.639843068043824</v>
      </c>
      <c r="E282" s="7">
        <f>SUMPRODUCT($C$5:$X$5,'batch tool'!$B276:$W276)+$Y$5</f>
        <v>-51.578889182477603</v>
      </c>
      <c r="F282" s="7">
        <f>SUMPRODUCT($C$6:$X$6,'batch tool'!$B276:$W276)+$Y$6</f>
        <v>-47.741473633885199</v>
      </c>
      <c r="G282" s="7">
        <f>SUMPRODUCT($C$7:$X$7,'batch tool'!$B276:$W276)+$Y$7</f>
        <v>-19.739516238059196</v>
      </c>
      <c r="H282" s="7">
        <f t="shared" si="8"/>
        <v>-19.739516238059196</v>
      </c>
      <c r="I282">
        <f t="shared" si="9"/>
        <v>6</v>
      </c>
      <c r="J282" t="str" cm="1">
        <f t="array" ref="J282">INDEX($A$2:$A$7,I282)</f>
        <v>Segment 6- Self-Conscious Male</v>
      </c>
    </row>
    <row r="283" spans="1:10" x14ac:dyDescent="0.25">
      <c r="A283" s="1">
        <f>'batch tool'!A277</f>
        <v>0</v>
      </c>
      <c r="B283" s="7">
        <f>SUMPRODUCT($C$2:$X$2,'batch tool'!$B277:$W277)+$Y$2</f>
        <v>-49.12272534143483</v>
      </c>
      <c r="C283" s="7">
        <f>SUMPRODUCT($C$3:$X$3,'batch tool'!$B277:$W277)+$Y$3</f>
        <v>-36.514029388465531</v>
      </c>
      <c r="D283" s="7">
        <f>SUMPRODUCT($C$4:$X$4,'batch tool'!$B277:$W277)+$Y$4</f>
        <v>-44.639843068043824</v>
      </c>
      <c r="E283" s="7">
        <f>SUMPRODUCT($C$5:$X$5,'batch tool'!$B277:$W277)+$Y$5</f>
        <v>-51.578889182477603</v>
      </c>
      <c r="F283" s="7">
        <f>SUMPRODUCT($C$6:$X$6,'batch tool'!$B277:$W277)+$Y$6</f>
        <v>-47.741473633885199</v>
      </c>
      <c r="G283" s="7">
        <f>SUMPRODUCT($C$7:$X$7,'batch tool'!$B277:$W277)+$Y$7</f>
        <v>-19.739516238059196</v>
      </c>
      <c r="H283" s="7">
        <f t="shared" si="8"/>
        <v>-19.739516238059196</v>
      </c>
      <c r="I283">
        <f t="shared" si="9"/>
        <v>6</v>
      </c>
      <c r="J283" t="str" cm="1">
        <f t="array" ref="J283">INDEX($A$2:$A$7,I283)</f>
        <v>Segment 6- Self-Conscious Male</v>
      </c>
    </row>
    <row r="284" spans="1:10" x14ac:dyDescent="0.25">
      <c r="A284" s="1">
        <f>'batch tool'!A278</f>
        <v>0</v>
      </c>
      <c r="B284" s="7">
        <f>SUMPRODUCT($C$2:$X$2,'batch tool'!$B278:$W278)+$Y$2</f>
        <v>-49.12272534143483</v>
      </c>
      <c r="C284" s="7">
        <f>SUMPRODUCT($C$3:$X$3,'batch tool'!$B278:$W278)+$Y$3</f>
        <v>-36.514029388465531</v>
      </c>
      <c r="D284" s="7">
        <f>SUMPRODUCT($C$4:$X$4,'batch tool'!$B278:$W278)+$Y$4</f>
        <v>-44.639843068043824</v>
      </c>
      <c r="E284" s="7">
        <f>SUMPRODUCT($C$5:$X$5,'batch tool'!$B278:$W278)+$Y$5</f>
        <v>-51.578889182477603</v>
      </c>
      <c r="F284" s="7">
        <f>SUMPRODUCT($C$6:$X$6,'batch tool'!$B278:$W278)+$Y$6</f>
        <v>-47.741473633885199</v>
      </c>
      <c r="G284" s="7">
        <f>SUMPRODUCT($C$7:$X$7,'batch tool'!$B278:$W278)+$Y$7</f>
        <v>-19.739516238059196</v>
      </c>
      <c r="H284" s="7">
        <f t="shared" si="8"/>
        <v>-19.739516238059196</v>
      </c>
      <c r="I284">
        <f t="shared" si="9"/>
        <v>6</v>
      </c>
      <c r="J284" t="str" cm="1">
        <f t="array" ref="J284">INDEX($A$2:$A$7,I284)</f>
        <v>Segment 6- Self-Conscious Male</v>
      </c>
    </row>
    <row r="285" spans="1:10" x14ac:dyDescent="0.25">
      <c r="A285" s="1">
        <f>'batch tool'!A279</f>
        <v>0</v>
      </c>
      <c r="B285" s="7">
        <f>SUMPRODUCT($C$2:$X$2,'batch tool'!$B279:$W279)+$Y$2</f>
        <v>-49.12272534143483</v>
      </c>
      <c r="C285" s="7">
        <f>SUMPRODUCT($C$3:$X$3,'batch tool'!$B279:$W279)+$Y$3</f>
        <v>-36.514029388465531</v>
      </c>
      <c r="D285" s="7">
        <f>SUMPRODUCT($C$4:$X$4,'batch tool'!$B279:$W279)+$Y$4</f>
        <v>-44.639843068043824</v>
      </c>
      <c r="E285" s="7">
        <f>SUMPRODUCT($C$5:$X$5,'batch tool'!$B279:$W279)+$Y$5</f>
        <v>-51.578889182477603</v>
      </c>
      <c r="F285" s="7">
        <f>SUMPRODUCT($C$6:$X$6,'batch tool'!$B279:$W279)+$Y$6</f>
        <v>-47.741473633885199</v>
      </c>
      <c r="G285" s="7">
        <f>SUMPRODUCT($C$7:$X$7,'batch tool'!$B279:$W279)+$Y$7</f>
        <v>-19.739516238059196</v>
      </c>
      <c r="H285" s="7">
        <f t="shared" si="8"/>
        <v>-19.739516238059196</v>
      </c>
      <c r="I285">
        <f t="shared" si="9"/>
        <v>6</v>
      </c>
      <c r="J285" t="str" cm="1">
        <f t="array" ref="J285">INDEX($A$2:$A$7,I285)</f>
        <v>Segment 6- Self-Conscious Male</v>
      </c>
    </row>
    <row r="286" spans="1:10" x14ac:dyDescent="0.25">
      <c r="A286" s="1">
        <f>'batch tool'!A280</f>
        <v>0</v>
      </c>
      <c r="B286" s="7">
        <f>SUMPRODUCT($C$2:$X$2,'batch tool'!$B280:$W280)+$Y$2</f>
        <v>-49.12272534143483</v>
      </c>
      <c r="C286" s="7">
        <f>SUMPRODUCT($C$3:$X$3,'batch tool'!$B280:$W280)+$Y$3</f>
        <v>-36.514029388465531</v>
      </c>
      <c r="D286" s="7">
        <f>SUMPRODUCT($C$4:$X$4,'batch tool'!$B280:$W280)+$Y$4</f>
        <v>-44.639843068043824</v>
      </c>
      <c r="E286" s="7">
        <f>SUMPRODUCT($C$5:$X$5,'batch tool'!$B280:$W280)+$Y$5</f>
        <v>-51.578889182477603</v>
      </c>
      <c r="F286" s="7">
        <f>SUMPRODUCT($C$6:$X$6,'batch tool'!$B280:$W280)+$Y$6</f>
        <v>-47.741473633885199</v>
      </c>
      <c r="G286" s="7">
        <f>SUMPRODUCT($C$7:$X$7,'batch tool'!$B280:$W280)+$Y$7</f>
        <v>-19.739516238059196</v>
      </c>
      <c r="H286" s="7">
        <f t="shared" si="8"/>
        <v>-19.739516238059196</v>
      </c>
      <c r="I286">
        <f t="shared" si="9"/>
        <v>6</v>
      </c>
      <c r="J286" t="str" cm="1">
        <f t="array" ref="J286">INDEX($A$2:$A$7,I286)</f>
        <v>Segment 6- Self-Conscious Male</v>
      </c>
    </row>
    <row r="287" spans="1:10" x14ac:dyDescent="0.25">
      <c r="A287" s="1">
        <f>'batch tool'!A281</f>
        <v>0</v>
      </c>
      <c r="B287" s="7">
        <f>SUMPRODUCT($C$2:$X$2,'batch tool'!$B281:$W281)+$Y$2</f>
        <v>-49.12272534143483</v>
      </c>
      <c r="C287" s="7">
        <f>SUMPRODUCT($C$3:$X$3,'batch tool'!$B281:$W281)+$Y$3</f>
        <v>-36.514029388465531</v>
      </c>
      <c r="D287" s="7">
        <f>SUMPRODUCT($C$4:$X$4,'batch tool'!$B281:$W281)+$Y$4</f>
        <v>-44.639843068043824</v>
      </c>
      <c r="E287" s="7">
        <f>SUMPRODUCT($C$5:$X$5,'batch tool'!$B281:$W281)+$Y$5</f>
        <v>-51.578889182477603</v>
      </c>
      <c r="F287" s="7">
        <f>SUMPRODUCT($C$6:$X$6,'batch tool'!$B281:$W281)+$Y$6</f>
        <v>-47.741473633885199</v>
      </c>
      <c r="G287" s="7">
        <f>SUMPRODUCT($C$7:$X$7,'batch tool'!$B281:$W281)+$Y$7</f>
        <v>-19.739516238059196</v>
      </c>
      <c r="H287" s="7">
        <f t="shared" si="8"/>
        <v>-19.739516238059196</v>
      </c>
      <c r="I287">
        <f t="shared" si="9"/>
        <v>6</v>
      </c>
      <c r="J287" t="str" cm="1">
        <f t="array" ref="J287">INDEX($A$2:$A$7,I287)</f>
        <v>Segment 6- Self-Conscious Male</v>
      </c>
    </row>
    <row r="288" spans="1:10" x14ac:dyDescent="0.25">
      <c r="A288" s="1">
        <f>'batch tool'!A282</f>
        <v>0</v>
      </c>
      <c r="B288" s="7">
        <f>SUMPRODUCT($C$2:$X$2,'batch tool'!$B282:$W282)+$Y$2</f>
        <v>-49.12272534143483</v>
      </c>
      <c r="C288" s="7">
        <f>SUMPRODUCT($C$3:$X$3,'batch tool'!$B282:$W282)+$Y$3</f>
        <v>-36.514029388465531</v>
      </c>
      <c r="D288" s="7">
        <f>SUMPRODUCT($C$4:$X$4,'batch tool'!$B282:$W282)+$Y$4</f>
        <v>-44.639843068043824</v>
      </c>
      <c r="E288" s="7">
        <f>SUMPRODUCT($C$5:$X$5,'batch tool'!$B282:$W282)+$Y$5</f>
        <v>-51.578889182477603</v>
      </c>
      <c r="F288" s="7">
        <f>SUMPRODUCT($C$6:$X$6,'batch tool'!$B282:$W282)+$Y$6</f>
        <v>-47.741473633885199</v>
      </c>
      <c r="G288" s="7">
        <f>SUMPRODUCT($C$7:$X$7,'batch tool'!$B282:$W282)+$Y$7</f>
        <v>-19.739516238059196</v>
      </c>
      <c r="H288" s="7">
        <f t="shared" si="8"/>
        <v>-19.739516238059196</v>
      </c>
      <c r="I288">
        <f t="shared" si="9"/>
        <v>6</v>
      </c>
      <c r="J288" t="str" cm="1">
        <f t="array" ref="J288">INDEX($A$2:$A$7,I288)</f>
        <v>Segment 6- Self-Conscious Male</v>
      </c>
    </row>
    <row r="289" spans="1:10" x14ac:dyDescent="0.25">
      <c r="A289" s="1">
        <f>'batch tool'!A283</f>
        <v>0</v>
      </c>
      <c r="B289" s="7">
        <f>SUMPRODUCT($C$2:$X$2,'batch tool'!$B283:$W283)+$Y$2</f>
        <v>-49.12272534143483</v>
      </c>
      <c r="C289" s="7">
        <f>SUMPRODUCT($C$3:$X$3,'batch tool'!$B283:$W283)+$Y$3</f>
        <v>-36.514029388465531</v>
      </c>
      <c r="D289" s="7">
        <f>SUMPRODUCT($C$4:$X$4,'batch tool'!$B283:$W283)+$Y$4</f>
        <v>-44.639843068043824</v>
      </c>
      <c r="E289" s="7">
        <f>SUMPRODUCT($C$5:$X$5,'batch tool'!$B283:$W283)+$Y$5</f>
        <v>-51.578889182477603</v>
      </c>
      <c r="F289" s="7">
        <f>SUMPRODUCT($C$6:$X$6,'batch tool'!$B283:$W283)+$Y$6</f>
        <v>-47.741473633885199</v>
      </c>
      <c r="G289" s="7">
        <f>SUMPRODUCT($C$7:$X$7,'batch tool'!$B283:$W283)+$Y$7</f>
        <v>-19.739516238059196</v>
      </c>
      <c r="H289" s="7">
        <f t="shared" si="8"/>
        <v>-19.739516238059196</v>
      </c>
      <c r="I289">
        <f t="shared" si="9"/>
        <v>6</v>
      </c>
      <c r="J289" t="str" cm="1">
        <f t="array" ref="J289">INDEX($A$2:$A$7,I289)</f>
        <v>Segment 6- Self-Conscious Male</v>
      </c>
    </row>
    <row r="290" spans="1:10" x14ac:dyDescent="0.25">
      <c r="A290" s="1">
        <f>'batch tool'!A284</f>
        <v>0</v>
      </c>
      <c r="B290" s="7">
        <f>SUMPRODUCT($C$2:$X$2,'batch tool'!$B284:$W284)+$Y$2</f>
        <v>-49.12272534143483</v>
      </c>
      <c r="C290" s="7">
        <f>SUMPRODUCT($C$3:$X$3,'batch tool'!$B284:$W284)+$Y$3</f>
        <v>-36.514029388465531</v>
      </c>
      <c r="D290" s="7">
        <f>SUMPRODUCT($C$4:$X$4,'batch tool'!$B284:$W284)+$Y$4</f>
        <v>-44.639843068043824</v>
      </c>
      <c r="E290" s="7">
        <f>SUMPRODUCT($C$5:$X$5,'batch tool'!$B284:$W284)+$Y$5</f>
        <v>-51.578889182477603</v>
      </c>
      <c r="F290" s="7">
        <f>SUMPRODUCT($C$6:$X$6,'batch tool'!$B284:$W284)+$Y$6</f>
        <v>-47.741473633885199</v>
      </c>
      <c r="G290" s="7">
        <f>SUMPRODUCT($C$7:$X$7,'batch tool'!$B284:$W284)+$Y$7</f>
        <v>-19.739516238059196</v>
      </c>
      <c r="H290" s="7">
        <f t="shared" si="8"/>
        <v>-19.739516238059196</v>
      </c>
      <c r="I290">
        <f t="shared" si="9"/>
        <v>6</v>
      </c>
      <c r="J290" t="str" cm="1">
        <f t="array" ref="J290">INDEX($A$2:$A$7,I290)</f>
        <v>Segment 6- Self-Conscious Male</v>
      </c>
    </row>
    <row r="291" spans="1:10" x14ac:dyDescent="0.25">
      <c r="A291" s="1">
        <f>'batch tool'!A285</f>
        <v>0</v>
      </c>
      <c r="B291" s="7">
        <f>SUMPRODUCT($C$2:$X$2,'batch tool'!$B285:$W285)+$Y$2</f>
        <v>-49.12272534143483</v>
      </c>
      <c r="C291" s="7">
        <f>SUMPRODUCT($C$3:$X$3,'batch tool'!$B285:$W285)+$Y$3</f>
        <v>-36.514029388465531</v>
      </c>
      <c r="D291" s="7">
        <f>SUMPRODUCT($C$4:$X$4,'batch tool'!$B285:$W285)+$Y$4</f>
        <v>-44.639843068043824</v>
      </c>
      <c r="E291" s="7">
        <f>SUMPRODUCT($C$5:$X$5,'batch tool'!$B285:$W285)+$Y$5</f>
        <v>-51.578889182477603</v>
      </c>
      <c r="F291" s="7">
        <f>SUMPRODUCT($C$6:$X$6,'batch tool'!$B285:$W285)+$Y$6</f>
        <v>-47.741473633885199</v>
      </c>
      <c r="G291" s="7">
        <f>SUMPRODUCT($C$7:$X$7,'batch tool'!$B285:$W285)+$Y$7</f>
        <v>-19.739516238059196</v>
      </c>
      <c r="H291" s="7">
        <f t="shared" si="8"/>
        <v>-19.739516238059196</v>
      </c>
      <c r="I291">
        <f t="shared" si="9"/>
        <v>6</v>
      </c>
      <c r="J291" t="str" cm="1">
        <f t="array" ref="J291">INDEX($A$2:$A$7,I291)</f>
        <v>Segment 6- Self-Conscious Male</v>
      </c>
    </row>
    <row r="292" spans="1:10" x14ac:dyDescent="0.25">
      <c r="A292" s="1">
        <f>'batch tool'!A286</f>
        <v>0</v>
      </c>
      <c r="B292" s="7">
        <f>SUMPRODUCT($C$2:$X$2,'batch tool'!$B286:$W286)+$Y$2</f>
        <v>-49.12272534143483</v>
      </c>
      <c r="C292" s="7">
        <f>SUMPRODUCT($C$3:$X$3,'batch tool'!$B286:$W286)+$Y$3</f>
        <v>-36.514029388465531</v>
      </c>
      <c r="D292" s="7">
        <f>SUMPRODUCT($C$4:$X$4,'batch tool'!$B286:$W286)+$Y$4</f>
        <v>-44.639843068043824</v>
      </c>
      <c r="E292" s="7">
        <f>SUMPRODUCT($C$5:$X$5,'batch tool'!$B286:$W286)+$Y$5</f>
        <v>-51.578889182477603</v>
      </c>
      <c r="F292" s="7">
        <f>SUMPRODUCT($C$6:$X$6,'batch tool'!$B286:$W286)+$Y$6</f>
        <v>-47.741473633885199</v>
      </c>
      <c r="G292" s="7">
        <f>SUMPRODUCT($C$7:$X$7,'batch tool'!$B286:$W286)+$Y$7</f>
        <v>-19.739516238059196</v>
      </c>
      <c r="H292" s="7">
        <f t="shared" si="8"/>
        <v>-19.739516238059196</v>
      </c>
      <c r="I292">
        <f t="shared" si="9"/>
        <v>6</v>
      </c>
      <c r="J292" t="str" cm="1">
        <f t="array" ref="J292">INDEX($A$2:$A$7,I292)</f>
        <v>Segment 6- Self-Conscious Male</v>
      </c>
    </row>
    <row r="293" spans="1:10" x14ac:dyDescent="0.25">
      <c r="A293" s="1">
        <f>'batch tool'!A287</f>
        <v>0</v>
      </c>
      <c r="B293" s="7">
        <f>SUMPRODUCT($C$2:$X$2,'batch tool'!$B287:$W287)+$Y$2</f>
        <v>-49.12272534143483</v>
      </c>
      <c r="C293" s="7">
        <f>SUMPRODUCT($C$3:$X$3,'batch tool'!$B287:$W287)+$Y$3</f>
        <v>-36.514029388465531</v>
      </c>
      <c r="D293" s="7">
        <f>SUMPRODUCT($C$4:$X$4,'batch tool'!$B287:$W287)+$Y$4</f>
        <v>-44.639843068043824</v>
      </c>
      <c r="E293" s="7">
        <f>SUMPRODUCT($C$5:$X$5,'batch tool'!$B287:$W287)+$Y$5</f>
        <v>-51.578889182477603</v>
      </c>
      <c r="F293" s="7">
        <f>SUMPRODUCT($C$6:$X$6,'batch tool'!$B287:$W287)+$Y$6</f>
        <v>-47.741473633885199</v>
      </c>
      <c r="G293" s="7">
        <f>SUMPRODUCT($C$7:$X$7,'batch tool'!$B287:$W287)+$Y$7</f>
        <v>-19.739516238059196</v>
      </c>
      <c r="H293" s="7">
        <f t="shared" si="8"/>
        <v>-19.739516238059196</v>
      </c>
      <c r="I293">
        <f t="shared" si="9"/>
        <v>6</v>
      </c>
      <c r="J293" t="str" cm="1">
        <f t="array" ref="J293">INDEX($A$2:$A$7,I293)</f>
        <v>Segment 6- Self-Conscious Male</v>
      </c>
    </row>
    <row r="294" spans="1:10" x14ac:dyDescent="0.25">
      <c r="A294" s="1">
        <f>'batch tool'!A288</f>
        <v>0</v>
      </c>
      <c r="B294" s="7">
        <f>SUMPRODUCT($C$2:$X$2,'batch tool'!$B288:$W288)+$Y$2</f>
        <v>-49.12272534143483</v>
      </c>
      <c r="C294" s="7">
        <f>SUMPRODUCT($C$3:$X$3,'batch tool'!$B288:$W288)+$Y$3</f>
        <v>-36.514029388465531</v>
      </c>
      <c r="D294" s="7">
        <f>SUMPRODUCT($C$4:$X$4,'batch tool'!$B288:$W288)+$Y$4</f>
        <v>-44.639843068043824</v>
      </c>
      <c r="E294" s="7">
        <f>SUMPRODUCT($C$5:$X$5,'batch tool'!$B288:$W288)+$Y$5</f>
        <v>-51.578889182477603</v>
      </c>
      <c r="F294" s="7">
        <f>SUMPRODUCT($C$6:$X$6,'batch tool'!$B288:$W288)+$Y$6</f>
        <v>-47.741473633885199</v>
      </c>
      <c r="G294" s="7">
        <f>SUMPRODUCT($C$7:$X$7,'batch tool'!$B288:$W288)+$Y$7</f>
        <v>-19.739516238059196</v>
      </c>
      <c r="H294" s="7">
        <f t="shared" si="8"/>
        <v>-19.739516238059196</v>
      </c>
      <c r="I294">
        <f t="shared" si="9"/>
        <v>6</v>
      </c>
      <c r="J294" t="str" cm="1">
        <f t="array" ref="J294">INDEX($A$2:$A$7,I294)</f>
        <v>Segment 6- Self-Conscious Male</v>
      </c>
    </row>
    <row r="295" spans="1:10" x14ac:dyDescent="0.25">
      <c r="A295" s="1">
        <f>'batch tool'!A289</f>
        <v>0</v>
      </c>
      <c r="B295" s="7">
        <f>SUMPRODUCT($C$2:$X$2,'batch tool'!$B289:$W289)+$Y$2</f>
        <v>-49.12272534143483</v>
      </c>
      <c r="C295" s="7">
        <f>SUMPRODUCT($C$3:$X$3,'batch tool'!$B289:$W289)+$Y$3</f>
        <v>-36.514029388465531</v>
      </c>
      <c r="D295" s="7">
        <f>SUMPRODUCT($C$4:$X$4,'batch tool'!$B289:$W289)+$Y$4</f>
        <v>-44.639843068043824</v>
      </c>
      <c r="E295" s="7">
        <f>SUMPRODUCT($C$5:$X$5,'batch tool'!$B289:$W289)+$Y$5</f>
        <v>-51.578889182477603</v>
      </c>
      <c r="F295" s="7">
        <f>SUMPRODUCT($C$6:$X$6,'batch tool'!$B289:$W289)+$Y$6</f>
        <v>-47.741473633885199</v>
      </c>
      <c r="G295" s="7">
        <f>SUMPRODUCT($C$7:$X$7,'batch tool'!$B289:$W289)+$Y$7</f>
        <v>-19.739516238059196</v>
      </c>
      <c r="H295" s="7">
        <f t="shared" si="8"/>
        <v>-19.739516238059196</v>
      </c>
      <c r="I295">
        <f t="shared" si="9"/>
        <v>6</v>
      </c>
      <c r="J295" t="str" cm="1">
        <f t="array" ref="J295">INDEX($A$2:$A$7,I295)</f>
        <v>Segment 6- Self-Conscious Male</v>
      </c>
    </row>
    <row r="296" spans="1:10" x14ac:dyDescent="0.25">
      <c r="A296" s="1">
        <f>'batch tool'!A290</f>
        <v>0</v>
      </c>
      <c r="B296" s="7">
        <f>SUMPRODUCT($C$2:$X$2,'batch tool'!$B290:$W290)+$Y$2</f>
        <v>-49.12272534143483</v>
      </c>
      <c r="C296" s="7">
        <f>SUMPRODUCT($C$3:$X$3,'batch tool'!$B290:$W290)+$Y$3</f>
        <v>-36.514029388465531</v>
      </c>
      <c r="D296" s="7">
        <f>SUMPRODUCT($C$4:$X$4,'batch tool'!$B290:$W290)+$Y$4</f>
        <v>-44.639843068043824</v>
      </c>
      <c r="E296" s="7">
        <f>SUMPRODUCT($C$5:$X$5,'batch tool'!$B290:$W290)+$Y$5</f>
        <v>-51.578889182477603</v>
      </c>
      <c r="F296" s="7">
        <f>SUMPRODUCT($C$6:$X$6,'batch tool'!$B290:$W290)+$Y$6</f>
        <v>-47.741473633885199</v>
      </c>
      <c r="G296" s="7">
        <f>SUMPRODUCT($C$7:$X$7,'batch tool'!$B290:$W290)+$Y$7</f>
        <v>-19.739516238059196</v>
      </c>
      <c r="H296" s="7">
        <f t="shared" si="8"/>
        <v>-19.739516238059196</v>
      </c>
      <c r="I296">
        <f t="shared" si="9"/>
        <v>6</v>
      </c>
      <c r="J296" t="str" cm="1">
        <f t="array" ref="J296">INDEX($A$2:$A$7,I296)</f>
        <v>Segment 6- Self-Conscious Male</v>
      </c>
    </row>
    <row r="297" spans="1:10" x14ac:dyDescent="0.25">
      <c r="A297" s="1">
        <f>'batch tool'!A291</f>
        <v>0</v>
      </c>
      <c r="B297" s="7">
        <f>SUMPRODUCT($C$2:$X$2,'batch tool'!$B291:$W291)+$Y$2</f>
        <v>-49.12272534143483</v>
      </c>
      <c r="C297" s="7">
        <f>SUMPRODUCT($C$3:$X$3,'batch tool'!$B291:$W291)+$Y$3</f>
        <v>-36.514029388465531</v>
      </c>
      <c r="D297" s="7">
        <f>SUMPRODUCT($C$4:$X$4,'batch tool'!$B291:$W291)+$Y$4</f>
        <v>-44.639843068043824</v>
      </c>
      <c r="E297" s="7">
        <f>SUMPRODUCT($C$5:$X$5,'batch tool'!$B291:$W291)+$Y$5</f>
        <v>-51.578889182477603</v>
      </c>
      <c r="F297" s="7">
        <f>SUMPRODUCT($C$6:$X$6,'batch tool'!$B291:$W291)+$Y$6</f>
        <v>-47.741473633885199</v>
      </c>
      <c r="G297" s="7">
        <f>SUMPRODUCT($C$7:$X$7,'batch tool'!$B291:$W291)+$Y$7</f>
        <v>-19.739516238059196</v>
      </c>
      <c r="H297" s="7">
        <f t="shared" si="8"/>
        <v>-19.739516238059196</v>
      </c>
      <c r="I297">
        <f t="shared" si="9"/>
        <v>6</v>
      </c>
      <c r="J297" t="str" cm="1">
        <f t="array" ref="J297">INDEX($A$2:$A$7,I297)</f>
        <v>Segment 6- Self-Conscious Male</v>
      </c>
    </row>
    <row r="298" spans="1:10" x14ac:dyDescent="0.25">
      <c r="A298" s="1">
        <f>'batch tool'!A292</f>
        <v>0</v>
      </c>
      <c r="B298" s="7">
        <f>SUMPRODUCT($C$2:$X$2,'batch tool'!$B292:$W292)+$Y$2</f>
        <v>-49.12272534143483</v>
      </c>
      <c r="C298" s="7">
        <f>SUMPRODUCT($C$3:$X$3,'batch tool'!$B292:$W292)+$Y$3</f>
        <v>-36.514029388465531</v>
      </c>
      <c r="D298" s="7">
        <f>SUMPRODUCT($C$4:$X$4,'batch tool'!$B292:$W292)+$Y$4</f>
        <v>-44.639843068043824</v>
      </c>
      <c r="E298" s="7">
        <f>SUMPRODUCT($C$5:$X$5,'batch tool'!$B292:$W292)+$Y$5</f>
        <v>-51.578889182477603</v>
      </c>
      <c r="F298" s="7">
        <f>SUMPRODUCT($C$6:$X$6,'batch tool'!$B292:$W292)+$Y$6</f>
        <v>-47.741473633885199</v>
      </c>
      <c r="G298" s="7">
        <f>SUMPRODUCT($C$7:$X$7,'batch tool'!$B292:$W292)+$Y$7</f>
        <v>-19.739516238059196</v>
      </c>
      <c r="H298" s="7">
        <f t="shared" si="8"/>
        <v>-19.739516238059196</v>
      </c>
      <c r="I298">
        <f t="shared" si="9"/>
        <v>6</v>
      </c>
      <c r="J298" t="str" cm="1">
        <f t="array" ref="J298">INDEX($A$2:$A$7,I298)</f>
        <v>Segment 6- Self-Conscious Male</v>
      </c>
    </row>
    <row r="299" spans="1:10" x14ac:dyDescent="0.25">
      <c r="A299" s="1">
        <f>'batch tool'!A293</f>
        <v>0</v>
      </c>
      <c r="B299" s="7">
        <f>SUMPRODUCT($C$2:$X$2,'batch tool'!$B293:$W293)+$Y$2</f>
        <v>-49.12272534143483</v>
      </c>
      <c r="C299" s="7">
        <f>SUMPRODUCT($C$3:$X$3,'batch tool'!$B293:$W293)+$Y$3</f>
        <v>-36.514029388465531</v>
      </c>
      <c r="D299" s="7">
        <f>SUMPRODUCT($C$4:$X$4,'batch tool'!$B293:$W293)+$Y$4</f>
        <v>-44.639843068043824</v>
      </c>
      <c r="E299" s="7">
        <f>SUMPRODUCT($C$5:$X$5,'batch tool'!$B293:$W293)+$Y$5</f>
        <v>-51.578889182477603</v>
      </c>
      <c r="F299" s="7">
        <f>SUMPRODUCT($C$6:$X$6,'batch tool'!$B293:$W293)+$Y$6</f>
        <v>-47.741473633885199</v>
      </c>
      <c r="G299" s="7">
        <f>SUMPRODUCT($C$7:$X$7,'batch tool'!$B293:$W293)+$Y$7</f>
        <v>-19.739516238059196</v>
      </c>
      <c r="H299" s="7">
        <f t="shared" si="8"/>
        <v>-19.739516238059196</v>
      </c>
      <c r="I299">
        <f t="shared" si="9"/>
        <v>6</v>
      </c>
      <c r="J299" t="str" cm="1">
        <f t="array" ref="J299">INDEX($A$2:$A$7,I299)</f>
        <v>Segment 6- Self-Conscious Male</v>
      </c>
    </row>
    <row r="300" spans="1:10" x14ac:dyDescent="0.25">
      <c r="A300" s="1">
        <f>'batch tool'!A294</f>
        <v>0</v>
      </c>
      <c r="B300" s="7">
        <f>SUMPRODUCT($C$2:$X$2,'batch tool'!$B294:$W294)+$Y$2</f>
        <v>-49.12272534143483</v>
      </c>
      <c r="C300" s="7">
        <f>SUMPRODUCT($C$3:$X$3,'batch tool'!$B294:$W294)+$Y$3</f>
        <v>-36.514029388465531</v>
      </c>
      <c r="D300" s="7">
        <f>SUMPRODUCT($C$4:$X$4,'batch tool'!$B294:$W294)+$Y$4</f>
        <v>-44.639843068043824</v>
      </c>
      <c r="E300" s="7">
        <f>SUMPRODUCT($C$5:$X$5,'batch tool'!$B294:$W294)+$Y$5</f>
        <v>-51.578889182477603</v>
      </c>
      <c r="F300" s="7">
        <f>SUMPRODUCT($C$6:$X$6,'batch tool'!$B294:$W294)+$Y$6</f>
        <v>-47.741473633885199</v>
      </c>
      <c r="G300" s="7">
        <f>SUMPRODUCT($C$7:$X$7,'batch tool'!$B294:$W294)+$Y$7</f>
        <v>-19.739516238059196</v>
      </c>
      <c r="H300" s="7">
        <f t="shared" si="8"/>
        <v>-19.739516238059196</v>
      </c>
      <c r="I300">
        <f t="shared" si="9"/>
        <v>6</v>
      </c>
      <c r="J300" t="str" cm="1">
        <f t="array" ref="J300">INDEX($A$2:$A$7,I300)</f>
        <v>Segment 6- Self-Conscious Male</v>
      </c>
    </row>
    <row r="301" spans="1:10" x14ac:dyDescent="0.25">
      <c r="A301" s="1">
        <f>'batch tool'!A295</f>
        <v>0</v>
      </c>
      <c r="B301" s="7">
        <f>SUMPRODUCT($C$2:$X$2,'batch tool'!$B295:$W295)+$Y$2</f>
        <v>-49.12272534143483</v>
      </c>
      <c r="C301" s="7">
        <f>SUMPRODUCT($C$3:$X$3,'batch tool'!$B295:$W295)+$Y$3</f>
        <v>-36.514029388465531</v>
      </c>
      <c r="D301" s="7">
        <f>SUMPRODUCT($C$4:$X$4,'batch tool'!$B295:$W295)+$Y$4</f>
        <v>-44.639843068043824</v>
      </c>
      <c r="E301" s="7">
        <f>SUMPRODUCT($C$5:$X$5,'batch tool'!$B295:$W295)+$Y$5</f>
        <v>-51.578889182477603</v>
      </c>
      <c r="F301" s="7">
        <f>SUMPRODUCT($C$6:$X$6,'batch tool'!$B295:$W295)+$Y$6</f>
        <v>-47.741473633885199</v>
      </c>
      <c r="G301" s="7">
        <f>SUMPRODUCT($C$7:$X$7,'batch tool'!$B295:$W295)+$Y$7</f>
        <v>-19.739516238059196</v>
      </c>
      <c r="H301" s="7">
        <f t="shared" si="8"/>
        <v>-19.739516238059196</v>
      </c>
      <c r="I301">
        <f t="shared" si="9"/>
        <v>6</v>
      </c>
      <c r="J301" t="str" cm="1">
        <f t="array" ref="J301">INDEX($A$2:$A$7,I301)</f>
        <v>Segment 6- Self-Conscious Male</v>
      </c>
    </row>
    <row r="302" spans="1:10" x14ac:dyDescent="0.25">
      <c r="A302" s="1">
        <f>'batch tool'!A296</f>
        <v>0</v>
      </c>
      <c r="B302" s="7">
        <f>SUMPRODUCT($C$2:$X$2,'batch tool'!$B296:$W296)+$Y$2</f>
        <v>-49.12272534143483</v>
      </c>
      <c r="C302" s="7">
        <f>SUMPRODUCT($C$3:$X$3,'batch tool'!$B296:$W296)+$Y$3</f>
        <v>-36.514029388465531</v>
      </c>
      <c r="D302" s="7">
        <f>SUMPRODUCT($C$4:$X$4,'batch tool'!$B296:$W296)+$Y$4</f>
        <v>-44.639843068043824</v>
      </c>
      <c r="E302" s="7">
        <f>SUMPRODUCT($C$5:$X$5,'batch tool'!$B296:$W296)+$Y$5</f>
        <v>-51.578889182477603</v>
      </c>
      <c r="F302" s="7">
        <f>SUMPRODUCT($C$6:$X$6,'batch tool'!$B296:$W296)+$Y$6</f>
        <v>-47.741473633885199</v>
      </c>
      <c r="G302" s="7">
        <f>SUMPRODUCT($C$7:$X$7,'batch tool'!$B296:$W296)+$Y$7</f>
        <v>-19.739516238059196</v>
      </c>
      <c r="H302" s="7">
        <f t="shared" si="8"/>
        <v>-19.739516238059196</v>
      </c>
      <c r="I302">
        <f t="shared" si="9"/>
        <v>6</v>
      </c>
      <c r="J302" t="str" cm="1">
        <f t="array" ref="J302">INDEX($A$2:$A$7,I302)</f>
        <v>Segment 6- Self-Conscious Male</v>
      </c>
    </row>
    <row r="303" spans="1:10" x14ac:dyDescent="0.25">
      <c r="A303" s="1">
        <f>'batch tool'!A297</f>
        <v>0</v>
      </c>
      <c r="B303" s="7">
        <f>SUMPRODUCT($C$2:$X$2,'batch tool'!$B297:$W297)+$Y$2</f>
        <v>-49.12272534143483</v>
      </c>
      <c r="C303" s="7">
        <f>SUMPRODUCT($C$3:$X$3,'batch tool'!$B297:$W297)+$Y$3</f>
        <v>-36.514029388465531</v>
      </c>
      <c r="D303" s="7">
        <f>SUMPRODUCT($C$4:$X$4,'batch tool'!$B297:$W297)+$Y$4</f>
        <v>-44.639843068043824</v>
      </c>
      <c r="E303" s="7">
        <f>SUMPRODUCT($C$5:$X$5,'batch tool'!$B297:$W297)+$Y$5</f>
        <v>-51.578889182477603</v>
      </c>
      <c r="F303" s="7">
        <f>SUMPRODUCT($C$6:$X$6,'batch tool'!$B297:$W297)+$Y$6</f>
        <v>-47.741473633885199</v>
      </c>
      <c r="G303" s="7">
        <f>SUMPRODUCT($C$7:$X$7,'batch tool'!$B297:$W297)+$Y$7</f>
        <v>-19.739516238059196</v>
      </c>
      <c r="H303" s="7">
        <f t="shared" si="8"/>
        <v>-19.739516238059196</v>
      </c>
      <c r="I303">
        <f t="shared" si="9"/>
        <v>6</v>
      </c>
      <c r="J303" t="str" cm="1">
        <f t="array" ref="J303">INDEX($A$2:$A$7,I303)</f>
        <v>Segment 6- Self-Conscious Male</v>
      </c>
    </row>
    <row r="304" spans="1:10" x14ac:dyDescent="0.25">
      <c r="A304" s="1">
        <f>'batch tool'!A298</f>
        <v>0</v>
      </c>
      <c r="B304" s="7">
        <f>SUMPRODUCT($C$2:$X$2,'batch tool'!$B298:$W298)+$Y$2</f>
        <v>-49.12272534143483</v>
      </c>
      <c r="C304" s="7">
        <f>SUMPRODUCT($C$3:$X$3,'batch tool'!$B298:$W298)+$Y$3</f>
        <v>-36.514029388465531</v>
      </c>
      <c r="D304" s="7">
        <f>SUMPRODUCT($C$4:$X$4,'batch tool'!$B298:$W298)+$Y$4</f>
        <v>-44.639843068043824</v>
      </c>
      <c r="E304" s="7">
        <f>SUMPRODUCT($C$5:$X$5,'batch tool'!$B298:$W298)+$Y$5</f>
        <v>-51.578889182477603</v>
      </c>
      <c r="F304" s="7">
        <f>SUMPRODUCT($C$6:$X$6,'batch tool'!$B298:$W298)+$Y$6</f>
        <v>-47.741473633885199</v>
      </c>
      <c r="G304" s="7">
        <f>SUMPRODUCT($C$7:$X$7,'batch tool'!$B298:$W298)+$Y$7</f>
        <v>-19.739516238059196</v>
      </c>
      <c r="H304" s="7">
        <f t="shared" si="8"/>
        <v>-19.739516238059196</v>
      </c>
      <c r="I304">
        <f t="shared" si="9"/>
        <v>6</v>
      </c>
      <c r="J304" t="str" cm="1">
        <f t="array" ref="J304">INDEX($A$2:$A$7,I304)</f>
        <v>Segment 6- Self-Conscious Male</v>
      </c>
    </row>
    <row r="305" spans="1:10" x14ac:dyDescent="0.25">
      <c r="A305" s="1">
        <f>'batch tool'!A299</f>
        <v>0</v>
      </c>
      <c r="B305" s="7">
        <f>SUMPRODUCT($C$2:$X$2,'batch tool'!$B299:$W299)+$Y$2</f>
        <v>-49.12272534143483</v>
      </c>
      <c r="C305" s="7">
        <f>SUMPRODUCT($C$3:$X$3,'batch tool'!$B299:$W299)+$Y$3</f>
        <v>-36.514029388465531</v>
      </c>
      <c r="D305" s="7">
        <f>SUMPRODUCT($C$4:$X$4,'batch tool'!$B299:$W299)+$Y$4</f>
        <v>-44.639843068043824</v>
      </c>
      <c r="E305" s="7">
        <f>SUMPRODUCT($C$5:$X$5,'batch tool'!$B299:$W299)+$Y$5</f>
        <v>-51.578889182477603</v>
      </c>
      <c r="F305" s="7">
        <f>SUMPRODUCT($C$6:$X$6,'batch tool'!$B299:$W299)+$Y$6</f>
        <v>-47.741473633885199</v>
      </c>
      <c r="G305" s="7">
        <f>SUMPRODUCT($C$7:$X$7,'batch tool'!$B299:$W299)+$Y$7</f>
        <v>-19.739516238059196</v>
      </c>
      <c r="H305" s="7">
        <f t="shared" si="8"/>
        <v>-19.739516238059196</v>
      </c>
      <c r="I305">
        <f t="shared" si="9"/>
        <v>6</v>
      </c>
      <c r="J305" t="str" cm="1">
        <f t="array" ref="J305">INDEX($A$2:$A$7,I305)</f>
        <v>Segment 6- Self-Conscious Male</v>
      </c>
    </row>
    <row r="306" spans="1:10" x14ac:dyDescent="0.25">
      <c r="A306" s="1">
        <f>'batch tool'!A300</f>
        <v>0</v>
      </c>
      <c r="B306" s="7">
        <f>SUMPRODUCT($C$2:$X$2,'batch tool'!$B300:$W300)+$Y$2</f>
        <v>-49.12272534143483</v>
      </c>
      <c r="C306" s="7">
        <f>SUMPRODUCT($C$3:$X$3,'batch tool'!$B300:$W300)+$Y$3</f>
        <v>-36.514029388465531</v>
      </c>
      <c r="D306" s="7">
        <f>SUMPRODUCT($C$4:$X$4,'batch tool'!$B300:$W300)+$Y$4</f>
        <v>-44.639843068043824</v>
      </c>
      <c r="E306" s="7">
        <f>SUMPRODUCT($C$5:$X$5,'batch tool'!$B300:$W300)+$Y$5</f>
        <v>-51.578889182477603</v>
      </c>
      <c r="F306" s="7">
        <f>SUMPRODUCT($C$6:$X$6,'batch tool'!$B300:$W300)+$Y$6</f>
        <v>-47.741473633885199</v>
      </c>
      <c r="G306" s="7">
        <f>SUMPRODUCT($C$7:$X$7,'batch tool'!$B300:$W300)+$Y$7</f>
        <v>-19.739516238059196</v>
      </c>
      <c r="H306" s="7">
        <f t="shared" si="8"/>
        <v>-19.739516238059196</v>
      </c>
      <c r="I306">
        <f t="shared" si="9"/>
        <v>6</v>
      </c>
      <c r="J306" t="str" cm="1">
        <f t="array" ref="J306">INDEX($A$2:$A$7,I306)</f>
        <v>Segment 6- Self-Conscious Male</v>
      </c>
    </row>
    <row r="307" spans="1:10" x14ac:dyDescent="0.25">
      <c r="A307" s="1">
        <f>'batch tool'!A301</f>
        <v>0</v>
      </c>
      <c r="B307" s="7">
        <f>SUMPRODUCT($C$2:$X$2,'batch tool'!$B301:$W301)+$Y$2</f>
        <v>-49.12272534143483</v>
      </c>
      <c r="C307" s="7">
        <f>SUMPRODUCT($C$3:$X$3,'batch tool'!$B301:$W301)+$Y$3</f>
        <v>-36.514029388465531</v>
      </c>
      <c r="D307" s="7">
        <f>SUMPRODUCT($C$4:$X$4,'batch tool'!$B301:$W301)+$Y$4</f>
        <v>-44.639843068043824</v>
      </c>
      <c r="E307" s="7">
        <f>SUMPRODUCT($C$5:$X$5,'batch tool'!$B301:$W301)+$Y$5</f>
        <v>-51.578889182477603</v>
      </c>
      <c r="F307" s="7">
        <f>SUMPRODUCT($C$6:$X$6,'batch tool'!$B301:$W301)+$Y$6</f>
        <v>-47.741473633885199</v>
      </c>
      <c r="G307" s="7">
        <f>SUMPRODUCT($C$7:$X$7,'batch tool'!$B301:$W301)+$Y$7</f>
        <v>-19.739516238059196</v>
      </c>
      <c r="H307" s="7">
        <f t="shared" si="8"/>
        <v>-19.739516238059196</v>
      </c>
      <c r="I307">
        <f t="shared" si="9"/>
        <v>6</v>
      </c>
      <c r="J307" t="str" cm="1">
        <f t="array" ref="J307">INDEX($A$2:$A$7,I307)</f>
        <v>Segment 6- Self-Conscious Male</v>
      </c>
    </row>
    <row r="308" spans="1:10" x14ac:dyDescent="0.25">
      <c r="A308" s="1">
        <f>'batch tool'!A302</f>
        <v>0</v>
      </c>
      <c r="B308" s="7">
        <f>SUMPRODUCT($C$2:$X$2,'batch tool'!$B302:$W302)+$Y$2</f>
        <v>-49.12272534143483</v>
      </c>
      <c r="C308" s="7">
        <f>SUMPRODUCT($C$3:$X$3,'batch tool'!$B302:$W302)+$Y$3</f>
        <v>-36.514029388465531</v>
      </c>
      <c r="D308" s="7">
        <f>SUMPRODUCT($C$4:$X$4,'batch tool'!$B302:$W302)+$Y$4</f>
        <v>-44.639843068043824</v>
      </c>
      <c r="E308" s="7">
        <f>SUMPRODUCT($C$5:$X$5,'batch tool'!$B302:$W302)+$Y$5</f>
        <v>-51.578889182477603</v>
      </c>
      <c r="F308" s="7">
        <f>SUMPRODUCT($C$6:$X$6,'batch tool'!$B302:$W302)+$Y$6</f>
        <v>-47.741473633885199</v>
      </c>
      <c r="G308" s="7">
        <f>SUMPRODUCT($C$7:$X$7,'batch tool'!$B302:$W302)+$Y$7</f>
        <v>-19.739516238059196</v>
      </c>
      <c r="H308" s="7">
        <f t="shared" si="8"/>
        <v>-19.739516238059196</v>
      </c>
      <c r="I308">
        <f t="shared" si="9"/>
        <v>6</v>
      </c>
      <c r="J308" t="str" cm="1">
        <f t="array" ref="J308">INDEX($A$2:$A$7,I308)</f>
        <v>Segment 6- Self-Conscious Male</v>
      </c>
    </row>
    <row r="309" spans="1:10" x14ac:dyDescent="0.25">
      <c r="A309" s="1">
        <f>'batch tool'!A303</f>
        <v>0</v>
      </c>
      <c r="B309" s="7">
        <f>SUMPRODUCT($C$2:$X$2,'batch tool'!$B303:$W303)+$Y$2</f>
        <v>-49.12272534143483</v>
      </c>
      <c r="C309" s="7">
        <f>SUMPRODUCT($C$3:$X$3,'batch tool'!$B303:$W303)+$Y$3</f>
        <v>-36.514029388465531</v>
      </c>
      <c r="D309" s="7">
        <f>SUMPRODUCT($C$4:$X$4,'batch tool'!$B303:$W303)+$Y$4</f>
        <v>-44.639843068043824</v>
      </c>
      <c r="E309" s="7">
        <f>SUMPRODUCT($C$5:$X$5,'batch tool'!$B303:$W303)+$Y$5</f>
        <v>-51.578889182477603</v>
      </c>
      <c r="F309" s="7">
        <f>SUMPRODUCT($C$6:$X$6,'batch tool'!$B303:$W303)+$Y$6</f>
        <v>-47.741473633885199</v>
      </c>
      <c r="G309" s="7">
        <f>SUMPRODUCT($C$7:$X$7,'batch tool'!$B303:$W303)+$Y$7</f>
        <v>-19.739516238059196</v>
      </c>
      <c r="H309" s="7">
        <f t="shared" si="8"/>
        <v>-19.739516238059196</v>
      </c>
      <c r="I309">
        <f t="shared" si="9"/>
        <v>6</v>
      </c>
      <c r="J309" t="str" cm="1">
        <f t="array" ref="J309">INDEX($A$2:$A$7,I309)</f>
        <v>Segment 6- Self-Conscious Male</v>
      </c>
    </row>
    <row r="310" spans="1:10" x14ac:dyDescent="0.25">
      <c r="A310" s="1">
        <f>'batch tool'!A304</f>
        <v>0</v>
      </c>
      <c r="B310" s="7">
        <f>SUMPRODUCT($C$2:$X$2,'batch tool'!$B304:$W304)+$Y$2</f>
        <v>-49.12272534143483</v>
      </c>
      <c r="C310" s="7">
        <f>SUMPRODUCT($C$3:$X$3,'batch tool'!$B304:$W304)+$Y$3</f>
        <v>-36.514029388465531</v>
      </c>
      <c r="D310" s="7">
        <f>SUMPRODUCT($C$4:$X$4,'batch tool'!$B304:$W304)+$Y$4</f>
        <v>-44.639843068043824</v>
      </c>
      <c r="E310" s="7">
        <f>SUMPRODUCT($C$5:$X$5,'batch tool'!$B304:$W304)+$Y$5</f>
        <v>-51.578889182477603</v>
      </c>
      <c r="F310" s="7">
        <f>SUMPRODUCT($C$6:$X$6,'batch tool'!$B304:$W304)+$Y$6</f>
        <v>-47.741473633885199</v>
      </c>
      <c r="G310" s="7">
        <f>SUMPRODUCT($C$7:$X$7,'batch tool'!$B304:$W304)+$Y$7</f>
        <v>-19.739516238059196</v>
      </c>
      <c r="H310" s="7">
        <f t="shared" si="8"/>
        <v>-19.739516238059196</v>
      </c>
      <c r="I310">
        <f t="shared" si="9"/>
        <v>6</v>
      </c>
      <c r="J310" t="str" cm="1">
        <f t="array" ref="J310">INDEX($A$2:$A$7,I310)</f>
        <v>Segment 6- Self-Conscious Male</v>
      </c>
    </row>
    <row r="311" spans="1:10" x14ac:dyDescent="0.25">
      <c r="A311" s="1">
        <f>'batch tool'!A305</f>
        <v>0</v>
      </c>
      <c r="B311" s="7">
        <f>SUMPRODUCT($C$2:$X$2,'batch tool'!$B305:$W305)+$Y$2</f>
        <v>-49.12272534143483</v>
      </c>
      <c r="C311" s="7">
        <f>SUMPRODUCT($C$3:$X$3,'batch tool'!$B305:$W305)+$Y$3</f>
        <v>-36.514029388465531</v>
      </c>
      <c r="D311" s="7">
        <f>SUMPRODUCT($C$4:$X$4,'batch tool'!$B305:$W305)+$Y$4</f>
        <v>-44.639843068043824</v>
      </c>
      <c r="E311" s="7">
        <f>SUMPRODUCT($C$5:$X$5,'batch tool'!$B305:$W305)+$Y$5</f>
        <v>-51.578889182477603</v>
      </c>
      <c r="F311" s="7">
        <f>SUMPRODUCT($C$6:$X$6,'batch tool'!$B305:$W305)+$Y$6</f>
        <v>-47.741473633885199</v>
      </c>
      <c r="G311" s="7">
        <f>SUMPRODUCT($C$7:$X$7,'batch tool'!$B305:$W305)+$Y$7</f>
        <v>-19.739516238059196</v>
      </c>
      <c r="H311" s="7">
        <f t="shared" si="8"/>
        <v>-19.739516238059196</v>
      </c>
      <c r="I311">
        <f t="shared" si="9"/>
        <v>6</v>
      </c>
      <c r="J311" t="str" cm="1">
        <f t="array" ref="J311">INDEX($A$2:$A$7,I311)</f>
        <v>Segment 6- Self-Conscious Male</v>
      </c>
    </row>
    <row r="312" spans="1:10" x14ac:dyDescent="0.25">
      <c r="A312" s="1">
        <f>'batch tool'!A306</f>
        <v>0</v>
      </c>
      <c r="B312" s="7">
        <f>SUMPRODUCT($C$2:$X$2,'batch tool'!$B306:$W306)+$Y$2</f>
        <v>-49.12272534143483</v>
      </c>
      <c r="C312" s="7">
        <f>SUMPRODUCT($C$3:$X$3,'batch tool'!$B306:$W306)+$Y$3</f>
        <v>-36.514029388465531</v>
      </c>
      <c r="D312" s="7">
        <f>SUMPRODUCT($C$4:$X$4,'batch tool'!$B306:$W306)+$Y$4</f>
        <v>-44.639843068043824</v>
      </c>
      <c r="E312" s="7">
        <f>SUMPRODUCT($C$5:$X$5,'batch tool'!$B306:$W306)+$Y$5</f>
        <v>-51.578889182477603</v>
      </c>
      <c r="F312" s="7">
        <f>SUMPRODUCT($C$6:$X$6,'batch tool'!$B306:$W306)+$Y$6</f>
        <v>-47.741473633885199</v>
      </c>
      <c r="G312" s="7">
        <f>SUMPRODUCT($C$7:$X$7,'batch tool'!$B306:$W306)+$Y$7</f>
        <v>-19.739516238059196</v>
      </c>
      <c r="H312" s="7">
        <f t="shared" si="8"/>
        <v>-19.739516238059196</v>
      </c>
      <c r="I312">
        <f t="shared" si="9"/>
        <v>6</v>
      </c>
      <c r="J312" t="str" cm="1">
        <f t="array" ref="J312">INDEX($A$2:$A$7,I312)</f>
        <v>Segment 6- Self-Conscious Male</v>
      </c>
    </row>
    <row r="313" spans="1:10" x14ac:dyDescent="0.25">
      <c r="A313" s="1">
        <f>'batch tool'!A307</f>
        <v>0</v>
      </c>
      <c r="B313" s="7">
        <f>SUMPRODUCT($C$2:$X$2,'batch tool'!$B307:$W307)+$Y$2</f>
        <v>-49.12272534143483</v>
      </c>
      <c r="C313" s="7">
        <f>SUMPRODUCT($C$3:$X$3,'batch tool'!$B307:$W307)+$Y$3</f>
        <v>-36.514029388465531</v>
      </c>
      <c r="D313" s="7">
        <f>SUMPRODUCT($C$4:$X$4,'batch tool'!$B307:$W307)+$Y$4</f>
        <v>-44.639843068043824</v>
      </c>
      <c r="E313" s="7">
        <f>SUMPRODUCT($C$5:$X$5,'batch tool'!$B307:$W307)+$Y$5</f>
        <v>-51.578889182477603</v>
      </c>
      <c r="F313" s="7">
        <f>SUMPRODUCT($C$6:$X$6,'batch tool'!$B307:$W307)+$Y$6</f>
        <v>-47.741473633885199</v>
      </c>
      <c r="G313" s="7">
        <f>SUMPRODUCT($C$7:$X$7,'batch tool'!$B307:$W307)+$Y$7</f>
        <v>-19.739516238059196</v>
      </c>
      <c r="H313" s="7">
        <f t="shared" si="8"/>
        <v>-19.739516238059196</v>
      </c>
      <c r="I313">
        <f t="shared" si="9"/>
        <v>6</v>
      </c>
      <c r="J313" t="str" cm="1">
        <f t="array" ref="J313">INDEX($A$2:$A$7,I313)</f>
        <v>Segment 6- Self-Conscious Male</v>
      </c>
    </row>
    <row r="314" spans="1:10" x14ac:dyDescent="0.25">
      <c r="A314" s="1">
        <f>'batch tool'!A308</f>
        <v>0</v>
      </c>
      <c r="B314" s="7">
        <f>SUMPRODUCT($C$2:$X$2,'batch tool'!$B308:$W308)+$Y$2</f>
        <v>-49.12272534143483</v>
      </c>
      <c r="C314" s="7">
        <f>SUMPRODUCT($C$3:$X$3,'batch tool'!$B308:$W308)+$Y$3</f>
        <v>-36.514029388465531</v>
      </c>
      <c r="D314" s="7">
        <f>SUMPRODUCT($C$4:$X$4,'batch tool'!$B308:$W308)+$Y$4</f>
        <v>-44.639843068043824</v>
      </c>
      <c r="E314" s="7">
        <f>SUMPRODUCT($C$5:$X$5,'batch tool'!$B308:$W308)+$Y$5</f>
        <v>-51.578889182477603</v>
      </c>
      <c r="F314" s="7">
        <f>SUMPRODUCT($C$6:$X$6,'batch tool'!$B308:$W308)+$Y$6</f>
        <v>-47.741473633885199</v>
      </c>
      <c r="G314" s="7">
        <f>SUMPRODUCT($C$7:$X$7,'batch tool'!$B308:$W308)+$Y$7</f>
        <v>-19.739516238059196</v>
      </c>
      <c r="H314" s="7">
        <f t="shared" si="8"/>
        <v>-19.739516238059196</v>
      </c>
      <c r="I314">
        <f t="shared" si="9"/>
        <v>6</v>
      </c>
      <c r="J314" t="str" cm="1">
        <f t="array" ref="J314">INDEX($A$2:$A$7,I314)</f>
        <v>Segment 6- Self-Conscious Male</v>
      </c>
    </row>
    <row r="315" spans="1:10" x14ac:dyDescent="0.25">
      <c r="A315" s="1">
        <f>'batch tool'!A309</f>
        <v>0</v>
      </c>
      <c r="B315" s="7">
        <f>SUMPRODUCT($C$2:$X$2,'batch tool'!$B309:$W309)+$Y$2</f>
        <v>-49.12272534143483</v>
      </c>
      <c r="C315" s="7">
        <f>SUMPRODUCT($C$3:$X$3,'batch tool'!$B309:$W309)+$Y$3</f>
        <v>-36.514029388465531</v>
      </c>
      <c r="D315" s="7">
        <f>SUMPRODUCT($C$4:$X$4,'batch tool'!$B309:$W309)+$Y$4</f>
        <v>-44.639843068043824</v>
      </c>
      <c r="E315" s="7">
        <f>SUMPRODUCT($C$5:$X$5,'batch tool'!$B309:$W309)+$Y$5</f>
        <v>-51.578889182477603</v>
      </c>
      <c r="F315" s="7">
        <f>SUMPRODUCT($C$6:$X$6,'batch tool'!$B309:$W309)+$Y$6</f>
        <v>-47.741473633885199</v>
      </c>
      <c r="G315" s="7">
        <f>SUMPRODUCT($C$7:$X$7,'batch tool'!$B309:$W309)+$Y$7</f>
        <v>-19.739516238059196</v>
      </c>
      <c r="H315" s="7">
        <f t="shared" si="8"/>
        <v>-19.739516238059196</v>
      </c>
      <c r="I315">
        <f t="shared" si="9"/>
        <v>6</v>
      </c>
      <c r="J315" t="str" cm="1">
        <f t="array" ref="J315">INDEX($A$2:$A$7,I315)</f>
        <v>Segment 6- Self-Conscious Male</v>
      </c>
    </row>
    <row r="316" spans="1:10" x14ac:dyDescent="0.25">
      <c r="A316" s="1">
        <f>'batch tool'!A310</f>
        <v>0</v>
      </c>
      <c r="B316" s="7">
        <f>SUMPRODUCT($C$2:$X$2,'batch tool'!$B310:$W310)+$Y$2</f>
        <v>-49.12272534143483</v>
      </c>
      <c r="C316" s="7">
        <f>SUMPRODUCT($C$3:$X$3,'batch tool'!$B310:$W310)+$Y$3</f>
        <v>-36.514029388465531</v>
      </c>
      <c r="D316" s="7">
        <f>SUMPRODUCT($C$4:$X$4,'batch tool'!$B310:$W310)+$Y$4</f>
        <v>-44.639843068043824</v>
      </c>
      <c r="E316" s="7">
        <f>SUMPRODUCT($C$5:$X$5,'batch tool'!$B310:$W310)+$Y$5</f>
        <v>-51.578889182477603</v>
      </c>
      <c r="F316" s="7">
        <f>SUMPRODUCT($C$6:$X$6,'batch tool'!$B310:$W310)+$Y$6</f>
        <v>-47.741473633885199</v>
      </c>
      <c r="G316" s="7">
        <f>SUMPRODUCT($C$7:$X$7,'batch tool'!$B310:$W310)+$Y$7</f>
        <v>-19.739516238059196</v>
      </c>
      <c r="H316" s="7">
        <f t="shared" si="8"/>
        <v>-19.739516238059196</v>
      </c>
      <c r="I316">
        <f t="shared" si="9"/>
        <v>6</v>
      </c>
      <c r="J316" t="str" cm="1">
        <f t="array" ref="J316">INDEX($A$2:$A$7,I316)</f>
        <v>Segment 6- Self-Conscious Male</v>
      </c>
    </row>
    <row r="317" spans="1:10" x14ac:dyDescent="0.25">
      <c r="A317" s="1">
        <f>'batch tool'!A311</f>
        <v>0</v>
      </c>
      <c r="B317" s="7">
        <f>SUMPRODUCT($C$2:$X$2,'batch tool'!$B311:$W311)+$Y$2</f>
        <v>-49.12272534143483</v>
      </c>
      <c r="C317" s="7">
        <f>SUMPRODUCT($C$3:$X$3,'batch tool'!$B311:$W311)+$Y$3</f>
        <v>-36.514029388465531</v>
      </c>
      <c r="D317" s="7">
        <f>SUMPRODUCT($C$4:$X$4,'batch tool'!$B311:$W311)+$Y$4</f>
        <v>-44.639843068043824</v>
      </c>
      <c r="E317" s="7">
        <f>SUMPRODUCT($C$5:$X$5,'batch tool'!$B311:$W311)+$Y$5</f>
        <v>-51.578889182477603</v>
      </c>
      <c r="F317" s="7">
        <f>SUMPRODUCT($C$6:$X$6,'batch tool'!$B311:$W311)+$Y$6</f>
        <v>-47.741473633885199</v>
      </c>
      <c r="G317" s="7">
        <f>SUMPRODUCT($C$7:$X$7,'batch tool'!$B311:$W311)+$Y$7</f>
        <v>-19.739516238059196</v>
      </c>
      <c r="H317" s="7">
        <f t="shared" si="8"/>
        <v>-19.739516238059196</v>
      </c>
      <c r="I317">
        <f t="shared" si="9"/>
        <v>6</v>
      </c>
      <c r="J317" t="str" cm="1">
        <f t="array" ref="J317">INDEX($A$2:$A$7,I317)</f>
        <v>Segment 6- Self-Conscious Male</v>
      </c>
    </row>
    <row r="318" spans="1:10" x14ac:dyDescent="0.25">
      <c r="A318" s="1">
        <f>'batch tool'!A312</f>
        <v>0</v>
      </c>
      <c r="B318" s="7">
        <f>SUMPRODUCT($C$2:$X$2,'batch tool'!$B312:$W312)+$Y$2</f>
        <v>-49.12272534143483</v>
      </c>
      <c r="C318" s="7">
        <f>SUMPRODUCT($C$3:$X$3,'batch tool'!$B312:$W312)+$Y$3</f>
        <v>-36.514029388465531</v>
      </c>
      <c r="D318" s="7">
        <f>SUMPRODUCT($C$4:$X$4,'batch tool'!$B312:$W312)+$Y$4</f>
        <v>-44.639843068043824</v>
      </c>
      <c r="E318" s="7">
        <f>SUMPRODUCT($C$5:$X$5,'batch tool'!$B312:$W312)+$Y$5</f>
        <v>-51.578889182477603</v>
      </c>
      <c r="F318" s="7">
        <f>SUMPRODUCT($C$6:$X$6,'batch tool'!$B312:$W312)+$Y$6</f>
        <v>-47.741473633885199</v>
      </c>
      <c r="G318" s="7">
        <f>SUMPRODUCT($C$7:$X$7,'batch tool'!$B312:$W312)+$Y$7</f>
        <v>-19.739516238059196</v>
      </c>
      <c r="H318" s="7">
        <f t="shared" si="8"/>
        <v>-19.739516238059196</v>
      </c>
      <c r="I318">
        <f t="shared" si="9"/>
        <v>6</v>
      </c>
      <c r="J318" t="str" cm="1">
        <f t="array" ref="J318">INDEX($A$2:$A$7,I318)</f>
        <v>Segment 6- Self-Conscious Male</v>
      </c>
    </row>
    <row r="319" spans="1:10" x14ac:dyDescent="0.25">
      <c r="A319" s="1">
        <f>'batch tool'!A313</f>
        <v>0</v>
      </c>
      <c r="B319" s="7">
        <f>SUMPRODUCT($C$2:$X$2,'batch tool'!$B313:$W313)+$Y$2</f>
        <v>-49.12272534143483</v>
      </c>
      <c r="C319" s="7">
        <f>SUMPRODUCT($C$3:$X$3,'batch tool'!$B313:$W313)+$Y$3</f>
        <v>-36.514029388465531</v>
      </c>
      <c r="D319" s="7">
        <f>SUMPRODUCT($C$4:$X$4,'batch tool'!$B313:$W313)+$Y$4</f>
        <v>-44.639843068043824</v>
      </c>
      <c r="E319" s="7">
        <f>SUMPRODUCT($C$5:$X$5,'batch tool'!$B313:$W313)+$Y$5</f>
        <v>-51.578889182477603</v>
      </c>
      <c r="F319" s="7">
        <f>SUMPRODUCT($C$6:$X$6,'batch tool'!$B313:$W313)+$Y$6</f>
        <v>-47.741473633885199</v>
      </c>
      <c r="G319" s="7">
        <f>SUMPRODUCT($C$7:$X$7,'batch tool'!$B313:$W313)+$Y$7</f>
        <v>-19.739516238059196</v>
      </c>
      <c r="H319" s="7">
        <f t="shared" si="8"/>
        <v>-19.739516238059196</v>
      </c>
      <c r="I319">
        <f t="shared" si="9"/>
        <v>6</v>
      </c>
      <c r="J319" t="str" cm="1">
        <f t="array" ref="J319">INDEX($A$2:$A$7,I319)</f>
        <v>Segment 6- Self-Conscious Male</v>
      </c>
    </row>
    <row r="320" spans="1:10" x14ac:dyDescent="0.25">
      <c r="A320" s="1">
        <f>'batch tool'!A314</f>
        <v>0</v>
      </c>
      <c r="B320" s="7">
        <f>SUMPRODUCT($C$2:$X$2,'batch tool'!$B314:$W314)+$Y$2</f>
        <v>-49.12272534143483</v>
      </c>
      <c r="C320" s="7">
        <f>SUMPRODUCT($C$3:$X$3,'batch tool'!$B314:$W314)+$Y$3</f>
        <v>-36.514029388465531</v>
      </c>
      <c r="D320" s="7">
        <f>SUMPRODUCT($C$4:$X$4,'batch tool'!$B314:$W314)+$Y$4</f>
        <v>-44.639843068043824</v>
      </c>
      <c r="E320" s="7">
        <f>SUMPRODUCT($C$5:$X$5,'batch tool'!$B314:$W314)+$Y$5</f>
        <v>-51.578889182477603</v>
      </c>
      <c r="F320" s="7">
        <f>SUMPRODUCT($C$6:$X$6,'batch tool'!$B314:$W314)+$Y$6</f>
        <v>-47.741473633885199</v>
      </c>
      <c r="G320" s="7">
        <f>SUMPRODUCT($C$7:$X$7,'batch tool'!$B314:$W314)+$Y$7</f>
        <v>-19.739516238059196</v>
      </c>
      <c r="H320" s="7">
        <f t="shared" si="8"/>
        <v>-19.739516238059196</v>
      </c>
      <c r="I320">
        <f t="shared" si="9"/>
        <v>6</v>
      </c>
      <c r="J320" t="str" cm="1">
        <f t="array" ref="J320">INDEX($A$2:$A$7,I320)</f>
        <v>Segment 6- Self-Conscious Male</v>
      </c>
    </row>
    <row r="321" spans="1:10" x14ac:dyDescent="0.25">
      <c r="A321" s="1">
        <f>'batch tool'!A315</f>
        <v>0</v>
      </c>
      <c r="B321" s="7">
        <f>SUMPRODUCT($C$2:$X$2,'batch tool'!$B315:$W315)+$Y$2</f>
        <v>-49.12272534143483</v>
      </c>
      <c r="C321" s="7">
        <f>SUMPRODUCT($C$3:$X$3,'batch tool'!$B315:$W315)+$Y$3</f>
        <v>-36.514029388465531</v>
      </c>
      <c r="D321" s="7">
        <f>SUMPRODUCT($C$4:$X$4,'batch tool'!$B315:$W315)+$Y$4</f>
        <v>-44.639843068043824</v>
      </c>
      <c r="E321" s="7">
        <f>SUMPRODUCT($C$5:$X$5,'batch tool'!$B315:$W315)+$Y$5</f>
        <v>-51.578889182477603</v>
      </c>
      <c r="F321" s="7">
        <f>SUMPRODUCT($C$6:$X$6,'batch tool'!$B315:$W315)+$Y$6</f>
        <v>-47.741473633885199</v>
      </c>
      <c r="G321" s="7">
        <f>SUMPRODUCT($C$7:$X$7,'batch tool'!$B315:$W315)+$Y$7</f>
        <v>-19.739516238059196</v>
      </c>
      <c r="H321" s="7">
        <f t="shared" si="8"/>
        <v>-19.739516238059196</v>
      </c>
      <c r="I321">
        <f t="shared" si="9"/>
        <v>6</v>
      </c>
      <c r="J321" t="str" cm="1">
        <f t="array" ref="J321">INDEX($A$2:$A$7,I321)</f>
        <v>Segment 6- Self-Conscious Male</v>
      </c>
    </row>
    <row r="322" spans="1:10" x14ac:dyDescent="0.25">
      <c r="A322" s="1">
        <f>'batch tool'!A316</f>
        <v>0</v>
      </c>
      <c r="B322" s="7">
        <f>SUMPRODUCT($C$2:$X$2,'batch tool'!$B316:$W316)+$Y$2</f>
        <v>-49.12272534143483</v>
      </c>
      <c r="C322" s="7">
        <f>SUMPRODUCT($C$3:$X$3,'batch tool'!$B316:$W316)+$Y$3</f>
        <v>-36.514029388465531</v>
      </c>
      <c r="D322" s="7">
        <f>SUMPRODUCT($C$4:$X$4,'batch tool'!$B316:$W316)+$Y$4</f>
        <v>-44.639843068043824</v>
      </c>
      <c r="E322" s="7">
        <f>SUMPRODUCT($C$5:$X$5,'batch tool'!$B316:$W316)+$Y$5</f>
        <v>-51.578889182477603</v>
      </c>
      <c r="F322" s="7">
        <f>SUMPRODUCT($C$6:$X$6,'batch tool'!$B316:$W316)+$Y$6</f>
        <v>-47.741473633885199</v>
      </c>
      <c r="G322" s="7">
        <f>SUMPRODUCT($C$7:$X$7,'batch tool'!$B316:$W316)+$Y$7</f>
        <v>-19.739516238059196</v>
      </c>
      <c r="H322" s="7">
        <f t="shared" si="8"/>
        <v>-19.739516238059196</v>
      </c>
      <c r="I322">
        <f t="shared" si="9"/>
        <v>6</v>
      </c>
      <c r="J322" t="str" cm="1">
        <f t="array" ref="J322">INDEX($A$2:$A$7,I322)</f>
        <v>Segment 6- Self-Conscious Male</v>
      </c>
    </row>
    <row r="323" spans="1:10" x14ac:dyDescent="0.25">
      <c r="A323" s="1">
        <f>'batch tool'!A317</f>
        <v>0</v>
      </c>
      <c r="B323" s="7">
        <f>SUMPRODUCT($C$2:$X$2,'batch tool'!$B317:$W317)+$Y$2</f>
        <v>-49.12272534143483</v>
      </c>
      <c r="C323" s="7">
        <f>SUMPRODUCT($C$3:$X$3,'batch tool'!$B317:$W317)+$Y$3</f>
        <v>-36.514029388465531</v>
      </c>
      <c r="D323" s="7">
        <f>SUMPRODUCT($C$4:$X$4,'batch tool'!$B317:$W317)+$Y$4</f>
        <v>-44.639843068043824</v>
      </c>
      <c r="E323" s="7">
        <f>SUMPRODUCT($C$5:$X$5,'batch tool'!$B317:$W317)+$Y$5</f>
        <v>-51.578889182477603</v>
      </c>
      <c r="F323" s="7">
        <f>SUMPRODUCT($C$6:$X$6,'batch tool'!$B317:$W317)+$Y$6</f>
        <v>-47.741473633885199</v>
      </c>
      <c r="G323" s="7">
        <f>SUMPRODUCT($C$7:$X$7,'batch tool'!$B317:$W317)+$Y$7</f>
        <v>-19.739516238059196</v>
      </c>
      <c r="H323" s="7">
        <f t="shared" si="8"/>
        <v>-19.739516238059196</v>
      </c>
      <c r="I323">
        <f t="shared" si="9"/>
        <v>6</v>
      </c>
      <c r="J323" t="str" cm="1">
        <f t="array" ref="J323">INDEX($A$2:$A$7,I323)</f>
        <v>Segment 6- Self-Conscious Male</v>
      </c>
    </row>
    <row r="324" spans="1:10" x14ac:dyDescent="0.25">
      <c r="A324" s="1">
        <f>'batch tool'!A318</f>
        <v>0</v>
      </c>
      <c r="B324" s="7">
        <f>SUMPRODUCT($C$2:$X$2,'batch tool'!$B318:$W318)+$Y$2</f>
        <v>-49.12272534143483</v>
      </c>
      <c r="C324" s="7">
        <f>SUMPRODUCT($C$3:$X$3,'batch tool'!$B318:$W318)+$Y$3</f>
        <v>-36.514029388465531</v>
      </c>
      <c r="D324" s="7">
        <f>SUMPRODUCT($C$4:$X$4,'batch tool'!$B318:$W318)+$Y$4</f>
        <v>-44.639843068043824</v>
      </c>
      <c r="E324" s="7">
        <f>SUMPRODUCT($C$5:$X$5,'batch tool'!$B318:$W318)+$Y$5</f>
        <v>-51.578889182477603</v>
      </c>
      <c r="F324" s="7">
        <f>SUMPRODUCT($C$6:$X$6,'batch tool'!$B318:$W318)+$Y$6</f>
        <v>-47.741473633885199</v>
      </c>
      <c r="G324" s="7">
        <f>SUMPRODUCT($C$7:$X$7,'batch tool'!$B318:$W318)+$Y$7</f>
        <v>-19.739516238059196</v>
      </c>
      <c r="H324" s="7">
        <f t="shared" si="8"/>
        <v>-19.739516238059196</v>
      </c>
      <c r="I324">
        <f t="shared" si="9"/>
        <v>6</v>
      </c>
      <c r="J324" t="str" cm="1">
        <f t="array" ref="J324">INDEX($A$2:$A$7,I324)</f>
        <v>Segment 6- Self-Conscious Male</v>
      </c>
    </row>
    <row r="325" spans="1:10" x14ac:dyDescent="0.25">
      <c r="A325" s="1">
        <f>'batch tool'!A319</f>
        <v>0</v>
      </c>
      <c r="B325" s="7">
        <f>SUMPRODUCT($C$2:$X$2,'batch tool'!$B319:$W319)+$Y$2</f>
        <v>-49.12272534143483</v>
      </c>
      <c r="C325" s="7">
        <f>SUMPRODUCT($C$3:$X$3,'batch tool'!$B319:$W319)+$Y$3</f>
        <v>-36.514029388465531</v>
      </c>
      <c r="D325" s="7">
        <f>SUMPRODUCT($C$4:$X$4,'batch tool'!$B319:$W319)+$Y$4</f>
        <v>-44.639843068043824</v>
      </c>
      <c r="E325" s="7">
        <f>SUMPRODUCT($C$5:$X$5,'batch tool'!$B319:$W319)+$Y$5</f>
        <v>-51.578889182477603</v>
      </c>
      <c r="F325" s="7">
        <f>SUMPRODUCT($C$6:$X$6,'batch tool'!$B319:$W319)+$Y$6</f>
        <v>-47.741473633885199</v>
      </c>
      <c r="G325" s="7">
        <f>SUMPRODUCT($C$7:$X$7,'batch tool'!$B319:$W319)+$Y$7</f>
        <v>-19.739516238059196</v>
      </c>
      <c r="H325" s="7">
        <f t="shared" si="8"/>
        <v>-19.739516238059196</v>
      </c>
      <c r="I325">
        <f t="shared" si="9"/>
        <v>6</v>
      </c>
      <c r="J325" t="str" cm="1">
        <f t="array" ref="J325">INDEX($A$2:$A$7,I325)</f>
        <v>Segment 6- Self-Conscious Male</v>
      </c>
    </row>
    <row r="326" spans="1:10" x14ac:dyDescent="0.25">
      <c r="A326" s="1">
        <f>'batch tool'!A320</f>
        <v>0</v>
      </c>
      <c r="B326" s="7">
        <f>SUMPRODUCT($C$2:$X$2,'batch tool'!$B320:$W320)+$Y$2</f>
        <v>-49.12272534143483</v>
      </c>
      <c r="C326" s="7">
        <f>SUMPRODUCT($C$3:$X$3,'batch tool'!$B320:$W320)+$Y$3</f>
        <v>-36.514029388465531</v>
      </c>
      <c r="D326" s="7">
        <f>SUMPRODUCT($C$4:$X$4,'batch tool'!$B320:$W320)+$Y$4</f>
        <v>-44.639843068043824</v>
      </c>
      <c r="E326" s="7">
        <f>SUMPRODUCT($C$5:$X$5,'batch tool'!$B320:$W320)+$Y$5</f>
        <v>-51.578889182477603</v>
      </c>
      <c r="F326" s="7">
        <f>SUMPRODUCT($C$6:$X$6,'batch tool'!$B320:$W320)+$Y$6</f>
        <v>-47.741473633885199</v>
      </c>
      <c r="G326" s="7">
        <f>SUMPRODUCT($C$7:$X$7,'batch tool'!$B320:$W320)+$Y$7</f>
        <v>-19.739516238059196</v>
      </c>
      <c r="H326" s="7">
        <f t="shared" si="8"/>
        <v>-19.739516238059196</v>
      </c>
      <c r="I326">
        <f t="shared" si="9"/>
        <v>6</v>
      </c>
      <c r="J326" t="str" cm="1">
        <f t="array" ref="J326">INDEX($A$2:$A$7,I326)</f>
        <v>Segment 6- Self-Conscious Male</v>
      </c>
    </row>
    <row r="327" spans="1:10" x14ac:dyDescent="0.25">
      <c r="A327" s="1">
        <f>'batch tool'!A321</f>
        <v>0</v>
      </c>
      <c r="B327" s="7">
        <f>SUMPRODUCT($C$2:$X$2,'batch tool'!$B321:$W321)+$Y$2</f>
        <v>-49.12272534143483</v>
      </c>
      <c r="C327" s="7">
        <f>SUMPRODUCT($C$3:$X$3,'batch tool'!$B321:$W321)+$Y$3</f>
        <v>-36.514029388465531</v>
      </c>
      <c r="D327" s="7">
        <f>SUMPRODUCT($C$4:$X$4,'batch tool'!$B321:$W321)+$Y$4</f>
        <v>-44.639843068043824</v>
      </c>
      <c r="E327" s="7">
        <f>SUMPRODUCT($C$5:$X$5,'batch tool'!$B321:$W321)+$Y$5</f>
        <v>-51.578889182477603</v>
      </c>
      <c r="F327" s="7">
        <f>SUMPRODUCT($C$6:$X$6,'batch tool'!$B321:$W321)+$Y$6</f>
        <v>-47.741473633885199</v>
      </c>
      <c r="G327" s="7">
        <f>SUMPRODUCT($C$7:$X$7,'batch tool'!$B321:$W321)+$Y$7</f>
        <v>-19.739516238059196</v>
      </c>
      <c r="H327" s="7">
        <f t="shared" si="8"/>
        <v>-19.739516238059196</v>
      </c>
      <c r="I327">
        <f t="shared" si="9"/>
        <v>6</v>
      </c>
      <c r="J327" t="str" cm="1">
        <f t="array" ref="J327">INDEX($A$2:$A$7,I327)</f>
        <v>Segment 6- Self-Conscious Male</v>
      </c>
    </row>
    <row r="328" spans="1:10" x14ac:dyDescent="0.25">
      <c r="A328" s="1">
        <f>'batch tool'!A322</f>
        <v>0</v>
      </c>
      <c r="B328" s="7">
        <f>SUMPRODUCT($C$2:$X$2,'batch tool'!$B322:$W322)+$Y$2</f>
        <v>-49.12272534143483</v>
      </c>
      <c r="C328" s="7">
        <f>SUMPRODUCT($C$3:$X$3,'batch tool'!$B322:$W322)+$Y$3</f>
        <v>-36.514029388465531</v>
      </c>
      <c r="D328" s="7">
        <f>SUMPRODUCT($C$4:$X$4,'batch tool'!$B322:$W322)+$Y$4</f>
        <v>-44.639843068043824</v>
      </c>
      <c r="E328" s="7">
        <f>SUMPRODUCT($C$5:$X$5,'batch tool'!$B322:$W322)+$Y$5</f>
        <v>-51.578889182477603</v>
      </c>
      <c r="F328" s="7">
        <f>SUMPRODUCT($C$6:$X$6,'batch tool'!$B322:$W322)+$Y$6</f>
        <v>-47.741473633885199</v>
      </c>
      <c r="G328" s="7">
        <f>SUMPRODUCT($C$7:$X$7,'batch tool'!$B322:$W322)+$Y$7</f>
        <v>-19.739516238059196</v>
      </c>
      <c r="H328" s="7">
        <f t="shared" si="8"/>
        <v>-19.739516238059196</v>
      </c>
      <c r="I328">
        <f t="shared" si="9"/>
        <v>6</v>
      </c>
      <c r="J328" t="str" cm="1">
        <f t="array" ref="J328">INDEX($A$2:$A$7,I328)</f>
        <v>Segment 6- Self-Conscious Male</v>
      </c>
    </row>
    <row r="329" spans="1:10" x14ac:dyDescent="0.25">
      <c r="A329" s="1">
        <f>'batch tool'!A323</f>
        <v>0</v>
      </c>
      <c r="B329" s="7">
        <f>SUMPRODUCT($C$2:$X$2,'batch tool'!$B323:$W323)+$Y$2</f>
        <v>-49.12272534143483</v>
      </c>
      <c r="C329" s="7">
        <f>SUMPRODUCT($C$3:$X$3,'batch tool'!$B323:$W323)+$Y$3</f>
        <v>-36.514029388465531</v>
      </c>
      <c r="D329" s="7">
        <f>SUMPRODUCT($C$4:$X$4,'batch tool'!$B323:$W323)+$Y$4</f>
        <v>-44.639843068043824</v>
      </c>
      <c r="E329" s="7">
        <f>SUMPRODUCT($C$5:$X$5,'batch tool'!$B323:$W323)+$Y$5</f>
        <v>-51.578889182477603</v>
      </c>
      <c r="F329" s="7">
        <f>SUMPRODUCT($C$6:$X$6,'batch tool'!$B323:$W323)+$Y$6</f>
        <v>-47.741473633885199</v>
      </c>
      <c r="G329" s="7">
        <f>SUMPRODUCT($C$7:$X$7,'batch tool'!$B323:$W323)+$Y$7</f>
        <v>-19.739516238059196</v>
      </c>
      <c r="H329" s="7">
        <f t="shared" si="8"/>
        <v>-19.739516238059196</v>
      </c>
      <c r="I329">
        <f t="shared" si="9"/>
        <v>6</v>
      </c>
      <c r="J329" t="str" cm="1">
        <f t="array" ref="J329">INDEX($A$2:$A$7,I329)</f>
        <v>Segment 6- Self-Conscious Male</v>
      </c>
    </row>
    <row r="330" spans="1:10" x14ac:dyDescent="0.25">
      <c r="A330" s="1">
        <f>'batch tool'!A324</f>
        <v>0</v>
      </c>
      <c r="B330" s="7">
        <f>SUMPRODUCT($C$2:$X$2,'batch tool'!$B324:$W324)+$Y$2</f>
        <v>-49.12272534143483</v>
      </c>
      <c r="C330" s="7">
        <f>SUMPRODUCT($C$3:$X$3,'batch tool'!$B324:$W324)+$Y$3</f>
        <v>-36.514029388465531</v>
      </c>
      <c r="D330" s="7">
        <f>SUMPRODUCT($C$4:$X$4,'batch tool'!$B324:$W324)+$Y$4</f>
        <v>-44.639843068043824</v>
      </c>
      <c r="E330" s="7">
        <f>SUMPRODUCT($C$5:$X$5,'batch tool'!$B324:$W324)+$Y$5</f>
        <v>-51.578889182477603</v>
      </c>
      <c r="F330" s="7">
        <f>SUMPRODUCT($C$6:$X$6,'batch tool'!$B324:$W324)+$Y$6</f>
        <v>-47.741473633885199</v>
      </c>
      <c r="G330" s="7">
        <f>SUMPRODUCT($C$7:$X$7,'batch tool'!$B324:$W324)+$Y$7</f>
        <v>-19.739516238059196</v>
      </c>
      <c r="H330" s="7">
        <f t="shared" si="8"/>
        <v>-19.739516238059196</v>
      </c>
      <c r="I330">
        <f t="shared" si="9"/>
        <v>6</v>
      </c>
      <c r="J330" t="str" cm="1">
        <f t="array" ref="J330">INDEX($A$2:$A$7,I330)</f>
        <v>Segment 6- Self-Conscious Male</v>
      </c>
    </row>
    <row r="331" spans="1:10" x14ac:dyDescent="0.25">
      <c r="A331" s="1">
        <f>'batch tool'!A325</f>
        <v>0</v>
      </c>
      <c r="B331" s="7">
        <f>SUMPRODUCT($C$2:$X$2,'batch tool'!$B325:$W325)+$Y$2</f>
        <v>-49.12272534143483</v>
      </c>
      <c r="C331" s="7">
        <f>SUMPRODUCT($C$3:$X$3,'batch tool'!$B325:$W325)+$Y$3</f>
        <v>-36.514029388465531</v>
      </c>
      <c r="D331" s="7">
        <f>SUMPRODUCT($C$4:$X$4,'batch tool'!$B325:$W325)+$Y$4</f>
        <v>-44.639843068043824</v>
      </c>
      <c r="E331" s="7">
        <f>SUMPRODUCT($C$5:$X$5,'batch tool'!$B325:$W325)+$Y$5</f>
        <v>-51.578889182477603</v>
      </c>
      <c r="F331" s="7">
        <f>SUMPRODUCT($C$6:$X$6,'batch tool'!$B325:$W325)+$Y$6</f>
        <v>-47.741473633885199</v>
      </c>
      <c r="G331" s="7">
        <f>SUMPRODUCT($C$7:$X$7,'batch tool'!$B325:$W325)+$Y$7</f>
        <v>-19.739516238059196</v>
      </c>
      <c r="H331" s="7">
        <f t="shared" ref="H331:H394" si="10">MAX(B331:G331)</f>
        <v>-19.739516238059196</v>
      </c>
      <c r="I331">
        <f t="shared" ref="I331:I394" si="11">MATCH(H331,B331:G331,0)</f>
        <v>6</v>
      </c>
      <c r="J331" t="str" cm="1">
        <f t="array" ref="J331">INDEX($A$2:$A$7,I331)</f>
        <v>Segment 6- Self-Conscious Male</v>
      </c>
    </row>
    <row r="332" spans="1:10" x14ac:dyDescent="0.25">
      <c r="A332" s="1">
        <f>'batch tool'!A326</f>
        <v>0</v>
      </c>
      <c r="B332" s="7">
        <f>SUMPRODUCT($C$2:$X$2,'batch tool'!$B326:$W326)+$Y$2</f>
        <v>-49.12272534143483</v>
      </c>
      <c r="C332" s="7">
        <f>SUMPRODUCT($C$3:$X$3,'batch tool'!$B326:$W326)+$Y$3</f>
        <v>-36.514029388465531</v>
      </c>
      <c r="D332" s="7">
        <f>SUMPRODUCT($C$4:$X$4,'batch tool'!$B326:$W326)+$Y$4</f>
        <v>-44.639843068043824</v>
      </c>
      <c r="E332" s="7">
        <f>SUMPRODUCT($C$5:$X$5,'batch tool'!$B326:$W326)+$Y$5</f>
        <v>-51.578889182477603</v>
      </c>
      <c r="F332" s="7">
        <f>SUMPRODUCT($C$6:$X$6,'batch tool'!$B326:$W326)+$Y$6</f>
        <v>-47.741473633885199</v>
      </c>
      <c r="G332" s="7">
        <f>SUMPRODUCT($C$7:$X$7,'batch tool'!$B326:$W326)+$Y$7</f>
        <v>-19.739516238059196</v>
      </c>
      <c r="H332" s="7">
        <f t="shared" si="10"/>
        <v>-19.739516238059196</v>
      </c>
      <c r="I332">
        <f t="shared" si="11"/>
        <v>6</v>
      </c>
      <c r="J332" t="str" cm="1">
        <f t="array" ref="J332">INDEX($A$2:$A$7,I332)</f>
        <v>Segment 6- Self-Conscious Male</v>
      </c>
    </row>
    <row r="333" spans="1:10" x14ac:dyDescent="0.25">
      <c r="A333" s="1">
        <f>'batch tool'!A327</f>
        <v>0</v>
      </c>
      <c r="B333" s="7">
        <f>SUMPRODUCT($C$2:$X$2,'batch tool'!$B327:$W327)+$Y$2</f>
        <v>-49.12272534143483</v>
      </c>
      <c r="C333" s="7">
        <f>SUMPRODUCT($C$3:$X$3,'batch tool'!$B327:$W327)+$Y$3</f>
        <v>-36.514029388465531</v>
      </c>
      <c r="D333" s="7">
        <f>SUMPRODUCT($C$4:$X$4,'batch tool'!$B327:$W327)+$Y$4</f>
        <v>-44.639843068043824</v>
      </c>
      <c r="E333" s="7">
        <f>SUMPRODUCT($C$5:$X$5,'batch tool'!$B327:$W327)+$Y$5</f>
        <v>-51.578889182477603</v>
      </c>
      <c r="F333" s="7">
        <f>SUMPRODUCT($C$6:$X$6,'batch tool'!$B327:$W327)+$Y$6</f>
        <v>-47.741473633885199</v>
      </c>
      <c r="G333" s="7">
        <f>SUMPRODUCT($C$7:$X$7,'batch tool'!$B327:$W327)+$Y$7</f>
        <v>-19.739516238059196</v>
      </c>
      <c r="H333" s="7">
        <f t="shared" si="10"/>
        <v>-19.739516238059196</v>
      </c>
      <c r="I333">
        <f t="shared" si="11"/>
        <v>6</v>
      </c>
      <c r="J333" t="str" cm="1">
        <f t="array" ref="J333">INDEX($A$2:$A$7,I333)</f>
        <v>Segment 6- Self-Conscious Male</v>
      </c>
    </row>
    <row r="334" spans="1:10" x14ac:dyDescent="0.25">
      <c r="A334" s="1">
        <f>'batch tool'!A328</f>
        <v>0</v>
      </c>
      <c r="B334" s="7">
        <f>SUMPRODUCT($C$2:$X$2,'batch tool'!$B328:$W328)+$Y$2</f>
        <v>-49.12272534143483</v>
      </c>
      <c r="C334" s="7">
        <f>SUMPRODUCT($C$3:$X$3,'batch tool'!$B328:$W328)+$Y$3</f>
        <v>-36.514029388465531</v>
      </c>
      <c r="D334" s="7">
        <f>SUMPRODUCT($C$4:$X$4,'batch tool'!$B328:$W328)+$Y$4</f>
        <v>-44.639843068043824</v>
      </c>
      <c r="E334" s="7">
        <f>SUMPRODUCT($C$5:$X$5,'batch tool'!$B328:$W328)+$Y$5</f>
        <v>-51.578889182477603</v>
      </c>
      <c r="F334" s="7">
        <f>SUMPRODUCT($C$6:$X$6,'batch tool'!$B328:$W328)+$Y$6</f>
        <v>-47.741473633885199</v>
      </c>
      <c r="G334" s="7">
        <f>SUMPRODUCT($C$7:$X$7,'batch tool'!$B328:$W328)+$Y$7</f>
        <v>-19.739516238059196</v>
      </c>
      <c r="H334" s="7">
        <f t="shared" si="10"/>
        <v>-19.739516238059196</v>
      </c>
      <c r="I334">
        <f t="shared" si="11"/>
        <v>6</v>
      </c>
      <c r="J334" t="str" cm="1">
        <f t="array" ref="J334">INDEX($A$2:$A$7,I334)</f>
        <v>Segment 6- Self-Conscious Male</v>
      </c>
    </row>
    <row r="335" spans="1:10" x14ac:dyDescent="0.25">
      <c r="A335" s="1">
        <f>'batch tool'!A329</f>
        <v>0</v>
      </c>
      <c r="B335" s="7">
        <f>SUMPRODUCT($C$2:$X$2,'batch tool'!$B329:$W329)+$Y$2</f>
        <v>-49.12272534143483</v>
      </c>
      <c r="C335" s="7">
        <f>SUMPRODUCT($C$3:$X$3,'batch tool'!$B329:$W329)+$Y$3</f>
        <v>-36.514029388465531</v>
      </c>
      <c r="D335" s="7">
        <f>SUMPRODUCT($C$4:$X$4,'batch tool'!$B329:$W329)+$Y$4</f>
        <v>-44.639843068043824</v>
      </c>
      <c r="E335" s="7">
        <f>SUMPRODUCT($C$5:$X$5,'batch tool'!$B329:$W329)+$Y$5</f>
        <v>-51.578889182477603</v>
      </c>
      <c r="F335" s="7">
        <f>SUMPRODUCT($C$6:$X$6,'batch tool'!$B329:$W329)+$Y$6</f>
        <v>-47.741473633885199</v>
      </c>
      <c r="G335" s="7">
        <f>SUMPRODUCT($C$7:$X$7,'batch tool'!$B329:$W329)+$Y$7</f>
        <v>-19.739516238059196</v>
      </c>
      <c r="H335" s="7">
        <f t="shared" si="10"/>
        <v>-19.739516238059196</v>
      </c>
      <c r="I335">
        <f t="shared" si="11"/>
        <v>6</v>
      </c>
      <c r="J335" t="str" cm="1">
        <f t="array" ref="J335">INDEX($A$2:$A$7,I335)</f>
        <v>Segment 6- Self-Conscious Male</v>
      </c>
    </row>
    <row r="336" spans="1:10" x14ac:dyDescent="0.25">
      <c r="A336" s="1">
        <f>'batch tool'!A330</f>
        <v>0</v>
      </c>
      <c r="B336" s="7">
        <f>SUMPRODUCT($C$2:$X$2,'batch tool'!$B330:$W330)+$Y$2</f>
        <v>-49.12272534143483</v>
      </c>
      <c r="C336" s="7">
        <f>SUMPRODUCT($C$3:$X$3,'batch tool'!$B330:$W330)+$Y$3</f>
        <v>-36.514029388465531</v>
      </c>
      <c r="D336" s="7">
        <f>SUMPRODUCT($C$4:$X$4,'batch tool'!$B330:$W330)+$Y$4</f>
        <v>-44.639843068043824</v>
      </c>
      <c r="E336" s="7">
        <f>SUMPRODUCT($C$5:$X$5,'batch tool'!$B330:$W330)+$Y$5</f>
        <v>-51.578889182477603</v>
      </c>
      <c r="F336" s="7">
        <f>SUMPRODUCT($C$6:$X$6,'batch tool'!$B330:$W330)+$Y$6</f>
        <v>-47.741473633885199</v>
      </c>
      <c r="G336" s="7">
        <f>SUMPRODUCT($C$7:$X$7,'batch tool'!$B330:$W330)+$Y$7</f>
        <v>-19.739516238059196</v>
      </c>
      <c r="H336" s="7">
        <f t="shared" si="10"/>
        <v>-19.739516238059196</v>
      </c>
      <c r="I336">
        <f t="shared" si="11"/>
        <v>6</v>
      </c>
      <c r="J336" t="str" cm="1">
        <f t="array" ref="J336">INDEX($A$2:$A$7,I336)</f>
        <v>Segment 6- Self-Conscious Male</v>
      </c>
    </row>
    <row r="337" spans="1:10" x14ac:dyDescent="0.25">
      <c r="A337" s="1">
        <f>'batch tool'!A331</f>
        <v>0</v>
      </c>
      <c r="B337" s="7">
        <f>SUMPRODUCT($C$2:$X$2,'batch tool'!$B331:$W331)+$Y$2</f>
        <v>-49.12272534143483</v>
      </c>
      <c r="C337" s="7">
        <f>SUMPRODUCT($C$3:$X$3,'batch tool'!$B331:$W331)+$Y$3</f>
        <v>-36.514029388465531</v>
      </c>
      <c r="D337" s="7">
        <f>SUMPRODUCT($C$4:$X$4,'batch tool'!$B331:$W331)+$Y$4</f>
        <v>-44.639843068043824</v>
      </c>
      <c r="E337" s="7">
        <f>SUMPRODUCT($C$5:$X$5,'batch tool'!$B331:$W331)+$Y$5</f>
        <v>-51.578889182477603</v>
      </c>
      <c r="F337" s="7">
        <f>SUMPRODUCT($C$6:$X$6,'batch tool'!$B331:$W331)+$Y$6</f>
        <v>-47.741473633885199</v>
      </c>
      <c r="G337" s="7">
        <f>SUMPRODUCT($C$7:$X$7,'batch tool'!$B331:$W331)+$Y$7</f>
        <v>-19.739516238059196</v>
      </c>
      <c r="H337" s="7">
        <f t="shared" si="10"/>
        <v>-19.739516238059196</v>
      </c>
      <c r="I337">
        <f t="shared" si="11"/>
        <v>6</v>
      </c>
      <c r="J337" t="str" cm="1">
        <f t="array" ref="J337">INDEX($A$2:$A$7,I337)</f>
        <v>Segment 6- Self-Conscious Male</v>
      </c>
    </row>
    <row r="338" spans="1:10" x14ac:dyDescent="0.25">
      <c r="A338" s="1">
        <f>'batch tool'!A332</f>
        <v>0</v>
      </c>
      <c r="B338" s="7">
        <f>SUMPRODUCT($C$2:$X$2,'batch tool'!$B332:$W332)+$Y$2</f>
        <v>-49.12272534143483</v>
      </c>
      <c r="C338" s="7">
        <f>SUMPRODUCT($C$3:$X$3,'batch tool'!$B332:$W332)+$Y$3</f>
        <v>-36.514029388465531</v>
      </c>
      <c r="D338" s="7">
        <f>SUMPRODUCT($C$4:$X$4,'batch tool'!$B332:$W332)+$Y$4</f>
        <v>-44.639843068043824</v>
      </c>
      <c r="E338" s="7">
        <f>SUMPRODUCT($C$5:$X$5,'batch tool'!$B332:$W332)+$Y$5</f>
        <v>-51.578889182477603</v>
      </c>
      <c r="F338" s="7">
        <f>SUMPRODUCT($C$6:$X$6,'batch tool'!$B332:$W332)+$Y$6</f>
        <v>-47.741473633885199</v>
      </c>
      <c r="G338" s="7">
        <f>SUMPRODUCT($C$7:$X$7,'batch tool'!$B332:$W332)+$Y$7</f>
        <v>-19.739516238059196</v>
      </c>
      <c r="H338" s="7">
        <f t="shared" si="10"/>
        <v>-19.739516238059196</v>
      </c>
      <c r="I338">
        <f t="shared" si="11"/>
        <v>6</v>
      </c>
      <c r="J338" t="str" cm="1">
        <f t="array" ref="J338">INDEX($A$2:$A$7,I338)</f>
        <v>Segment 6- Self-Conscious Male</v>
      </c>
    </row>
    <row r="339" spans="1:10" x14ac:dyDescent="0.25">
      <c r="A339" s="1">
        <f>'batch tool'!A333</f>
        <v>0</v>
      </c>
      <c r="B339" s="7">
        <f>SUMPRODUCT($C$2:$X$2,'batch tool'!$B333:$W333)+$Y$2</f>
        <v>-49.12272534143483</v>
      </c>
      <c r="C339" s="7">
        <f>SUMPRODUCT($C$3:$X$3,'batch tool'!$B333:$W333)+$Y$3</f>
        <v>-36.514029388465531</v>
      </c>
      <c r="D339" s="7">
        <f>SUMPRODUCT($C$4:$X$4,'batch tool'!$B333:$W333)+$Y$4</f>
        <v>-44.639843068043824</v>
      </c>
      <c r="E339" s="7">
        <f>SUMPRODUCT($C$5:$X$5,'batch tool'!$B333:$W333)+$Y$5</f>
        <v>-51.578889182477603</v>
      </c>
      <c r="F339" s="7">
        <f>SUMPRODUCT($C$6:$X$6,'batch tool'!$B333:$W333)+$Y$6</f>
        <v>-47.741473633885199</v>
      </c>
      <c r="G339" s="7">
        <f>SUMPRODUCT($C$7:$X$7,'batch tool'!$B333:$W333)+$Y$7</f>
        <v>-19.739516238059196</v>
      </c>
      <c r="H339" s="7">
        <f t="shared" si="10"/>
        <v>-19.739516238059196</v>
      </c>
      <c r="I339">
        <f t="shared" si="11"/>
        <v>6</v>
      </c>
      <c r="J339" t="str" cm="1">
        <f t="array" ref="J339">INDEX($A$2:$A$7,I339)</f>
        <v>Segment 6- Self-Conscious Male</v>
      </c>
    </row>
    <row r="340" spans="1:10" x14ac:dyDescent="0.25">
      <c r="A340" s="1">
        <f>'batch tool'!A334</f>
        <v>0</v>
      </c>
      <c r="B340" s="7">
        <f>SUMPRODUCT($C$2:$X$2,'batch tool'!$B334:$W334)+$Y$2</f>
        <v>-49.12272534143483</v>
      </c>
      <c r="C340" s="7">
        <f>SUMPRODUCT($C$3:$X$3,'batch tool'!$B334:$W334)+$Y$3</f>
        <v>-36.514029388465531</v>
      </c>
      <c r="D340" s="7">
        <f>SUMPRODUCT($C$4:$X$4,'batch tool'!$B334:$W334)+$Y$4</f>
        <v>-44.639843068043824</v>
      </c>
      <c r="E340" s="7">
        <f>SUMPRODUCT($C$5:$X$5,'batch tool'!$B334:$W334)+$Y$5</f>
        <v>-51.578889182477603</v>
      </c>
      <c r="F340" s="7">
        <f>SUMPRODUCT($C$6:$X$6,'batch tool'!$B334:$W334)+$Y$6</f>
        <v>-47.741473633885199</v>
      </c>
      <c r="G340" s="7">
        <f>SUMPRODUCT($C$7:$X$7,'batch tool'!$B334:$W334)+$Y$7</f>
        <v>-19.739516238059196</v>
      </c>
      <c r="H340" s="7">
        <f t="shared" si="10"/>
        <v>-19.739516238059196</v>
      </c>
      <c r="I340">
        <f t="shared" si="11"/>
        <v>6</v>
      </c>
      <c r="J340" t="str" cm="1">
        <f t="array" ref="J340">INDEX($A$2:$A$7,I340)</f>
        <v>Segment 6- Self-Conscious Male</v>
      </c>
    </row>
    <row r="341" spans="1:10" x14ac:dyDescent="0.25">
      <c r="A341" s="1">
        <f>'batch tool'!A335</f>
        <v>0</v>
      </c>
      <c r="B341" s="7">
        <f>SUMPRODUCT($C$2:$X$2,'batch tool'!$B335:$W335)+$Y$2</f>
        <v>-49.12272534143483</v>
      </c>
      <c r="C341" s="7">
        <f>SUMPRODUCT($C$3:$X$3,'batch tool'!$B335:$W335)+$Y$3</f>
        <v>-36.514029388465531</v>
      </c>
      <c r="D341" s="7">
        <f>SUMPRODUCT($C$4:$X$4,'batch tool'!$B335:$W335)+$Y$4</f>
        <v>-44.639843068043824</v>
      </c>
      <c r="E341" s="7">
        <f>SUMPRODUCT($C$5:$X$5,'batch tool'!$B335:$W335)+$Y$5</f>
        <v>-51.578889182477603</v>
      </c>
      <c r="F341" s="7">
        <f>SUMPRODUCT($C$6:$X$6,'batch tool'!$B335:$W335)+$Y$6</f>
        <v>-47.741473633885199</v>
      </c>
      <c r="G341" s="7">
        <f>SUMPRODUCT($C$7:$X$7,'batch tool'!$B335:$W335)+$Y$7</f>
        <v>-19.739516238059196</v>
      </c>
      <c r="H341" s="7">
        <f t="shared" si="10"/>
        <v>-19.739516238059196</v>
      </c>
      <c r="I341">
        <f t="shared" si="11"/>
        <v>6</v>
      </c>
      <c r="J341" t="str" cm="1">
        <f t="array" ref="J341">INDEX($A$2:$A$7,I341)</f>
        <v>Segment 6- Self-Conscious Male</v>
      </c>
    </row>
    <row r="342" spans="1:10" x14ac:dyDescent="0.25">
      <c r="A342" s="1">
        <f>'batch tool'!A336</f>
        <v>0</v>
      </c>
      <c r="B342" s="7">
        <f>SUMPRODUCT($C$2:$X$2,'batch tool'!$B336:$W336)+$Y$2</f>
        <v>-49.12272534143483</v>
      </c>
      <c r="C342" s="7">
        <f>SUMPRODUCT($C$3:$X$3,'batch tool'!$B336:$W336)+$Y$3</f>
        <v>-36.514029388465531</v>
      </c>
      <c r="D342" s="7">
        <f>SUMPRODUCT($C$4:$X$4,'batch tool'!$B336:$W336)+$Y$4</f>
        <v>-44.639843068043824</v>
      </c>
      <c r="E342" s="7">
        <f>SUMPRODUCT($C$5:$X$5,'batch tool'!$B336:$W336)+$Y$5</f>
        <v>-51.578889182477603</v>
      </c>
      <c r="F342" s="7">
        <f>SUMPRODUCT($C$6:$X$6,'batch tool'!$B336:$W336)+$Y$6</f>
        <v>-47.741473633885199</v>
      </c>
      <c r="G342" s="7">
        <f>SUMPRODUCT($C$7:$X$7,'batch tool'!$B336:$W336)+$Y$7</f>
        <v>-19.739516238059196</v>
      </c>
      <c r="H342" s="7">
        <f t="shared" si="10"/>
        <v>-19.739516238059196</v>
      </c>
      <c r="I342">
        <f t="shared" si="11"/>
        <v>6</v>
      </c>
      <c r="J342" t="str" cm="1">
        <f t="array" ref="J342">INDEX($A$2:$A$7,I342)</f>
        <v>Segment 6- Self-Conscious Male</v>
      </c>
    </row>
    <row r="343" spans="1:10" x14ac:dyDescent="0.25">
      <c r="A343" s="1">
        <f>'batch tool'!A337</f>
        <v>0</v>
      </c>
      <c r="B343" s="7">
        <f>SUMPRODUCT($C$2:$X$2,'batch tool'!$B337:$W337)+$Y$2</f>
        <v>-49.12272534143483</v>
      </c>
      <c r="C343" s="7">
        <f>SUMPRODUCT($C$3:$X$3,'batch tool'!$B337:$W337)+$Y$3</f>
        <v>-36.514029388465531</v>
      </c>
      <c r="D343" s="7">
        <f>SUMPRODUCT($C$4:$X$4,'batch tool'!$B337:$W337)+$Y$4</f>
        <v>-44.639843068043824</v>
      </c>
      <c r="E343" s="7">
        <f>SUMPRODUCT($C$5:$X$5,'batch tool'!$B337:$W337)+$Y$5</f>
        <v>-51.578889182477603</v>
      </c>
      <c r="F343" s="7">
        <f>SUMPRODUCT($C$6:$X$6,'batch tool'!$B337:$W337)+$Y$6</f>
        <v>-47.741473633885199</v>
      </c>
      <c r="G343" s="7">
        <f>SUMPRODUCT($C$7:$X$7,'batch tool'!$B337:$W337)+$Y$7</f>
        <v>-19.739516238059196</v>
      </c>
      <c r="H343" s="7">
        <f t="shared" si="10"/>
        <v>-19.739516238059196</v>
      </c>
      <c r="I343">
        <f t="shared" si="11"/>
        <v>6</v>
      </c>
      <c r="J343" t="str" cm="1">
        <f t="array" ref="J343">INDEX($A$2:$A$7,I343)</f>
        <v>Segment 6- Self-Conscious Male</v>
      </c>
    </row>
    <row r="344" spans="1:10" x14ac:dyDescent="0.25">
      <c r="A344" s="1">
        <f>'batch tool'!A338</f>
        <v>0</v>
      </c>
      <c r="B344" s="7">
        <f>SUMPRODUCT($C$2:$X$2,'batch tool'!$B338:$W338)+$Y$2</f>
        <v>-49.12272534143483</v>
      </c>
      <c r="C344" s="7">
        <f>SUMPRODUCT($C$3:$X$3,'batch tool'!$B338:$W338)+$Y$3</f>
        <v>-36.514029388465531</v>
      </c>
      <c r="D344" s="7">
        <f>SUMPRODUCT($C$4:$X$4,'batch tool'!$B338:$W338)+$Y$4</f>
        <v>-44.639843068043824</v>
      </c>
      <c r="E344" s="7">
        <f>SUMPRODUCT($C$5:$X$5,'batch tool'!$B338:$W338)+$Y$5</f>
        <v>-51.578889182477603</v>
      </c>
      <c r="F344" s="7">
        <f>SUMPRODUCT($C$6:$X$6,'batch tool'!$B338:$W338)+$Y$6</f>
        <v>-47.741473633885199</v>
      </c>
      <c r="G344" s="7">
        <f>SUMPRODUCT($C$7:$X$7,'batch tool'!$B338:$W338)+$Y$7</f>
        <v>-19.739516238059196</v>
      </c>
      <c r="H344" s="7">
        <f t="shared" si="10"/>
        <v>-19.739516238059196</v>
      </c>
      <c r="I344">
        <f t="shared" si="11"/>
        <v>6</v>
      </c>
      <c r="J344" t="str" cm="1">
        <f t="array" ref="J344">INDEX($A$2:$A$7,I344)</f>
        <v>Segment 6- Self-Conscious Male</v>
      </c>
    </row>
    <row r="345" spans="1:10" x14ac:dyDescent="0.25">
      <c r="A345" s="1">
        <f>'batch tool'!A339</f>
        <v>0</v>
      </c>
      <c r="B345" s="7">
        <f>SUMPRODUCT($C$2:$X$2,'batch tool'!$B339:$W339)+$Y$2</f>
        <v>-49.12272534143483</v>
      </c>
      <c r="C345" s="7">
        <f>SUMPRODUCT($C$3:$X$3,'batch tool'!$B339:$W339)+$Y$3</f>
        <v>-36.514029388465531</v>
      </c>
      <c r="D345" s="7">
        <f>SUMPRODUCT($C$4:$X$4,'batch tool'!$B339:$W339)+$Y$4</f>
        <v>-44.639843068043824</v>
      </c>
      <c r="E345" s="7">
        <f>SUMPRODUCT($C$5:$X$5,'batch tool'!$B339:$W339)+$Y$5</f>
        <v>-51.578889182477603</v>
      </c>
      <c r="F345" s="7">
        <f>SUMPRODUCT($C$6:$X$6,'batch tool'!$B339:$W339)+$Y$6</f>
        <v>-47.741473633885199</v>
      </c>
      <c r="G345" s="7">
        <f>SUMPRODUCT($C$7:$X$7,'batch tool'!$B339:$W339)+$Y$7</f>
        <v>-19.739516238059196</v>
      </c>
      <c r="H345" s="7">
        <f t="shared" si="10"/>
        <v>-19.739516238059196</v>
      </c>
      <c r="I345">
        <f t="shared" si="11"/>
        <v>6</v>
      </c>
      <c r="J345" t="str" cm="1">
        <f t="array" ref="J345">INDEX($A$2:$A$7,I345)</f>
        <v>Segment 6- Self-Conscious Male</v>
      </c>
    </row>
    <row r="346" spans="1:10" x14ac:dyDescent="0.25">
      <c r="A346" s="1">
        <f>'batch tool'!A340</f>
        <v>0</v>
      </c>
      <c r="B346" s="7">
        <f>SUMPRODUCT($C$2:$X$2,'batch tool'!$B340:$W340)+$Y$2</f>
        <v>-49.12272534143483</v>
      </c>
      <c r="C346" s="7">
        <f>SUMPRODUCT($C$3:$X$3,'batch tool'!$B340:$W340)+$Y$3</f>
        <v>-36.514029388465531</v>
      </c>
      <c r="D346" s="7">
        <f>SUMPRODUCT($C$4:$X$4,'batch tool'!$B340:$W340)+$Y$4</f>
        <v>-44.639843068043824</v>
      </c>
      <c r="E346" s="7">
        <f>SUMPRODUCT($C$5:$X$5,'batch tool'!$B340:$W340)+$Y$5</f>
        <v>-51.578889182477603</v>
      </c>
      <c r="F346" s="7">
        <f>SUMPRODUCT($C$6:$X$6,'batch tool'!$B340:$W340)+$Y$6</f>
        <v>-47.741473633885199</v>
      </c>
      <c r="G346" s="7">
        <f>SUMPRODUCT($C$7:$X$7,'batch tool'!$B340:$W340)+$Y$7</f>
        <v>-19.739516238059196</v>
      </c>
      <c r="H346" s="7">
        <f t="shared" si="10"/>
        <v>-19.739516238059196</v>
      </c>
      <c r="I346">
        <f t="shared" si="11"/>
        <v>6</v>
      </c>
      <c r="J346" t="str" cm="1">
        <f t="array" ref="J346">INDEX($A$2:$A$7,I346)</f>
        <v>Segment 6- Self-Conscious Male</v>
      </c>
    </row>
    <row r="347" spans="1:10" x14ac:dyDescent="0.25">
      <c r="A347" s="1">
        <f>'batch tool'!A341</f>
        <v>0</v>
      </c>
      <c r="B347" s="7">
        <f>SUMPRODUCT($C$2:$X$2,'batch tool'!$B341:$W341)+$Y$2</f>
        <v>-49.12272534143483</v>
      </c>
      <c r="C347" s="7">
        <f>SUMPRODUCT($C$3:$X$3,'batch tool'!$B341:$W341)+$Y$3</f>
        <v>-36.514029388465531</v>
      </c>
      <c r="D347" s="7">
        <f>SUMPRODUCT($C$4:$X$4,'batch tool'!$B341:$W341)+$Y$4</f>
        <v>-44.639843068043824</v>
      </c>
      <c r="E347" s="7">
        <f>SUMPRODUCT($C$5:$X$5,'batch tool'!$B341:$W341)+$Y$5</f>
        <v>-51.578889182477603</v>
      </c>
      <c r="F347" s="7">
        <f>SUMPRODUCT($C$6:$X$6,'batch tool'!$B341:$W341)+$Y$6</f>
        <v>-47.741473633885199</v>
      </c>
      <c r="G347" s="7">
        <f>SUMPRODUCT($C$7:$X$7,'batch tool'!$B341:$W341)+$Y$7</f>
        <v>-19.739516238059196</v>
      </c>
      <c r="H347" s="7">
        <f t="shared" si="10"/>
        <v>-19.739516238059196</v>
      </c>
      <c r="I347">
        <f t="shared" si="11"/>
        <v>6</v>
      </c>
      <c r="J347" t="str" cm="1">
        <f t="array" ref="J347">INDEX($A$2:$A$7,I347)</f>
        <v>Segment 6- Self-Conscious Male</v>
      </c>
    </row>
    <row r="348" spans="1:10" x14ac:dyDescent="0.25">
      <c r="A348" s="1">
        <f>'batch tool'!A342</f>
        <v>0</v>
      </c>
      <c r="B348" s="7">
        <f>SUMPRODUCT($C$2:$X$2,'batch tool'!$B342:$W342)+$Y$2</f>
        <v>-49.12272534143483</v>
      </c>
      <c r="C348" s="7">
        <f>SUMPRODUCT($C$3:$X$3,'batch tool'!$B342:$W342)+$Y$3</f>
        <v>-36.514029388465531</v>
      </c>
      <c r="D348" s="7">
        <f>SUMPRODUCT($C$4:$X$4,'batch tool'!$B342:$W342)+$Y$4</f>
        <v>-44.639843068043824</v>
      </c>
      <c r="E348" s="7">
        <f>SUMPRODUCT($C$5:$X$5,'batch tool'!$B342:$W342)+$Y$5</f>
        <v>-51.578889182477603</v>
      </c>
      <c r="F348" s="7">
        <f>SUMPRODUCT($C$6:$X$6,'batch tool'!$B342:$W342)+$Y$6</f>
        <v>-47.741473633885199</v>
      </c>
      <c r="G348" s="7">
        <f>SUMPRODUCT($C$7:$X$7,'batch tool'!$B342:$W342)+$Y$7</f>
        <v>-19.739516238059196</v>
      </c>
      <c r="H348" s="7">
        <f t="shared" si="10"/>
        <v>-19.739516238059196</v>
      </c>
      <c r="I348">
        <f t="shared" si="11"/>
        <v>6</v>
      </c>
      <c r="J348" t="str" cm="1">
        <f t="array" ref="J348">INDEX($A$2:$A$7,I348)</f>
        <v>Segment 6- Self-Conscious Male</v>
      </c>
    </row>
    <row r="349" spans="1:10" x14ac:dyDescent="0.25">
      <c r="A349" s="1">
        <f>'batch tool'!A343</f>
        <v>0</v>
      </c>
      <c r="B349" s="7">
        <f>SUMPRODUCT($C$2:$X$2,'batch tool'!$B343:$W343)+$Y$2</f>
        <v>-49.12272534143483</v>
      </c>
      <c r="C349" s="7">
        <f>SUMPRODUCT($C$3:$X$3,'batch tool'!$B343:$W343)+$Y$3</f>
        <v>-36.514029388465531</v>
      </c>
      <c r="D349" s="7">
        <f>SUMPRODUCT($C$4:$X$4,'batch tool'!$B343:$W343)+$Y$4</f>
        <v>-44.639843068043824</v>
      </c>
      <c r="E349" s="7">
        <f>SUMPRODUCT($C$5:$X$5,'batch tool'!$B343:$W343)+$Y$5</f>
        <v>-51.578889182477603</v>
      </c>
      <c r="F349" s="7">
        <f>SUMPRODUCT($C$6:$X$6,'batch tool'!$B343:$W343)+$Y$6</f>
        <v>-47.741473633885199</v>
      </c>
      <c r="G349" s="7">
        <f>SUMPRODUCT($C$7:$X$7,'batch tool'!$B343:$W343)+$Y$7</f>
        <v>-19.739516238059196</v>
      </c>
      <c r="H349" s="7">
        <f t="shared" si="10"/>
        <v>-19.739516238059196</v>
      </c>
      <c r="I349">
        <f t="shared" si="11"/>
        <v>6</v>
      </c>
      <c r="J349" t="str" cm="1">
        <f t="array" ref="J349">INDEX($A$2:$A$7,I349)</f>
        <v>Segment 6- Self-Conscious Male</v>
      </c>
    </row>
    <row r="350" spans="1:10" x14ac:dyDescent="0.25">
      <c r="A350" s="1">
        <f>'batch tool'!A344</f>
        <v>0</v>
      </c>
      <c r="B350" s="7">
        <f>SUMPRODUCT($C$2:$X$2,'batch tool'!$B344:$W344)+$Y$2</f>
        <v>-49.12272534143483</v>
      </c>
      <c r="C350" s="7">
        <f>SUMPRODUCT($C$3:$X$3,'batch tool'!$B344:$W344)+$Y$3</f>
        <v>-36.514029388465531</v>
      </c>
      <c r="D350" s="7">
        <f>SUMPRODUCT($C$4:$X$4,'batch tool'!$B344:$W344)+$Y$4</f>
        <v>-44.639843068043824</v>
      </c>
      <c r="E350" s="7">
        <f>SUMPRODUCT($C$5:$X$5,'batch tool'!$B344:$W344)+$Y$5</f>
        <v>-51.578889182477603</v>
      </c>
      <c r="F350" s="7">
        <f>SUMPRODUCT($C$6:$X$6,'batch tool'!$B344:$W344)+$Y$6</f>
        <v>-47.741473633885199</v>
      </c>
      <c r="G350" s="7">
        <f>SUMPRODUCT($C$7:$X$7,'batch tool'!$B344:$W344)+$Y$7</f>
        <v>-19.739516238059196</v>
      </c>
      <c r="H350" s="7">
        <f t="shared" si="10"/>
        <v>-19.739516238059196</v>
      </c>
      <c r="I350">
        <f t="shared" si="11"/>
        <v>6</v>
      </c>
      <c r="J350" t="str" cm="1">
        <f t="array" ref="J350">INDEX($A$2:$A$7,I350)</f>
        <v>Segment 6- Self-Conscious Male</v>
      </c>
    </row>
    <row r="351" spans="1:10" x14ac:dyDescent="0.25">
      <c r="A351" s="1">
        <f>'batch tool'!A345</f>
        <v>0</v>
      </c>
      <c r="B351" s="7">
        <f>SUMPRODUCT($C$2:$X$2,'batch tool'!$B345:$W345)+$Y$2</f>
        <v>-49.12272534143483</v>
      </c>
      <c r="C351" s="7">
        <f>SUMPRODUCT($C$3:$X$3,'batch tool'!$B345:$W345)+$Y$3</f>
        <v>-36.514029388465531</v>
      </c>
      <c r="D351" s="7">
        <f>SUMPRODUCT($C$4:$X$4,'batch tool'!$B345:$W345)+$Y$4</f>
        <v>-44.639843068043824</v>
      </c>
      <c r="E351" s="7">
        <f>SUMPRODUCT($C$5:$X$5,'batch tool'!$B345:$W345)+$Y$5</f>
        <v>-51.578889182477603</v>
      </c>
      <c r="F351" s="7">
        <f>SUMPRODUCT($C$6:$X$6,'batch tool'!$B345:$W345)+$Y$6</f>
        <v>-47.741473633885199</v>
      </c>
      <c r="G351" s="7">
        <f>SUMPRODUCT($C$7:$X$7,'batch tool'!$B345:$W345)+$Y$7</f>
        <v>-19.739516238059196</v>
      </c>
      <c r="H351" s="7">
        <f t="shared" si="10"/>
        <v>-19.739516238059196</v>
      </c>
      <c r="I351">
        <f t="shared" si="11"/>
        <v>6</v>
      </c>
      <c r="J351" t="str" cm="1">
        <f t="array" ref="J351">INDEX($A$2:$A$7,I351)</f>
        <v>Segment 6- Self-Conscious Male</v>
      </c>
    </row>
    <row r="352" spans="1:10" x14ac:dyDescent="0.25">
      <c r="A352" s="1">
        <f>'batch tool'!A346</f>
        <v>0</v>
      </c>
      <c r="B352" s="7">
        <f>SUMPRODUCT($C$2:$X$2,'batch tool'!$B346:$W346)+$Y$2</f>
        <v>-49.12272534143483</v>
      </c>
      <c r="C352" s="7">
        <f>SUMPRODUCT($C$3:$X$3,'batch tool'!$B346:$W346)+$Y$3</f>
        <v>-36.514029388465531</v>
      </c>
      <c r="D352" s="7">
        <f>SUMPRODUCT($C$4:$X$4,'batch tool'!$B346:$W346)+$Y$4</f>
        <v>-44.639843068043824</v>
      </c>
      <c r="E352" s="7">
        <f>SUMPRODUCT($C$5:$X$5,'batch tool'!$B346:$W346)+$Y$5</f>
        <v>-51.578889182477603</v>
      </c>
      <c r="F352" s="7">
        <f>SUMPRODUCT($C$6:$X$6,'batch tool'!$B346:$W346)+$Y$6</f>
        <v>-47.741473633885199</v>
      </c>
      <c r="G352" s="7">
        <f>SUMPRODUCT($C$7:$X$7,'batch tool'!$B346:$W346)+$Y$7</f>
        <v>-19.739516238059196</v>
      </c>
      <c r="H352" s="7">
        <f t="shared" si="10"/>
        <v>-19.739516238059196</v>
      </c>
      <c r="I352">
        <f t="shared" si="11"/>
        <v>6</v>
      </c>
      <c r="J352" t="str" cm="1">
        <f t="array" ref="J352">INDEX($A$2:$A$7,I352)</f>
        <v>Segment 6- Self-Conscious Male</v>
      </c>
    </row>
    <row r="353" spans="1:10" x14ac:dyDescent="0.25">
      <c r="A353" s="1">
        <f>'batch tool'!A347</f>
        <v>0</v>
      </c>
      <c r="B353" s="7">
        <f>SUMPRODUCT($C$2:$X$2,'batch tool'!$B347:$W347)+$Y$2</f>
        <v>-49.12272534143483</v>
      </c>
      <c r="C353" s="7">
        <f>SUMPRODUCT($C$3:$X$3,'batch tool'!$B347:$W347)+$Y$3</f>
        <v>-36.514029388465531</v>
      </c>
      <c r="D353" s="7">
        <f>SUMPRODUCT($C$4:$X$4,'batch tool'!$B347:$W347)+$Y$4</f>
        <v>-44.639843068043824</v>
      </c>
      <c r="E353" s="7">
        <f>SUMPRODUCT($C$5:$X$5,'batch tool'!$B347:$W347)+$Y$5</f>
        <v>-51.578889182477603</v>
      </c>
      <c r="F353" s="7">
        <f>SUMPRODUCT($C$6:$X$6,'batch tool'!$B347:$W347)+$Y$6</f>
        <v>-47.741473633885199</v>
      </c>
      <c r="G353" s="7">
        <f>SUMPRODUCT($C$7:$X$7,'batch tool'!$B347:$W347)+$Y$7</f>
        <v>-19.739516238059196</v>
      </c>
      <c r="H353" s="7">
        <f t="shared" si="10"/>
        <v>-19.739516238059196</v>
      </c>
      <c r="I353">
        <f t="shared" si="11"/>
        <v>6</v>
      </c>
      <c r="J353" t="str" cm="1">
        <f t="array" ref="J353">INDEX($A$2:$A$7,I353)</f>
        <v>Segment 6- Self-Conscious Male</v>
      </c>
    </row>
    <row r="354" spans="1:10" x14ac:dyDescent="0.25">
      <c r="A354" s="1">
        <f>'batch tool'!A348</f>
        <v>0</v>
      </c>
      <c r="B354" s="7">
        <f>SUMPRODUCT($C$2:$X$2,'batch tool'!$B348:$W348)+$Y$2</f>
        <v>-49.12272534143483</v>
      </c>
      <c r="C354" s="7">
        <f>SUMPRODUCT($C$3:$X$3,'batch tool'!$B348:$W348)+$Y$3</f>
        <v>-36.514029388465531</v>
      </c>
      <c r="D354" s="7">
        <f>SUMPRODUCT($C$4:$X$4,'batch tool'!$B348:$W348)+$Y$4</f>
        <v>-44.639843068043824</v>
      </c>
      <c r="E354" s="7">
        <f>SUMPRODUCT($C$5:$X$5,'batch tool'!$B348:$W348)+$Y$5</f>
        <v>-51.578889182477603</v>
      </c>
      <c r="F354" s="7">
        <f>SUMPRODUCT($C$6:$X$6,'batch tool'!$B348:$W348)+$Y$6</f>
        <v>-47.741473633885199</v>
      </c>
      <c r="G354" s="7">
        <f>SUMPRODUCT($C$7:$X$7,'batch tool'!$B348:$W348)+$Y$7</f>
        <v>-19.739516238059196</v>
      </c>
      <c r="H354" s="7">
        <f t="shared" si="10"/>
        <v>-19.739516238059196</v>
      </c>
      <c r="I354">
        <f t="shared" si="11"/>
        <v>6</v>
      </c>
      <c r="J354" t="str" cm="1">
        <f t="array" ref="J354">INDEX($A$2:$A$7,I354)</f>
        <v>Segment 6- Self-Conscious Male</v>
      </c>
    </row>
    <row r="355" spans="1:10" x14ac:dyDescent="0.25">
      <c r="A355" s="1">
        <f>'batch tool'!A349</f>
        <v>0</v>
      </c>
      <c r="B355" s="7">
        <f>SUMPRODUCT($C$2:$X$2,'batch tool'!$B349:$W349)+$Y$2</f>
        <v>-49.12272534143483</v>
      </c>
      <c r="C355" s="7">
        <f>SUMPRODUCT($C$3:$X$3,'batch tool'!$B349:$W349)+$Y$3</f>
        <v>-36.514029388465531</v>
      </c>
      <c r="D355" s="7">
        <f>SUMPRODUCT($C$4:$X$4,'batch tool'!$B349:$W349)+$Y$4</f>
        <v>-44.639843068043824</v>
      </c>
      <c r="E355" s="7">
        <f>SUMPRODUCT($C$5:$X$5,'batch tool'!$B349:$W349)+$Y$5</f>
        <v>-51.578889182477603</v>
      </c>
      <c r="F355" s="7">
        <f>SUMPRODUCT($C$6:$X$6,'batch tool'!$B349:$W349)+$Y$6</f>
        <v>-47.741473633885199</v>
      </c>
      <c r="G355" s="7">
        <f>SUMPRODUCT($C$7:$X$7,'batch tool'!$B349:$W349)+$Y$7</f>
        <v>-19.739516238059196</v>
      </c>
      <c r="H355" s="7">
        <f t="shared" si="10"/>
        <v>-19.739516238059196</v>
      </c>
      <c r="I355">
        <f t="shared" si="11"/>
        <v>6</v>
      </c>
      <c r="J355" t="str" cm="1">
        <f t="array" ref="J355">INDEX($A$2:$A$7,I355)</f>
        <v>Segment 6- Self-Conscious Male</v>
      </c>
    </row>
    <row r="356" spans="1:10" x14ac:dyDescent="0.25">
      <c r="A356" s="1">
        <f>'batch tool'!A350</f>
        <v>0</v>
      </c>
      <c r="B356" s="7">
        <f>SUMPRODUCT($C$2:$X$2,'batch tool'!$B350:$W350)+$Y$2</f>
        <v>-49.12272534143483</v>
      </c>
      <c r="C356" s="7">
        <f>SUMPRODUCT($C$3:$X$3,'batch tool'!$B350:$W350)+$Y$3</f>
        <v>-36.514029388465531</v>
      </c>
      <c r="D356" s="7">
        <f>SUMPRODUCT($C$4:$X$4,'batch tool'!$B350:$W350)+$Y$4</f>
        <v>-44.639843068043824</v>
      </c>
      <c r="E356" s="7">
        <f>SUMPRODUCT($C$5:$X$5,'batch tool'!$B350:$W350)+$Y$5</f>
        <v>-51.578889182477603</v>
      </c>
      <c r="F356" s="7">
        <f>SUMPRODUCT($C$6:$X$6,'batch tool'!$B350:$W350)+$Y$6</f>
        <v>-47.741473633885199</v>
      </c>
      <c r="G356" s="7">
        <f>SUMPRODUCT($C$7:$X$7,'batch tool'!$B350:$W350)+$Y$7</f>
        <v>-19.739516238059196</v>
      </c>
      <c r="H356" s="7">
        <f t="shared" si="10"/>
        <v>-19.739516238059196</v>
      </c>
      <c r="I356">
        <f t="shared" si="11"/>
        <v>6</v>
      </c>
      <c r="J356" t="str" cm="1">
        <f t="array" ref="J356">INDEX($A$2:$A$7,I356)</f>
        <v>Segment 6- Self-Conscious Male</v>
      </c>
    </row>
    <row r="357" spans="1:10" x14ac:dyDescent="0.25">
      <c r="A357" s="1">
        <f>'batch tool'!A351</f>
        <v>0</v>
      </c>
      <c r="B357" s="7">
        <f>SUMPRODUCT($C$2:$X$2,'batch tool'!$B351:$W351)+$Y$2</f>
        <v>-49.12272534143483</v>
      </c>
      <c r="C357" s="7">
        <f>SUMPRODUCT($C$3:$X$3,'batch tool'!$B351:$W351)+$Y$3</f>
        <v>-36.514029388465531</v>
      </c>
      <c r="D357" s="7">
        <f>SUMPRODUCT($C$4:$X$4,'batch tool'!$B351:$W351)+$Y$4</f>
        <v>-44.639843068043824</v>
      </c>
      <c r="E357" s="7">
        <f>SUMPRODUCT($C$5:$X$5,'batch tool'!$B351:$W351)+$Y$5</f>
        <v>-51.578889182477603</v>
      </c>
      <c r="F357" s="7">
        <f>SUMPRODUCT($C$6:$X$6,'batch tool'!$B351:$W351)+$Y$6</f>
        <v>-47.741473633885199</v>
      </c>
      <c r="G357" s="7">
        <f>SUMPRODUCT($C$7:$X$7,'batch tool'!$B351:$W351)+$Y$7</f>
        <v>-19.739516238059196</v>
      </c>
      <c r="H357" s="7">
        <f t="shared" si="10"/>
        <v>-19.739516238059196</v>
      </c>
      <c r="I357">
        <f t="shared" si="11"/>
        <v>6</v>
      </c>
      <c r="J357" t="str" cm="1">
        <f t="array" ref="J357">INDEX($A$2:$A$7,I357)</f>
        <v>Segment 6- Self-Conscious Male</v>
      </c>
    </row>
    <row r="358" spans="1:10" x14ac:dyDescent="0.25">
      <c r="A358" s="1">
        <f>'batch tool'!A352</f>
        <v>0</v>
      </c>
      <c r="B358" s="7">
        <f>SUMPRODUCT($C$2:$X$2,'batch tool'!$B352:$W352)+$Y$2</f>
        <v>-49.12272534143483</v>
      </c>
      <c r="C358" s="7">
        <f>SUMPRODUCT($C$3:$X$3,'batch tool'!$B352:$W352)+$Y$3</f>
        <v>-36.514029388465531</v>
      </c>
      <c r="D358" s="7">
        <f>SUMPRODUCT($C$4:$X$4,'batch tool'!$B352:$W352)+$Y$4</f>
        <v>-44.639843068043824</v>
      </c>
      <c r="E358" s="7">
        <f>SUMPRODUCT($C$5:$X$5,'batch tool'!$B352:$W352)+$Y$5</f>
        <v>-51.578889182477603</v>
      </c>
      <c r="F358" s="7">
        <f>SUMPRODUCT($C$6:$X$6,'batch tool'!$B352:$W352)+$Y$6</f>
        <v>-47.741473633885199</v>
      </c>
      <c r="G358" s="7">
        <f>SUMPRODUCT($C$7:$X$7,'batch tool'!$B352:$W352)+$Y$7</f>
        <v>-19.739516238059196</v>
      </c>
      <c r="H358" s="7">
        <f t="shared" si="10"/>
        <v>-19.739516238059196</v>
      </c>
      <c r="I358">
        <f t="shared" si="11"/>
        <v>6</v>
      </c>
      <c r="J358" t="str" cm="1">
        <f t="array" ref="J358">INDEX($A$2:$A$7,I358)</f>
        <v>Segment 6- Self-Conscious Male</v>
      </c>
    </row>
    <row r="359" spans="1:10" x14ac:dyDescent="0.25">
      <c r="A359" s="1">
        <f>'batch tool'!A353</f>
        <v>0</v>
      </c>
      <c r="B359" s="7">
        <f>SUMPRODUCT($C$2:$X$2,'batch tool'!$B353:$W353)+$Y$2</f>
        <v>-49.12272534143483</v>
      </c>
      <c r="C359" s="7">
        <f>SUMPRODUCT($C$3:$X$3,'batch tool'!$B353:$W353)+$Y$3</f>
        <v>-36.514029388465531</v>
      </c>
      <c r="D359" s="7">
        <f>SUMPRODUCT($C$4:$X$4,'batch tool'!$B353:$W353)+$Y$4</f>
        <v>-44.639843068043824</v>
      </c>
      <c r="E359" s="7">
        <f>SUMPRODUCT($C$5:$X$5,'batch tool'!$B353:$W353)+$Y$5</f>
        <v>-51.578889182477603</v>
      </c>
      <c r="F359" s="7">
        <f>SUMPRODUCT($C$6:$X$6,'batch tool'!$B353:$W353)+$Y$6</f>
        <v>-47.741473633885199</v>
      </c>
      <c r="G359" s="7">
        <f>SUMPRODUCT($C$7:$X$7,'batch tool'!$B353:$W353)+$Y$7</f>
        <v>-19.739516238059196</v>
      </c>
      <c r="H359" s="7">
        <f t="shared" si="10"/>
        <v>-19.739516238059196</v>
      </c>
      <c r="I359">
        <f t="shared" si="11"/>
        <v>6</v>
      </c>
      <c r="J359" t="str" cm="1">
        <f t="array" ref="J359">INDEX($A$2:$A$7,I359)</f>
        <v>Segment 6- Self-Conscious Male</v>
      </c>
    </row>
    <row r="360" spans="1:10" x14ac:dyDescent="0.25">
      <c r="A360" s="1">
        <f>'batch tool'!A354</f>
        <v>0</v>
      </c>
      <c r="B360" s="7">
        <f>SUMPRODUCT($C$2:$X$2,'batch tool'!$B354:$W354)+$Y$2</f>
        <v>-49.12272534143483</v>
      </c>
      <c r="C360" s="7">
        <f>SUMPRODUCT($C$3:$X$3,'batch tool'!$B354:$W354)+$Y$3</f>
        <v>-36.514029388465531</v>
      </c>
      <c r="D360" s="7">
        <f>SUMPRODUCT($C$4:$X$4,'batch tool'!$B354:$W354)+$Y$4</f>
        <v>-44.639843068043824</v>
      </c>
      <c r="E360" s="7">
        <f>SUMPRODUCT($C$5:$X$5,'batch tool'!$B354:$W354)+$Y$5</f>
        <v>-51.578889182477603</v>
      </c>
      <c r="F360" s="7">
        <f>SUMPRODUCT($C$6:$X$6,'batch tool'!$B354:$W354)+$Y$6</f>
        <v>-47.741473633885199</v>
      </c>
      <c r="G360" s="7">
        <f>SUMPRODUCT($C$7:$X$7,'batch tool'!$B354:$W354)+$Y$7</f>
        <v>-19.739516238059196</v>
      </c>
      <c r="H360" s="7">
        <f t="shared" si="10"/>
        <v>-19.739516238059196</v>
      </c>
      <c r="I360">
        <f t="shared" si="11"/>
        <v>6</v>
      </c>
      <c r="J360" t="str" cm="1">
        <f t="array" ref="J360">INDEX($A$2:$A$7,I360)</f>
        <v>Segment 6- Self-Conscious Male</v>
      </c>
    </row>
    <row r="361" spans="1:10" x14ac:dyDescent="0.25">
      <c r="A361" s="1">
        <f>'batch tool'!A355</f>
        <v>0</v>
      </c>
      <c r="B361" s="7">
        <f>SUMPRODUCT($C$2:$X$2,'batch tool'!$B355:$W355)+$Y$2</f>
        <v>-49.12272534143483</v>
      </c>
      <c r="C361" s="7">
        <f>SUMPRODUCT($C$3:$X$3,'batch tool'!$B355:$W355)+$Y$3</f>
        <v>-36.514029388465531</v>
      </c>
      <c r="D361" s="7">
        <f>SUMPRODUCT($C$4:$X$4,'batch tool'!$B355:$W355)+$Y$4</f>
        <v>-44.639843068043824</v>
      </c>
      <c r="E361" s="7">
        <f>SUMPRODUCT($C$5:$X$5,'batch tool'!$B355:$W355)+$Y$5</f>
        <v>-51.578889182477603</v>
      </c>
      <c r="F361" s="7">
        <f>SUMPRODUCT($C$6:$X$6,'batch tool'!$B355:$W355)+$Y$6</f>
        <v>-47.741473633885199</v>
      </c>
      <c r="G361" s="7">
        <f>SUMPRODUCT($C$7:$X$7,'batch tool'!$B355:$W355)+$Y$7</f>
        <v>-19.739516238059196</v>
      </c>
      <c r="H361" s="7">
        <f t="shared" si="10"/>
        <v>-19.739516238059196</v>
      </c>
      <c r="I361">
        <f t="shared" si="11"/>
        <v>6</v>
      </c>
      <c r="J361" t="str" cm="1">
        <f t="array" ref="J361">INDEX($A$2:$A$7,I361)</f>
        <v>Segment 6- Self-Conscious Male</v>
      </c>
    </row>
    <row r="362" spans="1:10" x14ac:dyDescent="0.25">
      <c r="A362" s="1">
        <f>'batch tool'!A356</f>
        <v>0</v>
      </c>
      <c r="B362" s="7">
        <f>SUMPRODUCT($C$2:$X$2,'batch tool'!$B356:$W356)+$Y$2</f>
        <v>-49.12272534143483</v>
      </c>
      <c r="C362" s="7">
        <f>SUMPRODUCT($C$3:$X$3,'batch tool'!$B356:$W356)+$Y$3</f>
        <v>-36.514029388465531</v>
      </c>
      <c r="D362" s="7">
        <f>SUMPRODUCT($C$4:$X$4,'batch tool'!$B356:$W356)+$Y$4</f>
        <v>-44.639843068043824</v>
      </c>
      <c r="E362" s="7">
        <f>SUMPRODUCT($C$5:$X$5,'batch tool'!$B356:$W356)+$Y$5</f>
        <v>-51.578889182477603</v>
      </c>
      <c r="F362" s="7">
        <f>SUMPRODUCT($C$6:$X$6,'batch tool'!$B356:$W356)+$Y$6</f>
        <v>-47.741473633885199</v>
      </c>
      <c r="G362" s="7">
        <f>SUMPRODUCT($C$7:$X$7,'batch tool'!$B356:$W356)+$Y$7</f>
        <v>-19.739516238059196</v>
      </c>
      <c r="H362" s="7">
        <f t="shared" si="10"/>
        <v>-19.739516238059196</v>
      </c>
      <c r="I362">
        <f t="shared" si="11"/>
        <v>6</v>
      </c>
      <c r="J362" t="str" cm="1">
        <f t="array" ref="J362">INDEX($A$2:$A$7,I362)</f>
        <v>Segment 6- Self-Conscious Male</v>
      </c>
    </row>
    <row r="363" spans="1:10" x14ac:dyDescent="0.25">
      <c r="A363" s="1">
        <f>'batch tool'!A357</f>
        <v>0</v>
      </c>
      <c r="B363" s="7">
        <f>SUMPRODUCT($C$2:$X$2,'batch tool'!$B357:$W357)+$Y$2</f>
        <v>-49.12272534143483</v>
      </c>
      <c r="C363" s="7">
        <f>SUMPRODUCT($C$3:$X$3,'batch tool'!$B357:$W357)+$Y$3</f>
        <v>-36.514029388465531</v>
      </c>
      <c r="D363" s="7">
        <f>SUMPRODUCT($C$4:$X$4,'batch tool'!$B357:$W357)+$Y$4</f>
        <v>-44.639843068043824</v>
      </c>
      <c r="E363" s="7">
        <f>SUMPRODUCT($C$5:$X$5,'batch tool'!$B357:$W357)+$Y$5</f>
        <v>-51.578889182477603</v>
      </c>
      <c r="F363" s="7">
        <f>SUMPRODUCT($C$6:$X$6,'batch tool'!$B357:$W357)+$Y$6</f>
        <v>-47.741473633885199</v>
      </c>
      <c r="G363" s="7">
        <f>SUMPRODUCT($C$7:$X$7,'batch tool'!$B357:$W357)+$Y$7</f>
        <v>-19.739516238059196</v>
      </c>
      <c r="H363" s="7">
        <f t="shared" si="10"/>
        <v>-19.739516238059196</v>
      </c>
      <c r="I363">
        <f t="shared" si="11"/>
        <v>6</v>
      </c>
      <c r="J363" t="str" cm="1">
        <f t="array" ref="J363">INDEX($A$2:$A$7,I363)</f>
        <v>Segment 6- Self-Conscious Male</v>
      </c>
    </row>
    <row r="364" spans="1:10" x14ac:dyDescent="0.25">
      <c r="A364" s="1">
        <f>'batch tool'!A358</f>
        <v>0</v>
      </c>
      <c r="B364" s="7">
        <f>SUMPRODUCT($C$2:$X$2,'batch tool'!$B358:$W358)+$Y$2</f>
        <v>-49.12272534143483</v>
      </c>
      <c r="C364" s="7">
        <f>SUMPRODUCT($C$3:$X$3,'batch tool'!$B358:$W358)+$Y$3</f>
        <v>-36.514029388465531</v>
      </c>
      <c r="D364" s="7">
        <f>SUMPRODUCT($C$4:$X$4,'batch tool'!$B358:$W358)+$Y$4</f>
        <v>-44.639843068043824</v>
      </c>
      <c r="E364" s="7">
        <f>SUMPRODUCT($C$5:$X$5,'batch tool'!$B358:$W358)+$Y$5</f>
        <v>-51.578889182477603</v>
      </c>
      <c r="F364" s="7">
        <f>SUMPRODUCT($C$6:$X$6,'batch tool'!$B358:$W358)+$Y$6</f>
        <v>-47.741473633885199</v>
      </c>
      <c r="G364" s="7">
        <f>SUMPRODUCT($C$7:$X$7,'batch tool'!$B358:$W358)+$Y$7</f>
        <v>-19.739516238059196</v>
      </c>
      <c r="H364" s="7">
        <f t="shared" si="10"/>
        <v>-19.739516238059196</v>
      </c>
      <c r="I364">
        <f t="shared" si="11"/>
        <v>6</v>
      </c>
      <c r="J364" t="str" cm="1">
        <f t="array" ref="J364">INDEX($A$2:$A$7,I364)</f>
        <v>Segment 6- Self-Conscious Male</v>
      </c>
    </row>
    <row r="365" spans="1:10" x14ac:dyDescent="0.25">
      <c r="A365" s="1">
        <f>'batch tool'!A359</f>
        <v>0</v>
      </c>
      <c r="B365" s="7">
        <f>SUMPRODUCT($C$2:$X$2,'batch tool'!$B359:$W359)+$Y$2</f>
        <v>-49.12272534143483</v>
      </c>
      <c r="C365" s="7">
        <f>SUMPRODUCT($C$3:$X$3,'batch tool'!$B359:$W359)+$Y$3</f>
        <v>-36.514029388465531</v>
      </c>
      <c r="D365" s="7">
        <f>SUMPRODUCT($C$4:$X$4,'batch tool'!$B359:$W359)+$Y$4</f>
        <v>-44.639843068043824</v>
      </c>
      <c r="E365" s="7">
        <f>SUMPRODUCT($C$5:$X$5,'batch tool'!$B359:$W359)+$Y$5</f>
        <v>-51.578889182477603</v>
      </c>
      <c r="F365" s="7">
        <f>SUMPRODUCT($C$6:$X$6,'batch tool'!$B359:$W359)+$Y$6</f>
        <v>-47.741473633885199</v>
      </c>
      <c r="G365" s="7">
        <f>SUMPRODUCT($C$7:$X$7,'batch tool'!$B359:$W359)+$Y$7</f>
        <v>-19.739516238059196</v>
      </c>
      <c r="H365" s="7">
        <f t="shared" si="10"/>
        <v>-19.739516238059196</v>
      </c>
      <c r="I365">
        <f t="shared" si="11"/>
        <v>6</v>
      </c>
      <c r="J365" t="str" cm="1">
        <f t="array" ref="J365">INDEX($A$2:$A$7,I365)</f>
        <v>Segment 6- Self-Conscious Male</v>
      </c>
    </row>
    <row r="366" spans="1:10" x14ac:dyDescent="0.25">
      <c r="A366" s="1">
        <f>'batch tool'!A360</f>
        <v>0</v>
      </c>
      <c r="B366" s="7">
        <f>SUMPRODUCT($C$2:$X$2,'batch tool'!$B360:$W360)+$Y$2</f>
        <v>-49.12272534143483</v>
      </c>
      <c r="C366" s="7">
        <f>SUMPRODUCT($C$3:$X$3,'batch tool'!$B360:$W360)+$Y$3</f>
        <v>-36.514029388465531</v>
      </c>
      <c r="D366" s="7">
        <f>SUMPRODUCT($C$4:$X$4,'batch tool'!$B360:$W360)+$Y$4</f>
        <v>-44.639843068043824</v>
      </c>
      <c r="E366" s="7">
        <f>SUMPRODUCT($C$5:$X$5,'batch tool'!$B360:$W360)+$Y$5</f>
        <v>-51.578889182477603</v>
      </c>
      <c r="F366" s="7">
        <f>SUMPRODUCT($C$6:$X$6,'batch tool'!$B360:$W360)+$Y$6</f>
        <v>-47.741473633885199</v>
      </c>
      <c r="G366" s="7">
        <f>SUMPRODUCT($C$7:$X$7,'batch tool'!$B360:$W360)+$Y$7</f>
        <v>-19.739516238059196</v>
      </c>
      <c r="H366" s="7">
        <f t="shared" si="10"/>
        <v>-19.739516238059196</v>
      </c>
      <c r="I366">
        <f t="shared" si="11"/>
        <v>6</v>
      </c>
      <c r="J366" t="str" cm="1">
        <f t="array" ref="J366">INDEX($A$2:$A$7,I366)</f>
        <v>Segment 6- Self-Conscious Male</v>
      </c>
    </row>
    <row r="367" spans="1:10" x14ac:dyDescent="0.25">
      <c r="A367" s="1">
        <f>'batch tool'!A361</f>
        <v>0</v>
      </c>
      <c r="B367" s="7">
        <f>SUMPRODUCT($C$2:$X$2,'batch tool'!$B361:$W361)+$Y$2</f>
        <v>-49.12272534143483</v>
      </c>
      <c r="C367" s="7">
        <f>SUMPRODUCT($C$3:$X$3,'batch tool'!$B361:$W361)+$Y$3</f>
        <v>-36.514029388465531</v>
      </c>
      <c r="D367" s="7">
        <f>SUMPRODUCT($C$4:$X$4,'batch tool'!$B361:$W361)+$Y$4</f>
        <v>-44.639843068043824</v>
      </c>
      <c r="E367" s="7">
        <f>SUMPRODUCT($C$5:$X$5,'batch tool'!$B361:$W361)+$Y$5</f>
        <v>-51.578889182477603</v>
      </c>
      <c r="F367" s="7">
        <f>SUMPRODUCT($C$6:$X$6,'batch tool'!$B361:$W361)+$Y$6</f>
        <v>-47.741473633885199</v>
      </c>
      <c r="G367" s="7">
        <f>SUMPRODUCT($C$7:$X$7,'batch tool'!$B361:$W361)+$Y$7</f>
        <v>-19.739516238059196</v>
      </c>
      <c r="H367" s="7">
        <f t="shared" si="10"/>
        <v>-19.739516238059196</v>
      </c>
      <c r="I367">
        <f t="shared" si="11"/>
        <v>6</v>
      </c>
      <c r="J367" t="str" cm="1">
        <f t="array" ref="J367">INDEX($A$2:$A$7,I367)</f>
        <v>Segment 6- Self-Conscious Male</v>
      </c>
    </row>
    <row r="368" spans="1:10" x14ac:dyDescent="0.25">
      <c r="A368" s="1">
        <f>'batch tool'!A362</f>
        <v>0</v>
      </c>
      <c r="B368" s="7">
        <f>SUMPRODUCT($C$2:$X$2,'batch tool'!$B362:$W362)+$Y$2</f>
        <v>-49.12272534143483</v>
      </c>
      <c r="C368" s="7">
        <f>SUMPRODUCT($C$3:$X$3,'batch tool'!$B362:$W362)+$Y$3</f>
        <v>-36.514029388465531</v>
      </c>
      <c r="D368" s="7">
        <f>SUMPRODUCT($C$4:$X$4,'batch tool'!$B362:$W362)+$Y$4</f>
        <v>-44.639843068043824</v>
      </c>
      <c r="E368" s="7">
        <f>SUMPRODUCT($C$5:$X$5,'batch tool'!$B362:$W362)+$Y$5</f>
        <v>-51.578889182477603</v>
      </c>
      <c r="F368" s="7">
        <f>SUMPRODUCT($C$6:$X$6,'batch tool'!$B362:$W362)+$Y$6</f>
        <v>-47.741473633885199</v>
      </c>
      <c r="G368" s="7">
        <f>SUMPRODUCT($C$7:$X$7,'batch tool'!$B362:$W362)+$Y$7</f>
        <v>-19.739516238059196</v>
      </c>
      <c r="H368" s="7">
        <f t="shared" si="10"/>
        <v>-19.739516238059196</v>
      </c>
      <c r="I368">
        <f t="shared" si="11"/>
        <v>6</v>
      </c>
      <c r="J368" t="str" cm="1">
        <f t="array" ref="J368">INDEX($A$2:$A$7,I368)</f>
        <v>Segment 6- Self-Conscious Male</v>
      </c>
    </row>
    <row r="369" spans="1:10" x14ac:dyDescent="0.25">
      <c r="A369" s="1">
        <f>'batch tool'!A363</f>
        <v>0</v>
      </c>
      <c r="B369" s="7">
        <f>SUMPRODUCT($C$2:$X$2,'batch tool'!$B363:$W363)+$Y$2</f>
        <v>-49.12272534143483</v>
      </c>
      <c r="C369" s="7">
        <f>SUMPRODUCT($C$3:$X$3,'batch tool'!$B363:$W363)+$Y$3</f>
        <v>-36.514029388465531</v>
      </c>
      <c r="D369" s="7">
        <f>SUMPRODUCT($C$4:$X$4,'batch tool'!$B363:$W363)+$Y$4</f>
        <v>-44.639843068043824</v>
      </c>
      <c r="E369" s="7">
        <f>SUMPRODUCT($C$5:$X$5,'batch tool'!$B363:$W363)+$Y$5</f>
        <v>-51.578889182477603</v>
      </c>
      <c r="F369" s="7">
        <f>SUMPRODUCT($C$6:$X$6,'batch tool'!$B363:$W363)+$Y$6</f>
        <v>-47.741473633885199</v>
      </c>
      <c r="G369" s="7">
        <f>SUMPRODUCT($C$7:$X$7,'batch tool'!$B363:$W363)+$Y$7</f>
        <v>-19.739516238059196</v>
      </c>
      <c r="H369" s="7">
        <f t="shared" si="10"/>
        <v>-19.739516238059196</v>
      </c>
      <c r="I369">
        <f t="shared" si="11"/>
        <v>6</v>
      </c>
      <c r="J369" t="str" cm="1">
        <f t="array" ref="J369">INDEX($A$2:$A$7,I369)</f>
        <v>Segment 6- Self-Conscious Male</v>
      </c>
    </row>
    <row r="370" spans="1:10" x14ac:dyDescent="0.25">
      <c r="A370" s="1">
        <f>'batch tool'!A364</f>
        <v>0</v>
      </c>
      <c r="B370" s="7">
        <f>SUMPRODUCT($C$2:$X$2,'batch tool'!$B364:$W364)+$Y$2</f>
        <v>-49.12272534143483</v>
      </c>
      <c r="C370" s="7">
        <f>SUMPRODUCT($C$3:$X$3,'batch tool'!$B364:$W364)+$Y$3</f>
        <v>-36.514029388465531</v>
      </c>
      <c r="D370" s="7">
        <f>SUMPRODUCT($C$4:$X$4,'batch tool'!$B364:$W364)+$Y$4</f>
        <v>-44.639843068043824</v>
      </c>
      <c r="E370" s="7">
        <f>SUMPRODUCT($C$5:$X$5,'batch tool'!$B364:$W364)+$Y$5</f>
        <v>-51.578889182477603</v>
      </c>
      <c r="F370" s="7">
        <f>SUMPRODUCT($C$6:$X$6,'batch tool'!$B364:$W364)+$Y$6</f>
        <v>-47.741473633885199</v>
      </c>
      <c r="G370" s="7">
        <f>SUMPRODUCT($C$7:$X$7,'batch tool'!$B364:$W364)+$Y$7</f>
        <v>-19.739516238059196</v>
      </c>
      <c r="H370" s="7">
        <f t="shared" si="10"/>
        <v>-19.739516238059196</v>
      </c>
      <c r="I370">
        <f t="shared" si="11"/>
        <v>6</v>
      </c>
      <c r="J370" t="str" cm="1">
        <f t="array" ref="J370">INDEX($A$2:$A$7,I370)</f>
        <v>Segment 6- Self-Conscious Male</v>
      </c>
    </row>
    <row r="371" spans="1:10" x14ac:dyDescent="0.25">
      <c r="A371" s="1">
        <f>'batch tool'!A365</f>
        <v>0</v>
      </c>
      <c r="B371" s="7">
        <f>SUMPRODUCT($C$2:$X$2,'batch tool'!$B365:$W365)+$Y$2</f>
        <v>-49.12272534143483</v>
      </c>
      <c r="C371" s="7">
        <f>SUMPRODUCT($C$3:$X$3,'batch tool'!$B365:$W365)+$Y$3</f>
        <v>-36.514029388465531</v>
      </c>
      <c r="D371" s="7">
        <f>SUMPRODUCT($C$4:$X$4,'batch tool'!$B365:$W365)+$Y$4</f>
        <v>-44.639843068043824</v>
      </c>
      <c r="E371" s="7">
        <f>SUMPRODUCT($C$5:$X$5,'batch tool'!$B365:$W365)+$Y$5</f>
        <v>-51.578889182477603</v>
      </c>
      <c r="F371" s="7">
        <f>SUMPRODUCT($C$6:$X$6,'batch tool'!$B365:$W365)+$Y$6</f>
        <v>-47.741473633885199</v>
      </c>
      <c r="G371" s="7">
        <f>SUMPRODUCT($C$7:$X$7,'batch tool'!$B365:$W365)+$Y$7</f>
        <v>-19.739516238059196</v>
      </c>
      <c r="H371" s="7">
        <f t="shared" si="10"/>
        <v>-19.739516238059196</v>
      </c>
      <c r="I371">
        <f t="shared" si="11"/>
        <v>6</v>
      </c>
      <c r="J371" t="str" cm="1">
        <f t="array" ref="J371">INDEX($A$2:$A$7,I371)</f>
        <v>Segment 6- Self-Conscious Male</v>
      </c>
    </row>
    <row r="372" spans="1:10" x14ac:dyDescent="0.25">
      <c r="A372" s="1">
        <f>'batch tool'!A366</f>
        <v>0</v>
      </c>
      <c r="B372" s="7">
        <f>SUMPRODUCT($C$2:$X$2,'batch tool'!$B366:$W366)+$Y$2</f>
        <v>-49.12272534143483</v>
      </c>
      <c r="C372" s="7">
        <f>SUMPRODUCT($C$3:$X$3,'batch tool'!$B366:$W366)+$Y$3</f>
        <v>-36.514029388465531</v>
      </c>
      <c r="D372" s="7">
        <f>SUMPRODUCT($C$4:$X$4,'batch tool'!$B366:$W366)+$Y$4</f>
        <v>-44.639843068043824</v>
      </c>
      <c r="E372" s="7">
        <f>SUMPRODUCT($C$5:$X$5,'batch tool'!$B366:$W366)+$Y$5</f>
        <v>-51.578889182477603</v>
      </c>
      <c r="F372" s="7">
        <f>SUMPRODUCT($C$6:$X$6,'batch tool'!$B366:$W366)+$Y$6</f>
        <v>-47.741473633885199</v>
      </c>
      <c r="G372" s="7">
        <f>SUMPRODUCT($C$7:$X$7,'batch tool'!$B366:$W366)+$Y$7</f>
        <v>-19.739516238059196</v>
      </c>
      <c r="H372" s="7">
        <f t="shared" si="10"/>
        <v>-19.739516238059196</v>
      </c>
      <c r="I372">
        <f t="shared" si="11"/>
        <v>6</v>
      </c>
      <c r="J372" t="str" cm="1">
        <f t="array" ref="J372">INDEX($A$2:$A$7,I372)</f>
        <v>Segment 6- Self-Conscious Male</v>
      </c>
    </row>
    <row r="373" spans="1:10" x14ac:dyDescent="0.25">
      <c r="A373" s="1">
        <f>'batch tool'!A367</f>
        <v>0</v>
      </c>
      <c r="B373" s="7">
        <f>SUMPRODUCT($C$2:$X$2,'batch tool'!$B367:$W367)+$Y$2</f>
        <v>-49.12272534143483</v>
      </c>
      <c r="C373" s="7">
        <f>SUMPRODUCT($C$3:$X$3,'batch tool'!$B367:$W367)+$Y$3</f>
        <v>-36.514029388465531</v>
      </c>
      <c r="D373" s="7">
        <f>SUMPRODUCT($C$4:$X$4,'batch tool'!$B367:$W367)+$Y$4</f>
        <v>-44.639843068043824</v>
      </c>
      <c r="E373" s="7">
        <f>SUMPRODUCT($C$5:$X$5,'batch tool'!$B367:$W367)+$Y$5</f>
        <v>-51.578889182477603</v>
      </c>
      <c r="F373" s="7">
        <f>SUMPRODUCT($C$6:$X$6,'batch tool'!$B367:$W367)+$Y$6</f>
        <v>-47.741473633885199</v>
      </c>
      <c r="G373" s="7">
        <f>SUMPRODUCT($C$7:$X$7,'batch tool'!$B367:$W367)+$Y$7</f>
        <v>-19.739516238059196</v>
      </c>
      <c r="H373" s="7">
        <f t="shared" si="10"/>
        <v>-19.739516238059196</v>
      </c>
      <c r="I373">
        <f t="shared" si="11"/>
        <v>6</v>
      </c>
      <c r="J373" t="str" cm="1">
        <f t="array" ref="J373">INDEX($A$2:$A$7,I373)</f>
        <v>Segment 6- Self-Conscious Male</v>
      </c>
    </row>
    <row r="374" spans="1:10" x14ac:dyDescent="0.25">
      <c r="A374" s="1">
        <f>'batch tool'!A368</f>
        <v>0</v>
      </c>
      <c r="B374" s="7">
        <f>SUMPRODUCT($C$2:$X$2,'batch tool'!$B368:$W368)+$Y$2</f>
        <v>-49.12272534143483</v>
      </c>
      <c r="C374" s="7">
        <f>SUMPRODUCT($C$3:$X$3,'batch tool'!$B368:$W368)+$Y$3</f>
        <v>-36.514029388465531</v>
      </c>
      <c r="D374" s="7">
        <f>SUMPRODUCT($C$4:$X$4,'batch tool'!$B368:$W368)+$Y$4</f>
        <v>-44.639843068043824</v>
      </c>
      <c r="E374" s="7">
        <f>SUMPRODUCT($C$5:$X$5,'batch tool'!$B368:$W368)+$Y$5</f>
        <v>-51.578889182477603</v>
      </c>
      <c r="F374" s="7">
        <f>SUMPRODUCT($C$6:$X$6,'batch tool'!$B368:$W368)+$Y$6</f>
        <v>-47.741473633885199</v>
      </c>
      <c r="G374" s="7">
        <f>SUMPRODUCT($C$7:$X$7,'batch tool'!$B368:$W368)+$Y$7</f>
        <v>-19.739516238059196</v>
      </c>
      <c r="H374" s="7">
        <f t="shared" si="10"/>
        <v>-19.739516238059196</v>
      </c>
      <c r="I374">
        <f t="shared" si="11"/>
        <v>6</v>
      </c>
      <c r="J374" t="str" cm="1">
        <f t="array" ref="J374">INDEX($A$2:$A$7,I374)</f>
        <v>Segment 6- Self-Conscious Male</v>
      </c>
    </row>
    <row r="375" spans="1:10" x14ac:dyDescent="0.25">
      <c r="A375" s="1">
        <f>'batch tool'!A369</f>
        <v>0</v>
      </c>
      <c r="B375" s="7">
        <f>SUMPRODUCT($C$2:$X$2,'batch tool'!$B369:$W369)+$Y$2</f>
        <v>-49.12272534143483</v>
      </c>
      <c r="C375" s="7">
        <f>SUMPRODUCT($C$3:$X$3,'batch tool'!$B369:$W369)+$Y$3</f>
        <v>-36.514029388465531</v>
      </c>
      <c r="D375" s="7">
        <f>SUMPRODUCT($C$4:$X$4,'batch tool'!$B369:$W369)+$Y$4</f>
        <v>-44.639843068043824</v>
      </c>
      <c r="E375" s="7">
        <f>SUMPRODUCT($C$5:$X$5,'batch tool'!$B369:$W369)+$Y$5</f>
        <v>-51.578889182477603</v>
      </c>
      <c r="F375" s="7">
        <f>SUMPRODUCT($C$6:$X$6,'batch tool'!$B369:$W369)+$Y$6</f>
        <v>-47.741473633885199</v>
      </c>
      <c r="G375" s="7">
        <f>SUMPRODUCT($C$7:$X$7,'batch tool'!$B369:$W369)+$Y$7</f>
        <v>-19.739516238059196</v>
      </c>
      <c r="H375" s="7">
        <f t="shared" si="10"/>
        <v>-19.739516238059196</v>
      </c>
      <c r="I375">
        <f t="shared" si="11"/>
        <v>6</v>
      </c>
      <c r="J375" t="str" cm="1">
        <f t="array" ref="J375">INDEX($A$2:$A$7,I375)</f>
        <v>Segment 6- Self-Conscious Male</v>
      </c>
    </row>
    <row r="376" spans="1:10" x14ac:dyDescent="0.25">
      <c r="A376" s="1">
        <f>'batch tool'!A370</f>
        <v>0</v>
      </c>
      <c r="B376" s="7">
        <f>SUMPRODUCT($C$2:$X$2,'batch tool'!$B370:$W370)+$Y$2</f>
        <v>-49.12272534143483</v>
      </c>
      <c r="C376" s="7">
        <f>SUMPRODUCT($C$3:$X$3,'batch tool'!$B370:$W370)+$Y$3</f>
        <v>-36.514029388465531</v>
      </c>
      <c r="D376" s="7">
        <f>SUMPRODUCT($C$4:$X$4,'batch tool'!$B370:$W370)+$Y$4</f>
        <v>-44.639843068043824</v>
      </c>
      <c r="E376" s="7">
        <f>SUMPRODUCT($C$5:$X$5,'batch tool'!$B370:$W370)+$Y$5</f>
        <v>-51.578889182477603</v>
      </c>
      <c r="F376" s="7">
        <f>SUMPRODUCT($C$6:$X$6,'batch tool'!$B370:$W370)+$Y$6</f>
        <v>-47.741473633885199</v>
      </c>
      <c r="G376" s="7">
        <f>SUMPRODUCT($C$7:$X$7,'batch tool'!$B370:$W370)+$Y$7</f>
        <v>-19.739516238059196</v>
      </c>
      <c r="H376" s="7">
        <f t="shared" si="10"/>
        <v>-19.739516238059196</v>
      </c>
      <c r="I376">
        <f t="shared" si="11"/>
        <v>6</v>
      </c>
      <c r="J376" t="str" cm="1">
        <f t="array" ref="J376">INDEX($A$2:$A$7,I376)</f>
        <v>Segment 6- Self-Conscious Male</v>
      </c>
    </row>
    <row r="377" spans="1:10" x14ac:dyDescent="0.25">
      <c r="A377" s="1">
        <f>'batch tool'!A371</f>
        <v>0</v>
      </c>
      <c r="B377" s="7">
        <f>SUMPRODUCT($C$2:$X$2,'batch tool'!$B371:$W371)+$Y$2</f>
        <v>-49.12272534143483</v>
      </c>
      <c r="C377" s="7">
        <f>SUMPRODUCT($C$3:$X$3,'batch tool'!$B371:$W371)+$Y$3</f>
        <v>-36.514029388465531</v>
      </c>
      <c r="D377" s="7">
        <f>SUMPRODUCT($C$4:$X$4,'batch tool'!$B371:$W371)+$Y$4</f>
        <v>-44.639843068043824</v>
      </c>
      <c r="E377" s="7">
        <f>SUMPRODUCT($C$5:$X$5,'batch tool'!$B371:$W371)+$Y$5</f>
        <v>-51.578889182477603</v>
      </c>
      <c r="F377" s="7">
        <f>SUMPRODUCT($C$6:$X$6,'batch tool'!$B371:$W371)+$Y$6</f>
        <v>-47.741473633885199</v>
      </c>
      <c r="G377" s="7">
        <f>SUMPRODUCT($C$7:$X$7,'batch tool'!$B371:$W371)+$Y$7</f>
        <v>-19.739516238059196</v>
      </c>
      <c r="H377" s="7">
        <f t="shared" si="10"/>
        <v>-19.739516238059196</v>
      </c>
      <c r="I377">
        <f t="shared" si="11"/>
        <v>6</v>
      </c>
      <c r="J377" t="str" cm="1">
        <f t="array" ref="J377">INDEX($A$2:$A$7,I377)</f>
        <v>Segment 6- Self-Conscious Male</v>
      </c>
    </row>
    <row r="378" spans="1:10" x14ac:dyDescent="0.25">
      <c r="A378" s="1">
        <f>'batch tool'!A372</f>
        <v>0</v>
      </c>
      <c r="B378" s="7">
        <f>SUMPRODUCT($C$2:$X$2,'batch tool'!$B372:$W372)+$Y$2</f>
        <v>-49.12272534143483</v>
      </c>
      <c r="C378" s="7">
        <f>SUMPRODUCT($C$3:$X$3,'batch tool'!$B372:$W372)+$Y$3</f>
        <v>-36.514029388465531</v>
      </c>
      <c r="D378" s="7">
        <f>SUMPRODUCT($C$4:$X$4,'batch tool'!$B372:$W372)+$Y$4</f>
        <v>-44.639843068043824</v>
      </c>
      <c r="E378" s="7">
        <f>SUMPRODUCT($C$5:$X$5,'batch tool'!$B372:$W372)+$Y$5</f>
        <v>-51.578889182477603</v>
      </c>
      <c r="F378" s="7">
        <f>SUMPRODUCT($C$6:$X$6,'batch tool'!$B372:$W372)+$Y$6</f>
        <v>-47.741473633885199</v>
      </c>
      <c r="G378" s="7">
        <f>SUMPRODUCT($C$7:$X$7,'batch tool'!$B372:$W372)+$Y$7</f>
        <v>-19.739516238059196</v>
      </c>
      <c r="H378" s="7">
        <f t="shared" si="10"/>
        <v>-19.739516238059196</v>
      </c>
      <c r="I378">
        <f t="shared" si="11"/>
        <v>6</v>
      </c>
      <c r="J378" t="str" cm="1">
        <f t="array" ref="J378">INDEX($A$2:$A$7,I378)</f>
        <v>Segment 6- Self-Conscious Male</v>
      </c>
    </row>
    <row r="379" spans="1:10" x14ac:dyDescent="0.25">
      <c r="A379" s="1">
        <f>'batch tool'!A373</f>
        <v>0</v>
      </c>
      <c r="B379" s="7">
        <f>SUMPRODUCT($C$2:$X$2,'batch tool'!$B373:$W373)+$Y$2</f>
        <v>-49.12272534143483</v>
      </c>
      <c r="C379" s="7">
        <f>SUMPRODUCT($C$3:$X$3,'batch tool'!$B373:$W373)+$Y$3</f>
        <v>-36.514029388465531</v>
      </c>
      <c r="D379" s="7">
        <f>SUMPRODUCT($C$4:$X$4,'batch tool'!$B373:$W373)+$Y$4</f>
        <v>-44.639843068043824</v>
      </c>
      <c r="E379" s="7">
        <f>SUMPRODUCT($C$5:$X$5,'batch tool'!$B373:$W373)+$Y$5</f>
        <v>-51.578889182477603</v>
      </c>
      <c r="F379" s="7">
        <f>SUMPRODUCT($C$6:$X$6,'batch tool'!$B373:$W373)+$Y$6</f>
        <v>-47.741473633885199</v>
      </c>
      <c r="G379" s="7">
        <f>SUMPRODUCT($C$7:$X$7,'batch tool'!$B373:$W373)+$Y$7</f>
        <v>-19.739516238059196</v>
      </c>
      <c r="H379" s="7">
        <f t="shared" si="10"/>
        <v>-19.739516238059196</v>
      </c>
      <c r="I379">
        <f t="shared" si="11"/>
        <v>6</v>
      </c>
      <c r="J379" t="str" cm="1">
        <f t="array" ref="J379">INDEX($A$2:$A$7,I379)</f>
        <v>Segment 6- Self-Conscious Male</v>
      </c>
    </row>
    <row r="380" spans="1:10" x14ac:dyDescent="0.25">
      <c r="A380" s="1">
        <f>'batch tool'!A374</f>
        <v>0</v>
      </c>
      <c r="B380" s="7">
        <f>SUMPRODUCT($C$2:$X$2,'batch tool'!$B374:$W374)+$Y$2</f>
        <v>-49.12272534143483</v>
      </c>
      <c r="C380" s="7">
        <f>SUMPRODUCT($C$3:$X$3,'batch tool'!$B374:$W374)+$Y$3</f>
        <v>-36.514029388465531</v>
      </c>
      <c r="D380" s="7">
        <f>SUMPRODUCT($C$4:$X$4,'batch tool'!$B374:$W374)+$Y$4</f>
        <v>-44.639843068043824</v>
      </c>
      <c r="E380" s="7">
        <f>SUMPRODUCT($C$5:$X$5,'batch tool'!$B374:$W374)+$Y$5</f>
        <v>-51.578889182477603</v>
      </c>
      <c r="F380" s="7">
        <f>SUMPRODUCT($C$6:$X$6,'batch tool'!$B374:$W374)+$Y$6</f>
        <v>-47.741473633885199</v>
      </c>
      <c r="G380" s="7">
        <f>SUMPRODUCT($C$7:$X$7,'batch tool'!$B374:$W374)+$Y$7</f>
        <v>-19.739516238059196</v>
      </c>
      <c r="H380" s="7">
        <f t="shared" si="10"/>
        <v>-19.739516238059196</v>
      </c>
      <c r="I380">
        <f t="shared" si="11"/>
        <v>6</v>
      </c>
      <c r="J380" t="str" cm="1">
        <f t="array" ref="J380">INDEX($A$2:$A$7,I380)</f>
        <v>Segment 6- Self-Conscious Male</v>
      </c>
    </row>
    <row r="381" spans="1:10" x14ac:dyDescent="0.25">
      <c r="A381" s="1">
        <f>'batch tool'!A375</f>
        <v>0</v>
      </c>
      <c r="B381" s="7">
        <f>SUMPRODUCT($C$2:$X$2,'batch tool'!$B375:$W375)+$Y$2</f>
        <v>-49.12272534143483</v>
      </c>
      <c r="C381" s="7">
        <f>SUMPRODUCT($C$3:$X$3,'batch tool'!$B375:$W375)+$Y$3</f>
        <v>-36.514029388465531</v>
      </c>
      <c r="D381" s="7">
        <f>SUMPRODUCT($C$4:$X$4,'batch tool'!$B375:$W375)+$Y$4</f>
        <v>-44.639843068043824</v>
      </c>
      <c r="E381" s="7">
        <f>SUMPRODUCT($C$5:$X$5,'batch tool'!$B375:$W375)+$Y$5</f>
        <v>-51.578889182477603</v>
      </c>
      <c r="F381" s="7">
        <f>SUMPRODUCT($C$6:$X$6,'batch tool'!$B375:$W375)+$Y$6</f>
        <v>-47.741473633885199</v>
      </c>
      <c r="G381" s="7">
        <f>SUMPRODUCT($C$7:$X$7,'batch tool'!$B375:$W375)+$Y$7</f>
        <v>-19.739516238059196</v>
      </c>
      <c r="H381" s="7">
        <f t="shared" si="10"/>
        <v>-19.739516238059196</v>
      </c>
      <c r="I381">
        <f t="shared" si="11"/>
        <v>6</v>
      </c>
      <c r="J381" t="str" cm="1">
        <f t="array" ref="J381">INDEX($A$2:$A$7,I381)</f>
        <v>Segment 6- Self-Conscious Male</v>
      </c>
    </row>
    <row r="382" spans="1:10" x14ac:dyDescent="0.25">
      <c r="A382" s="1">
        <f>'batch tool'!A376</f>
        <v>0</v>
      </c>
      <c r="B382" s="7">
        <f>SUMPRODUCT($C$2:$X$2,'batch tool'!$B376:$W376)+$Y$2</f>
        <v>-49.12272534143483</v>
      </c>
      <c r="C382" s="7">
        <f>SUMPRODUCT($C$3:$X$3,'batch tool'!$B376:$W376)+$Y$3</f>
        <v>-36.514029388465531</v>
      </c>
      <c r="D382" s="7">
        <f>SUMPRODUCT($C$4:$X$4,'batch tool'!$B376:$W376)+$Y$4</f>
        <v>-44.639843068043824</v>
      </c>
      <c r="E382" s="7">
        <f>SUMPRODUCT($C$5:$X$5,'batch tool'!$B376:$W376)+$Y$5</f>
        <v>-51.578889182477603</v>
      </c>
      <c r="F382" s="7">
        <f>SUMPRODUCT($C$6:$X$6,'batch tool'!$B376:$W376)+$Y$6</f>
        <v>-47.741473633885199</v>
      </c>
      <c r="G382" s="7">
        <f>SUMPRODUCT($C$7:$X$7,'batch tool'!$B376:$W376)+$Y$7</f>
        <v>-19.739516238059196</v>
      </c>
      <c r="H382" s="7">
        <f t="shared" si="10"/>
        <v>-19.739516238059196</v>
      </c>
      <c r="I382">
        <f t="shared" si="11"/>
        <v>6</v>
      </c>
      <c r="J382" t="str" cm="1">
        <f t="array" ref="J382">INDEX($A$2:$A$7,I382)</f>
        <v>Segment 6- Self-Conscious Male</v>
      </c>
    </row>
    <row r="383" spans="1:10" x14ac:dyDescent="0.25">
      <c r="A383" s="1">
        <f>'batch tool'!A377</f>
        <v>0</v>
      </c>
      <c r="B383" s="7">
        <f>SUMPRODUCT($C$2:$X$2,'batch tool'!$B377:$W377)+$Y$2</f>
        <v>-49.12272534143483</v>
      </c>
      <c r="C383" s="7">
        <f>SUMPRODUCT($C$3:$X$3,'batch tool'!$B377:$W377)+$Y$3</f>
        <v>-36.514029388465531</v>
      </c>
      <c r="D383" s="7">
        <f>SUMPRODUCT($C$4:$X$4,'batch tool'!$B377:$W377)+$Y$4</f>
        <v>-44.639843068043824</v>
      </c>
      <c r="E383" s="7">
        <f>SUMPRODUCT($C$5:$X$5,'batch tool'!$B377:$W377)+$Y$5</f>
        <v>-51.578889182477603</v>
      </c>
      <c r="F383" s="7">
        <f>SUMPRODUCT($C$6:$X$6,'batch tool'!$B377:$W377)+$Y$6</f>
        <v>-47.741473633885199</v>
      </c>
      <c r="G383" s="7">
        <f>SUMPRODUCT($C$7:$X$7,'batch tool'!$B377:$W377)+$Y$7</f>
        <v>-19.739516238059196</v>
      </c>
      <c r="H383" s="7">
        <f t="shared" si="10"/>
        <v>-19.739516238059196</v>
      </c>
      <c r="I383">
        <f t="shared" si="11"/>
        <v>6</v>
      </c>
      <c r="J383" t="str" cm="1">
        <f t="array" ref="J383">INDEX($A$2:$A$7,I383)</f>
        <v>Segment 6- Self-Conscious Male</v>
      </c>
    </row>
    <row r="384" spans="1:10" x14ac:dyDescent="0.25">
      <c r="A384" s="1">
        <f>'batch tool'!A378</f>
        <v>0</v>
      </c>
      <c r="B384" s="7">
        <f>SUMPRODUCT($C$2:$X$2,'batch tool'!$B378:$W378)+$Y$2</f>
        <v>-49.12272534143483</v>
      </c>
      <c r="C384" s="7">
        <f>SUMPRODUCT($C$3:$X$3,'batch tool'!$B378:$W378)+$Y$3</f>
        <v>-36.514029388465531</v>
      </c>
      <c r="D384" s="7">
        <f>SUMPRODUCT($C$4:$X$4,'batch tool'!$B378:$W378)+$Y$4</f>
        <v>-44.639843068043824</v>
      </c>
      <c r="E384" s="7">
        <f>SUMPRODUCT($C$5:$X$5,'batch tool'!$B378:$W378)+$Y$5</f>
        <v>-51.578889182477603</v>
      </c>
      <c r="F384" s="7">
        <f>SUMPRODUCT($C$6:$X$6,'batch tool'!$B378:$W378)+$Y$6</f>
        <v>-47.741473633885199</v>
      </c>
      <c r="G384" s="7">
        <f>SUMPRODUCT($C$7:$X$7,'batch tool'!$B378:$W378)+$Y$7</f>
        <v>-19.739516238059196</v>
      </c>
      <c r="H384" s="7">
        <f t="shared" si="10"/>
        <v>-19.739516238059196</v>
      </c>
      <c r="I384">
        <f t="shared" si="11"/>
        <v>6</v>
      </c>
      <c r="J384" t="str" cm="1">
        <f t="array" ref="J384">INDEX($A$2:$A$7,I384)</f>
        <v>Segment 6- Self-Conscious Male</v>
      </c>
    </row>
    <row r="385" spans="1:10" x14ac:dyDescent="0.25">
      <c r="A385" s="1">
        <f>'batch tool'!A379</f>
        <v>0</v>
      </c>
      <c r="B385" s="7">
        <f>SUMPRODUCT($C$2:$X$2,'batch tool'!$B379:$W379)+$Y$2</f>
        <v>-49.12272534143483</v>
      </c>
      <c r="C385" s="7">
        <f>SUMPRODUCT($C$3:$X$3,'batch tool'!$B379:$W379)+$Y$3</f>
        <v>-36.514029388465531</v>
      </c>
      <c r="D385" s="7">
        <f>SUMPRODUCT($C$4:$X$4,'batch tool'!$B379:$W379)+$Y$4</f>
        <v>-44.639843068043824</v>
      </c>
      <c r="E385" s="7">
        <f>SUMPRODUCT($C$5:$X$5,'batch tool'!$B379:$W379)+$Y$5</f>
        <v>-51.578889182477603</v>
      </c>
      <c r="F385" s="7">
        <f>SUMPRODUCT($C$6:$X$6,'batch tool'!$B379:$W379)+$Y$6</f>
        <v>-47.741473633885199</v>
      </c>
      <c r="G385" s="7">
        <f>SUMPRODUCT($C$7:$X$7,'batch tool'!$B379:$W379)+$Y$7</f>
        <v>-19.739516238059196</v>
      </c>
      <c r="H385" s="7">
        <f t="shared" si="10"/>
        <v>-19.739516238059196</v>
      </c>
      <c r="I385">
        <f t="shared" si="11"/>
        <v>6</v>
      </c>
      <c r="J385" t="str" cm="1">
        <f t="array" ref="J385">INDEX($A$2:$A$7,I385)</f>
        <v>Segment 6- Self-Conscious Male</v>
      </c>
    </row>
    <row r="386" spans="1:10" x14ac:dyDescent="0.25">
      <c r="A386" s="1">
        <f>'batch tool'!A380</f>
        <v>0</v>
      </c>
      <c r="B386" s="7">
        <f>SUMPRODUCT($C$2:$X$2,'batch tool'!$B380:$W380)+$Y$2</f>
        <v>-49.12272534143483</v>
      </c>
      <c r="C386" s="7">
        <f>SUMPRODUCT($C$3:$X$3,'batch tool'!$B380:$W380)+$Y$3</f>
        <v>-36.514029388465531</v>
      </c>
      <c r="D386" s="7">
        <f>SUMPRODUCT($C$4:$X$4,'batch tool'!$B380:$W380)+$Y$4</f>
        <v>-44.639843068043824</v>
      </c>
      <c r="E386" s="7">
        <f>SUMPRODUCT($C$5:$X$5,'batch tool'!$B380:$W380)+$Y$5</f>
        <v>-51.578889182477603</v>
      </c>
      <c r="F386" s="7">
        <f>SUMPRODUCT($C$6:$X$6,'batch tool'!$B380:$W380)+$Y$6</f>
        <v>-47.741473633885199</v>
      </c>
      <c r="G386" s="7">
        <f>SUMPRODUCT($C$7:$X$7,'batch tool'!$B380:$W380)+$Y$7</f>
        <v>-19.739516238059196</v>
      </c>
      <c r="H386" s="7">
        <f t="shared" si="10"/>
        <v>-19.739516238059196</v>
      </c>
      <c r="I386">
        <f t="shared" si="11"/>
        <v>6</v>
      </c>
      <c r="J386" t="str" cm="1">
        <f t="array" ref="J386">INDEX($A$2:$A$7,I386)</f>
        <v>Segment 6- Self-Conscious Male</v>
      </c>
    </row>
    <row r="387" spans="1:10" x14ac:dyDescent="0.25">
      <c r="A387" s="1">
        <f>'batch tool'!A381</f>
        <v>0</v>
      </c>
      <c r="B387" s="7">
        <f>SUMPRODUCT($C$2:$X$2,'batch tool'!$B381:$W381)+$Y$2</f>
        <v>-49.12272534143483</v>
      </c>
      <c r="C387" s="7">
        <f>SUMPRODUCT($C$3:$X$3,'batch tool'!$B381:$W381)+$Y$3</f>
        <v>-36.514029388465531</v>
      </c>
      <c r="D387" s="7">
        <f>SUMPRODUCT($C$4:$X$4,'batch tool'!$B381:$W381)+$Y$4</f>
        <v>-44.639843068043824</v>
      </c>
      <c r="E387" s="7">
        <f>SUMPRODUCT($C$5:$X$5,'batch tool'!$B381:$W381)+$Y$5</f>
        <v>-51.578889182477603</v>
      </c>
      <c r="F387" s="7">
        <f>SUMPRODUCT($C$6:$X$6,'batch tool'!$B381:$W381)+$Y$6</f>
        <v>-47.741473633885199</v>
      </c>
      <c r="G387" s="7">
        <f>SUMPRODUCT($C$7:$X$7,'batch tool'!$B381:$W381)+$Y$7</f>
        <v>-19.739516238059196</v>
      </c>
      <c r="H387" s="7">
        <f t="shared" si="10"/>
        <v>-19.739516238059196</v>
      </c>
      <c r="I387">
        <f t="shared" si="11"/>
        <v>6</v>
      </c>
      <c r="J387" t="str" cm="1">
        <f t="array" ref="J387">INDEX($A$2:$A$7,I387)</f>
        <v>Segment 6- Self-Conscious Male</v>
      </c>
    </row>
    <row r="388" spans="1:10" x14ac:dyDescent="0.25">
      <c r="A388" s="1">
        <f>'batch tool'!A382</f>
        <v>0</v>
      </c>
      <c r="B388" s="7">
        <f>SUMPRODUCT($C$2:$X$2,'batch tool'!$B382:$W382)+$Y$2</f>
        <v>-49.12272534143483</v>
      </c>
      <c r="C388" s="7">
        <f>SUMPRODUCT($C$3:$X$3,'batch tool'!$B382:$W382)+$Y$3</f>
        <v>-36.514029388465531</v>
      </c>
      <c r="D388" s="7">
        <f>SUMPRODUCT($C$4:$X$4,'batch tool'!$B382:$W382)+$Y$4</f>
        <v>-44.639843068043824</v>
      </c>
      <c r="E388" s="7">
        <f>SUMPRODUCT($C$5:$X$5,'batch tool'!$B382:$W382)+$Y$5</f>
        <v>-51.578889182477603</v>
      </c>
      <c r="F388" s="7">
        <f>SUMPRODUCT($C$6:$X$6,'batch tool'!$B382:$W382)+$Y$6</f>
        <v>-47.741473633885199</v>
      </c>
      <c r="G388" s="7">
        <f>SUMPRODUCT($C$7:$X$7,'batch tool'!$B382:$W382)+$Y$7</f>
        <v>-19.739516238059196</v>
      </c>
      <c r="H388" s="7">
        <f t="shared" si="10"/>
        <v>-19.739516238059196</v>
      </c>
      <c r="I388">
        <f t="shared" si="11"/>
        <v>6</v>
      </c>
      <c r="J388" t="str" cm="1">
        <f t="array" ref="J388">INDEX($A$2:$A$7,I388)</f>
        <v>Segment 6- Self-Conscious Male</v>
      </c>
    </row>
    <row r="389" spans="1:10" x14ac:dyDescent="0.25">
      <c r="A389" s="1">
        <f>'batch tool'!A383</f>
        <v>0</v>
      </c>
      <c r="B389" s="7">
        <f>SUMPRODUCT($C$2:$X$2,'batch tool'!$B383:$W383)+$Y$2</f>
        <v>-49.12272534143483</v>
      </c>
      <c r="C389" s="7">
        <f>SUMPRODUCT($C$3:$X$3,'batch tool'!$B383:$W383)+$Y$3</f>
        <v>-36.514029388465531</v>
      </c>
      <c r="D389" s="7">
        <f>SUMPRODUCT($C$4:$X$4,'batch tool'!$B383:$W383)+$Y$4</f>
        <v>-44.639843068043824</v>
      </c>
      <c r="E389" s="7">
        <f>SUMPRODUCT($C$5:$X$5,'batch tool'!$B383:$W383)+$Y$5</f>
        <v>-51.578889182477603</v>
      </c>
      <c r="F389" s="7">
        <f>SUMPRODUCT($C$6:$X$6,'batch tool'!$B383:$W383)+$Y$6</f>
        <v>-47.741473633885199</v>
      </c>
      <c r="G389" s="7">
        <f>SUMPRODUCT($C$7:$X$7,'batch tool'!$B383:$W383)+$Y$7</f>
        <v>-19.739516238059196</v>
      </c>
      <c r="H389" s="7">
        <f t="shared" si="10"/>
        <v>-19.739516238059196</v>
      </c>
      <c r="I389">
        <f t="shared" si="11"/>
        <v>6</v>
      </c>
      <c r="J389" t="str" cm="1">
        <f t="array" ref="J389">INDEX($A$2:$A$7,I389)</f>
        <v>Segment 6- Self-Conscious Male</v>
      </c>
    </row>
    <row r="390" spans="1:10" x14ac:dyDescent="0.25">
      <c r="A390" s="1">
        <f>'batch tool'!A384</f>
        <v>0</v>
      </c>
      <c r="B390" s="7">
        <f>SUMPRODUCT($C$2:$X$2,'batch tool'!$B384:$W384)+$Y$2</f>
        <v>-49.12272534143483</v>
      </c>
      <c r="C390" s="7">
        <f>SUMPRODUCT($C$3:$X$3,'batch tool'!$B384:$W384)+$Y$3</f>
        <v>-36.514029388465531</v>
      </c>
      <c r="D390" s="7">
        <f>SUMPRODUCT($C$4:$X$4,'batch tool'!$B384:$W384)+$Y$4</f>
        <v>-44.639843068043824</v>
      </c>
      <c r="E390" s="7">
        <f>SUMPRODUCT($C$5:$X$5,'batch tool'!$B384:$W384)+$Y$5</f>
        <v>-51.578889182477603</v>
      </c>
      <c r="F390" s="7">
        <f>SUMPRODUCT($C$6:$X$6,'batch tool'!$B384:$W384)+$Y$6</f>
        <v>-47.741473633885199</v>
      </c>
      <c r="G390" s="7">
        <f>SUMPRODUCT($C$7:$X$7,'batch tool'!$B384:$W384)+$Y$7</f>
        <v>-19.739516238059196</v>
      </c>
      <c r="H390" s="7">
        <f t="shared" si="10"/>
        <v>-19.739516238059196</v>
      </c>
      <c r="I390">
        <f t="shared" si="11"/>
        <v>6</v>
      </c>
      <c r="J390" t="str" cm="1">
        <f t="array" ref="J390">INDEX($A$2:$A$7,I390)</f>
        <v>Segment 6- Self-Conscious Male</v>
      </c>
    </row>
    <row r="391" spans="1:10" x14ac:dyDescent="0.25">
      <c r="A391" s="1">
        <f>'batch tool'!A385</f>
        <v>0</v>
      </c>
      <c r="B391" s="7">
        <f>SUMPRODUCT($C$2:$X$2,'batch tool'!$B385:$W385)+$Y$2</f>
        <v>-49.12272534143483</v>
      </c>
      <c r="C391" s="7">
        <f>SUMPRODUCT($C$3:$X$3,'batch tool'!$B385:$W385)+$Y$3</f>
        <v>-36.514029388465531</v>
      </c>
      <c r="D391" s="7">
        <f>SUMPRODUCT($C$4:$X$4,'batch tool'!$B385:$W385)+$Y$4</f>
        <v>-44.639843068043824</v>
      </c>
      <c r="E391" s="7">
        <f>SUMPRODUCT($C$5:$X$5,'batch tool'!$B385:$W385)+$Y$5</f>
        <v>-51.578889182477603</v>
      </c>
      <c r="F391" s="7">
        <f>SUMPRODUCT($C$6:$X$6,'batch tool'!$B385:$W385)+$Y$6</f>
        <v>-47.741473633885199</v>
      </c>
      <c r="G391" s="7">
        <f>SUMPRODUCT($C$7:$X$7,'batch tool'!$B385:$W385)+$Y$7</f>
        <v>-19.739516238059196</v>
      </c>
      <c r="H391" s="7">
        <f t="shared" si="10"/>
        <v>-19.739516238059196</v>
      </c>
      <c r="I391">
        <f t="shared" si="11"/>
        <v>6</v>
      </c>
      <c r="J391" t="str" cm="1">
        <f t="array" ref="J391">INDEX($A$2:$A$7,I391)</f>
        <v>Segment 6- Self-Conscious Male</v>
      </c>
    </row>
    <row r="392" spans="1:10" x14ac:dyDescent="0.25">
      <c r="A392" s="1">
        <f>'batch tool'!A386</f>
        <v>0</v>
      </c>
      <c r="B392" s="7">
        <f>SUMPRODUCT($C$2:$X$2,'batch tool'!$B386:$W386)+$Y$2</f>
        <v>-49.12272534143483</v>
      </c>
      <c r="C392" s="7">
        <f>SUMPRODUCT($C$3:$X$3,'batch tool'!$B386:$W386)+$Y$3</f>
        <v>-36.514029388465531</v>
      </c>
      <c r="D392" s="7">
        <f>SUMPRODUCT($C$4:$X$4,'batch tool'!$B386:$W386)+$Y$4</f>
        <v>-44.639843068043824</v>
      </c>
      <c r="E392" s="7">
        <f>SUMPRODUCT($C$5:$X$5,'batch tool'!$B386:$W386)+$Y$5</f>
        <v>-51.578889182477603</v>
      </c>
      <c r="F392" s="7">
        <f>SUMPRODUCT($C$6:$X$6,'batch tool'!$B386:$W386)+$Y$6</f>
        <v>-47.741473633885199</v>
      </c>
      <c r="G392" s="7">
        <f>SUMPRODUCT($C$7:$X$7,'batch tool'!$B386:$W386)+$Y$7</f>
        <v>-19.739516238059196</v>
      </c>
      <c r="H392" s="7">
        <f t="shared" si="10"/>
        <v>-19.739516238059196</v>
      </c>
      <c r="I392">
        <f t="shared" si="11"/>
        <v>6</v>
      </c>
      <c r="J392" t="str" cm="1">
        <f t="array" ref="J392">INDEX($A$2:$A$7,I392)</f>
        <v>Segment 6- Self-Conscious Male</v>
      </c>
    </row>
    <row r="393" spans="1:10" x14ac:dyDescent="0.25">
      <c r="A393" s="1">
        <f>'batch tool'!A387</f>
        <v>0</v>
      </c>
      <c r="B393" s="7">
        <f>SUMPRODUCT($C$2:$X$2,'batch tool'!$B387:$W387)+$Y$2</f>
        <v>-49.12272534143483</v>
      </c>
      <c r="C393" s="7">
        <f>SUMPRODUCT($C$3:$X$3,'batch tool'!$B387:$W387)+$Y$3</f>
        <v>-36.514029388465531</v>
      </c>
      <c r="D393" s="7">
        <f>SUMPRODUCT($C$4:$X$4,'batch tool'!$B387:$W387)+$Y$4</f>
        <v>-44.639843068043824</v>
      </c>
      <c r="E393" s="7">
        <f>SUMPRODUCT($C$5:$X$5,'batch tool'!$B387:$W387)+$Y$5</f>
        <v>-51.578889182477603</v>
      </c>
      <c r="F393" s="7">
        <f>SUMPRODUCT($C$6:$X$6,'batch tool'!$B387:$W387)+$Y$6</f>
        <v>-47.741473633885199</v>
      </c>
      <c r="G393" s="7">
        <f>SUMPRODUCT($C$7:$X$7,'batch tool'!$B387:$W387)+$Y$7</f>
        <v>-19.739516238059196</v>
      </c>
      <c r="H393" s="7">
        <f t="shared" si="10"/>
        <v>-19.739516238059196</v>
      </c>
      <c r="I393">
        <f t="shared" si="11"/>
        <v>6</v>
      </c>
      <c r="J393" t="str" cm="1">
        <f t="array" ref="J393">INDEX($A$2:$A$7,I393)</f>
        <v>Segment 6- Self-Conscious Male</v>
      </c>
    </row>
    <row r="394" spans="1:10" x14ac:dyDescent="0.25">
      <c r="A394" s="1">
        <f>'batch tool'!A388</f>
        <v>0</v>
      </c>
      <c r="B394" s="7">
        <f>SUMPRODUCT($C$2:$X$2,'batch tool'!$B388:$W388)+$Y$2</f>
        <v>-49.12272534143483</v>
      </c>
      <c r="C394" s="7">
        <f>SUMPRODUCT($C$3:$X$3,'batch tool'!$B388:$W388)+$Y$3</f>
        <v>-36.514029388465531</v>
      </c>
      <c r="D394" s="7">
        <f>SUMPRODUCT($C$4:$X$4,'batch tool'!$B388:$W388)+$Y$4</f>
        <v>-44.639843068043824</v>
      </c>
      <c r="E394" s="7">
        <f>SUMPRODUCT($C$5:$X$5,'batch tool'!$B388:$W388)+$Y$5</f>
        <v>-51.578889182477603</v>
      </c>
      <c r="F394" s="7">
        <f>SUMPRODUCT($C$6:$X$6,'batch tool'!$B388:$W388)+$Y$6</f>
        <v>-47.741473633885199</v>
      </c>
      <c r="G394" s="7">
        <f>SUMPRODUCT($C$7:$X$7,'batch tool'!$B388:$W388)+$Y$7</f>
        <v>-19.739516238059196</v>
      </c>
      <c r="H394" s="7">
        <f t="shared" si="10"/>
        <v>-19.739516238059196</v>
      </c>
      <c r="I394">
        <f t="shared" si="11"/>
        <v>6</v>
      </c>
      <c r="J394" t="str" cm="1">
        <f t="array" ref="J394">INDEX($A$2:$A$7,I394)</f>
        <v>Segment 6- Self-Conscious Male</v>
      </c>
    </row>
    <row r="395" spans="1:10" x14ac:dyDescent="0.25">
      <c r="A395" s="1">
        <f>'batch tool'!A389</f>
        <v>0</v>
      </c>
      <c r="B395" s="7">
        <f>SUMPRODUCT($C$2:$X$2,'batch tool'!$B389:$W389)+$Y$2</f>
        <v>-49.12272534143483</v>
      </c>
      <c r="C395" s="7">
        <f>SUMPRODUCT($C$3:$X$3,'batch tool'!$B389:$W389)+$Y$3</f>
        <v>-36.514029388465531</v>
      </c>
      <c r="D395" s="7">
        <f>SUMPRODUCT($C$4:$X$4,'batch tool'!$B389:$W389)+$Y$4</f>
        <v>-44.639843068043824</v>
      </c>
      <c r="E395" s="7">
        <f>SUMPRODUCT($C$5:$X$5,'batch tool'!$B389:$W389)+$Y$5</f>
        <v>-51.578889182477603</v>
      </c>
      <c r="F395" s="7">
        <f>SUMPRODUCT($C$6:$X$6,'batch tool'!$B389:$W389)+$Y$6</f>
        <v>-47.741473633885199</v>
      </c>
      <c r="G395" s="7">
        <f>SUMPRODUCT($C$7:$X$7,'batch tool'!$B389:$W389)+$Y$7</f>
        <v>-19.739516238059196</v>
      </c>
      <c r="H395" s="7">
        <f t="shared" ref="H395:H458" si="12">MAX(B395:G395)</f>
        <v>-19.739516238059196</v>
      </c>
      <c r="I395">
        <f t="shared" ref="I395:I458" si="13">MATCH(H395,B395:G395,0)</f>
        <v>6</v>
      </c>
      <c r="J395" t="str" cm="1">
        <f t="array" ref="J395">INDEX($A$2:$A$7,I395)</f>
        <v>Segment 6- Self-Conscious Male</v>
      </c>
    </row>
    <row r="396" spans="1:10" x14ac:dyDescent="0.25">
      <c r="A396" s="1">
        <f>'batch tool'!A390</f>
        <v>0</v>
      </c>
      <c r="B396" s="7">
        <f>SUMPRODUCT($C$2:$X$2,'batch tool'!$B390:$W390)+$Y$2</f>
        <v>-49.12272534143483</v>
      </c>
      <c r="C396" s="7">
        <f>SUMPRODUCT($C$3:$X$3,'batch tool'!$B390:$W390)+$Y$3</f>
        <v>-36.514029388465531</v>
      </c>
      <c r="D396" s="7">
        <f>SUMPRODUCT($C$4:$X$4,'batch tool'!$B390:$W390)+$Y$4</f>
        <v>-44.639843068043824</v>
      </c>
      <c r="E396" s="7">
        <f>SUMPRODUCT($C$5:$X$5,'batch tool'!$B390:$W390)+$Y$5</f>
        <v>-51.578889182477603</v>
      </c>
      <c r="F396" s="7">
        <f>SUMPRODUCT($C$6:$X$6,'batch tool'!$B390:$W390)+$Y$6</f>
        <v>-47.741473633885199</v>
      </c>
      <c r="G396" s="7">
        <f>SUMPRODUCT($C$7:$X$7,'batch tool'!$B390:$W390)+$Y$7</f>
        <v>-19.739516238059196</v>
      </c>
      <c r="H396" s="7">
        <f t="shared" si="12"/>
        <v>-19.739516238059196</v>
      </c>
      <c r="I396">
        <f t="shared" si="13"/>
        <v>6</v>
      </c>
      <c r="J396" t="str" cm="1">
        <f t="array" ref="J396">INDEX($A$2:$A$7,I396)</f>
        <v>Segment 6- Self-Conscious Male</v>
      </c>
    </row>
    <row r="397" spans="1:10" x14ac:dyDescent="0.25">
      <c r="A397" s="1">
        <f>'batch tool'!A391</f>
        <v>0</v>
      </c>
      <c r="B397" s="7">
        <f>SUMPRODUCT($C$2:$X$2,'batch tool'!$B391:$W391)+$Y$2</f>
        <v>-49.12272534143483</v>
      </c>
      <c r="C397" s="7">
        <f>SUMPRODUCT($C$3:$X$3,'batch tool'!$B391:$W391)+$Y$3</f>
        <v>-36.514029388465531</v>
      </c>
      <c r="D397" s="7">
        <f>SUMPRODUCT($C$4:$X$4,'batch tool'!$B391:$W391)+$Y$4</f>
        <v>-44.639843068043824</v>
      </c>
      <c r="E397" s="7">
        <f>SUMPRODUCT($C$5:$X$5,'batch tool'!$B391:$W391)+$Y$5</f>
        <v>-51.578889182477603</v>
      </c>
      <c r="F397" s="7">
        <f>SUMPRODUCT($C$6:$X$6,'batch tool'!$B391:$W391)+$Y$6</f>
        <v>-47.741473633885199</v>
      </c>
      <c r="G397" s="7">
        <f>SUMPRODUCT($C$7:$X$7,'batch tool'!$B391:$W391)+$Y$7</f>
        <v>-19.739516238059196</v>
      </c>
      <c r="H397" s="7">
        <f t="shared" si="12"/>
        <v>-19.739516238059196</v>
      </c>
      <c r="I397">
        <f t="shared" si="13"/>
        <v>6</v>
      </c>
      <c r="J397" t="str" cm="1">
        <f t="array" ref="J397">INDEX($A$2:$A$7,I397)</f>
        <v>Segment 6- Self-Conscious Male</v>
      </c>
    </row>
    <row r="398" spans="1:10" x14ac:dyDescent="0.25">
      <c r="A398" s="1">
        <f>'batch tool'!A392</f>
        <v>0</v>
      </c>
      <c r="B398" s="7">
        <f>SUMPRODUCT($C$2:$X$2,'batch tool'!$B392:$W392)+$Y$2</f>
        <v>-49.12272534143483</v>
      </c>
      <c r="C398" s="7">
        <f>SUMPRODUCT($C$3:$X$3,'batch tool'!$B392:$W392)+$Y$3</f>
        <v>-36.514029388465531</v>
      </c>
      <c r="D398" s="7">
        <f>SUMPRODUCT($C$4:$X$4,'batch tool'!$B392:$W392)+$Y$4</f>
        <v>-44.639843068043824</v>
      </c>
      <c r="E398" s="7">
        <f>SUMPRODUCT($C$5:$X$5,'batch tool'!$B392:$W392)+$Y$5</f>
        <v>-51.578889182477603</v>
      </c>
      <c r="F398" s="7">
        <f>SUMPRODUCT($C$6:$X$6,'batch tool'!$B392:$W392)+$Y$6</f>
        <v>-47.741473633885199</v>
      </c>
      <c r="G398" s="7">
        <f>SUMPRODUCT($C$7:$X$7,'batch tool'!$B392:$W392)+$Y$7</f>
        <v>-19.739516238059196</v>
      </c>
      <c r="H398" s="7">
        <f t="shared" si="12"/>
        <v>-19.739516238059196</v>
      </c>
      <c r="I398">
        <f t="shared" si="13"/>
        <v>6</v>
      </c>
      <c r="J398" t="str" cm="1">
        <f t="array" ref="J398">INDEX($A$2:$A$7,I398)</f>
        <v>Segment 6- Self-Conscious Male</v>
      </c>
    </row>
    <row r="399" spans="1:10" x14ac:dyDescent="0.25">
      <c r="A399" s="1">
        <f>'batch tool'!A393</f>
        <v>0</v>
      </c>
      <c r="B399" s="7">
        <f>SUMPRODUCT($C$2:$X$2,'batch tool'!$B393:$W393)+$Y$2</f>
        <v>-49.12272534143483</v>
      </c>
      <c r="C399" s="7">
        <f>SUMPRODUCT($C$3:$X$3,'batch tool'!$B393:$W393)+$Y$3</f>
        <v>-36.514029388465531</v>
      </c>
      <c r="D399" s="7">
        <f>SUMPRODUCT($C$4:$X$4,'batch tool'!$B393:$W393)+$Y$4</f>
        <v>-44.639843068043824</v>
      </c>
      <c r="E399" s="7">
        <f>SUMPRODUCT($C$5:$X$5,'batch tool'!$B393:$W393)+$Y$5</f>
        <v>-51.578889182477603</v>
      </c>
      <c r="F399" s="7">
        <f>SUMPRODUCT($C$6:$X$6,'batch tool'!$B393:$W393)+$Y$6</f>
        <v>-47.741473633885199</v>
      </c>
      <c r="G399" s="7">
        <f>SUMPRODUCT($C$7:$X$7,'batch tool'!$B393:$W393)+$Y$7</f>
        <v>-19.739516238059196</v>
      </c>
      <c r="H399" s="7">
        <f t="shared" si="12"/>
        <v>-19.739516238059196</v>
      </c>
      <c r="I399">
        <f t="shared" si="13"/>
        <v>6</v>
      </c>
      <c r="J399" t="str" cm="1">
        <f t="array" ref="J399">INDEX($A$2:$A$7,I399)</f>
        <v>Segment 6- Self-Conscious Male</v>
      </c>
    </row>
    <row r="400" spans="1:10" x14ac:dyDescent="0.25">
      <c r="A400" s="1">
        <f>'batch tool'!A394</f>
        <v>0</v>
      </c>
      <c r="B400" s="7">
        <f>SUMPRODUCT($C$2:$X$2,'batch tool'!$B394:$W394)+$Y$2</f>
        <v>-49.12272534143483</v>
      </c>
      <c r="C400" s="7">
        <f>SUMPRODUCT($C$3:$X$3,'batch tool'!$B394:$W394)+$Y$3</f>
        <v>-36.514029388465531</v>
      </c>
      <c r="D400" s="7">
        <f>SUMPRODUCT($C$4:$X$4,'batch tool'!$B394:$W394)+$Y$4</f>
        <v>-44.639843068043824</v>
      </c>
      <c r="E400" s="7">
        <f>SUMPRODUCT($C$5:$X$5,'batch tool'!$B394:$W394)+$Y$5</f>
        <v>-51.578889182477603</v>
      </c>
      <c r="F400" s="7">
        <f>SUMPRODUCT($C$6:$X$6,'batch tool'!$B394:$W394)+$Y$6</f>
        <v>-47.741473633885199</v>
      </c>
      <c r="G400" s="7">
        <f>SUMPRODUCT($C$7:$X$7,'batch tool'!$B394:$W394)+$Y$7</f>
        <v>-19.739516238059196</v>
      </c>
      <c r="H400" s="7">
        <f t="shared" si="12"/>
        <v>-19.739516238059196</v>
      </c>
      <c r="I400">
        <f t="shared" si="13"/>
        <v>6</v>
      </c>
      <c r="J400" t="str" cm="1">
        <f t="array" ref="J400">INDEX($A$2:$A$7,I400)</f>
        <v>Segment 6- Self-Conscious Male</v>
      </c>
    </row>
    <row r="401" spans="1:10" x14ac:dyDescent="0.25">
      <c r="A401" s="1">
        <f>'batch tool'!A395</f>
        <v>0</v>
      </c>
      <c r="B401" s="7">
        <f>SUMPRODUCT($C$2:$X$2,'batch tool'!$B395:$W395)+$Y$2</f>
        <v>-49.12272534143483</v>
      </c>
      <c r="C401" s="7">
        <f>SUMPRODUCT($C$3:$X$3,'batch tool'!$B395:$W395)+$Y$3</f>
        <v>-36.514029388465531</v>
      </c>
      <c r="D401" s="7">
        <f>SUMPRODUCT($C$4:$X$4,'batch tool'!$B395:$W395)+$Y$4</f>
        <v>-44.639843068043824</v>
      </c>
      <c r="E401" s="7">
        <f>SUMPRODUCT($C$5:$X$5,'batch tool'!$B395:$W395)+$Y$5</f>
        <v>-51.578889182477603</v>
      </c>
      <c r="F401" s="7">
        <f>SUMPRODUCT($C$6:$X$6,'batch tool'!$B395:$W395)+$Y$6</f>
        <v>-47.741473633885199</v>
      </c>
      <c r="G401" s="7">
        <f>SUMPRODUCT($C$7:$X$7,'batch tool'!$B395:$W395)+$Y$7</f>
        <v>-19.739516238059196</v>
      </c>
      <c r="H401" s="7">
        <f t="shared" si="12"/>
        <v>-19.739516238059196</v>
      </c>
      <c r="I401">
        <f t="shared" si="13"/>
        <v>6</v>
      </c>
      <c r="J401" t="str" cm="1">
        <f t="array" ref="J401">INDEX($A$2:$A$7,I401)</f>
        <v>Segment 6- Self-Conscious Male</v>
      </c>
    </row>
    <row r="402" spans="1:10" x14ac:dyDescent="0.25">
      <c r="A402" s="1">
        <f>'batch tool'!A396</f>
        <v>0</v>
      </c>
      <c r="B402" s="7">
        <f>SUMPRODUCT($C$2:$X$2,'batch tool'!$B396:$W396)+$Y$2</f>
        <v>-49.12272534143483</v>
      </c>
      <c r="C402" s="7">
        <f>SUMPRODUCT($C$3:$X$3,'batch tool'!$B396:$W396)+$Y$3</f>
        <v>-36.514029388465531</v>
      </c>
      <c r="D402" s="7">
        <f>SUMPRODUCT($C$4:$X$4,'batch tool'!$B396:$W396)+$Y$4</f>
        <v>-44.639843068043824</v>
      </c>
      <c r="E402" s="7">
        <f>SUMPRODUCT($C$5:$X$5,'batch tool'!$B396:$W396)+$Y$5</f>
        <v>-51.578889182477603</v>
      </c>
      <c r="F402" s="7">
        <f>SUMPRODUCT($C$6:$X$6,'batch tool'!$B396:$W396)+$Y$6</f>
        <v>-47.741473633885199</v>
      </c>
      <c r="G402" s="7">
        <f>SUMPRODUCT($C$7:$X$7,'batch tool'!$B396:$W396)+$Y$7</f>
        <v>-19.739516238059196</v>
      </c>
      <c r="H402" s="7">
        <f t="shared" si="12"/>
        <v>-19.739516238059196</v>
      </c>
      <c r="I402">
        <f t="shared" si="13"/>
        <v>6</v>
      </c>
      <c r="J402" t="str" cm="1">
        <f t="array" ref="J402">INDEX($A$2:$A$7,I402)</f>
        <v>Segment 6- Self-Conscious Male</v>
      </c>
    </row>
    <row r="403" spans="1:10" x14ac:dyDescent="0.25">
      <c r="A403" s="1">
        <f>'batch tool'!A397</f>
        <v>0</v>
      </c>
      <c r="B403" s="7">
        <f>SUMPRODUCT($C$2:$X$2,'batch tool'!$B397:$W397)+$Y$2</f>
        <v>-49.12272534143483</v>
      </c>
      <c r="C403" s="7">
        <f>SUMPRODUCT($C$3:$X$3,'batch tool'!$B397:$W397)+$Y$3</f>
        <v>-36.514029388465531</v>
      </c>
      <c r="D403" s="7">
        <f>SUMPRODUCT($C$4:$X$4,'batch tool'!$B397:$W397)+$Y$4</f>
        <v>-44.639843068043824</v>
      </c>
      <c r="E403" s="7">
        <f>SUMPRODUCT($C$5:$X$5,'batch tool'!$B397:$W397)+$Y$5</f>
        <v>-51.578889182477603</v>
      </c>
      <c r="F403" s="7">
        <f>SUMPRODUCT($C$6:$X$6,'batch tool'!$B397:$W397)+$Y$6</f>
        <v>-47.741473633885199</v>
      </c>
      <c r="G403" s="7">
        <f>SUMPRODUCT($C$7:$X$7,'batch tool'!$B397:$W397)+$Y$7</f>
        <v>-19.739516238059196</v>
      </c>
      <c r="H403" s="7">
        <f t="shared" si="12"/>
        <v>-19.739516238059196</v>
      </c>
      <c r="I403">
        <f t="shared" si="13"/>
        <v>6</v>
      </c>
      <c r="J403" t="str" cm="1">
        <f t="array" ref="J403">INDEX($A$2:$A$7,I403)</f>
        <v>Segment 6- Self-Conscious Male</v>
      </c>
    </row>
    <row r="404" spans="1:10" x14ac:dyDescent="0.25">
      <c r="A404" s="1">
        <f>'batch tool'!A398</f>
        <v>0</v>
      </c>
      <c r="B404" s="7">
        <f>SUMPRODUCT($C$2:$X$2,'batch tool'!$B398:$W398)+$Y$2</f>
        <v>-49.12272534143483</v>
      </c>
      <c r="C404" s="7">
        <f>SUMPRODUCT($C$3:$X$3,'batch tool'!$B398:$W398)+$Y$3</f>
        <v>-36.514029388465531</v>
      </c>
      <c r="D404" s="7">
        <f>SUMPRODUCT($C$4:$X$4,'batch tool'!$B398:$W398)+$Y$4</f>
        <v>-44.639843068043824</v>
      </c>
      <c r="E404" s="7">
        <f>SUMPRODUCT($C$5:$X$5,'batch tool'!$B398:$W398)+$Y$5</f>
        <v>-51.578889182477603</v>
      </c>
      <c r="F404" s="7">
        <f>SUMPRODUCT($C$6:$X$6,'batch tool'!$B398:$W398)+$Y$6</f>
        <v>-47.741473633885199</v>
      </c>
      <c r="G404" s="7">
        <f>SUMPRODUCT($C$7:$X$7,'batch tool'!$B398:$W398)+$Y$7</f>
        <v>-19.739516238059196</v>
      </c>
      <c r="H404" s="7">
        <f t="shared" si="12"/>
        <v>-19.739516238059196</v>
      </c>
      <c r="I404">
        <f t="shared" si="13"/>
        <v>6</v>
      </c>
      <c r="J404" t="str" cm="1">
        <f t="array" ref="J404">INDEX($A$2:$A$7,I404)</f>
        <v>Segment 6- Self-Conscious Male</v>
      </c>
    </row>
    <row r="405" spans="1:10" x14ac:dyDescent="0.25">
      <c r="A405" s="1">
        <f>'batch tool'!A399</f>
        <v>0</v>
      </c>
      <c r="B405" s="7">
        <f>SUMPRODUCT($C$2:$X$2,'batch tool'!$B399:$W399)+$Y$2</f>
        <v>-49.12272534143483</v>
      </c>
      <c r="C405" s="7">
        <f>SUMPRODUCT($C$3:$X$3,'batch tool'!$B399:$W399)+$Y$3</f>
        <v>-36.514029388465531</v>
      </c>
      <c r="D405" s="7">
        <f>SUMPRODUCT($C$4:$X$4,'batch tool'!$B399:$W399)+$Y$4</f>
        <v>-44.639843068043824</v>
      </c>
      <c r="E405" s="7">
        <f>SUMPRODUCT($C$5:$X$5,'batch tool'!$B399:$W399)+$Y$5</f>
        <v>-51.578889182477603</v>
      </c>
      <c r="F405" s="7">
        <f>SUMPRODUCT($C$6:$X$6,'batch tool'!$B399:$W399)+$Y$6</f>
        <v>-47.741473633885199</v>
      </c>
      <c r="G405" s="7">
        <f>SUMPRODUCT($C$7:$X$7,'batch tool'!$B399:$W399)+$Y$7</f>
        <v>-19.739516238059196</v>
      </c>
      <c r="H405" s="7">
        <f t="shared" si="12"/>
        <v>-19.739516238059196</v>
      </c>
      <c r="I405">
        <f t="shared" si="13"/>
        <v>6</v>
      </c>
      <c r="J405" t="str" cm="1">
        <f t="array" ref="J405">INDEX($A$2:$A$7,I405)</f>
        <v>Segment 6- Self-Conscious Male</v>
      </c>
    </row>
    <row r="406" spans="1:10" x14ac:dyDescent="0.25">
      <c r="A406" s="1">
        <f>'batch tool'!A400</f>
        <v>0</v>
      </c>
      <c r="B406" s="7">
        <f>SUMPRODUCT($C$2:$X$2,'batch tool'!$B400:$W400)+$Y$2</f>
        <v>-49.12272534143483</v>
      </c>
      <c r="C406" s="7">
        <f>SUMPRODUCT($C$3:$X$3,'batch tool'!$B400:$W400)+$Y$3</f>
        <v>-36.514029388465531</v>
      </c>
      <c r="D406" s="7">
        <f>SUMPRODUCT($C$4:$X$4,'batch tool'!$B400:$W400)+$Y$4</f>
        <v>-44.639843068043824</v>
      </c>
      <c r="E406" s="7">
        <f>SUMPRODUCT($C$5:$X$5,'batch tool'!$B400:$W400)+$Y$5</f>
        <v>-51.578889182477603</v>
      </c>
      <c r="F406" s="7">
        <f>SUMPRODUCT($C$6:$X$6,'batch tool'!$B400:$W400)+$Y$6</f>
        <v>-47.741473633885199</v>
      </c>
      <c r="G406" s="7">
        <f>SUMPRODUCT($C$7:$X$7,'batch tool'!$B400:$W400)+$Y$7</f>
        <v>-19.739516238059196</v>
      </c>
      <c r="H406" s="7">
        <f t="shared" si="12"/>
        <v>-19.739516238059196</v>
      </c>
      <c r="I406">
        <f t="shared" si="13"/>
        <v>6</v>
      </c>
      <c r="J406" t="str" cm="1">
        <f t="array" ref="J406">INDEX($A$2:$A$7,I406)</f>
        <v>Segment 6- Self-Conscious Male</v>
      </c>
    </row>
    <row r="407" spans="1:10" x14ac:dyDescent="0.25">
      <c r="A407" s="1">
        <f>'batch tool'!A401</f>
        <v>0</v>
      </c>
      <c r="B407" s="7">
        <f>SUMPRODUCT($C$2:$X$2,'batch tool'!$B401:$W401)+$Y$2</f>
        <v>-49.12272534143483</v>
      </c>
      <c r="C407" s="7">
        <f>SUMPRODUCT($C$3:$X$3,'batch tool'!$B401:$W401)+$Y$3</f>
        <v>-36.514029388465531</v>
      </c>
      <c r="D407" s="7">
        <f>SUMPRODUCT($C$4:$X$4,'batch tool'!$B401:$W401)+$Y$4</f>
        <v>-44.639843068043824</v>
      </c>
      <c r="E407" s="7">
        <f>SUMPRODUCT($C$5:$X$5,'batch tool'!$B401:$W401)+$Y$5</f>
        <v>-51.578889182477603</v>
      </c>
      <c r="F407" s="7">
        <f>SUMPRODUCT($C$6:$X$6,'batch tool'!$B401:$W401)+$Y$6</f>
        <v>-47.741473633885199</v>
      </c>
      <c r="G407" s="7">
        <f>SUMPRODUCT($C$7:$X$7,'batch tool'!$B401:$W401)+$Y$7</f>
        <v>-19.739516238059196</v>
      </c>
      <c r="H407" s="7">
        <f t="shared" si="12"/>
        <v>-19.739516238059196</v>
      </c>
      <c r="I407">
        <f t="shared" si="13"/>
        <v>6</v>
      </c>
      <c r="J407" t="str" cm="1">
        <f t="array" ref="J407">INDEX($A$2:$A$7,I407)</f>
        <v>Segment 6- Self-Conscious Male</v>
      </c>
    </row>
    <row r="408" spans="1:10" x14ac:dyDescent="0.25">
      <c r="A408" s="1">
        <f>'batch tool'!A402</f>
        <v>0</v>
      </c>
      <c r="B408" s="7">
        <f>SUMPRODUCT($C$2:$X$2,'batch tool'!$B402:$W402)+$Y$2</f>
        <v>-49.12272534143483</v>
      </c>
      <c r="C408" s="7">
        <f>SUMPRODUCT($C$3:$X$3,'batch tool'!$B402:$W402)+$Y$3</f>
        <v>-36.514029388465531</v>
      </c>
      <c r="D408" s="7">
        <f>SUMPRODUCT($C$4:$X$4,'batch tool'!$B402:$W402)+$Y$4</f>
        <v>-44.639843068043824</v>
      </c>
      <c r="E408" s="7">
        <f>SUMPRODUCT($C$5:$X$5,'batch tool'!$B402:$W402)+$Y$5</f>
        <v>-51.578889182477603</v>
      </c>
      <c r="F408" s="7">
        <f>SUMPRODUCT($C$6:$X$6,'batch tool'!$B402:$W402)+$Y$6</f>
        <v>-47.741473633885199</v>
      </c>
      <c r="G408" s="7">
        <f>SUMPRODUCT($C$7:$X$7,'batch tool'!$B402:$W402)+$Y$7</f>
        <v>-19.739516238059196</v>
      </c>
      <c r="H408" s="7">
        <f t="shared" si="12"/>
        <v>-19.739516238059196</v>
      </c>
      <c r="I408">
        <f t="shared" si="13"/>
        <v>6</v>
      </c>
      <c r="J408" t="str" cm="1">
        <f t="array" ref="J408">INDEX($A$2:$A$7,I408)</f>
        <v>Segment 6- Self-Conscious Male</v>
      </c>
    </row>
    <row r="409" spans="1:10" x14ac:dyDescent="0.25">
      <c r="A409" s="1">
        <f>'batch tool'!A403</f>
        <v>0</v>
      </c>
      <c r="B409" s="7">
        <f>SUMPRODUCT($C$2:$X$2,'batch tool'!$B403:$W403)+$Y$2</f>
        <v>-49.12272534143483</v>
      </c>
      <c r="C409" s="7">
        <f>SUMPRODUCT($C$3:$X$3,'batch tool'!$B403:$W403)+$Y$3</f>
        <v>-36.514029388465531</v>
      </c>
      <c r="D409" s="7">
        <f>SUMPRODUCT($C$4:$X$4,'batch tool'!$B403:$W403)+$Y$4</f>
        <v>-44.639843068043824</v>
      </c>
      <c r="E409" s="7">
        <f>SUMPRODUCT($C$5:$X$5,'batch tool'!$B403:$W403)+$Y$5</f>
        <v>-51.578889182477603</v>
      </c>
      <c r="F409" s="7">
        <f>SUMPRODUCT($C$6:$X$6,'batch tool'!$B403:$W403)+$Y$6</f>
        <v>-47.741473633885199</v>
      </c>
      <c r="G409" s="7">
        <f>SUMPRODUCT($C$7:$X$7,'batch tool'!$B403:$W403)+$Y$7</f>
        <v>-19.739516238059196</v>
      </c>
      <c r="H409" s="7">
        <f t="shared" si="12"/>
        <v>-19.739516238059196</v>
      </c>
      <c r="I409">
        <f t="shared" si="13"/>
        <v>6</v>
      </c>
      <c r="J409" t="str" cm="1">
        <f t="array" ref="J409">INDEX($A$2:$A$7,I409)</f>
        <v>Segment 6- Self-Conscious Male</v>
      </c>
    </row>
    <row r="410" spans="1:10" x14ac:dyDescent="0.25">
      <c r="A410" s="1">
        <f>'batch tool'!A404</f>
        <v>0</v>
      </c>
      <c r="B410" s="7">
        <f>SUMPRODUCT($C$2:$X$2,'batch tool'!$B404:$W404)+$Y$2</f>
        <v>-49.12272534143483</v>
      </c>
      <c r="C410" s="7">
        <f>SUMPRODUCT($C$3:$X$3,'batch tool'!$B404:$W404)+$Y$3</f>
        <v>-36.514029388465531</v>
      </c>
      <c r="D410" s="7">
        <f>SUMPRODUCT($C$4:$X$4,'batch tool'!$B404:$W404)+$Y$4</f>
        <v>-44.639843068043824</v>
      </c>
      <c r="E410" s="7">
        <f>SUMPRODUCT($C$5:$X$5,'batch tool'!$B404:$W404)+$Y$5</f>
        <v>-51.578889182477603</v>
      </c>
      <c r="F410" s="7">
        <f>SUMPRODUCT($C$6:$X$6,'batch tool'!$B404:$W404)+$Y$6</f>
        <v>-47.741473633885199</v>
      </c>
      <c r="G410" s="7">
        <f>SUMPRODUCT($C$7:$X$7,'batch tool'!$B404:$W404)+$Y$7</f>
        <v>-19.739516238059196</v>
      </c>
      <c r="H410" s="7">
        <f t="shared" si="12"/>
        <v>-19.739516238059196</v>
      </c>
      <c r="I410">
        <f t="shared" si="13"/>
        <v>6</v>
      </c>
      <c r="J410" t="str" cm="1">
        <f t="array" ref="J410">INDEX($A$2:$A$7,I410)</f>
        <v>Segment 6- Self-Conscious Male</v>
      </c>
    </row>
    <row r="411" spans="1:10" x14ac:dyDescent="0.25">
      <c r="A411" s="1">
        <f>'batch tool'!A405</f>
        <v>0</v>
      </c>
      <c r="B411" s="7">
        <f>SUMPRODUCT($C$2:$X$2,'batch tool'!$B405:$W405)+$Y$2</f>
        <v>-49.12272534143483</v>
      </c>
      <c r="C411" s="7">
        <f>SUMPRODUCT($C$3:$X$3,'batch tool'!$B405:$W405)+$Y$3</f>
        <v>-36.514029388465531</v>
      </c>
      <c r="D411" s="7">
        <f>SUMPRODUCT($C$4:$X$4,'batch tool'!$B405:$W405)+$Y$4</f>
        <v>-44.639843068043824</v>
      </c>
      <c r="E411" s="7">
        <f>SUMPRODUCT($C$5:$X$5,'batch tool'!$B405:$W405)+$Y$5</f>
        <v>-51.578889182477603</v>
      </c>
      <c r="F411" s="7">
        <f>SUMPRODUCT($C$6:$X$6,'batch tool'!$B405:$W405)+$Y$6</f>
        <v>-47.741473633885199</v>
      </c>
      <c r="G411" s="7">
        <f>SUMPRODUCT($C$7:$X$7,'batch tool'!$B405:$W405)+$Y$7</f>
        <v>-19.739516238059196</v>
      </c>
      <c r="H411" s="7">
        <f t="shared" si="12"/>
        <v>-19.739516238059196</v>
      </c>
      <c r="I411">
        <f t="shared" si="13"/>
        <v>6</v>
      </c>
      <c r="J411" t="str" cm="1">
        <f t="array" ref="J411">INDEX($A$2:$A$7,I411)</f>
        <v>Segment 6- Self-Conscious Male</v>
      </c>
    </row>
    <row r="412" spans="1:10" x14ac:dyDescent="0.25">
      <c r="A412" s="1">
        <f>'batch tool'!A406</f>
        <v>0</v>
      </c>
      <c r="B412" s="7">
        <f>SUMPRODUCT($C$2:$X$2,'batch tool'!$B406:$W406)+$Y$2</f>
        <v>-49.12272534143483</v>
      </c>
      <c r="C412" s="7">
        <f>SUMPRODUCT($C$3:$X$3,'batch tool'!$B406:$W406)+$Y$3</f>
        <v>-36.514029388465531</v>
      </c>
      <c r="D412" s="7">
        <f>SUMPRODUCT($C$4:$X$4,'batch tool'!$B406:$W406)+$Y$4</f>
        <v>-44.639843068043824</v>
      </c>
      <c r="E412" s="7">
        <f>SUMPRODUCT($C$5:$X$5,'batch tool'!$B406:$W406)+$Y$5</f>
        <v>-51.578889182477603</v>
      </c>
      <c r="F412" s="7">
        <f>SUMPRODUCT($C$6:$X$6,'batch tool'!$B406:$W406)+$Y$6</f>
        <v>-47.741473633885199</v>
      </c>
      <c r="G412" s="7">
        <f>SUMPRODUCT($C$7:$X$7,'batch tool'!$B406:$W406)+$Y$7</f>
        <v>-19.739516238059196</v>
      </c>
      <c r="H412" s="7">
        <f t="shared" si="12"/>
        <v>-19.739516238059196</v>
      </c>
      <c r="I412">
        <f t="shared" si="13"/>
        <v>6</v>
      </c>
      <c r="J412" t="str" cm="1">
        <f t="array" ref="J412">INDEX($A$2:$A$7,I412)</f>
        <v>Segment 6- Self-Conscious Male</v>
      </c>
    </row>
    <row r="413" spans="1:10" x14ac:dyDescent="0.25">
      <c r="A413" s="1">
        <f>'batch tool'!A407</f>
        <v>0</v>
      </c>
      <c r="B413" s="7">
        <f>SUMPRODUCT($C$2:$X$2,'batch tool'!$B407:$W407)+$Y$2</f>
        <v>-49.12272534143483</v>
      </c>
      <c r="C413" s="7">
        <f>SUMPRODUCT($C$3:$X$3,'batch tool'!$B407:$W407)+$Y$3</f>
        <v>-36.514029388465531</v>
      </c>
      <c r="D413" s="7">
        <f>SUMPRODUCT($C$4:$X$4,'batch tool'!$B407:$W407)+$Y$4</f>
        <v>-44.639843068043824</v>
      </c>
      <c r="E413" s="7">
        <f>SUMPRODUCT($C$5:$X$5,'batch tool'!$B407:$W407)+$Y$5</f>
        <v>-51.578889182477603</v>
      </c>
      <c r="F413" s="7">
        <f>SUMPRODUCT($C$6:$X$6,'batch tool'!$B407:$W407)+$Y$6</f>
        <v>-47.741473633885199</v>
      </c>
      <c r="G413" s="7">
        <f>SUMPRODUCT($C$7:$X$7,'batch tool'!$B407:$W407)+$Y$7</f>
        <v>-19.739516238059196</v>
      </c>
      <c r="H413" s="7">
        <f t="shared" si="12"/>
        <v>-19.739516238059196</v>
      </c>
      <c r="I413">
        <f t="shared" si="13"/>
        <v>6</v>
      </c>
      <c r="J413" t="str" cm="1">
        <f t="array" ref="J413">INDEX($A$2:$A$7,I413)</f>
        <v>Segment 6- Self-Conscious Male</v>
      </c>
    </row>
    <row r="414" spans="1:10" x14ac:dyDescent="0.25">
      <c r="A414" s="1">
        <f>'batch tool'!A408</f>
        <v>0</v>
      </c>
      <c r="B414" s="7">
        <f>SUMPRODUCT($C$2:$X$2,'batch tool'!$B408:$W408)+$Y$2</f>
        <v>-49.12272534143483</v>
      </c>
      <c r="C414" s="7">
        <f>SUMPRODUCT($C$3:$X$3,'batch tool'!$B408:$W408)+$Y$3</f>
        <v>-36.514029388465531</v>
      </c>
      <c r="D414" s="7">
        <f>SUMPRODUCT($C$4:$X$4,'batch tool'!$B408:$W408)+$Y$4</f>
        <v>-44.639843068043824</v>
      </c>
      <c r="E414" s="7">
        <f>SUMPRODUCT($C$5:$X$5,'batch tool'!$B408:$W408)+$Y$5</f>
        <v>-51.578889182477603</v>
      </c>
      <c r="F414" s="7">
        <f>SUMPRODUCT($C$6:$X$6,'batch tool'!$B408:$W408)+$Y$6</f>
        <v>-47.741473633885199</v>
      </c>
      <c r="G414" s="7">
        <f>SUMPRODUCT($C$7:$X$7,'batch tool'!$B408:$W408)+$Y$7</f>
        <v>-19.739516238059196</v>
      </c>
      <c r="H414" s="7">
        <f t="shared" si="12"/>
        <v>-19.739516238059196</v>
      </c>
      <c r="I414">
        <f t="shared" si="13"/>
        <v>6</v>
      </c>
      <c r="J414" t="str" cm="1">
        <f t="array" ref="J414">INDEX($A$2:$A$7,I414)</f>
        <v>Segment 6- Self-Conscious Male</v>
      </c>
    </row>
    <row r="415" spans="1:10" x14ac:dyDescent="0.25">
      <c r="A415" s="1">
        <f>'batch tool'!A409</f>
        <v>0</v>
      </c>
      <c r="B415" s="7">
        <f>SUMPRODUCT($C$2:$X$2,'batch tool'!$B409:$W409)+$Y$2</f>
        <v>-49.12272534143483</v>
      </c>
      <c r="C415" s="7">
        <f>SUMPRODUCT($C$3:$X$3,'batch tool'!$B409:$W409)+$Y$3</f>
        <v>-36.514029388465531</v>
      </c>
      <c r="D415" s="7">
        <f>SUMPRODUCT($C$4:$X$4,'batch tool'!$B409:$W409)+$Y$4</f>
        <v>-44.639843068043824</v>
      </c>
      <c r="E415" s="7">
        <f>SUMPRODUCT($C$5:$X$5,'batch tool'!$B409:$W409)+$Y$5</f>
        <v>-51.578889182477603</v>
      </c>
      <c r="F415" s="7">
        <f>SUMPRODUCT($C$6:$X$6,'batch tool'!$B409:$W409)+$Y$6</f>
        <v>-47.741473633885199</v>
      </c>
      <c r="G415" s="7">
        <f>SUMPRODUCT($C$7:$X$7,'batch tool'!$B409:$W409)+$Y$7</f>
        <v>-19.739516238059196</v>
      </c>
      <c r="H415" s="7">
        <f t="shared" si="12"/>
        <v>-19.739516238059196</v>
      </c>
      <c r="I415">
        <f t="shared" si="13"/>
        <v>6</v>
      </c>
      <c r="J415" t="str" cm="1">
        <f t="array" ref="J415">INDEX($A$2:$A$7,I415)</f>
        <v>Segment 6- Self-Conscious Male</v>
      </c>
    </row>
    <row r="416" spans="1:10" x14ac:dyDescent="0.25">
      <c r="A416" s="1">
        <f>'batch tool'!A410</f>
        <v>0</v>
      </c>
      <c r="B416" s="7">
        <f>SUMPRODUCT($C$2:$X$2,'batch tool'!$B410:$W410)+$Y$2</f>
        <v>-49.12272534143483</v>
      </c>
      <c r="C416" s="7">
        <f>SUMPRODUCT($C$3:$X$3,'batch tool'!$B410:$W410)+$Y$3</f>
        <v>-36.514029388465531</v>
      </c>
      <c r="D416" s="7">
        <f>SUMPRODUCT($C$4:$X$4,'batch tool'!$B410:$W410)+$Y$4</f>
        <v>-44.639843068043824</v>
      </c>
      <c r="E416" s="7">
        <f>SUMPRODUCT($C$5:$X$5,'batch tool'!$B410:$W410)+$Y$5</f>
        <v>-51.578889182477603</v>
      </c>
      <c r="F416" s="7">
        <f>SUMPRODUCT($C$6:$X$6,'batch tool'!$B410:$W410)+$Y$6</f>
        <v>-47.741473633885199</v>
      </c>
      <c r="G416" s="7">
        <f>SUMPRODUCT($C$7:$X$7,'batch tool'!$B410:$W410)+$Y$7</f>
        <v>-19.739516238059196</v>
      </c>
      <c r="H416" s="7">
        <f t="shared" si="12"/>
        <v>-19.739516238059196</v>
      </c>
      <c r="I416">
        <f t="shared" si="13"/>
        <v>6</v>
      </c>
      <c r="J416" t="str" cm="1">
        <f t="array" ref="J416">INDEX($A$2:$A$7,I416)</f>
        <v>Segment 6- Self-Conscious Male</v>
      </c>
    </row>
    <row r="417" spans="1:10" x14ac:dyDescent="0.25">
      <c r="A417" s="1">
        <f>'batch tool'!A411</f>
        <v>0</v>
      </c>
      <c r="B417" s="7">
        <f>SUMPRODUCT($C$2:$X$2,'batch tool'!$B411:$W411)+$Y$2</f>
        <v>-49.12272534143483</v>
      </c>
      <c r="C417" s="7">
        <f>SUMPRODUCT($C$3:$X$3,'batch tool'!$B411:$W411)+$Y$3</f>
        <v>-36.514029388465531</v>
      </c>
      <c r="D417" s="7">
        <f>SUMPRODUCT($C$4:$X$4,'batch tool'!$B411:$W411)+$Y$4</f>
        <v>-44.639843068043824</v>
      </c>
      <c r="E417" s="7">
        <f>SUMPRODUCT($C$5:$X$5,'batch tool'!$B411:$W411)+$Y$5</f>
        <v>-51.578889182477603</v>
      </c>
      <c r="F417" s="7">
        <f>SUMPRODUCT($C$6:$X$6,'batch tool'!$B411:$W411)+$Y$6</f>
        <v>-47.741473633885199</v>
      </c>
      <c r="G417" s="7">
        <f>SUMPRODUCT($C$7:$X$7,'batch tool'!$B411:$W411)+$Y$7</f>
        <v>-19.739516238059196</v>
      </c>
      <c r="H417" s="7">
        <f t="shared" si="12"/>
        <v>-19.739516238059196</v>
      </c>
      <c r="I417">
        <f t="shared" si="13"/>
        <v>6</v>
      </c>
      <c r="J417" t="str" cm="1">
        <f t="array" ref="J417">INDEX($A$2:$A$7,I417)</f>
        <v>Segment 6- Self-Conscious Male</v>
      </c>
    </row>
    <row r="418" spans="1:10" x14ac:dyDescent="0.25">
      <c r="A418" s="1">
        <f>'batch tool'!A412</f>
        <v>0</v>
      </c>
      <c r="B418" s="7">
        <f>SUMPRODUCT($C$2:$X$2,'batch tool'!$B412:$W412)+$Y$2</f>
        <v>-49.12272534143483</v>
      </c>
      <c r="C418" s="7">
        <f>SUMPRODUCT($C$3:$X$3,'batch tool'!$B412:$W412)+$Y$3</f>
        <v>-36.514029388465531</v>
      </c>
      <c r="D418" s="7">
        <f>SUMPRODUCT($C$4:$X$4,'batch tool'!$B412:$W412)+$Y$4</f>
        <v>-44.639843068043824</v>
      </c>
      <c r="E418" s="7">
        <f>SUMPRODUCT($C$5:$X$5,'batch tool'!$B412:$W412)+$Y$5</f>
        <v>-51.578889182477603</v>
      </c>
      <c r="F418" s="7">
        <f>SUMPRODUCT($C$6:$X$6,'batch tool'!$B412:$W412)+$Y$6</f>
        <v>-47.741473633885199</v>
      </c>
      <c r="G418" s="7">
        <f>SUMPRODUCT($C$7:$X$7,'batch tool'!$B412:$W412)+$Y$7</f>
        <v>-19.739516238059196</v>
      </c>
      <c r="H418" s="7">
        <f t="shared" si="12"/>
        <v>-19.739516238059196</v>
      </c>
      <c r="I418">
        <f t="shared" si="13"/>
        <v>6</v>
      </c>
      <c r="J418" t="str" cm="1">
        <f t="array" ref="J418">INDEX($A$2:$A$7,I418)</f>
        <v>Segment 6- Self-Conscious Male</v>
      </c>
    </row>
    <row r="419" spans="1:10" x14ac:dyDescent="0.25">
      <c r="A419" s="1">
        <f>'batch tool'!A413</f>
        <v>0</v>
      </c>
      <c r="B419" s="7">
        <f>SUMPRODUCT($C$2:$X$2,'batch tool'!$B413:$W413)+$Y$2</f>
        <v>-49.12272534143483</v>
      </c>
      <c r="C419" s="7">
        <f>SUMPRODUCT($C$3:$X$3,'batch tool'!$B413:$W413)+$Y$3</f>
        <v>-36.514029388465531</v>
      </c>
      <c r="D419" s="7">
        <f>SUMPRODUCT($C$4:$X$4,'batch tool'!$B413:$W413)+$Y$4</f>
        <v>-44.639843068043824</v>
      </c>
      <c r="E419" s="7">
        <f>SUMPRODUCT($C$5:$X$5,'batch tool'!$B413:$W413)+$Y$5</f>
        <v>-51.578889182477603</v>
      </c>
      <c r="F419" s="7">
        <f>SUMPRODUCT($C$6:$X$6,'batch tool'!$B413:$W413)+$Y$6</f>
        <v>-47.741473633885199</v>
      </c>
      <c r="G419" s="7">
        <f>SUMPRODUCT($C$7:$X$7,'batch tool'!$B413:$W413)+$Y$7</f>
        <v>-19.739516238059196</v>
      </c>
      <c r="H419" s="7">
        <f t="shared" si="12"/>
        <v>-19.739516238059196</v>
      </c>
      <c r="I419">
        <f t="shared" si="13"/>
        <v>6</v>
      </c>
      <c r="J419" t="str" cm="1">
        <f t="array" ref="J419">INDEX($A$2:$A$7,I419)</f>
        <v>Segment 6- Self-Conscious Male</v>
      </c>
    </row>
    <row r="420" spans="1:10" x14ac:dyDescent="0.25">
      <c r="A420" s="1">
        <f>'batch tool'!A414</f>
        <v>0</v>
      </c>
      <c r="B420" s="7">
        <f>SUMPRODUCT($C$2:$X$2,'batch tool'!$B414:$W414)+$Y$2</f>
        <v>-49.12272534143483</v>
      </c>
      <c r="C420" s="7">
        <f>SUMPRODUCT($C$3:$X$3,'batch tool'!$B414:$W414)+$Y$3</f>
        <v>-36.514029388465531</v>
      </c>
      <c r="D420" s="7">
        <f>SUMPRODUCT($C$4:$X$4,'batch tool'!$B414:$W414)+$Y$4</f>
        <v>-44.639843068043824</v>
      </c>
      <c r="E420" s="7">
        <f>SUMPRODUCT($C$5:$X$5,'batch tool'!$B414:$W414)+$Y$5</f>
        <v>-51.578889182477603</v>
      </c>
      <c r="F420" s="7">
        <f>SUMPRODUCT($C$6:$X$6,'batch tool'!$B414:$W414)+$Y$6</f>
        <v>-47.741473633885199</v>
      </c>
      <c r="G420" s="7">
        <f>SUMPRODUCT($C$7:$X$7,'batch tool'!$B414:$W414)+$Y$7</f>
        <v>-19.739516238059196</v>
      </c>
      <c r="H420" s="7">
        <f t="shared" si="12"/>
        <v>-19.739516238059196</v>
      </c>
      <c r="I420">
        <f t="shared" si="13"/>
        <v>6</v>
      </c>
      <c r="J420" t="str" cm="1">
        <f t="array" ref="J420">INDEX($A$2:$A$7,I420)</f>
        <v>Segment 6- Self-Conscious Male</v>
      </c>
    </row>
    <row r="421" spans="1:10" x14ac:dyDescent="0.25">
      <c r="A421" s="1">
        <f>'batch tool'!A415</f>
        <v>0</v>
      </c>
      <c r="B421" s="7">
        <f>SUMPRODUCT($C$2:$X$2,'batch tool'!$B415:$W415)+$Y$2</f>
        <v>-49.12272534143483</v>
      </c>
      <c r="C421" s="7">
        <f>SUMPRODUCT($C$3:$X$3,'batch tool'!$B415:$W415)+$Y$3</f>
        <v>-36.514029388465531</v>
      </c>
      <c r="D421" s="7">
        <f>SUMPRODUCT($C$4:$X$4,'batch tool'!$B415:$W415)+$Y$4</f>
        <v>-44.639843068043824</v>
      </c>
      <c r="E421" s="7">
        <f>SUMPRODUCT($C$5:$X$5,'batch tool'!$B415:$W415)+$Y$5</f>
        <v>-51.578889182477603</v>
      </c>
      <c r="F421" s="7">
        <f>SUMPRODUCT($C$6:$X$6,'batch tool'!$B415:$W415)+$Y$6</f>
        <v>-47.741473633885199</v>
      </c>
      <c r="G421" s="7">
        <f>SUMPRODUCT($C$7:$X$7,'batch tool'!$B415:$W415)+$Y$7</f>
        <v>-19.739516238059196</v>
      </c>
      <c r="H421" s="7">
        <f t="shared" si="12"/>
        <v>-19.739516238059196</v>
      </c>
      <c r="I421">
        <f t="shared" si="13"/>
        <v>6</v>
      </c>
      <c r="J421" t="str" cm="1">
        <f t="array" ref="J421">INDEX($A$2:$A$7,I421)</f>
        <v>Segment 6- Self-Conscious Male</v>
      </c>
    </row>
    <row r="422" spans="1:10" x14ac:dyDescent="0.25">
      <c r="A422" s="1">
        <f>'batch tool'!A416</f>
        <v>0</v>
      </c>
      <c r="B422" s="7">
        <f>SUMPRODUCT($C$2:$X$2,'batch tool'!$B416:$W416)+$Y$2</f>
        <v>-49.12272534143483</v>
      </c>
      <c r="C422" s="7">
        <f>SUMPRODUCT($C$3:$X$3,'batch tool'!$B416:$W416)+$Y$3</f>
        <v>-36.514029388465531</v>
      </c>
      <c r="D422" s="7">
        <f>SUMPRODUCT($C$4:$X$4,'batch tool'!$B416:$W416)+$Y$4</f>
        <v>-44.639843068043824</v>
      </c>
      <c r="E422" s="7">
        <f>SUMPRODUCT($C$5:$X$5,'batch tool'!$B416:$W416)+$Y$5</f>
        <v>-51.578889182477603</v>
      </c>
      <c r="F422" s="7">
        <f>SUMPRODUCT($C$6:$X$6,'batch tool'!$B416:$W416)+$Y$6</f>
        <v>-47.741473633885199</v>
      </c>
      <c r="G422" s="7">
        <f>SUMPRODUCT($C$7:$X$7,'batch tool'!$B416:$W416)+$Y$7</f>
        <v>-19.739516238059196</v>
      </c>
      <c r="H422" s="7">
        <f t="shared" si="12"/>
        <v>-19.739516238059196</v>
      </c>
      <c r="I422">
        <f t="shared" si="13"/>
        <v>6</v>
      </c>
      <c r="J422" t="str" cm="1">
        <f t="array" ref="J422">INDEX($A$2:$A$7,I422)</f>
        <v>Segment 6- Self-Conscious Male</v>
      </c>
    </row>
    <row r="423" spans="1:10" x14ac:dyDescent="0.25">
      <c r="A423" s="1">
        <f>'batch tool'!A417</f>
        <v>0</v>
      </c>
      <c r="B423" s="7">
        <f>SUMPRODUCT($C$2:$X$2,'batch tool'!$B417:$W417)+$Y$2</f>
        <v>-49.12272534143483</v>
      </c>
      <c r="C423" s="7">
        <f>SUMPRODUCT($C$3:$X$3,'batch tool'!$B417:$W417)+$Y$3</f>
        <v>-36.514029388465531</v>
      </c>
      <c r="D423" s="7">
        <f>SUMPRODUCT($C$4:$X$4,'batch tool'!$B417:$W417)+$Y$4</f>
        <v>-44.639843068043824</v>
      </c>
      <c r="E423" s="7">
        <f>SUMPRODUCT($C$5:$X$5,'batch tool'!$B417:$W417)+$Y$5</f>
        <v>-51.578889182477603</v>
      </c>
      <c r="F423" s="7">
        <f>SUMPRODUCT($C$6:$X$6,'batch tool'!$B417:$W417)+$Y$6</f>
        <v>-47.741473633885199</v>
      </c>
      <c r="G423" s="7">
        <f>SUMPRODUCT($C$7:$X$7,'batch tool'!$B417:$W417)+$Y$7</f>
        <v>-19.739516238059196</v>
      </c>
      <c r="H423" s="7">
        <f t="shared" si="12"/>
        <v>-19.739516238059196</v>
      </c>
      <c r="I423">
        <f t="shared" si="13"/>
        <v>6</v>
      </c>
      <c r="J423" t="str" cm="1">
        <f t="array" ref="J423">INDEX($A$2:$A$7,I423)</f>
        <v>Segment 6- Self-Conscious Male</v>
      </c>
    </row>
    <row r="424" spans="1:10" x14ac:dyDescent="0.25">
      <c r="A424" s="1">
        <f>'batch tool'!A418</f>
        <v>0</v>
      </c>
      <c r="B424" s="7">
        <f>SUMPRODUCT($C$2:$X$2,'batch tool'!$B418:$W418)+$Y$2</f>
        <v>-49.12272534143483</v>
      </c>
      <c r="C424" s="7">
        <f>SUMPRODUCT($C$3:$X$3,'batch tool'!$B418:$W418)+$Y$3</f>
        <v>-36.514029388465531</v>
      </c>
      <c r="D424" s="7">
        <f>SUMPRODUCT($C$4:$X$4,'batch tool'!$B418:$W418)+$Y$4</f>
        <v>-44.639843068043824</v>
      </c>
      <c r="E424" s="7">
        <f>SUMPRODUCT($C$5:$X$5,'batch tool'!$B418:$W418)+$Y$5</f>
        <v>-51.578889182477603</v>
      </c>
      <c r="F424" s="7">
        <f>SUMPRODUCT($C$6:$X$6,'batch tool'!$B418:$W418)+$Y$6</f>
        <v>-47.741473633885199</v>
      </c>
      <c r="G424" s="7">
        <f>SUMPRODUCT($C$7:$X$7,'batch tool'!$B418:$W418)+$Y$7</f>
        <v>-19.739516238059196</v>
      </c>
      <c r="H424" s="7">
        <f t="shared" si="12"/>
        <v>-19.739516238059196</v>
      </c>
      <c r="I424">
        <f t="shared" si="13"/>
        <v>6</v>
      </c>
      <c r="J424" t="str" cm="1">
        <f t="array" ref="J424">INDEX($A$2:$A$7,I424)</f>
        <v>Segment 6- Self-Conscious Male</v>
      </c>
    </row>
    <row r="425" spans="1:10" x14ac:dyDescent="0.25">
      <c r="A425" s="1">
        <f>'batch tool'!A419</f>
        <v>0</v>
      </c>
      <c r="B425" s="7">
        <f>SUMPRODUCT($C$2:$X$2,'batch tool'!$B419:$W419)+$Y$2</f>
        <v>-49.12272534143483</v>
      </c>
      <c r="C425" s="7">
        <f>SUMPRODUCT($C$3:$X$3,'batch tool'!$B419:$W419)+$Y$3</f>
        <v>-36.514029388465531</v>
      </c>
      <c r="D425" s="7">
        <f>SUMPRODUCT($C$4:$X$4,'batch tool'!$B419:$W419)+$Y$4</f>
        <v>-44.639843068043824</v>
      </c>
      <c r="E425" s="7">
        <f>SUMPRODUCT($C$5:$X$5,'batch tool'!$B419:$W419)+$Y$5</f>
        <v>-51.578889182477603</v>
      </c>
      <c r="F425" s="7">
        <f>SUMPRODUCT($C$6:$X$6,'batch tool'!$B419:$W419)+$Y$6</f>
        <v>-47.741473633885199</v>
      </c>
      <c r="G425" s="7">
        <f>SUMPRODUCT($C$7:$X$7,'batch tool'!$B419:$W419)+$Y$7</f>
        <v>-19.739516238059196</v>
      </c>
      <c r="H425" s="7">
        <f t="shared" si="12"/>
        <v>-19.739516238059196</v>
      </c>
      <c r="I425">
        <f t="shared" si="13"/>
        <v>6</v>
      </c>
      <c r="J425" t="str" cm="1">
        <f t="array" ref="J425">INDEX($A$2:$A$7,I425)</f>
        <v>Segment 6- Self-Conscious Male</v>
      </c>
    </row>
    <row r="426" spans="1:10" x14ac:dyDescent="0.25">
      <c r="A426" s="1">
        <f>'batch tool'!A420</f>
        <v>0</v>
      </c>
      <c r="B426" s="7">
        <f>SUMPRODUCT($C$2:$X$2,'batch tool'!$B420:$W420)+$Y$2</f>
        <v>-49.12272534143483</v>
      </c>
      <c r="C426" s="7">
        <f>SUMPRODUCT($C$3:$X$3,'batch tool'!$B420:$W420)+$Y$3</f>
        <v>-36.514029388465531</v>
      </c>
      <c r="D426" s="7">
        <f>SUMPRODUCT($C$4:$X$4,'batch tool'!$B420:$W420)+$Y$4</f>
        <v>-44.639843068043824</v>
      </c>
      <c r="E426" s="7">
        <f>SUMPRODUCT($C$5:$X$5,'batch tool'!$B420:$W420)+$Y$5</f>
        <v>-51.578889182477603</v>
      </c>
      <c r="F426" s="7">
        <f>SUMPRODUCT($C$6:$X$6,'batch tool'!$B420:$W420)+$Y$6</f>
        <v>-47.741473633885199</v>
      </c>
      <c r="G426" s="7">
        <f>SUMPRODUCT($C$7:$X$7,'batch tool'!$B420:$W420)+$Y$7</f>
        <v>-19.739516238059196</v>
      </c>
      <c r="H426" s="7">
        <f t="shared" si="12"/>
        <v>-19.739516238059196</v>
      </c>
      <c r="I426">
        <f t="shared" si="13"/>
        <v>6</v>
      </c>
      <c r="J426" t="str" cm="1">
        <f t="array" ref="J426">INDEX($A$2:$A$7,I426)</f>
        <v>Segment 6- Self-Conscious Male</v>
      </c>
    </row>
    <row r="427" spans="1:10" x14ac:dyDescent="0.25">
      <c r="A427" s="1">
        <f>'batch tool'!A421</f>
        <v>0</v>
      </c>
      <c r="B427" s="7">
        <f>SUMPRODUCT($C$2:$X$2,'batch tool'!$B421:$W421)+$Y$2</f>
        <v>-49.12272534143483</v>
      </c>
      <c r="C427" s="7">
        <f>SUMPRODUCT($C$3:$X$3,'batch tool'!$B421:$W421)+$Y$3</f>
        <v>-36.514029388465531</v>
      </c>
      <c r="D427" s="7">
        <f>SUMPRODUCT($C$4:$X$4,'batch tool'!$B421:$W421)+$Y$4</f>
        <v>-44.639843068043824</v>
      </c>
      <c r="E427" s="7">
        <f>SUMPRODUCT($C$5:$X$5,'batch tool'!$B421:$W421)+$Y$5</f>
        <v>-51.578889182477603</v>
      </c>
      <c r="F427" s="7">
        <f>SUMPRODUCT($C$6:$X$6,'batch tool'!$B421:$W421)+$Y$6</f>
        <v>-47.741473633885199</v>
      </c>
      <c r="G427" s="7">
        <f>SUMPRODUCT($C$7:$X$7,'batch tool'!$B421:$W421)+$Y$7</f>
        <v>-19.739516238059196</v>
      </c>
      <c r="H427" s="7">
        <f t="shared" si="12"/>
        <v>-19.739516238059196</v>
      </c>
      <c r="I427">
        <f t="shared" si="13"/>
        <v>6</v>
      </c>
      <c r="J427" t="str" cm="1">
        <f t="array" ref="J427">INDEX($A$2:$A$7,I427)</f>
        <v>Segment 6- Self-Conscious Male</v>
      </c>
    </row>
    <row r="428" spans="1:10" x14ac:dyDescent="0.25">
      <c r="A428" s="1">
        <f>'batch tool'!A422</f>
        <v>0</v>
      </c>
      <c r="B428" s="7">
        <f>SUMPRODUCT($C$2:$X$2,'batch tool'!$B422:$W422)+$Y$2</f>
        <v>-49.12272534143483</v>
      </c>
      <c r="C428" s="7">
        <f>SUMPRODUCT($C$3:$X$3,'batch tool'!$B422:$W422)+$Y$3</f>
        <v>-36.514029388465531</v>
      </c>
      <c r="D428" s="7">
        <f>SUMPRODUCT($C$4:$X$4,'batch tool'!$B422:$W422)+$Y$4</f>
        <v>-44.639843068043824</v>
      </c>
      <c r="E428" s="7">
        <f>SUMPRODUCT($C$5:$X$5,'batch tool'!$B422:$W422)+$Y$5</f>
        <v>-51.578889182477603</v>
      </c>
      <c r="F428" s="7">
        <f>SUMPRODUCT($C$6:$X$6,'batch tool'!$B422:$W422)+$Y$6</f>
        <v>-47.741473633885199</v>
      </c>
      <c r="G428" s="7">
        <f>SUMPRODUCT($C$7:$X$7,'batch tool'!$B422:$W422)+$Y$7</f>
        <v>-19.739516238059196</v>
      </c>
      <c r="H428" s="7">
        <f t="shared" si="12"/>
        <v>-19.739516238059196</v>
      </c>
      <c r="I428">
        <f t="shared" si="13"/>
        <v>6</v>
      </c>
      <c r="J428" t="str" cm="1">
        <f t="array" ref="J428">INDEX($A$2:$A$7,I428)</f>
        <v>Segment 6- Self-Conscious Male</v>
      </c>
    </row>
    <row r="429" spans="1:10" x14ac:dyDescent="0.25">
      <c r="A429" s="1">
        <f>'batch tool'!A423</f>
        <v>0</v>
      </c>
      <c r="B429" s="7">
        <f>SUMPRODUCT($C$2:$X$2,'batch tool'!$B423:$W423)+$Y$2</f>
        <v>-49.12272534143483</v>
      </c>
      <c r="C429" s="7">
        <f>SUMPRODUCT($C$3:$X$3,'batch tool'!$B423:$W423)+$Y$3</f>
        <v>-36.514029388465531</v>
      </c>
      <c r="D429" s="7">
        <f>SUMPRODUCT($C$4:$X$4,'batch tool'!$B423:$W423)+$Y$4</f>
        <v>-44.639843068043824</v>
      </c>
      <c r="E429" s="7">
        <f>SUMPRODUCT($C$5:$X$5,'batch tool'!$B423:$W423)+$Y$5</f>
        <v>-51.578889182477603</v>
      </c>
      <c r="F429" s="7">
        <f>SUMPRODUCT($C$6:$X$6,'batch tool'!$B423:$W423)+$Y$6</f>
        <v>-47.741473633885199</v>
      </c>
      <c r="G429" s="7">
        <f>SUMPRODUCT($C$7:$X$7,'batch tool'!$B423:$W423)+$Y$7</f>
        <v>-19.739516238059196</v>
      </c>
      <c r="H429" s="7">
        <f t="shared" si="12"/>
        <v>-19.739516238059196</v>
      </c>
      <c r="I429">
        <f t="shared" si="13"/>
        <v>6</v>
      </c>
      <c r="J429" t="str" cm="1">
        <f t="array" ref="J429">INDEX($A$2:$A$7,I429)</f>
        <v>Segment 6- Self-Conscious Male</v>
      </c>
    </row>
    <row r="430" spans="1:10" x14ac:dyDescent="0.25">
      <c r="A430" s="1">
        <f>'batch tool'!A424</f>
        <v>0</v>
      </c>
      <c r="B430" s="7">
        <f>SUMPRODUCT($C$2:$X$2,'batch tool'!$B424:$W424)+$Y$2</f>
        <v>-49.12272534143483</v>
      </c>
      <c r="C430" s="7">
        <f>SUMPRODUCT($C$3:$X$3,'batch tool'!$B424:$W424)+$Y$3</f>
        <v>-36.514029388465531</v>
      </c>
      <c r="D430" s="7">
        <f>SUMPRODUCT($C$4:$X$4,'batch tool'!$B424:$W424)+$Y$4</f>
        <v>-44.639843068043824</v>
      </c>
      <c r="E430" s="7">
        <f>SUMPRODUCT($C$5:$X$5,'batch tool'!$B424:$W424)+$Y$5</f>
        <v>-51.578889182477603</v>
      </c>
      <c r="F430" s="7">
        <f>SUMPRODUCT($C$6:$X$6,'batch tool'!$B424:$W424)+$Y$6</f>
        <v>-47.741473633885199</v>
      </c>
      <c r="G430" s="7">
        <f>SUMPRODUCT($C$7:$X$7,'batch tool'!$B424:$W424)+$Y$7</f>
        <v>-19.739516238059196</v>
      </c>
      <c r="H430" s="7">
        <f t="shared" si="12"/>
        <v>-19.739516238059196</v>
      </c>
      <c r="I430">
        <f t="shared" si="13"/>
        <v>6</v>
      </c>
      <c r="J430" t="str" cm="1">
        <f t="array" ref="J430">INDEX($A$2:$A$7,I430)</f>
        <v>Segment 6- Self-Conscious Male</v>
      </c>
    </row>
    <row r="431" spans="1:10" x14ac:dyDescent="0.25">
      <c r="A431" s="1">
        <f>'batch tool'!A425</f>
        <v>0</v>
      </c>
      <c r="B431" s="7">
        <f>SUMPRODUCT($C$2:$X$2,'batch tool'!$B425:$W425)+$Y$2</f>
        <v>-49.12272534143483</v>
      </c>
      <c r="C431" s="7">
        <f>SUMPRODUCT($C$3:$X$3,'batch tool'!$B425:$W425)+$Y$3</f>
        <v>-36.514029388465531</v>
      </c>
      <c r="D431" s="7">
        <f>SUMPRODUCT($C$4:$X$4,'batch tool'!$B425:$W425)+$Y$4</f>
        <v>-44.639843068043824</v>
      </c>
      <c r="E431" s="7">
        <f>SUMPRODUCT($C$5:$X$5,'batch tool'!$B425:$W425)+$Y$5</f>
        <v>-51.578889182477603</v>
      </c>
      <c r="F431" s="7">
        <f>SUMPRODUCT($C$6:$X$6,'batch tool'!$B425:$W425)+$Y$6</f>
        <v>-47.741473633885199</v>
      </c>
      <c r="G431" s="7">
        <f>SUMPRODUCT($C$7:$X$7,'batch tool'!$B425:$W425)+$Y$7</f>
        <v>-19.739516238059196</v>
      </c>
      <c r="H431" s="7">
        <f t="shared" si="12"/>
        <v>-19.739516238059196</v>
      </c>
      <c r="I431">
        <f t="shared" si="13"/>
        <v>6</v>
      </c>
      <c r="J431" t="str" cm="1">
        <f t="array" ref="J431">INDEX($A$2:$A$7,I431)</f>
        <v>Segment 6- Self-Conscious Male</v>
      </c>
    </row>
    <row r="432" spans="1:10" x14ac:dyDescent="0.25">
      <c r="A432" s="1">
        <f>'batch tool'!A426</f>
        <v>0</v>
      </c>
      <c r="B432" s="7">
        <f>SUMPRODUCT($C$2:$X$2,'batch tool'!$B426:$W426)+$Y$2</f>
        <v>-49.12272534143483</v>
      </c>
      <c r="C432" s="7">
        <f>SUMPRODUCT($C$3:$X$3,'batch tool'!$B426:$W426)+$Y$3</f>
        <v>-36.514029388465531</v>
      </c>
      <c r="D432" s="7">
        <f>SUMPRODUCT($C$4:$X$4,'batch tool'!$B426:$W426)+$Y$4</f>
        <v>-44.639843068043824</v>
      </c>
      <c r="E432" s="7">
        <f>SUMPRODUCT($C$5:$X$5,'batch tool'!$B426:$W426)+$Y$5</f>
        <v>-51.578889182477603</v>
      </c>
      <c r="F432" s="7">
        <f>SUMPRODUCT($C$6:$X$6,'batch tool'!$B426:$W426)+$Y$6</f>
        <v>-47.741473633885199</v>
      </c>
      <c r="G432" s="7">
        <f>SUMPRODUCT($C$7:$X$7,'batch tool'!$B426:$W426)+$Y$7</f>
        <v>-19.739516238059196</v>
      </c>
      <c r="H432" s="7">
        <f t="shared" si="12"/>
        <v>-19.739516238059196</v>
      </c>
      <c r="I432">
        <f t="shared" si="13"/>
        <v>6</v>
      </c>
      <c r="J432" t="str" cm="1">
        <f t="array" ref="J432">INDEX($A$2:$A$7,I432)</f>
        <v>Segment 6- Self-Conscious Male</v>
      </c>
    </row>
    <row r="433" spans="1:10" x14ac:dyDescent="0.25">
      <c r="A433" s="1">
        <f>'batch tool'!A427</f>
        <v>0</v>
      </c>
      <c r="B433" s="7">
        <f>SUMPRODUCT($C$2:$X$2,'batch tool'!$B427:$W427)+$Y$2</f>
        <v>-49.12272534143483</v>
      </c>
      <c r="C433" s="7">
        <f>SUMPRODUCT($C$3:$X$3,'batch tool'!$B427:$W427)+$Y$3</f>
        <v>-36.514029388465531</v>
      </c>
      <c r="D433" s="7">
        <f>SUMPRODUCT($C$4:$X$4,'batch tool'!$B427:$W427)+$Y$4</f>
        <v>-44.639843068043824</v>
      </c>
      <c r="E433" s="7">
        <f>SUMPRODUCT($C$5:$X$5,'batch tool'!$B427:$W427)+$Y$5</f>
        <v>-51.578889182477603</v>
      </c>
      <c r="F433" s="7">
        <f>SUMPRODUCT($C$6:$X$6,'batch tool'!$B427:$W427)+$Y$6</f>
        <v>-47.741473633885199</v>
      </c>
      <c r="G433" s="7">
        <f>SUMPRODUCT($C$7:$X$7,'batch tool'!$B427:$W427)+$Y$7</f>
        <v>-19.739516238059196</v>
      </c>
      <c r="H433" s="7">
        <f t="shared" si="12"/>
        <v>-19.739516238059196</v>
      </c>
      <c r="I433">
        <f t="shared" si="13"/>
        <v>6</v>
      </c>
      <c r="J433" t="str" cm="1">
        <f t="array" ref="J433">INDEX($A$2:$A$7,I433)</f>
        <v>Segment 6- Self-Conscious Male</v>
      </c>
    </row>
    <row r="434" spans="1:10" x14ac:dyDescent="0.25">
      <c r="A434" s="1">
        <f>'batch tool'!A428</f>
        <v>0</v>
      </c>
      <c r="B434" s="7">
        <f>SUMPRODUCT($C$2:$X$2,'batch tool'!$B428:$W428)+$Y$2</f>
        <v>-49.12272534143483</v>
      </c>
      <c r="C434" s="7">
        <f>SUMPRODUCT($C$3:$X$3,'batch tool'!$B428:$W428)+$Y$3</f>
        <v>-36.514029388465531</v>
      </c>
      <c r="D434" s="7">
        <f>SUMPRODUCT($C$4:$X$4,'batch tool'!$B428:$W428)+$Y$4</f>
        <v>-44.639843068043824</v>
      </c>
      <c r="E434" s="7">
        <f>SUMPRODUCT($C$5:$X$5,'batch tool'!$B428:$W428)+$Y$5</f>
        <v>-51.578889182477603</v>
      </c>
      <c r="F434" s="7">
        <f>SUMPRODUCT($C$6:$X$6,'batch tool'!$B428:$W428)+$Y$6</f>
        <v>-47.741473633885199</v>
      </c>
      <c r="G434" s="7">
        <f>SUMPRODUCT($C$7:$X$7,'batch tool'!$B428:$W428)+$Y$7</f>
        <v>-19.739516238059196</v>
      </c>
      <c r="H434" s="7">
        <f t="shared" si="12"/>
        <v>-19.739516238059196</v>
      </c>
      <c r="I434">
        <f t="shared" si="13"/>
        <v>6</v>
      </c>
      <c r="J434" t="str" cm="1">
        <f t="array" ref="J434">INDEX($A$2:$A$7,I434)</f>
        <v>Segment 6- Self-Conscious Male</v>
      </c>
    </row>
    <row r="435" spans="1:10" x14ac:dyDescent="0.25">
      <c r="A435" s="1">
        <f>'batch tool'!A429</f>
        <v>0</v>
      </c>
      <c r="B435" s="7">
        <f>SUMPRODUCT($C$2:$X$2,'batch tool'!$B429:$W429)+$Y$2</f>
        <v>-49.12272534143483</v>
      </c>
      <c r="C435" s="7">
        <f>SUMPRODUCT($C$3:$X$3,'batch tool'!$B429:$W429)+$Y$3</f>
        <v>-36.514029388465531</v>
      </c>
      <c r="D435" s="7">
        <f>SUMPRODUCT($C$4:$X$4,'batch tool'!$B429:$W429)+$Y$4</f>
        <v>-44.639843068043824</v>
      </c>
      <c r="E435" s="7">
        <f>SUMPRODUCT($C$5:$X$5,'batch tool'!$B429:$W429)+$Y$5</f>
        <v>-51.578889182477603</v>
      </c>
      <c r="F435" s="7">
        <f>SUMPRODUCT($C$6:$X$6,'batch tool'!$B429:$W429)+$Y$6</f>
        <v>-47.741473633885199</v>
      </c>
      <c r="G435" s="7">
        <f>SUMPRODUCT($C$7:$X$7,'batch tool'!$B429:$W429)+$Y$7</f>
        <v>-19.739516238059196</v>
      </c>
      <c r="H435" s="7">
        <f t="shared" si="12"/>
        <v>-19.739516238059196</v>
      </c>
      <c r="I435">
        <f t="shared" si="13"/>
        <v>6</v>
      </c>
      <c r="J435" t="str" cm="1">
        <f t="array" ref="J435">INDEX($A$2:$A$7,I435)</f>
        <v>Segment 6- Self-Conscious Male</v>
      </c>
    </row>
    <row r="436" spans="1:10" x14ac:dyDescent="0.25">
      <c r="A436" s="1">
        <f>'batch tool'!A430</f>
        <v>0</v>
      </c>
      <c r="B436" s="7">
        <f>SUMPRODUCT($C$2:$X$2,'batch tool'!$B430:$W430)+$Y$2</f>
        <v>-49.12272534143483</v>
      </c>
      <c r="C436" s="7">
        <f>SUMPRODUCT($C$3:$X$3,'batch tool'!$B430:$W430)+$Y$3</f>
        <v>-36.514029388465531</v>
      </c>
      <c r="D436" s="7">
        <f>SUMPRODUCT($C$4:$X$4,'batch tool'!$B430:$W430)+$Y$4</f>
        <v>-44.639843068043824</v>
      </c>
      <c r="E436" s="7">
        <f>SUMPRODUCT($C$5:$X$5,'batch tool'!$B430:$W430)+$Y$5</f>
        <v>-51.578889182477603</v>
      </c>
      <c r="F436" s="7">
        <f>SUMPRODUCT($C$6:$X$6,'batch tool'!$B430:$W430)+$Y$6</f>
        <v>-47.741473633885199</v>
      </c>
      <c r="G436" s="7">
        <f>SUMPRODUCT($C$7:$X$7,'batch tool'!$B430:$W430)+$Y$7</f>
        <v>-19.739516238059196</v>
      </c>
      <c r="H436" s="7">
        <f t="shared" si="12"/>
        <v>-19.739516238059196</v>
      </c>
      <c r="I436">
        <f t="shared" si="13"/>
        <v>6</v>
      </c>
      <c r="J436" t="str" cm="1">
        <f t="array" ref="J436">INDEX($A$2:$A$7,I436)</f>
        <v>Segment 6- Self-Conscious Male</v>
      </c>
    </row>
    <row r="437" spans="1:10" x14ac:dyDescent="0.25">
      <c r="A437" s="1">
        <f>'batch tool'!A431</f>
        <v>0</v>
      </c>
      <c r="B437" s="7">
        <f>SUMPRODUCT($C$2:$X$2,'batch tool'!$B431:$W431)+$Y$2</f>
        <v>-49.12272534143483</v>
      </c>
      <c r="C437" s="7">
        <f>SUMPRODUCT($C$3:$X$3,'batch tool'!$B431:$W431)+$Y$3</f>
        <v>-36.514029388465531</v>
      </c>
      <c r="D437" s="7">
        <f>SUMPRODUCT($C$4:$X$4,'batch tool'!$B431:$W431)+$Y$4</f>
        <v>-44.639843068043824</v>
      </c>
      <c r="E437" s="7">
        <f>SUMPRODUCT($C$5:$X$5,'batch tool'!$B431:$W431)+$Y$5</f>
        <v>-51.578889182477603</v>
      </c>
      <c r="F437" s="7">
        <f>SUMPRODUCT($C$6:$X$6,'batch tool'!$B431:$W431)+$Y$6</f>
        <v>-47.741473633885199</v>
      </c>
      <c r="G437" s="7">
        <f>SUMPRODUCT($C$7:$X$7,'batch tool'!$B431:$W431)+$Y$7</f>
        <v>-19.739516238059196</v>
      </c>
      <c r="H437" s="7">
        <f t="shared" si="12"/>
        <v>-19.739516238059196</v>
      </c>
      <c r="I437">
        <f t="shared" si="13"/>
        <v>6</v>
      </c>
      <c r="J437" t="str" cm="1">
        <f t="array" ref="J437">INDEX($A$2:$A$7,I437)</f>
        <v>Segment 6- Self-Conscious Male</v>
      </c>
    </row>
    <row r="438" spans="1:10" x14ac:dyDescent="0.25">
      <c r="A438" s="1">
        <f>'batch tool'!A432</f>
        <v>0</v>
      </c>
      <c r="B438" s="7">
        <f>SUMPRODUCT($C$2:$X$2,'batch tool'!$B432:$W432)+$Y$2</f>
        <v>-49.12272534143483</v>
      </c>
      <c r="C438" s="7">
        <f>SUMPRODUCT($C$3:$X$3,'batch tool'!$B432:$W432)+$Y$3</f>
        <v>-36.514029388465531</v>
      </c>
      <c r="D438" s="7">
        <f>SUMPRODUCT($C$4:$X$4,'batch tool'!$B432:$W432)+$Y$4</f>
        <v>-44.639843068043824</v>
      </c>
      <c r="E438" s="7">
        <f>SUMPRODUCT($C$5:$X$5,'batch tool'!$B432:$W432)+$Y$5</f>
        <v>-51.578889182477603</v>
      </c>
      <c r="F438" s="7">
        <f>SUMPRODUCT($C$6:$X$6,'batch tool'!$B432:$W432)+$Y$6</f>
        <v>-47.741473633885199</v>
      </c>
      <c r="G438" s="7">
        <f>SUMPRODUCT($C$7:$X$7,'batch tool'!$B432:$W432)+$Y$7</f>
        <v>-19.739516238059196</v>
      </c>
      <c r="H438" s="7">
        <f t="shared" si="12"/>
        <v>-19.739516238059196</v>
      </c>
      <c r="I438">
        <f t="shared" si="13"/>
        <v>6</v>
      </c>
      <c r="J438" t="str" cm="1">
        <f t="array" ref="J438">INDEX($A$2:$A$7,I438)</f>
        <v>Segment 6- Self-Conscious Male</v>
      </c>
    </row>
    <row r="439" spans="1:10" x14ac:dyDescent="0.25">
      <c r="A439" s="1">
        <f>'batch tool'!A433</f>
        <v>0</v>
      </c>
      <c r="B439" s="7">
        <f>SUMPRODUCT($C$2:$X$2,'batch tool'!$B433:$W433)+$Y$2</f>
        <v>-49.12272534143483</v>
      </c>
      <c r="C439" s="7">
        <f>SUMPRODUCT($C$3:$X$3,'batch tool'!$B433:$W433)+$Y$3</f>
        <v>-36.514029388465531</v>
      </c>
      <c r="D439" s="7">
        <f>SUMPRODUCT($C$4:$X$4,'batch tool'!$B433:$W433)+$Y$4</f>
        <v>-44.639843068043824</v>
      </c>
      <c r="E439" s="7">
        <f>SUMPRODUCT($C$5:$X$5,'batch tool'!$B433:$W433)+$Y$5</f>
        <v>-51.578889182477603</v>
      </c>
      <c r="F439" s="7">
        <f>SUMPRODUCT($C$6:$X$6,'batch tool'!$B433:$W433)+$Y$6</f>
        <v>-47.741473633885199</v>
      </c>
      <c r="G439" s="7">
        <f>SUMPRODUCT($C$7:$X$7,'batch tool'!$B433:$W433)+$Y$7</f>
        <v>-19.739516238059196</v>
      </c>
      <c r="H439" s="7">
        <f t="shared" si="12"/>
        <v>-19.739516238059196</v>
      </c>
      <c r="I439">
        <f t="shared" si="13"/>
        <v>6</v>
      </c>
      <c r="J439" t="str" cm="1">
        <f t="array" ref="J439">INDEX($A$2:$A$7,I439)</f>
        <v>Segment 6- Self-Conscious Male</v>
      </c>
    </row>
    <row r="440" spans="1:10" x14ac:dyDescent="0.25">
      <c r="A440" s="1">
        <f>'batch tool'!A434</f>
        <v>0</v>
      </c>
      <c r="B440" s="7">
        <f>SUMPRODUCT($C$2:$X$2,'batch tool'!$B434:$W434)+$Y$2</f>
        <v>-49.12272534143483</v>
      </c>
      <c r="C440" s="7">
        <f>SUMPRODUCT($C$3:$X$3,'batch tool'!$B434:$W434)+$Y$3</f>
        <v>-36.514029388465531</v>
      </c>
      <c r="D440" s="7">
        <f>SUMPRODUCT($C$4:$X$4,'batch tool'!$B434:$W434)+$Y$4</f>
        <v>-44.639843068043824</v>
      </c>
      <c r="E440" s="7">
        <f>SUMPRODUCT($C$5:$X$5,'batch tool'!$B434:$W434)+$Y$5</f>
        <v>-51.578889182477603</v>
      </c>
      <c r="F440" s="7">
        <f>SUMPRODUCT($C$6:$X$6,'batch tool'!$B434:$W434)+$Y$6</f>
        <v>-47.741473633885199</v>
      </c>
      <c r="G440" s="7">
        <f>SUMPRODUCT($C$7:$X$7,'batch tool'!$B434:$W434)+$Y$7</f>
        <v>-19.739516238059196</v>
      </c>
      <c r="H440" s="7">
        <f t="shared" si="12"/>
        <v>-19.739516238059196</v>
      </c>
      <c r="I440">
        <f t="shared" si="13"/>
        <v>6</v>
      </c>
      <c r="J440" t="str" cm="1">
        <f t="array" ref="J440">INDEX($A$2:$A$7,I440)</f>
        <v>Segment 6- Self-Conscious Male</v>
      </c>
    </row>
    <row r="441" spans="1:10" x14ac:dyDescent="0.25">
      <c r="A441" s="1">
        <f>'batch tool'!A435</f>
        <v>0</v>
      </c>
      <c r="B441" s="7">
        <f>SUMPRODUCT($C$2:$X$2,'batch tool'!$B435:$W435)+$Y$2</f>
        <v>-49.12272534143483</v>
      </c>
      <c r="C441" s="7">
        <f>SUMPRODUCT($C$3:$X$3,'batch tool'!$B435:$W435)+$Y$3</f>
        <v>-36.514029388465531</v>
      </c>
      <c r="D441" s="7">
        <f>SUMPRODUCT($C$4:$X$4,'batch tool'!$B435:$W435)+$Y$4</f>
        <v>-44.639843068043824</v>
      </c>
      <c r="E441" s="7">
        <f>SUMPRODUCT($C$5:$X$5,'batch tool'!$B435:$W435)+$Y$5</f>
        <v>-51.578889182477603</v>
      </c>
      <c r="F441" s="7">
        <f>SUMPRODUCT($C$6:$X$6,'batch tool'!$B435:$W435)+$Y$6</f>
        <v>-47.741473633885199</v>
      </c>
      <c r="G441" s="7">
        <f>SUMPRODUCT($C$7:$X$7,'batch tool'!$B435:$W435)+$Y$7</f>
        <v>-19.739516238059196</v>
      </c>
      <c r="H441" s="7">
        <f t="shared" si="12"/>
        <v>-19.739516238059196</v>
      </c>
      <c r="I441">
        <f t="shared" si="13"/>
        <v>6</v>
      </c>
      <c r="J441" t="str" cm="1">
        <f t="array" ref="J441">INDEX($A$2:$A$7,I441)</f>
        <v>Segment 6- Self-Conscious Male</v>
      </c>
    </row>
    <row r="442" spans="1:10" x14ac:dyDescent="0.25">
      <c r="A442" s="1">
        <f>'batch tool'!A436</f>
        <v>0</v>
      </c>
      <c r="B442" s="7">
        <f>SUMPRODUCT($C$2:$X$2,'batch tool'!$B436:$W436)+$Y$2</f>
        <v>-49.12272534143483</v>
      </c>
      <c r="C442" s="7">
        <f>SUMPRODUCT($C$3:$X$3,'batch tool'!$B436:$W436)+$Y$3</f>
        <v>-36.514029388465531</v>
      </c>
      <c r="D442" s="7">
        <f>SUMPRODUCT($C$4:$X$4,'batch tool'!$B436:$W436)+$Y$4</f>
        <v>-44.639843068043824</v>
      </c>
      <c r="E442" s="7">
        <f>SUMPRODUCT($C$5:$X$5,'batch tool'!$B436:$W436)+$Y$5</f>
        <v>-51.578889182477603</v>
      </c>
      <c r="F442" s="7">
        <f>SUMPRODUCT($C$6:$X$6,'batch tool'!$B436:$W436)+$Y$6</f>
        <v>-47.741473633885199</v>
      </c>
      <c r="G442" s="7">
        <f>SUMPRODUCT($C$7:$X$7,'batch tool'!$B436:$W436)+$Y$7</f>
        <v>-19.739516238059196</v>
      </c>
      <c r="H442" s="7">
        <f t="shared" si="12"/>
        <v>-19.739516238059196</v>
      </c>
      <c r="I442">
        <f t="shared" si="13"/>
        <v>6</v>
      </c>
      <c r="J442" t="str" cm="1">
        <f t="array" ref="J442">INDEX($A$2:$A$7,I442)</f>
        <v>Segment 6- Self-Conscious Male</v>
      </c>
    </row>
    <row r="443" spans="1:10" x14ac:dyDescent="0.25">
      <c r="A443" s="1">
        <f>'batch tool'!A437</f>
        <v>0</v>
      </c>
      <c r="B443" s="7">
        <f>SUMPRODUCT($C$2:$X$2,'batch tool'!$B437:$W437)+$Y$2</f>
        <v>-49.12272534143483</v>
      </c>
      <c r="C443" s="7">
        <f>SUMPRODUCT($C$3:$X$3,'batch tool'!$B437:$W437)+$Y$3</f>
        <v>-36.514029388465531</v>
      </c>
      <c r="D443" s="7">
        <f>SUMPRODUCT($C$4:$X$4,'batch tool'!$B437:$W437)+$Y$4</f>
        <v>-44.639843068043824</v>
      </c>
      <c r="E443" s="7">
        <f>SUMPRODUCT($C$5:$X$5,'batch tool'!$B437:$W437)+$Y$5</f>
        <v>-51.578889182477603</v>
      </c>
      <c r="F443" s="7">
        <f>SUMPRODUCT($C$6:$X$6,'batch tool'!$B437:$W437)+$Y$6</f>
        <v>-47.741473633885199</v>
      </c>
      <c r="G443" s="7">
        <f>SUMPRODUCT($C$7:$X$7,'batch tool'!$B437:$W437)+$Y$7</f>
        <v>-19.739516238059196</v>
      </c>
      <c r="H443" s="7">
        <f t="shared" si="12"/>
        <v>-19.739516238059196</v>
      </c>
      <c r="I443">
        <f t="shared" si="13"/>
        <v>6</v>
      </c>
      <c r="J443" t="str" cm="1">
        <f t="array" ref="J443">INDEX($A$2:$A$7,I443)</f>
        <v>Segment 6- Self-Conscious Male</v>
      </c>
    </row>
    <row r="444" spans="1:10" x14ac:dyDescent="0.25">
      <c r="A444" s="1">
        <f>'batch tool'!A438</f>
        <v>0</v>
      </c>
      <c r="B444" s="7">
        <f>SUMPRODUCT($C$2:$X$2,'batch tool'!$B438:$W438)+$Y$2</f>
        <v>-49.12272534143483</v>
      </c>
      <c r="C444" s="7">
        <f>SUMPRODUCT($C$3:$X$3,'batch tool'!$B438:$W438)+$Y$3</f>
        <v>-36.514029388465531</v>
      </c>
      <c r="D444" s="7">
        <f>SUMPRODUCT($C$4:$X$4,'batch tool'!$B438:$W438)+$Y$4</f>
        <v>-44.639843068043824</v>
      </c>
      <c r="E444" s="7">
        <f>SUMPRODUCT($C$5:$X$5,'batch tool'!$B438:$W438)+$Y$5</f>
        <v>-51.578889182477603</v>
      </c>
      <c r="F444" s="7">
        <f>SUMPRODUCT($C$6:$X$6,'batch tool'!$B438:$W438)+$Y$6</f>
        <v>-47.741473633885199</v>
      </c>
      <c r="G444" s="7">
        <f>SUMPRODUCT($C$7:$X$7,'batch tool'!$B438:$W438)+$Y$7</f>
        <v>-19.739516238059196</v>
      </c>
      <c r="H444" s="7">
        <f t="shared" si="12"/>
        <v>-19.739516238059196</v>
      </c>
      <c r="I444">
        <f t="shared" si="13"/>
        <v>6</v>
      </c>
      <c r="J444" t="str" cm="1">
        <f t="array" ref="J444">INDEX($A$2:$A$7,I444)</f>
        <v>Segment 6- Self-Conscious Male</v>
      </c>
    </row>
    <row r="445" spans="1:10" x14ac:dyDescent="0.25">
      <c r="A445" s="1">
        <f>'batch tool'!A439</f>
        <v>0</v>
      </c>
      <c r="B445" s="7">
        <f>SUMPRODUCT($C$2:$X$2,'batch tool'!$B439:$W439)+$Y$2</f>
        <v>-49.12272534143483</v>
      </c>
      <c r="C445" s="7">
        <f>SUMPRODUCT($C$3:$X$3,'batch tool'!$B439:$W439)+$Y$3</f>
        <v>-36.514029388465531</v>
      </c>
      <c r="D445" s="7">
        <f>SUMPRODUCT($C$4:$X$4,'batch tool'!$B439:$W439)+$Y$4</f>
        <v>-44.639843068043824</v>
      </c>
      <c r="E445" s="7">
        <f>SUMPRODUCT($C$5:$X$5,'batch tool'!$B439:$W439)+$Y$5</f>
        <v>-51.578889182477603</v>
      </c>
      <c r="F445" s="7">
        <f>SUMPRODUCT($C$6:$X$6,'batch tool'!$B439:$W439)+$Y$6</f>
        <v>-47.741473633885199</v>
      </c>
      <c r="G445" s="7">
        <f>SUMPRODUCT($C$7:$X$7,'batch tool'!$B439:$W439)+$Y$7</f>
        <v>-19.739516238059196</v>
      </c>
      <c r="H445" s="7">
        <f t="shared" si="12"/>
        <v>-19.739516238059196</v>
      </c>
      <c r="I445">
        <f t="shared" si="13"/>
        <v>6</v>
      </c>
      <c r="J445" t="str" cm="1">
        <f t="array" ref="J445">INDEX($A$2:$A$7,I445)</f>
        <v>Segment 6- Self-Conscious Male</v>
      </c>
    </row>
    <row r="446" spans="1:10" x14ac:dyDescent="0.25">
      <c r="A446" s="1">
        <f>'batch tool'!A440</f>
        <v>0</v>
      </c>
      <c r="B446" s="7">
        <f>SUMPRODUCT($C$2:$X$2,'batch tool'!$B440:$W440)+$Y$2</f>
        <v>-49.12272534143483</v>
      </c>
      <c r="C446" s="7">
        <f>SUMPRODUCT($C$3:$X$3,'batch tool'!$B440:$W440)+$Y$3</f>
        <v>-36.514029388465531</v>
      </c>
      <c r="D446" s="7">
        <f>SUMPRODUCT($C$4:$X$4,'batch tool'!$B440:$W440)+$Y$4</f>
        <v>-44.639843068043824</v>
      </c>
      <c r="E446" s="7">
        <f>SUMPRODUCT($C$5:$X$5,'batch tool'!$B440:$W440)+$Y$5</f>
        <v>-51.578889182477603</v>
      </c>
      <c r="F446" s="7">
        <f>SUMPRODUCT($C$6:$X$6,'batch tool'!$B440:$W440)+$Y$6</f>
        <v>-47.741473633885199</v>
      </c>
      <c r="G446" s="7">
        <f>SUMPRODUCT($C$7:$X$7,'batch tool'!$B440:$W440)+$Y$7</f>
        <v>-19.739516238059196</v>
      </c>
      <c r="H446" s="7">
        <f t="shared" si="12"/>
        <v>-19.739516238059196</v>
      </c>
      <c r="I446">
        <f t="shared" si="13"/>
        <v>6</v>
      </c>
      <c r="J446" t="str" cm="1">
        <f t="array" ref="J446">INDEX($A$2:$A$7,I446)</f>
        <v>Segment 6- Self-Conscious Male</v>
      </c>
    </row>
    <row r="447" spans="1:10" x14ac:dyDescent="0.25">
      <c r="A447" s="1">
        <f>'batch tool'!A441</f>
        <v>0</v>
      </c>
      <c r="B447" s="7">
        <f>SUMPRODUCT($C$2:$X$2,'batch tool'!$B441:$W441)+$Y$2</f>
        <v>-49.12272534143483</v>
      </c>
      <c r="C447" s="7">
        <f>SUMPRODUCT($C$3:$X$3,'batch tool'!$B441:$W441)+$Y$3</f>
        <v>-36.514029388465531</v>
      </c>
      <c r="D447" s="7">
        <f>SUMPRODUCT($C$4:$X$4,'batch tool'!$B441:$W441)+$Y$4</f>
        <v>-44.639843068043824</v>
      </c>
      <c r="E447" s="7">
        <f>SUMPRODUCT($C$5:$X$5,'batch tool'!$B441:$W441)+$Y$5</f>
        <v>-51.578889182477603</v>
      </c>
      <c r="F447" s="7">
        <f>SUMPRODUCT($C$6:$X$6,'batch tool'!$B441:$W441)+$Y$6</f>
        <v>-47.741473633885199</v>
      </c>
      <c r="G447" s="7">
        <f>SUMPRODUCT($C$7:$X$7,'batch tool'!$B441:$W441)+$Y$7</f>
        <v>-19.739516238059196</v>
      </c>
      <c r="H447" s="7">
        <f t="shared" si="12"/>
        <v>-19.739516238059196</v>
      </c>
      <c r="I447">
        <f t="shared" si="13"/>
        <v>6</v>
      </c>
      <c r="J447" t="str" cm="1">
        <f t="array" ref="J447">INDEX($A$2:$A$7,I447)</f>
        <v>Segment 6- Self-Conscious Male</v>
      </c>
    </row>
    <row r="448" spans="1:10" x14ac:dyDescent="0.25">
      <c r="A448" s="1">
        <f>'batch tool'!A442</f>
        <v>0</v>
      </c>
      <c r="B448" s="7">
        <f>SUMPRODUCT($C$2:$X$2,'batch tool'!$B442:$W442)+$Y$2</f>
        <v>-49.12272534143483</v>
      </c>
      <c r="C448" s="7">
        <f>SUMPRODUCT($C$3:$X$3,'batch tool'!$B442:$W442)+$Y$3</f>
        <v>-36.514029388465531</v>
      </c>
      <c r="D448" s="7">
        <f>SUMPRODUCT($C$4:$X$4,'batch tool'!$B442:$W442)+$Y$4</f>
        <v>-44.639843068043824</v>
      </c>
      <c r="E448" s="7">
        <f>SUMPRODUCT($C$5:$X$5,'batch tool'!$B442:$W442)+$Y$5</f>
        <v>-51.578889182477603</v>
      </c>
      <c r="F448" s="7">
        <f>SUMPRODUCT($C$6:$X$6,'batch tool'!$B442:$W442)+$Y$6</f>
        <v>-47.741473633885199</v>
      </c>
      <c r="G448" s="7">
        <f>SUMPRODUCT($C$7:$X$7,'batch tool'!$B442:$W442)+$Y$7</f>
        <v>-19.739516238059196</v>
      </c>
      <c r="H448" s="7">
        <f t="shared" si="12"/>
        <v>-19.739516238059196</v>
      </c>
      <c r="I448">
        <f t="shared" si="13"/>
        <v>6</v>
      </c>
      <c r="J448" t="str" cm="1">
        <f t="array" ref="J448">INDEX($A$2:$A$7,I448)</f>
        <v>Segment 6- Self-Conscious Male</v>
      </c>
    </row>
    <row r="449" spans="1:10" x14ac:dyDescent="0.25">
      <c r="A449" s="1">
        <f>'batch tool'!A443</f>
        <v>0</v>
      </c>
      <c r="B449" s="7">
        <f>SUMPRODUCT($C$2:$X$2,'batch tool'!$B443:$W443)+$Y$2</f>
        <v>-49.12272534143483</v>
      </c>
      <c r="C449" s="7">
        <f>SUMPRODUCT($C$3:$X$3,'batch tool'!$B443:$W443)+$Y$3</f>
        <v>-36.514029388465531</v>
      </c>
      <c r="D449" s="7">
        <f>SUMPRODUCT($C$4:$X$4,'batch tool'!$B443:$W443)+$Y$4</f>
        <v>-44.639843068043824</v>
      </c>
      <c r="E449" s="7">
        <f>SUMPRODUCT($C$5:$X$5,'batch tool'!$B443:$W443)+$Y$5</f>
        <v>-51.578889182477603</v>
      </c>
      <c r="F449" s="7">
        <f>SUMPRODUCT($C$6:$X$6,'batch tool'!$B443:$W443)+$Y$6</f>
        <v>-47.741473633885199</v>
      </c>
      <c r="G449" s="7">
        <f>SUMPRODUCT($C$7:$X$7,'batch tool'!$B443:$W443)+$Y$7</f>
        <v>-19.739516238059196</v>
      </c>
      <c r="H449" s="7">
        <f t="shared" si="12"/>
        <v>-19.739516238059196</v>
      </c>
      <c r="I449">
        <f t="shared" si="13"/>
        <v>6</v>
      </c>
      <c r="J449" t="str" cm="1">
        <f t="array" ref="J449">INDEX($A$2:$A$7,I449)</f>
        <v>Segment 6- Self-Conscious Male</v>
      </c>
    </row>
    <row r="450" spans="1:10" x14ac:dyDescent="0.25">
      <c r="A450" s="1">
        <f>'batch tool'!A444</f>
        <v>0</v>
      </c>
      <c r="B450" s="7">
        <f>SUMPRODUCT($C$2:$X$2,'batch tool'!$B444:$W444)+$Y$2</f>
        <v>-49.12272534143483</v>
      </c>
      <c r="C450" s="7">
        <f>SUMPRODUCT($C$3:$X$3,'batch tool'!$B444:$W444)+$Y$3</f>
        <v>-36.514029388465531</v>
      </c>
      <c r="D450" s="7">
        <f>SUMPRODUCT($C$4:$X$4,'batch tool'!$B444:$W444)+$Y$4</f>
        <v>-44.639843068043824</v>
      </c>
      <c r="E450" s="7">
        <f>SUMPRODUCT($C$5:$X$5,'batch tool'!$B444:$W444)+$Y$5</f>
        <v>-51.578889182477603</v>
      </c>
      <c r="F450" s="7">
        <f>SUMPRODUCT($C$6:$X$6,'batch tool'!$B444:$W444)+$Y$6</f>
        <v>-47.741473633885199</v>
      </c>
      <c r="G450" s="7">
        <f>SUMPRODUCT($C$7:$X$7,'batch tool'!$B444:$W444)+$Y$7</f>
        <v>-19.739516238059196</v>
      </c>
      <c r="H450" s="7">
        <f t="shared" si="12"/>
        <v>-19.739516238059196</v>
      </c>
      <c r="I450">
        <f t="shared" si="13"/>
        <v>6</v>
      </c>
      <c r="J450" t="str" cm="1">
        <f t="array" ref="J450">INDEX($A$2:$A$7,I450)</f>
        <v>Segment 6- Self-Conscious Male</v>
      </c>
    </row>
    <row r="451" spans="1:10" x14ac:dyDescent="0.25">
      <c r="A451" s="1">
        <f>'batch tool'!A445</f>
        <v>0</v>
      </c>
      <c r="B451" s="7">
        <f>SUMPRODUCT($C$2:$X$2,'batch tool'!$B445:$W445)+$Y$2</f>
        <v>-49.12272534143483</v>
      </c>
      <c r="C451" s="7">
        <f>SUMPRODUCT($C$3:$X$3,'batch tool'!$B445:$W445)+$Y$3</f>
        <v>-36.514029388465531</v>
      </c>
      <c r="D451" s="7">
        <f>SUMPRODUCT($C$4:$X$4,'batch tool'!$B445:$W445)+$Y$4</f>
        <v>-44.639843068043824</v>
      </c>
      <c r="E451" s="7">
        <f>SUMPRODUCT($C$5:$X$5,'batch tool'!$B445:$W445)+$Y$5</f>
        <v>-51.578889182477603</v>
      </c>
      <c r="F451" s="7">
        <f>SUMPRODUCT($C$6:$X$6,'batch tool'!$B445:$W445)+$Y$6</f>
        <v>-47.741473633885199</v>
      </c>
      <c r="G451" s="7">
        <f>SUMPRODUCT($C$7:$X$7,'batch tool'!$B445:$W445)+$Y$7</f>
        <v>-19.739516238059196</v>
      </c>
      <c r="H451" s="7">
        <f t="shared" si="12"/>
        <v>-19.739516238059196</v>
      </c>
      <c r="I451">
        <f t="shared" si="13"/>
        <v>6</v>
      </c>
      <c r="J451" t="str" cm="1">
        <f t="array" ref="J451">INDEX($A$2:$A$7,I451)</f>
        <v>Segment 6- Self-Conscious Male</v>
      </c>
    </row>
    <row r="452" spans="1:10" x14ac:dyDescent="0.25">
      <c r="A452" s="1">
        <f>'batch tool'!A446</f>
        <v>0</v>
      </c>
      <c r="B452" s="7">
        <f>SUMPRODUCT($C$2:$X$2,'batch tool'!$B446:$W446)+$Y$2</f>
        <v>-49.12272534143483</v>
      </c>
      <c r="C452" s="7">
        <f>SUMPRODUCT($C$3:$X$3,'batch tool'!$B446:$W446)+$Y$3</f>
        <v>-36.514029388465531</v>
      </c>
      <c r="D452" s="7">
        <f>SUMPRODUCT($C$4:$X$4,'batch tool'!$B446:$W446)+$Y$4</f>
        <v>-44.639843068043824</v>
      </c>
      <c r="E452" s="7">
        <f>SUMPRODUCT($C$5:$X$5,'batch tool'!$B446:$W446)+$Y$5</f>
        <v>-51.578889182477603</v>
      </c>
      <c r="F452" s="7">
        <f>SUMPRODUCT($C$6:$X$6,'batch tool'!$B446:$W446)+$Y$6</f>
        <v>-47.741473633885199</v>
      </c>
      <c r="G452" s="7">
        <f>SUMPRODUCT($C$7:$X$7,'batch tool'!$B446:$W446)+$Y$7</f>
        <v>-19.739516238059196</v>
      </c>
      <c r="H452" s="7">
        <f t="shared" si="12"/>
        <v>-19.739516238059196</v>
      </c>
      <c r="I452">
        <f t="shared" si="13"/>
        <v>6</v>
      </c>
      <c r="J452" t="str" cm="1">
        <f t="array" ref="J452">INDEX($A$2:$A$7,I452)</f>
        <v>Segment 6- Self-Conscious Male</v>
      </c>
    </row>
    <row r="453" spans="1:10" x14ac:dyDescent="0.25">
      <c r="A453" s="1">
        <f>'batch tool'!A447</f>
        <v>0</v>
      </c>
      <c r="B453" s="7">
        <f>SUMPRODUCT($C$2:$X$2,'batch tool'!$B447:$W447)+$Y$2</f>
        <v>-49.12272534143483</v>
      </c>
      <c r="C453" s="7">
        <f>SUMPRODUCT($C$3:$X$3,'batch tool'!$B447:$W447)+$Y$3</f>
        <v>-36.514029388465531</v>
      </c>
      <c r="D453" s="7">
        <f>SUMPRODUCT($C$4:$X$4,'batch tool'!$B447:$W447)+$Y$4</f>
        <v>-44.639843068043824</v>
      </c>
      <c r="E453" s="7">
        <f>SUMPRODUCT($C$5:$X$5,'batch tool'!$B447:$W447)+$Y$5</f>
        <v>-51.578889182477603</v>
      </c>
      <c r="F453" s="7">
        <f>SUMPRODUCT($C$6:$X$6,'batch tool'!$B447:$W447)+$Y$6</f>
        <v>-47.741473633885199</v>
      </c>
      <c r="G453" s="7">
        <f>SUMPRODUCT($C$7:$X$7,'batch tool'!$B447:$W447)+$Y$7</f>
        <v>-19.739516238059196</v>
      </c>
      <c r="H453" s="7">
        <f t="shared" si="12"/>
        <v>-19.739516238059196</v>
      </c>
      <c r="I453">
        <f t="shared" si="13"/>
        <v>6</v>
      </c>
      <c r="J453" t="str" cm="1">
        <f t="array" ref="J453">INDEX($A$2:$A$7,I453)</f>
        <v>Segment 6- Self-Conscious Male</v>
      </c>
    </row>
    <row r="454" spans="1:10" x14ac:dyDescent="0.25">
      <c r="A454" s="1">
        <f>'batch tool'!A448</f>
        <v>0</v>
      </c>
      <c r="B454" s="7">
        <f>SUMPRODUCT($C$2:$X$2,'batch tool'!$B448:$W448)+$Y$2</f>
        <v>-49.12272534143483</v>
      </c>
      <c r="C454" s="7">
        <f>SUMPRODUCT($C$3:$X$3,'batch tool'!$B448:$W448)+$Y$3</f>
        <v>-36.514029388465531</v>
      </c>
      <c r="D454" s="7">
        <f>SUMPRODUCT($C$4:$X$4,'batch tool'!$B448:$W448)+$Y$4</f>
        <v>-44.639843068043824</v>
      </c>
      <c r="E454" s="7">
        <f>SUMPRODUCT($C$5:$X$5,'batch tool'!$B448:$W448)+$Y$5</f>
        <v>-51.578889182477603</v>
      </c>
      <c r="F454" s="7">
        <f>SUMPRODUCT($C$6:$X$6,'batch tool'!$B448:$W448)+$Y$6</f>
        <v>-47.741473633885199</v>
      </c>
      <c r="G454" s="7">
        <f>SUMPRODUCT($C$7:$X$7,'batch tool'!$B448:$W448)+$Y$7</f>
        <v>-19.739516238059196</v>
      </c>
      <c r="H454" s="7">
        <f t="shared" si="12"/>
        <v>-19.739516238059196</v>
      </c>
      <c r="I454">
        <f t="shared" si="13"/>
        <v>6</v>
      </c>
      <c r="J454" t="str" cm="1">
        <f t="array" ref="J454">INDEX($A$2:$A$7,I454)</f>
        <v>Segment 6- Self-Conscious Male</v>
      </c>
    </row>
    <row r="455" spans="1:10" x14ac:dyDescent="0.25">
      <c r="A455" s="1">
        <f>'batch tool'!A449</f>
        <v>0</v>
      </c>
      <c r="B455" s="7">
        <f>SUMPRODUCT($C$2:$X$2,'batch tool'!$B449:$W449)+$Y$2</f>
        <v>-49.12272534143483</v>
      </c>
      <c r="C455" s="7">
        <f>SUMPRODUCT($C$3:$X$3,'batch tool'!$B449:$W449)+$Y$3</f>
        <v>-36.514029388465531</v>
      </c>
      <c r="D455" s="7">
        <f>SUMPRODUCT($C$4:$X$4,'batch tool'!$B449:$W449)+$Y$4</f>
        <v>-44.639843068043824</v>
      </c>
      <c r="E455" s="7">
        <f>SUMPRODUCT($C$5:$X$5,'batch tool'!$B449:$W449)+$Y$5</f>
        <v>-51.578889182477603</v>
      </c>
      <c r="F455" s="7">
        <f>SUMPRODUCT($C$6:$X$6,'batch tool'!$B449:$W449)+$Y$6</f>
        <v>-47.741473633885199</v>
      </c>
      <c r="G455" s="7">
        <f>SUMPRODUCT($C$7:$X$7,'batch tool'!$B449:$W449)+$Y$7</f>
        <v>-19.739516238059196</v>
      </c>
      <c r="H455" s="7">
        <f t="shared" si="12"/>
        <v>-19.739516238059196</v>
      </c>
      <c r="I455">
        <f t="shared" si="13"/>
        <v>6</v>
      </c>
      <c r="J455" t="str" cm="1">
        <f t="array" ref="J455">INDEX($A$2:$A$7,I455)</f>
        <v>Segment 6- Self-Conscious Male</v>
      </c>
    </row>
    <row r="456" spans="1:10" x14ac:dyDescent="0.25">
      <c r="A456" s="1">
        <f>'batch tool'!A450</f>
        <v>0</v>
      </c>
      <c r="B456" s="7">
        <f>SUMPRODUCT($C$2:$X$2,'batch tool'!$B450:$W450)+$Y$2</f>
        <v>-49.12272534143483</v>
      </c>
      <c r="C456" s="7">
        <f>SUMPRODUCT($C$3:$X$3,'batch tool'!$B450:$W450)+$Y$3</f>
        <v>-36.514029388465531</v>
      </c>
      <c r="D456" s="7">
        <f>SUMPRODUCT($C$4:$X$4,'batch tool'!$B450:$W450)+$Y$4</f>
        <v>-44.639843068043824</v>
      </c>
      <c r="E456" s="7">
        <f>SUMPRODUCT($C$5:$X$5,'batch tool'!$B450:$W450)+$Y$5</f>
        <v>-51.578889182477603</v>
      </c>
      <c r="F456" s="7">
        <f>SUMPRODUCT($C$6:$X$6,'batch tool'!$B450:$W450)+$Y$6</f>
        <v>-47.741473633885199</v>
      </c>
      <c r="G456" s="7">
        <f>SUMPRODUCT($C$7:$X$7,'batch tool'!$B450:$W450)+$Y$7</f>
        <v>-19.739516238059196</v>
      </c>
      <c r="H456" s="7">
        <f t="shared" si="12"/>
        <v>-19.739516238059196</v>
      </c>
      <c r="I456">
        <f t="shared" si="13"/>
        <v>6</v>
      </c>
      <c r="J456" t="str" cm="1">
        <f t="array" ref="J456">INDEX($A$2:$A$7,I456)</f>
        <v>Segment 6- Self-Conscious Male</v>
      </c>
    </row>
    <row r="457" spans="1:10" x14ac:dyDescent="0.25">
      <c r="A457" s="1">
        <f>'batch tool'!A451</f>
        <v>0</v>
      </c>
      <c r="B457" s="7">
        <f>SUMPRODUCT($C$2:$X$2,'batch tool'!$B451:$W451)+$Y$2</f>
        <v>-49.12272534143483</v>
      </c>
      <c r="C457" s="7">
        <f>SUMPRODUCT($C$3:$X$3,'batch tool'!$B451:$W451)+$Y$3</f>
        <v>-36.514029388465531</v>
      </c>
      <c r="D457" s="7">
        <f>SUMPRODUCT($C$4:$X$4,'batch tool'!$B451:$W451)+$Y$4</f>
        <v>-44.639843068043824</v>
      </c>
      <c r="E457" s="7">
        <f>SUMPRODUCT($C$5:$X$5,'batch tool'!$B451:$W451)+$Y$5</f>
        <v>-51.578889182477603</v>
      </c>
      <c r="F457" s="7">
        <f>SUMPRODUCT($C$6:$X$6,'batch tool'!$B451:$W451)+$Y$6</f>
        <v>-47.741473633885199</v>
      </c>
      <c r="G457" s="7">
        <f>SUMPRODUCT($C$7:$X$7,'batch tool'!$B451:$W451)+$Y$7</f>
        <v>-19.739516238059196</v>
      </c>
      <c r="H457" s="7">
        <f t="shared" si="12"/>
        <v>-19.739516238059196</v>
      </c>
      <c r="I457">
        <f t="shared" si="13"/>
        <v>6</v>
      </c>
      <c r="J457" t="str" cm="1">
        <f t="array" ref="J457">INDEX($A$2:$A$7,I457)</f>
        <v>Segment 6- Self-Conscious Male</v>
      </c>
    </row>
    <row r="458" spans="1:10" x14ac:dyDescent="0.25">
      <c r="A458" s="1">
        <f>'batch tool'!A452</f>
        <v>0</v>
      </c>
      <c r="B458" s="7">
        <f>SUMPRODUCT($C$2:$X$2,'batch tool'!$B452:$W452)+$Y$2</f>
        <v>-49.12272534143483</v>
      </c>
      <c r="C458" s="7">
        <f>SUMPRODUCT($C$3:$X$3,'batch tool'!$B452:$W452)+$Y$3</f>
        <v>-36.514029388465531</v>
      </c>
      <c r="D458" s="7">
        <f>SUMPRODUCT($C$4:$X$4,'batch tool'!$B452:$W452)+$Y$4</f>
        <v>-44.639843068043824</v>
      </c>
      <c r="E458" s="7">
        <f>SUMPRODUCT($C$5:$X$5,'batch tool'!$B452:$W452)+$Y$5</f>
        <v>-51.578889182477603</v>
      </c>
      <c r="F458" s="7">
        <f>SUMPRODUCT($C$6:$X$6,'batch tool'!$B452:$W452)+$Y$6</f>
        <v>-47.741473633885199</v>
      </c>
      <c r="G458" s="7">
        <f>SUMPRODUCT($C$7:$X$7,'batch tool'!$B452:$W452)+$Y$7</f>
        <v>-19.739516238059196</v>
      </c>
      <c r="H458" s="7">
        <f t="shared" si="12"/>
        <v>-19.739516238059196</v>
      </c>
      <c r="I458">
        <f t="shared" si="13"/>
        <v>6</v>
      </c>
      <c r="J458" t="str" cm="1">
        <f t="array" ref="J458">INDEX($A$2:$A$7,I458)</f>
        <v>Segment 6- Self-Conscious Male</v>
      </c>
    </row>
    <row r="459" spans="1:10" x14ac:dyDescent="0.25">
      <c r="A459" s="1">
        <f>'batch tool'!A453</f>
        <v>0</v>
      </c>
      <c r="B459" s="7">
        <f>SUMPRODUCT($C$2:$X$2,'batch tool'!$B453:$W453)+$Y$2</f>
        <v>-49.12272534143483</v>
      </c>
      <c r="C459" s="7">
        <f>SUMPRODUCT($C$3:$X$3,'batch tool'!$B453:$W453)+$Y$3</f>
        <v>-36.514029388465531</v>
      </c>
      <c r="D459" s="7">
        <f>SUMPRODUCT($C$4:$X$4,'batch tool'!$B453:$W453)+$Y$4</f>
        <v>-44.639843068043824</v>
      </c>
      <c r="E459" s="7">
        <f>SUMPRODUCT($C$5:$X$5,'batch tool'!$B453:$W453)+$Y$5</f>
        <v>-51.578889182477603</v>
      </c>
      <c r="F459" s="7">
        <f>SUMPRODUCT($C$6:$X$6,'batch tool'!$B453:$W453)+$Y$6</f>
        <v>-47.741473633885199</v>
      </c>
      <c r="G459" s="7">
        <f>SUMPRODUCT($C$7:$X$7,'batch tool'!$B453:$W453)+$Y$7</f>
        <v>-19.739516238059196</v>
      </c>
      <c r="H459" s="7">
        <f t="shared" ref="H459:H522" si="14">MAX(B459:G459)</f>
        <v>-19.739516238059196</v>
      </c>
      <c r="I459">
        <f t="shared" ref="I459:I522" si="15">MATCH(H459,B459:G459,0)</f>
        <v>6</v>
      </c>
      <c r="J459" t="str" cm="1">
        <f t="array" ref="J459">INDEX($A$2:$A$7,I459)</f>
        <v>Segment 6- Self-Conscious Male</v>
      </c>
    </row>
    <row r="460" spans="1:10" x14ac:dyDescent="0.25">
      <c r="A460" s="1">
        <f>'batch tool'!A454</f>
        <v>0</v>
      </c>
      <c r="B460" s="7">
        <f>SUMPRODUCT($C$2:$X$2,'batch tool'!$B454:$W454)+$Y$2</f>
        <v>-49.12272534143483</v>
      </c>
      <c r="C460" s="7">
        <f>SUMPRODUCT($C$3:$X$3,'batch tool'!$B454:$W454)+$Y$3</f>
        <v>-36.514029388465531</v>
      </c>
      <c r="D460" s="7">
        <f>SUMPRODUCT($C$4:$X$4,'batch tool'!$B454:$W454)+$Y$4</f>
        <v>-44.639843068043824</v>
      </c>
      <c r="E460" s="7">
        <f>SUMPRODUCT($C$5:$X$5,'batch tool'!$B454:$W454)+$Y$5</f>
        <v>-51.578889182477603</v>
      </c>
      <c r="F460" s="7">
        <f>SUMPRODUCT($C$6:$X$6,'batch tool'!$B454:$W454)+$Y$6</f>
        <v>-47.741473633885199</v>
      </c>
      <c r="G460" s="7">
        <f>SUMPRODUCT($C$7:$X$7,'batch tool'!$B454:$W454)+$Y$7</f>
        <v>-19.739516238059196</v>
      </c>
      <c r="H460" s="7">
        <f t="shared" si="14"/>
        <v>-19.739516238059196</v>
      </c>
      <c r="I460">
        <f t="shared" si="15"/>
        <v>6</v>
      </c>
      <c r="J460" t="str" cm="1">
        <f t="array" ref="J460">INDEX($A$2:$A$7,I460)</f>
        <v>Segment 6- Self-Conscious Male</v>
      </c>
    </row>
    <row r="461" spans="1:10" x14ac:dyDescent="0.25">
      <c r="A461" s="1">
        <f>'batch tool'!A455</f>
        <v>0</v>
      </c>
      <c r="B461" s="7">
        <f>SUMPRODUCT($C$2:$X$2,'batch tool'!$B455:$W455)+$Y$2</f>
        <v>-49.12272534143483</v>
      </c>
      <c r="C461" s="7">
        <f>SUMPRODUCT($C$3:$X$3,'batch tool'!$B455:$W455)+$Y$3</f>
        <v>-36.514029388465531</v>
      </c>
      <c r="D461" s="7">
        <f>SUMPRODUCT($C$4:$X$4,'batch tool'!$B455:$W455)+$Y$4</f>
        <v>-44.639843068043824</v>
      </c>
      <c r="E461" s="7">
        <f>SUMPRODUCT($C$5:$X$5,'batch tool'!$B455:$W455)+$Y$5</f>
        <v>-51.578889182477603</v>
      </c>
      <c r="F461" s="7">
        <f>SUMPRODUCT($C$6:$X$6,'batch tool'!$B455:$W455)+$Y$6</f>
        <v>-47.741473633885199</v>
      </c>
      <c r="G461" s="7">
        <f>SUMPRODUCT($C$7:$X$7,'batch tool'!$B455:$W455)+$Y$7</f>
        <v>-19.739516238059196</v>
      </c>
      <c r="H461" s="7">
        <f t="shared" si="14"/>
        <v>-19.739516238059196</v>
      </c>
      <c r="I461">
        <f t="shared" si="15"/>
        <v>6</v>
      </c>
      <c r="J461" t="str" cm="1">
        <f t="array" ref="J461">INDEX($A$2:$A$7,I461)</f>
        <v>Segment 6- Self-Conscious Male</v>
      </c>
    </row>
    <row r="462" spans="1:10" x14ac:dyDescent="0.25">
      <c r="A462" s="1">
        <f>'batch tool'!A456</f>
        <v>0</v>
      </c>
      <c r="B462" s="7">
        <f>SUMPRODUCT($C$2:$X$2,'batch tool'!$B456:$W456)+$Y$2</f>
        <v>-49.12272534143483</v>
      </c>
      <c r="C462" s="7">
        <f>SUMPRODUCT($C$3:$X$3,'batch tool'!$B456:$W456)+$Y$3</f>
        <v>-36.514029388465531</v>
      </c>
      <c r="D462" s="7">
        <f>SUMPRODUCT($C$4:$X$4,'batch tool'!$B456:$W456)+$Y$4</f>
        <v>-44.639843068043824</v>
      </c>
      <c r="E462" s="7">
        <f>SUMPRODUCT($C$5:$X$5,'batch tool'!$B456:$W456)+$Y$5</f>
        <v>-51.578889182477603</v>
      </c>
      <c r="F462" s="7">
        <f>SUMPRODUCT($C$6:$X$6,'batch tool'!$B456:$W456)+$Y$6</f>
        <v>-47.741473633885199</v>
      </c>
      <c r="G462" s="7">
        <f>SUMPRODUCT($C$7:$X$7,'batch tool'!$B456:$W456)+$Y$7</f>
        <v>-19.739516238059196</v>
      </c>
      <c r="H462" s="7">
        <f t="shared" si="14"/>
        <v>-19.739516238059196</v>
      </c>
      <c r="I462">
        <f t="shared" si="15"/>
        <v>6</v>
      </c>
      <c r="J462" t="str" cm="1">
        <f t="array" ref="J462">INDEX($A$2:$A$7,I462)</f>
        <v>Segment 6- Self-Conscious Male</v>
      </c>
    </row>
    <row r="463" spans="1:10" x14ac:dyDescent="0.25">
      <c r="A463" s="1">
        <f>'batch tool'!A457</f>
        <v>0</v>
      </c>
      <c r="B463" s="7">
        <f>SUMPRODUCT($C$2:$X$2,'batch tool'!$B457:$W457)+$Y$2</f>
        <v>-49.12272534143483</v>
      </c>
      <c r="C463" s="7">
        <f>SUMPRODUCT($C$3:$X$3,'batch tool'!$B457:$W457)+$Y$3</f>
        <v>-36.514029388465531</v>
      </c>
      <c r="D463" s="7">
        <f>SUMPRODUCT($C$4:$X$4,'batch tool'!$B457:$W457)+$Y$4</f>
        <v>-44.639843068043824</v>
      </c>
      <c r="E463" s="7">
        <f>SUMPRODUCT($C$5:$X$5,'batch tool'!$B457:$W457)+$Y$5</f>
        <v>-51.578889182477603</v>
      </c>
      <c r="F463" s="7">
        <f>SUMPRODUCT($C$6:$X$6,'batch tool'!$B457:$W457)+$Y$6</f>
        <v>-47.741473633885199</v>
      </c>
      <c r="G463" s="7">
        <f>SUMPRODUCT($C$7:$X$7,'batch tool'!$B457:$W457)+$Y$7</f>
        <v>-19.739516238059196</v>
      </c>
      <c r="H463" s="7">
        <f t="shared" si="14"/>
        <v>-19.739516238059196</v>
      </c>
      <c r="I463">
        <f t="shared" si="15"/>
        <v>6</v>
      </c>
      <c r="J463" t="str" cm="1">
        <f t="array" ref="J463">INDEX($A$2:$A$7,I463)</f>
        <v>Segment 6- Self-Conscious Male</v>
      </c>
    </row>
    <row r="464" spans="1:10" x14ac:dyDescent="0.25">
      <c r="A464" s="1">
        <f>'batch tool'!A458</f>
        <v>0</v>
      </c>
      <c r="B464" s="7">
        <f>SUMPRODUCT($C$2:$X$2,'batch tool'!$B458:$W458)+$Y$2</f>
        <v>-49.12272534143483</v>
      </c>
      <c r="C464" s="7">
        <f>SUMPRODUCT($C$3:$X$3,'batch tool'!$B458:$W458)+$Y$3</f>
        <v>-36.514029388465531</v>
      </c>
      <c r="D464" s="7">
        <f>SUMPRODUCT($C$4:$X$4,'batch tool'!$B458:$W458)+$Y$4</f>
        <v>-44.639843068043824</v>
      </c>
      <c r="E464" s="7">
        <f>SUMPRODUCT($C$5:$X$5,'batch tool'!$B458:$W458)+$Y$5</f>
        <v>-51.578889182477603</v>
      </c>
      <c r="F464" s="7">
        <f>SUMPRODUCT($C$6:$X$6,'batch tool'!$B458:$W458)+$Y$6</f>
        <v>-47.741473633885199</v>
      </c>
      <c r="G464" s="7">
        <f>SUMPRODUCT($C$7:$X$7,'batch tool'!$B458:$W458)+$Y$7</f>
        <v>-19.739516238059196</v>
      </c>
      <c r="H464" s="7">
        <f t="shared" si="14"/>
        <v>-19.739516238059196</v>
      </c>
      <c r="I464">
        <f t="shared" si="15"/>
        <v>6</v>
      </c>
      <c r="J464" t="str" cm="1">
        <f t="array" ref="J464">INDEX($A$2:$A$7,I464)</f>
        <v>Segment 6- Self-Conscious Male</v>
      </c>
    </row>
    <row r="465" spans="1:10" x14ac:dyDescent="0.25">
      <c r="A465" s="1">
        <f>'batch tool'!A459</f>
        <v>0</v>
      </c>
      <c r="B465" s="7">
        <f>SUMPRODUCT($C$2:$X$2,'batch tool'!$B459:$W459)+$Y$2</f>
        <v>-49.12272534143483</v>
      </c>
      <c r="C465" s="7">
        <f>SUMPRODUCT($C$3:$X$3,'batch tool'!$B459:$W459)+$Y$3</f>
        <v>-36.514029388465531</v>
      </c>
      <c r="D465" s="7">
        <f>SUMPRODUCT($C$4:$X$4,'batch tool'!$B459:$W459)+$Y$4</f>
        <v>-44.639843068043824</v>
      </c>
      <c r="E465" s="7">
        <f>SUMPRODUCT($C$5:$X$5,'batch tool'!$B459:$W459)+$Y$5</f>
        <v>-51.578889182477603</v>
      </c>
      <c r="F465" s="7">
        <f>SUMPRODUCT($C$6:$X$6,'batch tool'!$B459:$W459)+$Y$6</f>
        <v>-47.741473633885199</v>
      </c>
      <c r="G465" s="7">
        <f>SUMPRODUCT($C$7:$X$7,'batch tool'!$B459:$W459)+$Y$7</f>
        <v>-19.739516238059196</v>
      </c>
      <c r="H465" s="7">
        <f t="shared" si="14"/>
        <v>-19.739516238059196</v>
      </c>
      <c r="I465">
        <f t="shared" si="15"/>
        <v>6</v>
      </c>
      <c r="J465" t="str" cm="1">
        <f t="array" ref="J465">INDEX($A$2:$A$7,I465)</f>
        <v>Segment 6- Self-Conscious Male</v>
      </c>
    </row>
    <row r="466" spans="1:10" x14ac:dyDescent="0.25">
      <c r="A466" s="1">
        <f>'batch tool'!A460</f>
        <v>0</v>
      </c>
      <c r="B466" s="7">
        <f>SUMPRODUCT($C$2:$X$2,'batch tool'!$B460:$W460)+$Y$2</f>
        <v>-49.12272534143483</v>
      </c>
      <c r="C466" s="7">
        <f>SUMPRODUCT($C$3:$X$3,'batch tool'!$B460:$W460)+$Y$3</f>
        <v>-36.514029388465531</v>
      </c>
      <c r="D466" s="7">
        <f>SUMPRODUCT($C$4:$X$4,'batch tool'!$B460:$W460)+$Y$4</f>
        <v>-44.639843068043824</v>
      </c>
      <c r="E466" s="7">
        <f>SUMPRODUCT($C$5:$X$5,'batch tool'!$B460:$W460)+$Y$5</f>
        <v>-51.578889182477603</v>
      </c>
      <c r="F466" s="7">
        <f>SUMPRODUCT($C$6:$X$6,'batch tool'!$B460:$W460)+$Y$6</f>
        <v>-47.741473633885199</v>
      </c>
      <c r="G466" s="7">
        <f>SUMPRODUCT($C$7:$X$7,'batch tool'!$B460:$W460)+$Y$7</f>
        <v>-19.739516238059196</v>
      </c>
      <c r="H466" s="7">
        <f t="shared" si="14"/>
        <v>-19.739516238059196</v>
      </c>
      <c r="I466">
        <f t="shared" si="15"/>
        <v>6</v>
      </c>
      <c r="J466" t="str" cm="1">
        <f t="array" ref="J466">INDEX($A$2:$A$7,I466)</f>
        <v>Segment 6- Self-Conscious Male</v>
      </c>
    </row>
    <row r="467" spans="1:10" x14ac:dyDescent="0.25">
      <c r="A467" s="1">
        <f>'batch tool'!A461</f>
        <v>0</v>
      </c>
      <c r="B467" s="7">
        <f>SUMPRODUCT($C$2:$X$2,'batch tool'!$B461:$W461)+$Y$2</f>
        <v>-49.12272534143483</v>
      </c>
      <c r="C467" s="7">
        <f>SUMPRODUCT($C$3:$X$3,'batch tool'!$B461:$W461)+$Y$3</f>
        <v>-36.514029388465531</v>
      </c>
      <c r="D467" s="7">
        <f>SUMPRODUCT($C$4:$X$4,'batch tool'!$B461:$W461)+$Y$4</f>
        <v>-44.639843068043824</v>
      </c>
      <c r="E467" s="7">
        <f>SUMPRODUCT($C$5:$X$5,'batch tool'!$B461:$W461)+$Y$5</f>
        <v>-51.578889182477603</v>
      </c>
      <c r="F467" s="7">
        <f>SUMPRODUCT($C$6:$X$6,'batch tool'!$B461:$W461)+$Y$6</f>
        <v>-47.741473633885199</v>
      </c>
      <c r="G467" s="7">
        <f>SUMPRODUCT($C$7:$X$7,'batch tool'!$B461:$W461)+$Y$7</f>
        <v>-19.739516238059196</v>
      </c>
      <c r="H467" s="7">
        <f t="shared" si="14"/>
        <v>-19.739516238059196</v>
      </c>
      <c r="I467">
        <f t="shared" si="15"/>
        <v>6</v>
      </c>
      <c r="J467" t="str" cm="1">
        <f t="array" ref="J467">INDEX($A$2:$A$7,I467)</f>
        <v>Segment 6- Self-Conscious Male</v>
      </c>
    </row>
    <row r="468" spans="1:10" x14ac:dyDescent="0.25">
      <c r="A468" s="1">
        <f>'batch tool'!A462</f>
        <v>0</v>
      </c>
      <c r="B468" s="7">
        <f>SUMPRODUCT($C$2:$X$2,'batch tool'!$B462:$W462)+$Y$2</f>
        <v>-49.12272534143483</v>
      </c>
      <c r="C468" s="7">
        <f>SUMPRODUCT($C$3:$X$3,'batch tool'!$B462:$W462)+$Y$3</f>
        <v>-36.514029388465531</v>
      </c>
      <c r="D468" s="7">
        <f>SUMPRODUCT($C$4:$X$4,'batch tool'!$B462:$W462)+$Y$4</f>
        <v>-44.639843068043824</v>
      </c>
      <c r="E468" s="7">
        <f>SUMPRODUCT($C$5:$X$5,'batch tool'!$B462:$W462)+$Y$5</f>
        <v>-51.578889182477603</v>
      </c>
      <c r="F468" s="7">
        <f>SUMPRODUCT($C$6:$X$6,'batch tool'!$B462:$W462)+$Y$6</f>
        <v>-47.741473633885199</v>
      </c>
      <c r="G468" s="7">
        <f>SUMPRODUCT($C$7:$X$7,'batch tool'!$B462:$W462)+$Y$7</f>
        <v>-19.739516238059196</v>
      </c>
      <c r="H468" s="7">
        <f t="shared" si="14"/>
        <v>-19.739516238059196</v>
      </c>
      <c r="I468">
        <f t="shared" si="15"/>
        <v>6</v>
      </c>
      <c r="J468" t="str" cm="1">
        <f t="array" ref="J468">INDEX($A$2:$A$7,I468)</f>
        <v>Segment 6- Self-Conscious Male</v>
      </c>
    </row>
    <row r="469" spans="1:10" x14ac:dyDescent="0.25">
      <c r="A469" s="1">
        <f>'batch tool'!A463</f>
        <v>0</v>
      </c>
      <c r="B469" s="7">
        <f>SUMPRODUCT($C$2:$X$2,'batch tool'!$B463:$W463)+$Y$2</f>
        <v>-49.12272534143483</v>
      </c>
      <c r="C469" s="7">
        <f>SUMPRODUCT($C$3:$X$3,'batch tool'!$B463:$W463)+$Y$3</f>
        <v>-36.514029388465531</v>
      </c>
      <c r="D469" s="7">
        <f>SUMPRODUCT($C$4:$X$4,'batch tool'!$B463:$W463)+$Y$4</f>
        <v>-44.639843068043824</v>
      </c>
      <c r="E469" s="7">
        <f>SUMPRODUCT($C$5:$X$5,'batch tool'!$B463:$W463)+$Y$5</f>
        <v>-51.578889182477603</v>
      </c>
      <c r="F469" s="7">
        <f>SUMPRODUCT($C$6:$X$6,'batch tool'!$B463:$W463)+$Y$6</f>
        <v>-47.741473633885199</v>
      </c>
      <c r="G469" s="7">
        <f>SUMPRODUCT($C$7:$X$7,'batch tool'!$B463:$W463)+$Y$7</f>
        <v>-19.739516238059196</v>
      </c>
      <c r="H469" s="7">
        <f t="shared" si="14"/>
        <v>-19.739516238059196</v>
      </c>
      <c r="I469">
        <f t="shared" si="15"/>
        <v>6</v>
      </c>
      <c r="J469" t="str" cm="1">
        <f t="array" ref="J469">INDEX($A$2:$A$7,I469)</f>
        <v>Segment 6- Self-Conscious Male</v>
      </c>
    </row>
    <row r="470" spans="1:10" x14ac:dyDescent="0.25">
      <c r="A470" s="1">
        <f>'batch tool'!A464</f>
        <v>0</v>
      </c>
      <c r="B470" s="7">
        <f>SUMPRODUCT($C$2:$X$2,'batch tool'!$B464:$W464)+$Y$2</f>
        <v>-49.12272534143483</v>
      </c>
      <c r="C470" s="7">
        <f>SUMPRODUCT($C$3:$X$3,'batch tool'!$B464:$W464)+$Y$3</f>
        <v>-36.514029388465531</v>
      </c>
      <c r="D470" s="7">
        <f>SUMPRODUCT($C$4:$X$4,'batch tool'!$B464:$W464)+$Y$4</f>
        <v>-44.639843068043824</v>
      </c>
      <c r="E470" s="7">
        <f>SUMPRODUCT($C$5:$X$5,'batch tool'!$B464:$W464)+$Y$5</f>
        <v>-51.578889182477603</v>
      </c>
      <c r="F470" s="7">
        <f>SUMPRODUCT($C$6:$X$6,'batch tool'!$B464:$W464)+$Y$6</f>
        <v>-47.741473633885199</v>
      </c>
      <c r="G470" s="7">
        <f>SUMPRODUCT($C$7:$X$7,'batch tool'!$B464:$W464)+$Y$7</f>
        <v>-19.739516238059196</v>
      </c>
      <c r="H470" s="7">
        <f t="shared" si="14"/>
        <v>-19.739516238059196</v>
      </c>
      <c r="I470">
        <f t="shared" si="15"/>
        <v>6</v>
      </c>
      <c r="J470" t="str" cm="1">
        <f t="array" ref="J470">INDEX($A$2:$A$7,I470)</f>
        <v>Segment 6- Self-Conscious Male</v>
      </c>
    </row>
    <row r="471" spans="1:10" x14ac:dyDescent="0.25">
      <c r="A471" s="1">
        <f>'batch tool'!A465</f>
        <v>0</v>
      </c>
      <c r="B471" s="7">
        <f>SUMPRODUCT($C$2:$X$2,'batch tool'!$B465:$W465)+$Y$2</f>
        <v>-49.12272534143483</v>
      </c>
      <c r="C471" s="7">
        <f>SUMPRODUCT($C$3:$X$3,'batch tool'!$B465:$W465)+$Y$3</f>
        <v>-36.514029388465531</v>
      </c>
      <c r="D471" s="7">
        <f>SUMPRODUCT($C$4:$X$4,'batch tool'!$B465:$W465)+$Y$4</f>
        <v>-44.639843068043824</v>
      </c>
      <c r="E471" s="7">
        <f>SUMPRODUCT($C$5:$X$5,'batch tool'!$B465:$W465)+$Y$5</f>
        <v>-51.578889182477603</v>
      </c>
      <c r="F471" s="7">
        <f>SUMPRODUCT($C$6:$X$6,'batch tool'!$B465:$W465)+$Y$6</f>
        <v>-47.741473633885199</v>
      </c>
      <c r="G471" s="7">
        <f>SUMPRODUCT($C$7:$X$7,'batch tool'!$B465:$W465)+$Y$7</f>
        <v>-19.739516238059196</v>
      </c>
      <c r="H471" s="7">
        <f t="shared" si="14"/>
        <v>-19.739516238059196</v>
      </c>
      <c r="I471">
        <f t="shared" si="15"/>
        <v>6</v>
      </c>
      <c r="J471" t="str" cm="1">
        <f t="array" ref="J471">INDEX($A$2:$A$7,I471)</f>
        <v>Segment 6- Self-Conscious Male</v>
      </c>
    </row>
    <row r="472" spans="1:10" x14ac:dyDescent="0.25">
      <c r="A472" s="1">
        <f>'batch tool'!A466</f>
        <v>0</v>
      </c>
      <c r="B472" s="7">
        <f>SUMPRODUCT($C$2:$X$2,'batch tool'!$B466:$W466)+$Y$2</f>
        <v>-49.12272534143483</v>
      </c>
      <c r="C472" s="7">
        <f>SUMPRODUCT($C$3:$X$3,'batch tool'!$B466:$W466)+$Y$3</f>
        <v>-36.514029388465531</v>
      </c>
      <c r="D472" s="7">
        <f>SUMPRODUCT($C$4:$X$4,'batch tool'!$B466:$W466)+$Y$4</f>
        <v>-44.639843068043824</v>
      </c>
      <c r="E472" s="7">
        <f>SUMPRODUCT($C$5:$X$5,'batch tool'!$B466:$W466)+$Y$5</f>
        <v>-51.578889182477603</v>
      </c>
      <c r="F472" s="7">
        <f>SUMPRODUCT($C$6:$X$6,'batch tool'!$B466:$W466)+$Y$6</f>
        <v>-47.741473633885199</v>
      </c>
      <c r="G472" s="7">
        <f>SUMPRODUCT($C$7:$X$7,'batch tool'!$B466:$W466)+$Y$7</f>
        <v>-19.739516238059196</v>
      </c>
      <c r="H472" s="7">
        <f t="shared" si="14"/>
        <v>-19.739516238059196</v>
      </c>
      <c r="I472">
        <f t="shared" si="15"/>
        <v>6</v>
      </c>
      <c r="J472" t="str" cm="1">
        <f t="array" ref="J472">INDEX($A$2:$A$7,I472)</f>
        <v>Segment 6- Self-Conscious Male</v>
      </c>
    </row>
    <row r="473" spans="1:10" x14ac:dyDescent="0.25">
      <c r="A473" s="1">
        <f>'batch tool'!A467</f>
        <v>0</v>
      </c>
      <c r="B473" s="7">
        <f>SUMPRODUCT($C$2:$X$2,'batch tool'!$B467:$W467)+$Y$2</f>
        <v>-49.12272534143483</v>
      </c>
      <c r="C473" s="7">
        <f>SUMPRODUCT($C$3:$X$3,'batch tool'!$B467:$W467)+$Y$3</f>
        <v>-36.514029388465531</v>
      </c>
      <c r="D473" s="7">
        <f>SUMPRODUCT($C$4:$X$4,'batch tool'!$B467:$W467)+$Y$4</f>
        <v>-44.639843068043824</v>
      </c>
      <c r="E473" s="7">
        <f>SUMPRODUCT($C$5:$X$5,'batch tool'!$B467:$W467)+$Y$5</f>
        <v>-51.578889182477603</v>
      </c>
      <c r="F473" s="7">
        <f>SUMPRODUCT($C$6:$X$6,'batch tool'!$B467:$W467)+$Y$6</f>
        <v>-47.741473633885199</v>
      </c>
      <c r="G473" s="7">
        <f>SUMPRODUCT($C$7:$X$7,'batch tool'!$B467:$W467)+$Y$7</f>
        <v>-19.739516238059196</v>
      </c>
      <c r="H473" s="7">
        <f t="shared" si="14"/>
        <v>-19.739516238059196</v>
      </c>
      <c r="I473">
        <f t="shared" si="15"/>
        <v>6</v>
      </c>
      <c r="J473" t="str" cm="1">
        <f t="array" ref="J473">INDEX($A$2:$A$7,I473)</f>
        <v>Segment 6- Self-Conscious Male</v>
      </c>
    </row>
    <row r="474" spans="1:10" x14ac:dyDescent="0.25">
      <c r="A474" s="1">
        <f>'batch tool'!A468</f>
        <v>0</v>
      </c>
      <c r="B474" s="7">
        <f>SUMPRODUCT($C$2:$X$2,'batch tool'!$B468:$W468)+$Y$2</f>
        <v>-49.12272534143483</v>
      </c>
      <c r="C474" s="7">
        <f>SUMPRODUCT($C$3:$X$3,'batch tool'!$B468:$W468)+$Y$3</f>
        <v>-36.514029388465531</v>
      </c>
      <c r="D474" s="7">
        <f>SUMPRODUCT($C$4:$X$4,'batch tool'!$B468:$W468)+$Y$4</f>
        <v>-44.639843068043824</v>
      </c>
      <c r="E474" s="7">
        <f>SUMPRODUCT($C$5:$X$5,'batch tool'!$B468:$W468)+$Y$5</f>
        <v>-51.578889182477603</v>
      </c>
      <c r="F474" s="7">
        <f>SUMPRODUCT($C$6:$X$6,'batch tool'!$B468:$W468)+$Y$6</f>
        <v>-47.741473633885199</v>
      </c>
      <c r="G474" s="7">
        <f>SUMPRODUCT($C$7:$X$7,'batch tool'!$B468:$W468)+$Y$7</f>
        <v>-19.739516238059196</v>
      </c>
      <c r="H474" s="7">
        <f t="shared" si="14"/>
        <v>-19.739516238059196</v>
      </c>
      <c r="I474">
        <f t="shared" si="15"/>
        <v>6</v>
      </c>
      <c r="J474" t="str" cm="1">
        <f t="array" ref="J474">INDEX($A$2:$A$7,I474)</f>
        <v>Segment 6- Self-Conscious Male</v>
      </c>
    </row>
    <row r="475" spans="1:10" x14ac:dyDescent="0.25">
      <c r="A475" s="1">
        <f>'batch tool'!A469</f>
        <v>0</v>
      </c>
      <c r="B475" s="7">
        <f>SUMPRODUCT($C$2:$X$2,'batch tool'!$B469:$W469)+$Y$2</f>
        <v>-49.12272534143483</v>
      </c>
      <c r="C475" s="7">
        <f>SUMPRODUCT($C$3:$X$3,'batch tool'!$B469:$W469)+$Y$3</f>
        <v>-36.514029388465531</v>
      </c>
      <c r="D475" s="7">
        <f>SUMPRODUCT($C$4:$X$4,'batch tool'!$B469:$W469)+$Y$4</f>
        <v>-44.639843068043824</v>
      </c>
      <c r="E475" s="7">
        <f>SUMPRODUCT($C$5:$X$5,'batch tool'!$B469:$W469)+$Y$5</f>
        <v>-51.578889182477603</v>
      </c>
      <c r="F475" s="7">
        <f>SUMPRODUCT($C$6:$X$6,'batch tool'!$B469:$W469)+$Y$6</f>
        <v>-47.741473633885199</v>
      </c>
      <c r="G475" s="7">
        <f>SUMPRODUCT($C$7:$X$7,'batch tool'!$B469:$W469)+$Y$7</f>
        <v>-19.739516238059196</v>
      </c>
      <c r="H475" s="7">
        <f t="shared" si="14"/>
        <v>-19.739516238059196</v>
      </c>
      <c r="I475">
        <f t="shared" si="15"/>
        <v>6</v>
      </c>
      <c r="J475" t="str" cm="1">
        <f t="array" ref="J475">INDEX($A$2:$A$7,I475)</f>
        <v>Segment 6- Self-Conscious Male</v>
      </c>
    </row>
    <row r="476" spans="1:10" x14ac:dyDescent="0.25">
      <c r="A476" s="1">
        <f>'batch tool'!A470</f>
        <v>0</v>
      </c>
      <c r="B476" s="7">
        <f>SUMPRODUCT($C$2:$X$2,'batch tool'!$B470:$W470)+$Y$2</f>
        <v>-49.12272534143483</v>
      </c>
      <c r="C476" s="7">
        <f>SUMPRODUCT($C$3:$X$3,'batch tool'!$B470:$W470)+$Y$3</f>
        <v>-36.514029388465531</v>
      </c>
      <c r="D476" s="7">
        <f>SUMPRODUCT($C$4:$X$4,'batch tool'!$B470:$W470)+$Y$4</f>
        <v>-44.639843068043824</v>
      </c>
      <c r="E476" s="7">
        <f>SUMPRODUCT($C$5:$X$5,'batch tool'!$B470:$W470)+$Y$5</f>
        <v>-51.578889182477603</v>
      </c>
      <c r="F476" s="7">
        <f>SUMPRODUCT($C$6:$X$6,'batch tool'!$B470:$W470)+$Y$6</f>
        <v>-47.741473633885199</v>
      </c>
      <c r="G476" s="7">
        <f>SUMPRODUCT($C$7:$X$7,'batch tool'!$B470:$W470)+$Y$7</f>
        <v>-19.739516238059196</v>
      </c>
      <c r="H476" s="7">
        <f t="shared" si="14"/>
        <v>-19.739516238059196</v>
      </c>
      <c r="I476">
        <f t="shared" si="15"/>
        <v>6</v>
      </c>
      <c r="J476" t="str" cm="1">
        <f t="array" ref="J476">INDEX($A$2:$A$7,I476)</f>
        <v>Segment 6- Self-Conscious Male</v>
      </c>
    </row>
    <row r="477" spans="1:10" x14ac:dyDescent="0.25">
      <c r="A477" s="1">
        <f>'batch tool'!A471</f>
        <v>0</v>
      </c>
      <c r="B477" s="7">
        <f>SUMPRODUCT($C$2:$X$2,'batch tool'!$B471:$W471)+$Y$2</f>
        <v>-49.12272534143483</v>
      </c>
      <c r="C477" s="7">
        <f>SUMPRODUCT($C$3:$X$3,'batch tool'!$B471:$W471)+$Y$3</f>
        <v>-36.514029388465531</v>
      </c>
      <c r="D477" s="7">
        <f>SUMPRODUCT($C$4:$X$4,'batch tool'!$B471:$W471)+$Y$4</f>
        <v>-44.639843068043824</v>
      </c>
      <c r="E477" s="7">
        <f>SUMPRODUCT($C$5:$X$5,'batch tool'!$B471:$W471)+$Y$5</f>
        <v>-51.578889182477603</v>
      </c>
      <c r="F477" s="7">
        <f>SUMPRODUCT($C$6:$X$6,'batch tool'!$B471:$W471)+$Y$6</f>
        <v>-47.741473633885199</v>
      </c>
      <c r="G477" s="7">
        <f>SUMPRODUCT($C$7:$X$7,'batch tool'!$B471:$W471)+$Y$7</f>
        <v>-19.739516238059196</v>
      </c>
      <c r="H477" s="7">
        <f t="shared" si="14"/>
        <v>-19.739516238059196</v>
      </c>
      <c r="I477">
        <f t="shared" si="15"/>
        <v>6</v>
      </c>
      <c r="J477" t="str" cm="1">
        <f t="array" ref="J477">INDEX($A$2:$A$7,I477)</f>
        <v>Segment 6- Self-Conscious Male</v>
      </c>
    </row>
    <row r="478" spans="1:10" x14ac:dyDescent="0.25">
      <c r="A478" s="1">
        <f>'batch tool'!A472</f>
        <v>0</v>
      </c>
      <c r="B478" s="7">
        <f>SUMPRODUCT($C$2:$X$2,'batch tool'!$B472:$W472)+$Y$2</f>
        <v>-49.12272534143483</v>
      </c>
      <c r="C478" s="7">
        <f>SUMPRODUCT($C$3:$X$3,'batch tool'!$B472:$W472)+$Y$3</f>
        <v>-36.514029388465531</v>
      </c>
      <c r="D478" s="7">
        <f>SUMPRODUCT($C$4:$X$4,'batch tool'!$B472:$W472)+$Y$4</f>
        <v>-44.639843068043824</v>
      </c>
      <c r="E478" s="7">
        <f>SUMPRODUCT($C$5:$X$5,'batch tool'!$B472:$W472)+$Y$5</f>
        <v>-51.578889182477603</v>
      </c>
      <c r="F478" s="7">
        <f>SUMPRODUCT($C$6:$X$6,'batch tool'!$B472:$W472)+$Y$6</f>
        <v>-47.741473633885199</v>
      </c>
      <c r="G478" s="7">
        <f>SUMPRODUCT($C$7:$X$7,'batch tool'!$B472:$W472)+$Y$7</f>
        <v>-19.739516238059196</v>
      </c>
      <c r="H478" s="7">
        <f t="shared" si="14"/>
        <v>-19.739516238059196</v>
      </c>
      <c r="I478">
        <f t="shared" si="15"/>
        <v>6</v>
      </c>
      <c r="J478" t="str" cm="1">
        <f t="array" ref="J478">INDEX($A$2:$A$7,I478)</f>
        <v>Segment 6- Self-Conscious Male</v>
      </c>
    </row>
    <row r="479" spans="1:10" x14ac:dyDescent="0.25">
      <c r="A479" s="1">
        <f>'batch tool'!A473</f>
        <v>0</v>
      </c>
      <c r="B479" s="7">
        <f>SUMPRODUCT($C$2:$X$2,'batch tool'!$B473:$W473)+$Y$2</f>
        <v>-49.12272534143483</v>
      </c>
      <c r="C479" s="7">
        <f>SUMPRODUCT($C$3:$X$3,'batch tool'!$B473:$W473)+$Y$3</f>
        <v>-36.514029388465531</v>
      </c>
      <c r="D479" s="7">
        <f>SUMPRODUCT($C$4:$X$4,'batch tool'!$B473:$W473)+$Y$4</f>
        <v>-44.639843068043824</v>
      </c>
      <c r="E479" s="7">
        <f>SUMPRODUCT($C$5:$X$5,'batch tool'!$B473:$W473)+$Y$5</f>
        <v>-51.578889182477603</v>
      </c>
      <c r="F479" s="7">
        <f>SUMPRODUCT($C$6:$X$6,'batch tool'!$B473:$W473)+$Y$6</f>
        <v>-47.741473633885199</v>
      </c>
      <c r="G479" s="7">
        <f>SUMPRODUCT($C$7:$X$7,'batch tool'!$B473:$W473)+$Y$7</f>
        <v>-19.739516238059196</v>
      </c>
      <c r="H479" s="7">
        <f t="shared" si="14"/>
        <v>-19.739516238059196</v>
      </c>
      <c r="I479">
        <f t="shared" si="15"/>
        <v>6</v>
      </c>
      <c r="J479" t="str" cm="1">
        <f t="array" ref="J479">INDEX($A$2:$A$7,I479)</f>
        <v>Segment 6- Self-Conscious Male</v>
      </c>
    </row>
    <row r="480" spans="1:10" x14ac:dyDescent="0.25">
      <c r="A480" s="1">
        <f>'batch tool'!A474</f>
        <v>0</v>
      </c>
      <c r="B480" s="7">
        <f>SUMPRODUCT($C$2:$X$2,'batch tool'!$B474:$W474)+$Y$2</f>
        <v>-49.12272534143483</v>
      </c>
      <c r="C480" s="7">
        <f>SUMPRODUCT($C$3:$X$3,'batch tool'!$B474:$W474)+$Y$3</f>
        <v>-36.514029388465531</v>
      </c>
      <c r="D480" s="7">
        <f>SUMPRODUCT($C$4:$X$4,'batch tool'!$B474:$W474)+$Y$4</f>
        <v>-44.639843068043824</v>
      </c>
      <c r="E480" s="7">
        <f>SUMPRODUCT($C$5:$X$5,'batch tool'!$B474:$W474)+$Y$5</f>
        <v>-51.578889182477603</v>
      </c>
      <c r="F480" s="7">
        <f>SUMPRODUCT($C$6:$X$6,'batch tool'!$B474:$W474)+$Y$6</f>
        <v>-47.741473633885199</v>
      </c>
      <c r="G480" s="7">
        <f>SUMPRODUCT($C$7:$X$7,'batch tool'!$B474:$W474)+$Y$7</f>
        <v>-19.739516238059196</v>
      </c>
      <c r="H480" s="7">
        <f t="shared" si="14"/>
        <v>-19.739516238059196</v>
      </c>
      <c r="I480">
        <f t="shared" si="15"/>
        <v>6</v>
      </c>
      <c r="J480" t="str" cm="1">
        <f t="array" ref="J480">INDEX($A$2:$A$7,I480)</f>
        <v>Segment 6- Self-Conscious Male</v>
      </c>
    </row>
    <row r="481" spans="1:10" x14ac:dyDescent="0.25">
      <c r="A481" s="1">
        <f>'batch tool'!A475</f>
        <v>0</v>
      </c>
      <c r="B481" s="7">
        <f>SUMPRODUCT($C$2:$X$2,'batch tool'!$B475:$W475)+$Y$2</f>
        <v>-49.12272534143483</v>
      </c>
      <c r="C481" s="7">
        <f>SUMPRODUCT($C$3:$X$3,'batch tool'!$B475:$W475)+$Y$3</f>
        <v>-36.514029388465531</v>
      </c>
      <c r="D481" s="7">
        <f>SUMPRODUCT($C$4:$X$4,'batch tool'!$B475:$W475)+$Y$4</f>
        <v>-44.639843068043824</v>
      </c>
      <c r="E481" s="7">
        <f>SUMPRODUCT($C$5:$X$5,'batch tool'!$B475:$W475)+$Y$5</f>
        <v>-51.578889182477603</v>
      </c>
      <c r="F481" s="7">
        <f>SUMPRODUCT($C$6:$X$6,'batch tool'!$B475:$W475)+$Y$6</f>
        <v>-47.741473633885199</v>
      </c>
      <c r="G481" s="7">
        <f>SUMPRODUCT($C$7:$X$7,'batch tool'!$B475:$W475)+$Y$7</f>
        <v>-19.739516238059196</v>
      </c>
      <c r="H481" s="7">
        <f t="shared" si="14"/>
        <v>-19.739516238059196</v>
      </c>
      <c r="I481">
        <f t="shared" si="15"/>
        <v>6</v>
      </c>
      <c r="J481" t="str" cm="1">
        <f t="array" ref="J481">INDEX($A$2:$A$7,I481)</f>
        <v>Segment 6- Self-Conscious Male</v>
      </c>
    </row>
    <row r="482" spans="1:10" x14ac:dyDescent="0.25">
      <c r="A482" s="1">
        <f>'batch tool'!A476</f>
        <v>0</v>
      </c>
      <c r="B482" s="7">
        <f>SUMPRODUCT($C$2:$X$2,'batch tool'!$B476:$W476)+$Y$2</f>
        <v>-49.12272534143483</v>
      </c>
      <c r="C482" s="7">
        <f>SUMPRODUCT($C$3:$X$3,'batch tool'!$B476:$W476)+$Y$3</f>
        <v>-36.514029388465531</v>
      </c>
      <c r="D482" s="7">
        <f>SUMPRODUCT($C$4:$X$4,'batch tool'!$B476:$W476)+$Y$4</f>
        <v>-44.639843068043824</v>
      </c>
      <c r="E482" s="7">
        <f>SUMPRODUCT($C$5:$X$5,'batch tool'!$B476:$W476)+$Y$5</f>
        <v>-51.578889182477603</v>
      </c>
      <c r="F482" s="7">
        <f>SUMPRODUCT($C$6:$X$6,'batch tool'!$B476:$W476)+$Y$6</f>
        <v>-47.741473633885199</v>
      </c>
      <c r="G482" s="7">
        <f>SUMPRODUCT($C$7:$X$7,'batch tool'!$B476:$W476)+$Y$7</f>
        <v>-19.739516238059196</v>
      </c>
      <c r="H482" s="7">
        <f t="shared" si="14"/>
        <v>-19.739516238059196</v>
      </c>
      <c r="I482">
        <f t="shared" si="15"/>
        <v>6</v>
      </c>
      <c r="J482" t="str" cm="1">
        <f t="array" ref="J482">INDEX($A$2:$A$7,I482)</f>
        <v>Segment 6- Self-Conscious Male</v>
      </c>
    </row>
    <row r="483" spans="1:10" x14ac:dyDescent="0.25">
      <c r="A483" s="1">
        <f>'batch tool'!A477</f>
        <v>0</v>
      </c>
      <c r="B483" s="7">
        <f>SUMPRODUCT($C$2:$X$2,'batch tool'!$B477:$W477)+$Y$2</f>
        <v>-49.12272534143483</v>
      </c>
      <c r="C483" s="7">
        <f>SUMPRODUCT($C$3:$X$3,'batch tool'!$B477:$W477)+$Y$3</f>
        <v>-36.514029388465531</v>
      </c>
      <c r="D483" s="7">
        <f>SUMPRODUCT($C$4:$X$4,'batch tool'!$B477:$W477)+$Y$4</f>
        <v>-44.639843068043824</v>
      </c>
      <c r="E483" s="7">
        <f>SUMPRODUCT($C$5:$X$5,'batch tool'!$B477:$W477)+$Y$5</f>
        <v>-51.578889182477603</v>
      </c>
      <c r="F483" s="7">
        <f>SUMPRODUCT($C$6:$X$6,'batch tool'!$B477:$W477)+$Y$6</f>
        <v>-47.741473633885199</v>
      </c>
      <c r="G483" s="7">
        <f>SUMPRODUCT($C$7:$X$7,'batch tool'!$B477:$W477)+$Y$7</f>
        <v>-19.739516238059196</v>
      </c>
      <c r="H483" s="7">
        <f t="shared" si="14"/>
        <v>-19.739516238059196</v>
      </c>
      <c r="I483">
        <f t="shared" si="15"/>
        <v>6</v>
      </c>
      <c r="J483" t="str" cm="1">
        <f t="array" ref="J483">INDEX($A$2:$A$7,I483)</f>
        <v>Segment 6- Self-Conscious Male</v>
      </c>
    </row>
    <row r="484" spans="1:10" x14ac:dyDescent="0.25">
      <c r="A484" s="1">
        <f>'batch tool'!A478</f>
        <v>0</v>
      </c>
      <c r="B484" s="7">
        <f>SUMPRODUCT($C$2:$X$2,'batch tool'!$B478:$W478)+$Y$2</f>
        <v>-49.12272534143483</v>
      </c>
      <c r="C484" s="7">
        <f>SUMPRODUCT($C$3:$X$3,'batch tool'!$B478:$W478)+$Y$3</f>
        <v>-36.514029388465531</v>
      </c>
      <c r="D484" s="7">
        <f>SUMPRODUCT($C$4:$X$4,'batch tool'!$B478:$W478)+$Y$4</f>
        <v>-44.639843068043824</v>
      </c>
      <c r="E484" s="7">
        <f>SUMPRODUCT($C$5:$X$5,'batch tool'!$B478:$W478)+$Y$5</f>
        <v>-51.578889182477603</v>
      </c>
      <c r="F484" s="7">
        <f>SUMPRODUCT($C$6:$X$6,'batch tool'!$B478:$W478)+$Y$6</f>
        <v>-47.741473633885199</v>
      </c>
      <c r="G484" s="7">
        <f>SUMPRODUCT($C$7:$X$7,'batch tool'!$B478:$W478)+$Y$7</f>
        <v>-19.739516238059196</v>
      </c>
      <c r="H484" s="7">
        <f t="shared" si="14"/>
        <v>-19.739516238059196</v>
      </c>
      <c r="I484">
        <f t="shared" si="15"/>
        <v>6</v>
      </c>
      <c r="J484" t="str" cm="1">
        <f t="array" ref="J484">INDEX($A$2:$A$7,I484)</f>
        <v>Segment 6- Self-Conscious Male</v>
      </c>
    </row>
    <row r="485" spans="1:10" x14ac:dyDescent="0.25">
      <c r="A485" s="1">
        <f>'batch tool'!A479</f>
        <v>0</v>
      </c>
      <c r="B485" s="7">
        <f>SUMPRODUCT($C$2:$X$2,'batch tool'!$B479:$W479)+$Y$2</f>
        <v>-49.12272534143483</v>
      </c>
      <c r="C485" s="7">
        <f>SUMPRODUCT($C$3:$X$3,'batch tool'!$B479:$W479)+$Y$3</f>
        <v>-36.514029388465531</v>
      </c>
      <c r="D485" s="7">
        <f>SUMPRODUCT($C$4:$X$4,'batch tool'!$B479:$W479)+$Y$4</f>
        <v>-44.639843068043824</v>
      </c>
      <c r="E485" s="7">
        <f>SUMPRODUCT($C$5:$X$5,'batch tool'!$B479:$W479)+$Y$5</f>
        <v>-51.578889182477603</v>
      </c>
      <c r="F485" s="7">
        <f>SUMPRODUCT($C$6:$X$6,'batch tool'!$B479:$W479)+$Y$6</f>
        <v>-47.741473633885199</v>
      </c>
      <c r="G485" s="7">
        <f>SUMPRODUCT($C$7:$X$7,'batch tool'!$B479:$W479)+$Y$7</f>
        <v>-19.739516238059196</v>
      </c>
      <c r="H485" s="7">
        <f t="shared" si="14"/>
        <v>-19.739516238059196</v>
      </c>
      <c r="I485">
        <f t="shared" si="15"/>
        <v>6</v>
      </c>
      <c r="J485" t="str" cm="1">
        <f t="array" ref="J485">INDEX($A$2:$A$7,I485)</f>
        <v>Segment 6- Self-Conscious Male</v>
      </c>
    </row>
    <row r="486" spans="1:10" x14ac:dyDescent="0.25">
      <c r="A486" s="1">
        <f>'batch tool'!A480</f>
        <v>0</v>
      </c>
      <c r="B486" s="7">
        <f>SUMPRODUCT($C$2:$X$2,'batch tool'!$B480:$W480)+$Y$2</f>
        <v>-49.12272534143483</v>
      </c>
      <c r="C486" s="7">
        <f>SUMPRODUCT($C$3:$X$3,'batch tool'!$B480:$W480)+$Y$3</f>
        <v>-36.514029388465531</v>
      </c>
      <c r="D486" s="7">
        <f>SUMPRODUCT($C$4:$X$4,'batch tool'!$B480:$W480)+$Y$4</f>
        <v>-44.639843068043824</v>
      </c>
      <c r="E486" s="7">
        <f>SUMPRODUCT($C$5:$X$5,'batch tool'!$B480:$W480)+$Y$5</f>
        <v>-51.578889182477603</v>
      </c>
      <c r="F486" s="7">
        <f>SUMPRODUCT($C$6:$X$6,'batch tool'!$B480:$W480)+$Y$6</f>
        <v>-47.741473633885199</v>
      </c>
      <c r="G486" s="7">
        <f>SUMPRODUCT($C$7:$X$7,'batch tool'!$B480:$W480)+$Y$7</f>
        <v>-19.739516238059196</v>
      </c>
      <c r="H486" s="7">
        <f t="shared" si="14"/>
        <v>-19.739516238059196</v>
      </c>
      <c r="I486">
        <f t="shared" si="15"/>
        <v>6</v>
      </c>
      <c r="J486" t="str" cm="1">
        <f t="array" ref="J486">INDEX($A$2:$A$7,I486)</f>
        <v>Segment 6- Self-Conscious Male</v>
      </c>
    </row>
    <row r="487" spans="1:10" x14ac:dyDescent="0.25">
      <c r="A487" s="1">
        <f>'batch tool'!A481</f>
        <v>0</v>
      </c>
      <c r="B487" s="7">
        <f>SUMPRODUCT($C$2:$X$2,'batch tool'!$B481:$W481)+$Y$2</f>
        <v>-49.12272534143483</v>
      </c>
      <c r="C487" s="7">
        <f>SUMPRODUCT($C$3:$X$3,'batch tool'!$B481:$W481)+$Y$3</f>
        <v>-36.514029388465531</v>
      </c>
      <c r="D487" s="7">
        <f>SUMPRODUCT($C$4:$X$4,'batch tool'!$B481:$W481)+$Y$4</f>
        <v>-44.639843068043824</v>
      </c>
      <c r="E487" s="7">
        <f>SUMPRODUCT($C$5:$X$5,'batch tool'!$B481:$W481)+$Y$5</f>
        <v>-51.578889182477603</v>
      </c>
      <c r="F487" s="7">
        <f>SUMPRODUCT($C$6:$X$6,'batch tool'!$B481:$W481)+$Y$6</f>
        <v>-47.741473633885199</v>
      </c>
      <c r="G487" s="7">
        <f>SUMPRODUCT($C$7:$X$7,'batch tool'!$B481:$W481)+$Y$7</f>
        <v>-19.739516238059196</v>
      </c>
      <c r="H487" s="7">
        <f t="shared" si="14"/>
        <v>-19.739516238059196</v>
      </c>
      <c r="I487">
        <f t="shared" si="15"/>
        <v>6</v>
      </c>
      <c r="J487" t="str" cm="1">
        <f t="array" ref="J487">INDEX($A$2:$A$7,I487)</f>
        <v>Segment 6- Self-Conscious Male</v>
      </c>
    </row>
    <row r="488" spans="1:10" x14ac:dyDescent="0.25">
      <c r="A488" s="1">
        <f>'batch tool'!A482</f>
        <v>0</v>
      </c>
      <c r="B488" s="7">
        <f>SUMPRODUCT($C$2:$X$2,'batch tool'!$B482:$W482)+$Y$2</f>
        <v>-49.12272534143483</v>
      </c>
      <c r="C488" s="7">
        <f>SUMPRODUCT($C$3:$X$3,'batch tool'!$B482:$W482)+$Y$3</f>
        <v>-36.514029388465531</v>
      </c>
      <c r="D488" s="7">
        <f>SUMPRODUCT($C$4:$X$4,'batch tool'!$B482:$W482)+$Y$4</f>
        <v>-44.639843068043824</v>
      </c>
      <c r="E488" s="7">
        <f>SUMPRODUCT($C$5:$X$5,'batch tool'!$B482:$W482)+$Y$5</f>
        <v>-51.578889182477603</v>
      </c>
      <c r="F488" s="7">
        <f>SUMPRODUCT($C$6:$X$6,'batch tool'!$B482:$W482)+$Y$6</f>
        <v>-47.741473633885199</v>
      </c>
      <c r="G488" s="7">
        <f>SUMPRODUCT($C$7:$X$7,'batch tool'!$B482:$W482)+$Y$7</f>
        <v>-19.739516238059196</v>
      </c>
      <c r="H488" s="7">
        <f t="shared" si="14"/>
        <v>-19.739516238059196</v>
      </c>
      <c r="I488">
        <f t="shared" si="15"/>
        <v>6</v>
      </c>
      <c r="J488" t="str" cm="1">
        <f t="array" ref="J488">INDEX($A$2:$A$7,I488)</f>
        <v>Segment 6- Self-Conscious Male</v>
      </c>
    </row>
    <row r="489" spans="1:10" x14ac:dyDescent="0.25">
      <c r="A489" s="1">
        <f>'batch tool'!A483</f>
        <v>0</v>
      </c>
      <c r="B489" s="7">
        <f>SUMPRODUCT($C$2:$X$2,'batch tool'!$B483:$W483)+$Y$2</f>
        <v>-49.12272534143483</v>
      </c>
      <c r="C489" s="7">
        <f>SUMPRODUCT($C$3:$X$3,'batch tool'!$B483:$W483)+$Y$3</f>
        <v>-36.514029388465531</v>
      </c>
      <c r="D489" s="7">
        <f>SUMPRODUCT($C$4:$X$4,'batch tool'!$B483:$W483)+$Y$4</f>
        <v>-44.639843068043824</v>
      </c>
      <c r="E489" s="7">
        <f>SUMPRODUCT($C$5:$X$5,'batch tool'!$B483:$W483)+$Y$5</f>
        <v>-51.578889182477603</v>
      </c>
      <c r="F489" s="7">
        <f>SUMPRODUCT($C$6:$X$6,'batch tool'!$B483:$W483)+$Y$6</f>
        <v>-47.741473633885199</v>
      </c>
      <c r="G489" s="7">
        <f>SUMPRODUCT($C$7:$X$7,'batch tool'!$B483:$W483)+$Y$7</f>
        <v>-19.739516238059196</v>
      </c>
      <c r="H489" s="7">
        <f t="shared" si="14"/>
        <v>-19.739516238059196</v>
      </c>
      <c r="I489">
        <f t="shared" si="15"/>
        <v>6</v>
      </c>
      <c r="J489" t="str" cm="1">
        <f t="array" ref="J489">INDEX($A$2:$A$7,I489)</f>
        <v>Segment 6- Self-Conscious Male</v>
      </c>
    </row>
    <row r="490" spans="1:10" x14ac:dyDescent="0.25">
      <c r="A490" s="1">
        <f>'batch tool'!A484</f>
        <v>0</v>
      </c>
      <c r="B490" s="7">
        <f>SUMPRODUCT($C$2:$X$2,'batch tool'!$B484:$W484)+$Y$2</f>
        <v>-49.12272534143483</v>
      </c>
      <c r="C490" s="7">
        <f>SUMPRODUCT($C$3:$X$3,'batch tool'!$B484:$W484)+$Y$3</f>
        <v>-36.514029388465531</v>
      </c>
      <c r="D490" s="7">
        <f>SUMPRODUCT($C$4:$X$4,'batch tool'!$B484:$W484)+$Y$4</f>
        <v>-44.639843068043824</v>
      </c>
      <c r="E490" s="7">
        <f>SUMPRODUCT($C$5:$X$5,'batch tool'!$B484:$W484)+$Y$5</f>
        <v>-51.578889182477603</v>
      </c>
      <c r="F490" s="7">
        <f>SUMPRODUCT($C$6:$X$6,'batch tool'!$B484:$W484)+$Y$6</f>
        <v>-47.741473633885199</v>
      </c>
      <c r="G490" s="7">
        <f>SUMPRODUCT($C$7:$X$7,'batch tool'!$B484:$W484)+$Y$7</f>
        <v>-19.739516238059196</v>
      </c>
      <c r="H490" s="7">
        <f t="shared" si="14"/>
        <v>-19.739516238059196</v>
      </c>
      <c r="I490">
        <f t="shared" si="15"/>
        <v>6</v>
      </c>
      <c r="J490" t="str" cm="1">
        <f t="array" ref="J490">INDEX($A$2:$A$7,I490)</f>
        <v>Segment 6- Self-Conscious Male</v>
      </c>
    </row>
    <row r="491" spans="1:10" x14ac:dyDescent="0.25">
      <c r="A491" s="1">
        <f>'batch tool'!A485</f>
        <v>0</v>
      </c>
      <c r="B491" s="7">
        <f>SUMPRODUCT($C$2:$X$2,'batch tool'!$B485:$W485)+$Y$2</f>
        <v>-49.12272534143483</v>
      </c>
      <c r="C491" s="7">
        <f>SUMPRODUCT($C$3:$X$3,'batch tool'!$B485:$W485)+$Y$3</f>
        <v>-36.514029388465531</v>
      </c>
      <c r="D491" s="7">
        <f>SUMPRODUCT($C$4:$X$4,'batch tool'!$B485:$W485)+$Y$4</f>
        <v>-44.639843068043824</v>
      </c>
      <c r="E491" s="7">
        <f>SUMPRODUCT($C$5:$X$5,'batch tool'!$B485:$W485)+$Y$5</f>
        <v>-51.578889182477603</v>
      </c>
      <c r="F491" s="7">
        <f>SUMPRODUCT($C$6:$X$6,'batch tool'!$B485:$W485)+$Y$6</f>
        <v>-47.741473633885199</v>
      </c>
      <c r="G491" s="7">
        <f>SUMPRODUCT($C$7:$X$7,'batch tool'!$B485:$W485)+$Y$7</f>
        <v>-19.739516238059196</v>
      </c>
      <c r="H491" s="7">
        <f t="shared" si="14"/>
        <v>-19.739516238059196</v>
      </c>
      <c r="I491">
        <f t="shared" si="15"/>
        <v>6</v>
      </c>
      <c r="J491" t="str" cm="1">
        <f t="array" ref="J491">INDEX($A$2:$A$7,I491)</f>
        <v>Segment 6- Self-Conscious Male</v>
      </c>
    </row>
    <row r="492" spans="1:10" x14ac:dyDescent="0.25">
      <c r="A492" s="1">
        <f>'batch tool'!A486</f>
        <v>0</v>
      </c>
      <c r="B492" s="7">
        <f>SUMPRODUCT($C$2:$X$2,'batch tool'!$B486:$W486)+$Y$2</f>
        <v>-49.12272534143483</v>
      </c>
      <c r="C492" s="7">
        <f>SUMPRODUCT($C$3:$X$3,'batch tool'!$B486:$W486)+$Y$3</f>
        <v>-36.514029388465531</v>
      </c>
      <c r="D492" s="7">
        <f>SUMPRODUCT($C$4:$X$4,'batch tool'!$B486:$W486)+$Y$4</f>
        <v>-44.639843068043824</v>
      </c>
      <c r="E492" s="7">
        <f>SUMPRODUCT($C$5:$X$5,'batch tool'!$B486:$W486)+$Y$5</f>
        <v>-51.578889182477603</v>
      </c>
      <c r="F492" s="7">
        <f>SUMPRODUCT($C$6:$X$6,'batch tool'!$B486:$W486)+$Y$6</f>
        <v>-47.741473633885199</v>
      </c>
      <c r="G492" s="7">
        <f>SUMPRODUCT($C$7:$X$7,'batch tool'!$B486:$W486)+$Y$7</f>
        <v>-19.739516238059196</v>
      </c>
      <c r="H492" s="7">
        <f t="shared" si="14"/>
        <v>-19.739516238059196</v>
      </c>
      <c r="I492">
        <f t="shared" si="15"/>
        <v>6</v>
      </c>
      <c r="J492" t="str" cm="1">
        <f t="array" ref="J492">INDEX($A$2:$A$7,I492)</f>
        <v>Segment 6- Self-Conscious Male</v>
      </c>
    </row>
    <row r="493" spans="1:10" x14ac:dyDescent="0.25">
      <c r="A493" s="1">
        <f>'batch tool'!A487</f>
        <v>0</v>
      </c>
      <c r="B493" s="7">
        <f>SUMPRODUCT($C$2:$X$2,'batch tool'!$B487:$W487)+$Y$2</f>
        <v>-49.12272534143483</v>
      </c>
      <c r="C493" s="7">
        <f>SUMPRODUCT($C$3:$X$3,'batch tool'!$B487:$W487)+$Y$3</f>
        <v>-36.514029388465531</v>
      </c>
      <c r="D493" s="7">
        <f>SUMPRODUCT($C$4:$X$4,'batch tool'!$B487:$W487)+$Y$4</f>
        <v>-44.639843068043824</v>
      </c>
      <c r="E493" s="7">
        <f>SUMPRODUCT($C$5:$X$5,'batch tool'!$B487:$W487)+$Y$5</f>
        <v>-51.578889182477603</v>
      </c>
      <c r="F493" s="7">
        <f>SUMPRODUCT($C$6:$X$6,'batch tool'!$B487:$W487)+$Y$6</f>
        <v>-47.741473633885199</v>
      </c>
      <c r="G493" s="7">
        <f>SUMPRODUCT($C$7:$X$7,'batch tool'!$B487:$W487)+$Y$7</f>
        <v>-19.739516238059196</v>
      </c>
      <c r="H493" s="7">
        <f t="shared" si="14"/>
        <v>-19.739516238059196</v>
      </c>
      <c r="I493">
        <f t="shared" si="15"/>
        <v>6</v>
      </c>
      <c r="J493" t="str" cm="1">
        <f t="array" ref="J493">INDEX($A$2:$A$7,I493)</f>
        <v>Segment 6- Self-Conscious Male</v>
      </c>
    </row>
    <row r="494" spans="1:10" x14ac:dyDescent="0.25">
      <c r="A494" s="1">
        <f>'batch tool'!A488</f>
        <v>0</v>
      </c>
      <c r="B494" s="7">
        <f>SUMPRODUCT($C$2:$X$2,'batch tool'!$B488:$W488)+$Y$2</f>
        <v>-49.12272534143483</v>
      </c>
      <c r="C494" s="7">
        <f>SUMPRODUCT($C$3:$X$3,'batch tool'!$B488:$W488)+$Y$3</f>
        <v>-36.514029388465531</v>
      </c>
      <c r="D494" s="7">
        <f>SUMPRODUCT($C$4:$X$4,'batch tool'!$B488:$W488)+$Y$4</f>
        <v>-44.639843068043824</v>
      </c>
      <c r="E494" s="7">
        <f>SUMPRODUCT($C$5:$X$5,'batch tool'!$B488:$W488)+$Y$5</f>
        <v>-51.578889182477603</v>
      </c>
      <c r="F494" s="7">
        <f>SUMPRODUCT($C$6:$X$6,'batch tool'!$B488:$W488)+$Y$6</f>
        <v>-47.741473633885199</v>
      </c>
      <c r="G494" s="7">
        <f>SUMPRODUCT($C$7:$X$7,'batch tool'!$B488:$W488)+$Y$7</f>
        <v>-19.739516238059196</v>
      </c>
      <c r="H494" s="7">
        <f t="shared" si="14"/>
        <v>-19.739516238059196</v>
      </c>
      <c r="I494">
        <f t="shared" si="15"/>
        <v>6</v>
      </c>
      <c r="J494" t="str" cm="1">
        <f t="array" ref="J494">INDEX($A$2:$A$7,I494)</f>
        <v>Segment 6- Self-Conscious Male</v>
      </c>
    </row>
    <row r="495" spans="1:10" x14ac:dyDescent="0.25">
      <c r="A495" s="1">
        <f>'batch tool'!A489</f>
        <v>0</v>
      </c>
      <c r="B495" s="7">
        <f>SUMPRODUCT($C$2:$X$2,'batch tool'!$B489:$W489)+$Y$2</f>
        <v>-49.12272534143483</v>
      </c>
      <c r="C495" s="7">
        <f>SUMPRODUCT($C$3:$X$3,'batch tool'!$B489:$W489)+$Y$3</f>
        <v>-36.514029388465531</v>
      </c>
      <c r="D495" s="7">
        <f>SUMPRODUCT($C$4:$X$4,'batch tool'!$B489:$W489)+$Y$4</f>
        <v>-44.639843068043824</v>
      </c>
      <c r="E495" s="7">
        <f>SUMPRODUCT($C$5:$X$5,'batch tool'!$B489:$W489)+$Y$5</f>
        <v>-51.578889182477603</v>
      </c>
      <c r="F495" s="7">
        <f>SUMPRODUCT($C$6:$X$6,'batch tool'!$B489:$W489)+$Y$6</f>
        <v>-47.741473633885199</v>
      </c>
      <c r="G495" s="7">
        <f>SUMPRODUCT($C$7:$X$7,'batch tool'!$B489:$W489)+$Y$7</f>
        <v>-19.739516238059196</v>
      </c>
      <c r="H495" s="7">
        <f t="shared" si="14"/>
        <v>-19.739516238059196</v>
      </c>
      <c r="I495">
        <f t="shared" si="15"/>
        <v>6</v>
      </c>
      <c r="J495" t="str" cm="1">
        <f t="array" ref="J495">INDEX($A$2:$A$7,I495)</f>
        <v>Segment 6- Self-Conscious Male</v>
      </c>
    </row>
    <row r="496" spans="1:10" x14ac:dyDescent="0.25">
      <c r="A496" s="1">
        <f>'batch tool'!A490</f>
        <v>0</v>
      </c>
      <c r="B496" s="7">
        <f>SUMPRODUCT($C$2:$X$2,'batch tool'!$B490:$W490)+$Y$2</f>
        <v>-49.12272534143483</v>
      </c>
      <c r="C496" s="7">
        <f>SUMPRODUCT($C$3:$X$3,'batch tool'!$B490:$W490)+$Y$3</f>
        <v>-36.514029388465531</v>
      </c>
      <c r="D496" s="7">
        <f>SUMPRODUCT($C$4:$X$4,'batch tool'!$B490:$W490)+$Y$4</f>
        <v>-44.639843068043824</v>
      </c>
      <c r="E496" s="7">
        <f>SUMPRODUCT($C$5:$X$5,'batch tool'!$B490:$W490)+$Y$5</f>
        <v>-51.578889182477603</v>
      </c>
      <c r="F496" s="7">
        <f>SUMPRODUCT($C$6:$X$6,'batch tool'!$B490:$W490)+$Y$6</f>
        <v>-47.741473633885199</v>
      </c>
      <c r="G496" s="7">
        <f>SUMPRODUCT($C$7:$X$7,'batch tool'!$B490:$W490)+$Y$7</f>
        <v>-19.739516238059196</v>
      </c>
      <c r="H496" s="7">
        <f t="shared" si="14"/>
        <v>-19.739516238059196</v>
      </c>
      <c r="I496">
        <f t="shared" si="15"/>
        <v>6</v>
      </c>
      <c r="J496" t="str" cm="1">
        <f t="array" ref="J496">INDEX($A$2:$A$7,I496)</f>
        <v>Segment 6- Self-Conscious Male</v>
      </c>
    </row>
    <row r="497" spans="1:10" x14ac:dyDescent="0.25">
      <c r="A497" s="1">
        <f>'batch tool'!A491</f>
        <v>0</v>
      </c>
      <c r="B497" s="7">
        <f>SUMPRODUCT($C$2:$X$2,'batch tool'!$B491:$W491)+$Y$2</f>
        <v>-49.12272534143483</v>
      </c>
      <c r="C497" s="7">
        <f>SUMPRODUCT($C$3:$X$3,'batch tool'!$B491:$W491)+$Y$3</f>
        <v>-36.514029388465531</v>
      </c>
      <c r="D497" s="7">
        <f>SUMPRODUCT($C$4:$X$4,'batch tool'!$B491:$W491)+$Y$4</f>
        <v>-44.639843068043824</v>
      </c>
      <c r="E497" s="7">
        <f>SUMPRODUCT($C$5:$X$5,'batch tool'!$B491:$W491)+$Y$5</f>
        <v>-51.578889182477603</v>
      </c>
      <c r="F497" s="7">
        <f>SUMPRODUCT($C$6:$X$6,'batch tool'!$B491:$W491)+$Y$6</f>
        <v>-47.741473633885199</v>
      </c>
      <c r="G497" s="7">
        <f>SUMPRODUCT($C$7:$X$7,'batch tool'!$B491:$W491)+$Y$7</f>
        <v>-19.739516238059196</v>
      </c>
      <c r="H497" s="7">
        <f t="shared" si="14"/>
        <v>-19.739516238059196</v>
      </c>
      <c r="I497">
        <f t="shared" si="15"/>
        <v>6</v>
      </c>
      <c r="J497" t="str" cm="1">
        <f t="array" ref="J497">INDEX($A$2:$A$7,I497)</f>
        <v>Segment 6- Self-Conscious Male</v>
      </c>
    </row>
    <row r="498" spans="1:10" x14ac:dyDescent="0.25">
      <c r="A498" s="1">
        <f>'batch tool'!A492</f>
        <v>0</v>
      </c>
      <c r="B498" s="7">
        <f>SUMPRODUCT($C$2:$X$2,'batch tool'!$B492:$W492)+$Y$2</f>
        <v>-49.12272534143483</v>
      </c>
      <c r="C498" s="7">
        <f>SUMPRODUCT($C$3:$X$3,'batch tool'!$B492:$W492)+$Y$3</f>
        <v>-36.514029388465531</v>
      </c>
      <c r="D498" s="7">
        <f>SUMPRODUCT($C$4:$X$4,'batch tool'!$B492:$W492)+$Y$4</f>
        <v>-44.639843068043824</v>
      </c>
      <c r="E498" s="7">
        <f>SUMPRODUCT($C$5:$X$5,'batch tool'!$B492:$W492)+$Y$5</f>
        <v>-51.578889182477603</v>
      </c>
      <c r="F498" s="7">
        <f>SUMPRODUCT($C$6:$X$6,'batch tool'!$B492:$W492)+$Y$6</f>
        <v>-47.741473633885199</v>
      </c>
      <c r="G498" s="7">
        <f>SUMPRODUCT($C$7:$X$7,'batch tool'!$B492:$W492)+$Y$7</f>
        <v>-19.739516238059196</v>
      </c>
      <c r="H498" s="7">
        <f t="shared" si="14"/>
        <v>-19.739516238059196</v>
      </c>
      <c r="I498">
        <f t="shared" si="15"/>
        <v>6</v>
      </c>
      <c r="J498" t="str" cm="1">
        <f t="array" ref="J498">INDEX($A$2:$A$7,I498)</f>
        <v>Segment 6- Self-Conscious Male</v>
      </c>
    </row>
    <row r="499" spans="1:10" x14ac:dyDescent="0.25">
      <c r="A499" s="1">
        <f>'batch tool'!A493</f>
        <v>0</v>
      </c>
      <c r="B499" s="7">
        <f>SUMPRODUCT($C$2:$X$2,'batch tool'!$B493:$W493)+$Y$2</f>
        <v>-49.12272534143483</v>
      </c>
      <c r="C499" s="7">
        <f>SUMPRODUCT($C$3:$X$3,'batch tool'!$B493:$W493)+$Y$3</f>
        <v>-36.514029388465531</v>
      </c>
      <c r="D499" s="7">
        <f>SUMPRODUCT($C$4:$X$4,'batch tool'!$B493:$W493)+$Y$4</f>
        <v>-44.639843068043824</v>
      </c>
      <c r="E499" s="7">
        <f>SUMPRODUCT($C$5:$X$5,'batch tool'!$B493:$W493)+$Y$5</f>
        <v>-51.578889182477603</v>
      </c>
      <c r="F499" s="7">
        <f>SUMPRODUCT($C$6:$X$6,'batch tool'!$B493:$W493)+$Y$6</f>
        <v>-47.741473633885199</v>
      </c>
      <c r="G499" s="7">
        <f>SUMPRODUCT($C$7:$X$7,'batch tool'!$B493:$W493)+$Y$7</f>
        <v>-19.739516238059196</v>
      </c>
      <c r="H499" s="7">
        <f t="shared" si="14"/>
        <v>-19.739516238059196</v>
      </c>
      <c r="I499">
        <f t="shared" si="15"/>
        <v>6</v>
      </c>
      <c r="J499" t="str" cm="1">
        <f t="array" ref="J499">INDEX($A$2:$A$7,I499)</f>
        <v>Segment 6- Self-Conscious Male</v>
      </c>
    </row>
    <row r="500" spans="1:10" x14ac:dyDescent="0.25">
      <c r="A500" s="1">
        <f>'batch tool'!A494</f>
        <v>0</v>
      </c>
      <c r="B500" s="7">
        <f>SUMPRODUCT($C$2:$X$2,'batch tool'!$B494:$W494)+$Y$2</f>
        <v>-49.12272534143483</v>
      </c>
      <c r="C500" s="7">
        <f>SUMPRODUCT($C$3:$X$3,'batch tool'!$B494:$W494)+$Y$3</f>
        <v>-36.514029388465531</v>
      </c>
      <c r="D500" s="7">
        <f>SUMPRODUCT($C$4:$X$4,'batch tool'!$B494:$W494)+$Y$4</f>
        <v>-44.639843068043824</v>
      </c>
      <c r="E500" s="7">
        <f>SUMPRODUCT($C$5:$X$5,'batch tool'!$B494:$W494)+$Y$5</f>
        <v>-51.578889182477603</v>
      </c>
      <c r="F500" s="7">
        <f>SUMPRODUCT($C$6:$X$6,'batch tool'!$B494:$W494)+$Y$6</f>
        <v>-47.741473633885199</v>
      </c>
      <c r="G500" s="7">
        <f>SUMPRODUCT($C$7:$X$7,'batch tool'!$B494:$W494)+$Y$7</f>
        <v>-19.739516238059196</v>
      </c>
      <c r="H500" s="7">
        <f t="shared" si="14"/>
        <v>-19.739516238059196</v>
      </c>
      <c r="I500">
        <f t="shared" si="15"/>
        <v>6</v>
      </c>
      <c r="J500" t="str" cm="1">
        <f t="array" ref="J500">INDEX($A$2:$A$7,I500)</f>
        <v>Segment 6- Self-Conscious Male</v>
      </c>
    </row>
    <row r="501" spans="1:10" x14ac:dyDescent="0.25">
      <c r="A501" s="1">
        <f>'batch tool'!A495</f>
        <v>0</v>
      </c>
      <c r="B501" s="7">
        <f>SUMPRODUCT($C$2:$X$2,'batch tool'!$B495:$W495)+$Y$2</f>
        <v>-49.12272534143483</v>
      </c>
      <c r="C501" s="7">
        <f>SUMPRODUCT($C$3:$X$3,'batch tool'!$B495:$W495)+$Y$3</f>
        <v>-36.514029388465531</v>
      </c>
      <c r="D501" s="7">
        <f>SUMPRODUCT($C$4:$X$4,'batch tool'!$B495:$W495)+$Y$4</f>
        <v>-44.639843068043824</v>
      </c>
      <c r="E501" s="7">
        <f>SUMPRODUCT($C$5:$X$5,'batch tool'!$B495:$W495)+$Y$5</f>
        <v>-51.578889182477603</v>
      </c>
      <c r="F501" s="7">
        <f>SUMPRODUCT($C$6:$X$6,'batch tool'!$B495:$W495)+$Y$6</f>
        <v>-47.741473633885199</v>
      </c>
      <c r="G501" s="7">
        <f>SUMPRODUCT($C$7:$X$7,'batch tool'!$B495:$W495)+$Y$7</f>
        <v>-19.739516238059196</v>
      </c>
      <c r="H501" s="7">
        <f t="shared" si="14"/>
        <v>-19.739516238059196</v>
      </c>
      <c r="I501">
        <f t="shared" si="15"/>
        <v>6</v>
      </c>
      <c r="J501" t="str" cm="1">
        <f t="array" ref="J501">INDEX($A$2:$A$7,I501)</f>
        <v>Segment 6- Self-Conscious Male</v>
      </c>
    </row>
    <row r="502" spans="1:10" x14ac:dyDescent="0.25">
      <c r="A502" s="1">
        <f>'batch tool'!A496</f>
        <v>0</v>
      </c>
      <c r="B502" s="7">
        <f>SUMPRODUCT($C$2:$X$2,'batch tool'!$B496:$W496)+$Y$2</f>
        <v>-49.12272534143483</v>
      </c>
      <c r="C502" s="7">
        <f>SUMPRODUCT($C$3:$X$3,'batch tool'!$B496:$W496)+$Y$3</f>
        <v>-36.514029388465531</v>
      </c>
      <c r="D502" s="7">
        <f>SUMPRODUCT($C$4:$X$4,'batch tool'!$B496:$W496)+$Y$4</f>
        <v>-44.639843068043824</v>
      </c>
      <c r="E502" s="7">
        <f>SUMPRODUCT($C$5:$X$5,'batch tool'!$B496:$W496)+$Y$5</f>
        <v>-51.578889182477603</v>
      </c>
      <c r="F502" s="7">
        <f>SUMPRODUCT($C$6:$X$6,'batch tool'!$B496:$W496)+$Y$6</f>
        <v>-47.741473633885199</v>
      </c>
      <c r="G502" s="7">
        <f>SUMPRODUCT($C$7:$X$7,'batch tool'!$B496:$W496)+$Y$7</f>
        <v>-19.739516238059196</v>
      </c>
      <c r="H502" s="7">
        <f t="shared" si="14"/>
        <v>-19.739516238059196</v>
      </c>
      <c r="I502">
        <f t="shared" si="15"/>
        <v>6</v>
      </c>
      <c r="J502" t="str" cm="1">
        <f t="array" ref="J502">INDEX($A$2:$A$7,I502)</f>
        <v>Segment 6- Self-Conscious Male</v>
      </c>
    </row>
    <row r="503" spans="1:10" x14ac:dyDescent="0.25">
      <c r="A503" s="1">
        <f>'batch tool'!A497</f>
        <v>0</v>
      </c>
      <c r="B503" s="7">
        <f>SUMPRODUCT($C$2:$X$2,'batch tool'!$B497:$W497)+$Y$2</f>
        <v>-49.12272534143483</v>
      </c>
      <c r="C503" s="7">
        <f>SUMPRODUCT($C$3:$X$3,'batch tool'!$B497:$W497)+$Y$3</f>
        <v>-36.514029388465531</v>
      </c>
      <c r="D503" s="7">
        <f>SUMPRODUCT($C$4:$X$4,'batch tool'!$B497:$W497)+$Y$4</f>
        <v>-44.639843068043824</v>
      </c>
      <c r="E503" s="7">
        <f>SUMPRODUCT($C$5:$X$5,'batch tool'!$B497:$W497)+$Y$5</f>
        <v>-51.578889182477603</v>
      </c>
      <c r="F503" s="7">
        <f>SUMPRODUCT($C$6:$X$6,'batch tool'!$B497:$W497)+$Y$6</f>
        <v>-47.741473633885199</v>
      </c>
      <c r="G503" s="7">
        <f>SUMPRODUCT($C$7:$X$7,'batch tool'!$B497:$W497)+$Y$7</f>
        <v>-19.739516238059196</v>
      </c>
      <c r="H503" s="7">
        <f t="shared" si="14"/>
        <v>-19.739516238059196</v>
      </c>
      <c r="I503">
        <f t="shared" si="15"/>
        <v>6</v>
      </c>
      <c r="J503" t="str" cm="1">
        <f t="array" ref="J503">INDEX($A$2:$A$7,I503)</f>
        <v>Segment 6- Self-Conscious Male</v>
      </c>
    </row>
    <row r="504" spans="1:10" x14ac:dyDescent="0.25">
      <c r="A504" s="1">
        <f>'batch tool'!A498</f>
        <v>0</v>
      </c>
      <c r="B504" s="7">
        <f>SUMPRODUCT($C$2:$X$2,'batch tool'!$B498:$W498)+$Y$2</f>
        <v>-49.12272534143483</v>
      </c>
      <c r="C504" s="7">
        <f>SUMPRODUCT($C$3:$X$3,'batch tool'!$B498:$W498)+$Y$3</f>
        <v>-36.514029388465531</v>
      </c>
      <c r="D504" s="7">
        <f>SUMPRODUCT($C$4:$X$4,'batch tool'!$B498:$W498)+$Y$4</f>
        <v>-44.639843068043824</v>
      </c>
      <c r="E504" s="7">
        <f>SUMPRODUCT($C$5:$X$5,'batch tool'!$B498:$W498)+$Y$5</f>
        <v>-51.578889182477603</v>
      </c>
      <c r="F504" s="7">
        <f>SUMPRODUCT($C$6:$X$6,'batch tool'!$B498:$W498)+$Y$6</f>
        <v>-47.741473633885199</v>
      </c>
      <c r="G504" s="7">
        <f>SUMPRODUCT($C$7:$X$7,'batch tool'!$B498:$W498)+$Y$7</f>
        <v>-19.739516238059196</v>
      </c>
      <c r="H504" s="7">
        <f t="shared" si="14"/>
        <v>-19.739516238059196</v>
      </c>
      <c r="I504">
        <f t="shared" si="15"/>
        <v>6</v>
      </c>
      <c r="J504" t="str" cm="1">
        <f t="array" ref="J504">INDEX($A$2:$A$7,I504)</f>
        <v>Segment 6- Self-Conscious Male</v>
      </c>
    </row>
    <row r="505" spans="1:10" x14ac:dyDescent="0.25">
      <c r="A505" s="1">
        <f>'batch tool'!A499</f>
        <v>0</v>
      </c>
      <c r="B505" s="7">
        <f>SUMPRODUCT($C$2:$X$2,'batch tool'!$B499:$W499)+$Y$2</f>
        <v>-49.12272534143483</v>
      </c>
      <c r="C505" s="7">
        <f>SUMPRODUCT($C$3:$X$3,'batch tool'!$B499:$W499)+$Y$3</f>
        <v>-36.514029388465531</v>
      </c>
      <c r="D505" s="7">
        <f>SUMPRODUCT($C$4:$X$4,'batch tool'!$B499:$W499)+$Y$4</f>
        <v>-44.639843068043824</v>
      </c>
      <c r="E505" s="7">
        <f>SUMPRODUCT($C$5:$X$5,'batch tool'!$B499:$W499)+$Y$5</f>
        <v>-51.578889182477603</v>
      </c>
      <c r="F505" s="7">
        <f>SUMPRODUCT($C$6:$X$6,'batch tool'!$B499:$W499)+$Y$6</f>
        <v>-47.741473633885199</v>
      </c>
      <c r="G505" s="7">
        <f>SUMPRODUCT($C$7:$X$7,'batch tool'!$B499:$W499)+$Y$7</f>
        <v>-19.739516238059196</v>
      </c>
      <c r="H505" s="7">
        <f t="shared" si="14"/>
        <v>-19.739516238059196</v>
      </c>
      <c r="I505">
        <f t="shared" si="15"/>
        <v>6</v>
      </c>
      <c r="J505" t="str" cm="1">
        <f t="array" ref="J505">INDEX($A$2:$A$7,I505)</f>
        <v>Segment 6- Self-Conscious Male</v>
      </c>
    </row>
    <row r="506" spans="1:10" x14ac:dyDescent="0.25">
      <c r="A506" s="1">
        <f>'batch tool'!A500</f>
        <v>0</v>
      </c>
      <c r="B506" s="7">
        <f>SUMPRODUCT($C$2:$X$2,'batch tool'!$B500:$W500)+$Y$2</f>
        <v>-49.12272534143483</v>
      </c>
      <c r="C506" s="7">
        <f>SUMPRODUCT($C$3:$X$3,'batch tool'!$B500:$W500)+$Y$3</f>
        <v>-36.514029388465531</v>
      </c>
      <c r="D506" s="7">
        <f>SUMPRODUCT($C$4:$X$4,'batch tool'!$B500:$W500)+$Y$4</f>
        <v>-44.639843068043824</v>
      </c>
      <c r="E506" s="7">
        <f>SUMPRODUCT($C$5:$X$5,'batch tool'!$B500:$W500)+$Y$5</f>
        <v>-51.578889182477603</v>
      </c>
      <c r="F506" s="7">
        <f>SUMPRODUCT($C$6:$X$6,'batch tool'!$B500:$W500)+$Y$6</f>
        <v>-47.741473633885199</v>
      </c>
      <c r="G506" s="7">
        <f>SUMPRODUCT($C$7:$X$7,'batch tool'!$B500:$W500)+$Y$7</f>
        <v>-19.739516238059196</v>
      </c>
      <c r="H506" s="7">
        <f t="shared" si="14"/>
        <v>-19.739516238059196</v>
      </c>
      <c r="I506">
        <f t="shared" si="15"/>
        <v>6</v>
      </c>
      <c r="J506" t="str" cm="1">
        <f t="array" ref="J506">INDEX($A$2:$A$7,I506)</f>
        <v>Segment 6- Self-Conscious Male</v>
      </c>
    </row>
    <row r="507" spans="1:10" x14ac:dyDescent="0.25">
      <c r="A507" s="1">
        <f>'batch tool'!A501</f>
        <v>0</v>
      </c>
      <c r="B507" s="7">
        <f>SUMPRODUCT($C$2:$X$2,'batch tool'!$B501:$W501)+$Y$2</f>
        <v>-49.12272534143483</v>
      </c>
      <c r="C507" s="7">
        <f>SUMPRODUCT($C$3:$X$3,'batch tool'!$B501:$W501)+$Y$3</f>
        <v>-36.514029388465531</v>
      </c>
      <c r="D507" s="7">
        <f>SUMPRODUCT($C$4:$X$4,'batch tool'!$B501:$W501)+$Y$4</f>
        <v>-44.639843068043824</v>
      </c>
      <c r="E507" s="7">
        <f>SUMPRODUCT($C$5:$X$5,'batch tool'!$B501:$W501)+$Y$5</f>
        <v>-51.578889182477603</v>
      </c>
      <c r="F507" s="7">
        <f>SUMPRODUCT($C$6:$X$6,'batch tool'!$B501:$W501)+$Y$6</f>
        <v>-47.741473633885199</v>
      </c>
      <c r="G507" s="7">
        <f>SUMPRODUCT($C$7:$X$7,'batch tool'!$B501:$W501)+$Y$7</f>
        <v>-19.739516238059196</v>
      </c>
      <c r="H507" s="7">
        <f t="shared" si="14"/>
        <v>-19.739516238059196</v>
      </c>
      <c r="I507">
        <f t="shared" si="15"/>
        <v>6</v>
      </c>
      <c r="J507" t="str" cm="1">
        <f t="array" ref="J507">INDEX($A$2:$A$7,I507)</f>
        <v>Segment 6- Self-Conscious Male</v>
      </c>
    </row>
    <row r="508" spans="1:10" x14ac:dyDescent="0.25">
      <c r="A508" s="1">
        <f>'batch tool'!A502</f>
        <v>0</v>
      </c>
      <c r="B508" s="7">
        <f>SUMPRODUCT($C$2:$X$2,'batch tool'!$B502:$W502)+$Y$2</f>
        <v>-49.12272534143483</v>
      </c>
      <c r="C508" s="7">
        <f>SUMPRODUCT($C$3:$X$3,'batch tool'!$B502:$W502)+$Y$3</f>
        <v>-36.514029388465531</v>
      </c>
      <c r="D508" s="7">
        <f>SUMPRODUCT($C$4:$X$4,'batch tool'!$B502:$W502)+$Y$4</f>
        <v>-44.639843068043824</v>
      </c>
      <c r="E508" s="7">
        <f>SUMPRODUCT($C$5:$X$5,'batch tool'!$B502:$W502)+$Y$5</f>
        <v>-51.578889182477603</v>
      </c>
      <c r="F508" s="7">
        <f>SUMPRODUCT($C$6:$X$6,'batch tool'!$B502:$W502)+$Y$6</f>
        <v>-47.741473633885199</v>
      </c>
      <c r="G508" s="7">
        <f>SUMPRODUCT($C$7:$X$7,'batch tool'!$B502:$W502)+$Y$7</f>
        <v>-19.739516238059196</v>
      </c>
      <c r="H508" s="7">
        <f t="shared" si="14"/>
        <v>-19.739516238059196</v>
      </c>
      <c r="I508">
        <f t="shared" si="15"/>
        <v>6</v>
      </c>
      <c r="J508" t="str" cm="1">
        <f t="array" ref="J508">INDEX($A$2:$A$7,I508)</f>
        <v>Segment 6- Self-Conscious Male</v>
      </c>
    </row>
    <row r="509" spans="1:10" x14ac:dyDescent="0.25">
      <c r="A509" s="1">
        <f>'batch tool'!A503</f>
        <v>0</v>
      </c>
      <c r="B509" s="7">
        <f>SUMPRODUCT($C$2:$X$2,'batch tool'!$B503:$W503)+$Y$2</f>
        <v>-49.12272534143483</v>
      </c>
      <c r="C509" s="7">
        <f>SUMPRODUCT($C$3:$X$3,'batch tool'!$B503:$W503)+$Y$3</f>
        <v>-36.514029388465531</v>
      </c>
      <c r="D509" s="7">
        <f>SUMPRODUCT($C$4:$X$4,'batch tool'!$B503:$W503)+$Y$4</f>
        <v>-44.639843068043824</v>
      </c>
      <c r="E509" s="7">
        <f>SUMPRODUCT($C$5:$X$5,'batch tool'!$B503:$W503)+$Y$5</f>
        <v>-51.578889182477603</v>
      </c>
      <c r="F509" s="7">
        <f>SUMPRODUCT($C$6:$X$6,'batch tool'!$B503:$W503)+$Y$6</f>
        <v>-47.741473633885199</v>
      </c>
      <c r="G509" s="7">
        <f>SUMPRODUCT($C$7:$X$7,'batch tool'!$B503:$W503)+$Y$7</f>
        <v>-19.739516238059196</v>
      </c>
      <c r="H509" s="7">
        <f t="shared" si="14"/>
        <v>-19.739516238059196</v>
      </c>
      <c r="I509">
        <f t="shared" si="15"/>
        <v>6</v>
      </c>
      <c r="J509" t="str" cm="1">
        <f t="array" ref="J509">INDEX($A$2:$A$7,I509)</f>
        <v>Segment 6- Self-Conscious Male</v>
      </c>
    </row>
    <row r="510" spans="1:10" x14ac:dyDescent="0.25">
      <c r="A510" s="1">
        <f>'batch tool'!A504</f>
        <v>0</v>
      </c>
      <c r="B510" s="7">
        <f>SUMPRODUCT($C$2:$X$2,'batch tool'!$B504:$W504)+$Y$2</f>
        <v>-49.12272534143483</v>
      </c>
      <c r="C510" s="7">
        <f>SUMPRODUCT($C$3:$X$3,'batch tool'!$B504:$W504)+$Y$3</f>
        <v>-36.514029388465531</v>
      </c>
      <c r="D510" s="7">
        <f>SUMPRODUCT($C$4:$X$4,'batch tool'!$B504:$W504)+$Y$4</f>
        <v>-44.639843068043824</v>
      </c>
      <c r="E510" s="7">
        <f>SUMPRODUCT($C$5:$X$5,'batch tool'!$B504:$W504)+$Y$5</f>
        <v>-51.578889182477603</v>
      </c>
      <c r="F510" s="7">
        <f>SUMPRODUCT($C$6:$X$6,'batch tool'!$B504:$W504)+$Y$6</f>
        <v>-47.741473633885199</v>
      </c>
      <c r="G510" s="7">
        <f>SUMPRODUCT($C$7:$X$7,'batch tool'!$B504:$W504)+$Y$7</f>
        <v>-19.739516238059196</v>
      </c>
      <c r="H510" s="7">
        <f t="shared" si="14"/>
        <v>-19.739516238059196</v>
      </c>
      <c r="I510">
        <f t="shared" si="15"/>
        <v>6</v>
      </c>
      <c r="J510" t="str" cm="1">
        <f t="array" ref="J510">INDEX($A$2:$A$7,I510)</f>
        <v>Segment 6- Self-Conscious Male</v>
      </c>
    </row>
    <row r="511" spans="1:10" x14ac:dyDescent="0.25">
      <c r="A511" s="1">
        <f>'batch tool'!A505</f>
        <v>0</v>
      </c>
      <c r="B511" s="7">
        <f>SUMPRODUCT($C$2:$X$2,'batch tool'!$B505:$W505)+$Y$2</f>
        <v>-49.12272534143483</v>
      </c>
      <c r="C511" s="7">
        <f>SUMPRODUCT($C$3:$X$3,'batch tool'!$B505:$W505)+$Y$3</f>
        <v>-36.514029388465531</v>
      </c>
      <c r="D511" s="7">
        <f>SUMPRODUCT($C$4:$X$4,'batch tool'!$B505:$W505)+$Y$4</f>
        <v>-44.639843068043824</v>
      </c>
      <c r="E511" s="7">
        <f>SUMPRODUCT($C$5:$X$5,'batch tool'!$B505:$W505)+$Y$5</f>
        <v>-51.578889182477603</v>
      </c>
      <c r="F511" s="7">
        <f>SUMPRODUCT($C$6:$X$6,'batch tool'!$B505:$W505)+$Y$6</f>
        <v>-47.741473633885199</v>
      </c>
      <c r="G511" s="7">
        <f>SUMPRODUCT($C$7:$X$7,'batch tool'!$B505:$W505)+$Y$7</f>
        <v>-19.739516238059196</v>
      </c>
      <c r="H511" s="7">
        <f t="shared" si="14"/>
        <v>-19.739516238059196</v>
      </c>
      <c r="I511">
        <f t="shared" si="15"/>
        <v>6</v>
      </c>
      <c r="J511" t="str" cm="1">
        <f t="array" ref="J511">INDEX($A$2:$A$7,I511)</f>
        <v>Segment 6- Self-Conscious Male</v>
      </c>
    </row>
    <row r="512" spans="1:10" x14ac:dyDescent="0.25">
      <c r="A512" s="1">
        <f>'batch tool'!A506</f>
        <v>0</v>
      </c>
      <c r="B512" s="7">
        <f>SUMPRODUCT($C$2:$X$2,'batch tool'!$B506:$W506)+$Y$2</f>
        <v>-49.12272534143483</v>
      </c>
      <c r="C512" s="7">
        <f>SUMPRODUCT($C$3:$X$3,'batch tool'!$B506:$W506)+$Y$3</f>
        <v>-36.514029388465531</v>
      </c>
      <c r="D512" s="7">
        <f>SUMPRODUCT($C$4:$X$4,'batch tool'!$B506:$W506)+$Y$4</f>
        <v>-44.639843068043824</v>
      </c>
      <c r="E512" s="7">
        <f>SUMPRODUCT($C$5:$X$5,'batch tool'!$B506:$W506)+$Y$5</f>
        <v>-51.578889182477603</v>
      </c>
      <c r="F512" s="7">
        <f>SUMPRODUCT($C$6:$X$6,'batch tool'!$B506:$W506)+$Y$6</f>
        <v>-47.741473633885199</v>
      </c>
      <c r="G512" s="7">
        <f>SUMPRODUCT($C$7:$X$7,'batch tool'!$B506:$W506)+$Y$7</f>
        <v>-19.739516238059196</v>
      </c>
      <c r="H512" s="7">
        <f t="shared" si="14"/>
        <v>-19.739516238059196</v>
      </c>
      <c r="I512">
        <f t="shared" si="15"/>
        <v>6</v>
      </c>
      <c r="J512" t="str" cm="1">
        <f t="array" ref="J512">INDEX($A$2:$A$7,I512)</f>
        <v>Segment 6- Self-Conscious Male</v>
      </c>
    </row>
    <row r="513" spans="1:10" x14ac:dyDescent="0.25">
      <c r="A513" s="1">
        <f>'batch tool'!A507</f>
        <v>0</v>
      </c>
      <c r="B513" s="7">
        <f>SUMPRODUCT($C$2:$X$2,'batch tool'!$B507:$W507)+$Y$2</f>
        <v>-49.12272534143483</v>
      </c>
      <c r="C513" s="7">
        <f>SUMPRODUCT($C$3:$X$3,'batch tool'!$B507:$W507)+$Y$3</f>
        <v>-36.514029388465531</v>
      </c>
      <c r="D513" s="7">
        <f>SUMPRODUCT($C$4:$X$4,'batch tool'!$B507:$W507)+$Y$4</f>
        <v>-44.639843068043824</v>
      </c>
      <c r="E513" s="7">
        <f>SUMPRODUCT($C$5:$X$5,'batch tool'!$B507:$W507)+$Y$5</f>
        <v>-51.578889182477603</v>
      </c>
      <c r="F513" s="7">
        <f>SUMPRODUCT($C$6:$X$6,'batch tool'!$B507:$W507)+$Y$6</f>
        <v>-47.741473633885199</v>
      </c>
      <c r="G513" s="7">
        <f>SUMPRODUCT($C$7:$X$7,'batch tool'!$B507:$W507)+$Y$7</f>
        <v>-19.739516238059196</v>
      </c>
      <c r="H513" s="7">
        <f t="shared" si="14"/>
        <v>-19.739516238059196</v>
      </c>
      <c r="I513">
        <f t="shared" si="15"/>
        <v>6</v>
      </c>
      <c r="J513" t="str" cm="1">
        <f t="array" ref="J513">INDEX($A$2:$A$7,I513)</f>
        <v>Segment 6- Self-Conscious Male</v>
      </c>
    </row>
    <row r="514" spans="1:10" x14ac:dyDescent="0.25">
      <c r="A514" s="1">
        <f>'batch tool'!A508</f>
        <v>0</v>
      </c>
      <c r="B514" s="7">
        <f>SUMPRODUCT($C$2:$X$2,'batch tool'!$B508:$W508)+$Y$2</f>
        <v>-49.12272534143483</v>
      </c>
      <c r="C514" s="7">
        <f>SUMPRODUCT($C$3:$X$3,'batch tool'!$B508:$W508)+$Y$3</f>
        <v>-36.514029388465531</v>
      </c>
      <c r="D514" s="7">
        <f>SUMPRODUCT($C$4:$X$4,'batch tool'!$B508:$W508)+$Y$4</f>
        <v>-44.639843068043824</v>
      </c>
      <c r="E514" s="7">
        <f>SUMPRODUCT($C$5:$X$5,'batch tool'!$B508:$W508)+$Y$5</f>
        <v>-51.578889182477603</v>
      </c>
      <c r="F514" s="7">
        <f>SUMPRODUCT($C$6:$X$6,'batch tool'!$B508:$W508)+$Y$6</f>
        <v>-47.741473633885199</v>
      </c>
      <c r="G514" s="7">
        <f>SUMPRODUCT($C$7:$X$7,'batch tool'!$B508:$W508)+$Y$7</f>
        <v>-19.739516238059196</v>
      </c>
      <c r="H514" s="7">
        <f t="shared" si="14"/>
        <v>-19.739516238059196</v>
      </c>
      <c r="I514">
        <f t="shared" si="15"/>
        <v>6</v>
      </c>
      <c r="J514" t="str" cm="1">
        <f t="array" ref="J514">INDEX($A$2:$A$7,I514)</f>
        <v>Segment 6- Self-Conscious Male</v>
      </c>
    </row>
    <row r="515" spans="1:10" x14ac:dyDescent="0.25">
      <c r="A515" s="1">
        <f>'batch tool'!A509</f>
        <v>0</v>
      </c>
      <c r="B515" s="7">
        <f>SUMPRODUCT($C$2:$X$2,'batch tool'!$B509:$W509)+$Y$2</f>
        <v>-49.12272534143483</v>
      </c>
      <c r="C515" s="7">
        <f>SUMPRODUCT($C$3:$X$3,'batch tool'!$B509:$W509)+$Y$3</f>
        <v>-36.514029388465531</v>
      </c>
      <c r="D515" s="7">
        <f>SUMPRODUCT($C$4:$X$4,'batch tool'!$B509:$W509)+$Y$4</f>
        <v>-44.639843068043824</v>
      </c>
      <c r="E515" s="7">
        <f>SUMPRODUCT($C$5:$X$5,'batch tool'!$B509:$W509)+$Y$5</f>
        <v>-51.578889182477603</v>
      </c>
      <c r="F515" s="7">
        <f>SUMPRODUCT($C$6:$X$6,'batch tool'!$B509:$W509)+$Y$6</f>
        <v>-47.741473633885199</v>
      </c>
      <c r="G515" s="7">
        <f>SUMPRODUCT($C$7:$X$7,'batch tool'!$B509:$W509)+$Y$7</f>
        <v>-19.739516238059196</v>
      </c>
      <c r="H515" s="7">
        <f t="shared" si="14"/>
        <v>-19.739516238059196</v>
      </c>
      <c r="I515">
        <f t="shared" si="15"/>
        <v>6</v>
      </c>
      <c r="J515" t="str" cm="1">
        <f t="array" ref="J515">INDEX($A$2:$A$7,I515)</f>
        <v>Segment 6- Self-Conscious Male</v>
      </c>
    </row>
    <row r="516" spans="1:10" x14ac:dyDescent="0.25">
      <c r="A516" s="1">
        <f>'batch tool'!A510</f>
        <v>0</v>
      </c>
      <c r="B516" s="7">
        <f>SUMPRODUCT($C$2:$X$2,'batch tool'!$B510:$W510)+$Y$2</f>
        <v>-49.12272534143483</v>
      </c>
      <c r="C516" s="7">
        <f>SUMPRODUCT($C$3:$X$3,'batch tool'!$B510:$W510)+$Y$3</f>
        <v>-36.514029388465531</v>
      </c>
      <c r="D516" s="7">
        <f>SUMPRODUCT($C$4:$X$4,'batch tool'!$B510:$W510)+$Y$4</f>
        <v>-44.639843068043824</v>
      </c>
      <c r="E516" s="7">
        <f>SUMPRODUCT($C$5:$X$5,'batch tool'!$B510:$W510)+$Y$5</f>
        <v>-51.578889182477603</v>
      </c>
      <c r="F516" s="7">
        <f>SUMPRODUCT($C$6:$X$6,'batch tool'!$B510:$W510)+$Y$6</f>
        <v>-47.741473633885199</v>
      </c>
      <c r="G516" s="7">
        <f>SUMPRODUCT($C$7:$X$7,'batch tool'!$B510:$W510)+$Y$7</f>
        <v>-19.739516238059196</v>
      </c>
      <c r="H516" s="7">
        <f t="shared" si="14"/>
        <v>-19.739516238059196</v>
      </c>
      <c r="I516">
        <f t="shared" si="15"/>
        <v>6</v>
      </c>
      <c r="J516" t="str" cm="1">
        <f t="array" ref="J516">INDEX($A$2:$A$7,I516)</f>
        <v>Segment 6- Self-Conscious Male</v>
      </c>
    </row>
    <row r="517" spans="1:10" x14ac:dyDescent="0.25">
      <c r="A517" s="1">
        <f>'batch tool'!A511</f>
        <v>0</v>
      </c>
      <c r="B517" s="7">
        <f>SUMPRODUCT($C$2:$X$2,'batch tool'!$B511:$W511)+$Y$2</f>
        <v>-49.12272534143483</v>
      </c>
      <c r="C517" s="7">
        <f>SUMPRODUCT($C$3:$X$3,'batch tool'!$B511:$W511)+$Y$3</f>
        <v>-36.514029388465531</v>
      </c>
      <c r="D517" s="7">
        <f>SUMPRODUCT($C$4:$X$4,'batch tool'!$B511:$W511)+$Y$4</f>
        <v>-44.639843068043824</v>
      </c>
      <c r="E517" s="7">
        <f>SUMPRODUCT($C$5:$X$5,'batch tool'!$B511:$W511)+$Y$5</f>
        <v>-51.578889182477603</v>
      </c>
      <c r="F517" s="7">
        <f>SUMPRODUCT($C$6:$X$6,'batch tool'!$B511:$W511)+$Y$6</f>
        <v>-47.741473633885199</v>
      </c>
      <c r="G517" s="7">
        <f>SUMPRODUCT($C$7:$X$7,'batch tool'!$B511:$W511)+$Y$7</f>
        <v>-19.739516238059196</v>
      </c>
      <c r="H517" s="7">
        <f t="shared" si="14"/>
        <v>-19.739516238059196</v>
      </c>
      <c r="I517">
        <f t="shared" si="15"/>
        <v>6</v>
      </c>
      <c r="J517" t="str" cm="1">
        <f t="array" ref="J517">INDEX($A$2:$A$7,I517)</f>
        <v>Segment 6- Self-Conscious Male</v>
      </c>
    </row>
    <row r="518" spans="1:10" x14ac:dyDescent="0.25">
      <c r="A518" s="1">
        <f>'batch tool'!A512</f>
        <v>0</v>
      </c>
      <c r="B518" s="7">
        <f>SUMPRODUCT($C$2:$X$2,'batch tool'!$B512:$W512)+$Y$2</f>
        <v>-49.12272534143483</v>
      </c>
      <c r="C518" s="7">
        <f>SUMPRODUCT($C$3:$X$3,'batch tool'!$B512:$W512)+$Y$3</f>
        <v>-36.514029388465531</v>
      </c>
      <c r="D518" s="7">
        <f>SUMPRODUCT($C$4:$X$4,'batch tool'!$B512:$W512)+$Y$4</f>
        <v>-44.639843068043824</v>
      </c>
      <c r="E518" s="7">
        <f>SUMPRODUCT($C$5:$X$5,'batch tool'!$B512:$W512)+$Y$5</f>
        <v>-51.578889182477603</v>
      </c>
      <c r="F518" s="7">
        <f>SUMPRODUCT($C$6:$X$6,'batch tool'!$B512:$W512)+$Y$6</f>
        <v>-47.741473633885199</v>
      </c>
      <c r="G518" s="7">
        <f>SUMPRODUCT($C$7:$X$7,'batch tool'!$B512:$W512)+$Y$7</f>
        <v>-19.739516238059196</v>
      </c>
      <c r="H518" s="7">
        <f t="shared" si="14"/>
        <v>-19.739516238059196</v>
      </c>
      <c r="I518">
        <f t="shared" si="15"/>
        <v>6</v>
      </c>
      <c r="J518" t="str" cm="1">
        <f t="array" ref="J518">INDEX($A$2:$A$7,I518)</f>
        <v>Segment 6- Self-Conscious Male</v>
      </c>
    </row>
    <row r="519" spans="1:10" x14ac:dyDescent="0.25">
      <c r="A519" s="1">
        <f>'batch tool'!A513</f>
        <v>0</v>
      </c>
      <c r="B519" s="7">
        <f>SUMPRODUCT($C$2:$X$2,'batch tool'!$B513:$W513)+$Y$2</f>
        <v>-49.12272534143483</v>
      </c>
      <c r="C519" s="7">
        <f>SUMPRODUCT($C$3:$X$3,'batch tool'!$B513:$W513)+$Y$3</f>
        <v>-36.514029388465531</v>
      </c>
      <c r="D519" s="7">
        <f>SUMPRODUCT($C$4:$X$4,'batch tool'!$B513:$W513)+$Y$4</f>
        <v>-44.639843068043824</v>
      </c>
      <c r="E519" s="7">
        <f>SUMPRODUCT($C$5:$X$5,'batch tool'!$B513:$W513)+$Y$5</f>
        <v>-51.578889182477603</v>
      </c>
      <c r="F519" s="7">
        <f>SUMPRODUCT($C$6:$X$6,'batch tool'!$B513:$W513)+$Y$6</f>
        <v>-47.741473633885199</v>
      </c>
      <c r="G519" s="7">
        <f>SUMPRODUCT($C$7:$X$7,'batch tool'!$B513:$W513)+$Y$7</f>
        <v>-19.739516238059196</v>
      </c>
      <c r="H519" s="7">
        <f t="shared" si="14"/>
        <v>-19.739516238059196</v>
      </c>
      <c r="I519">
        <f t="shared" si="15"/>
        <v>6</v>
      </c>
      <c r="J519" t="str" cm="1">
        <f t="array" ref="J519">INDEX($A$2:$A$7,I519)</f>
        <v>Segment 6- Self-Conscious Male</v>
      </c>
    </row>
    <row r="520" spans="1:10" x14ac:dyDescent="0.25">
      <c r="A520" s="1">
        <f>'batch tool'!A514</f>
        <v>0</v>
      </c>
      <c r="B520" s="7">
        <f>SUMPRODUCT($C$2:$X$2,'batch tool'!$B514:$W514)+$Y$2</f>
        <v>-49.12272534143483</v>
      </c>
      <c r="C520" s="7">
        <f>SUMPRODUCT($C$3:$X$3,'batch tool'!$B514:$W514)+$Y$3</f>
        <v>-36.514029388465531</v>
      </c>
      <c r="D520" s="7">
        <f>SUMPRODUCT($C$4:$X$4,'batch tool'!$B514:$W514)+$Y$4</f>
        <v>-44.639843068043824</v>
      </c>
      <c r="E520" s="7">
        <f>SUMPRODUCT($C$5:$X$5,'batch tool'!$B514:$W514)+$Y$5</f>
        <v>-51.578889182477603</v>
      </c>
      <c r="F520" s="7">
        <f>SUMPRODUCT($C$6:$X$6,'batch tool'!$B514:$W514)+$Y$6</f>
        <v>-47.741473633885199</v>
      </c>
      <c r="G520" s="7">
        <f>SUMPRODUCT($C$7:$X$7,'batch tool'!$B514:$W514)+$Y$7</f>
        <v>-19.739516238059196</v>
      </c>
      <c r="H520" s="7">
        <f t="shared" si="14"/>
        <v>-19.739516238059196</v>
      </c>
      <c r="I520">
        <f t="shared" si="15"/>
        <v>6</v>
      </c>
      <c r="J520" t="str" cm="1">
        <f t="array" ref="J520">INDEX($A$2:$A$7,I520)</f>
        <v>Segment 6- Self-Conscious Male</v>
      </c>
    </row>
    <row r="521" spans="1:10" x14ac:dyDescent="0.25">
      <c r="A521" s="1">
        <f>'batch tool'!A515</f>
        <v>0</v>
      </c>
      <c r="B521" s="7">
        <f>SUMPRODUCT($C$2:$X$2,'batch tool'!$B515:$W515)+$Y$2</f>
        <v>-49.12272534143483</v>
      </c>
      <c r="C521" s="7">
        <f>SUMPRODUCT($C$3:$X$3,'batch tool'!$B515:$W515)+$Y$3</f>
        <v>-36.514029388465531</v>
      </c>
      <c r="D521" s="7">
        <f>SUMPRODUCT($C$4:$X$4,'batch tool'!$B515:$W515)+$Y$4</f>
        <v>-44.639843068043824</v>
      </c>
      <c r="E521" s="7">
        <f>SUMPRODUCT($C$5:$X$5,'batch tool'!$B515:$W515)+$Y$5</f>
        <v>-51.578889182477603</v>
      </c>
      <c r="F521" s="7">
        <f>SUMPRODUCT($C$6:$X$6,'batch tool'!$B515:$W515)+$Y$6</f>
        <v>-47.741473633885199</v>
      </c>
      <c r="G521" s="7">
        <f>SUMPRODUCT($C$7:$X$7,'batch tool'!$B515:$W515)+$Y$7</f>
        <v>-19.739516238059196</v>
      </c>
      <c r="H521" s="7">
        <f t="shared" si="14"/>
        <v>-19.739516238059196</v>
      </c>
      <c r="I521">
        <f t="shared" si="15"/>
        <v>6</v>
      </c>
      <c r="J521" t="str" cm="1">
        <f t="array" ref="J521">INDEX($A$2:$A$7,I521)</f>
        <v>Segment 6- Self-Conscious Male</v>
      </c>
    </row>
    <row r="522" spans="1:10" x14ac:dyDescent="0.25">
      <c r="A522" s="1">
        <f>'batch tool'!A516</f>
        <v>0</v>
      </c>
      <c r="B522" s="7">
        <f>SUMPRODUCT($C$2:$X$2,'batch tool'!$B516:$W516)+$Y$2</f>
        <v>-49.12272534143483</v>
      </c>
      <c r="C522" s="7">
        <f>SUMPRODUCT($C$3:$X$3,'batch tool'!$B516:$W516)+$Y$3</f>
        <v>-36.514029388465531</v>
      </c>
      <c r="D522" s="7">
        <f>SUMPRODUCT($C$4:$X$4,'batch tool'!$B516:$W516)+$Y$4</f>
        <v>-44.639843068043824</v>
      </c>
      <c r="E522" s="7">
        <f>SUMPRODUCT($C$5:$X$5,'batch tool'!$B516:$W516)+$Y$5</f>
        <v>-51.578889182477603</v>
      </c>
      <c r="F522" s="7">
        <f>SUMPRODUCT($C$6:$X$6,'batch tool'!$B516:$W516)+$Y$6</f>
        <v>-47.741473633885199</v>
      </c>
      <c r="G522" s="7">
        <f>SUMPRODUCT($C$7:$X$7,'batch tool'!$B516:$W516)+$Y$7</f>
        <v>-19.739516238059196</v>
      </c>
      <c r="H522" s="7">
        <f t="shared" si="14"/>
        <v>-19.739516238059196</v>
      </c>
      <c r="I522">
        <f t="shared" si="15"/>
        <v>6</v>
      </c>
      <c r="J522" t="str" cm="1">
        <f t="array" ref="J522">INDEX($A$2:$A$7,I522)</f>
        <v>Segment 6- Self-Conscious Male</v>
      </c>
    </row>
    <row r="523" spans="1:10" x14ac:dyDescent="0.25">
      <c r="A523" s="1">
        <f>'batch tool'!A517</f>
        <v>0</v>
      </c>
      <c r="B523" s="7">
        <f>SUMPRODUCT($C$2:$X$2,'batch tool'!$B517:$W517)+$Y$2</f>
        <v>-49.12272534143483</v>
      </c>
      <c r="C523" s="7">
        <f>SUMPRODUCT($C$3:$X$3,'batch tool'!$B517:$W517)+$Y$3</f>
        <v>-36.514029388465531</v>
      </c>
      <c r="D523" s="7">
        <f>SUMPRODUCT($C$4:$X$4,'batch tool'!$B517:$W517)+$Y$4</f>
        <v>-44.639843068043824</v>
      </c>
      <c r="E523" s="7">
        <f>SUMPRODUCT($C$5:$X$5,'batch tool'!$B517:$W517)+$Y$5</f>
        <v>-51.578889182477603</v>
      </c>
      <c r="F523" s="7">
        <f>SUMPRODUCT($C$6:$X$6,'batch tool'!$B517:$W517)+$Y$6</f>
        <v>-47.741473633885199</v>
      </c>
      <c r="G523" s="7">
        <f>SUMPRODUCT($C$7:$X$7,'batch tool'!$B517:$W517)+$Y$7</f>
        <v>-19.739516238059196</v>
      </c>
      <c r="H523" s="7">
        <f t="shared" ref="H523:H586" si="16">MAX(B523:G523)</f>
        <v>-19.739516238059196</v>
      </c>
      <c r="I523">
        <f t="shared" ref="I523:I586" si="17">MATCH(H523,B523:G523,0)</f>
        <v>6</v>
      </c>
      <c r="J523" t="str" cm="1">
        <f t="array" ref="J523">INDEX($A$2:$A$7,I523)</f>
        <v>Segment 6- Self-Conscious Male</v>
      </c>
    </row>
    <row r="524" spans="1:10" x14ac:dyDescent="0.25">
      <c r="A524" s="1">
        <f>'batch tool'!A518</f>
        <v>0</v>
      </c>
      <c r="B524" s="7">
        <f>SUMPRODUCT($C$2:$X$2,'batch tool'!$B518:$W518)+$Y$2</f>
        <v>-49.12272534143483</v>
      </c>
      <c r="C524" s="7">
        <f>SUMPRODUCT($C$3:$X$3,'batch tool'!$B518:$W518)+$Y$3</f>
        <v>-36.514029388465531</v>
      </c>
      <c r="D524" s="7">
        <f>SUMPRODUCT($C$4:$X$4,'batch tool'!$B518:$W518)+$Y$4</f>
        <v>-44.639843068043824</v>
      </c>
      <c r="E524" s="7">
        <f>SUMPRODUCT($C$5:$X$5,'batch tool'!$B518:$W518)+$Y$5</f>
        <v>-51.578889182477603</v>
      </c>
      <c r="F524" s="7">
        <f>SUMPRODUCT($C$6:$X$6,'batch tool'!$B518:$W518)+$Y$6</f>
        <v>-47.741473633885199</v>
      </c>
      <c r="G524" s="7">
        <f>SUMPRODUCT($C$7:$X$7,'batch tool'!$B518:$W518)+$Y$7</f>
        <v>-19.739516238059196</v>
      </c>
      <c r="H524" s="7">
        <f t="shared" si="16"/>
        <v>-19.739516238059196</v>
      </c>
      <c r="I524">
        <f t="shared" si="17"/>
        <v>6</v>
      </c>
      <c r="J524" t="str" cm="1">
        <f t="array" ref="J524">INDEX($A$2:$A$7,I524)</f>
        <v>Segment 6- Self-Conscious Male</v>
      </c>
    </row>
    <row r="525" spans="1:10" x14ac:dyDescent="0.25">
      <c r="A525" s="1">
        <f>'batch tool'!A519</f>
        <v>0</v>
      </c>
      <c r="B525" s="7">
        <f>SUMPRODUCT($C$2:$X$2,'batch tool'!$B519:$W519)+$Y$2</f>
        <v>-49.12272534143483</v>
      </c>
      <c r="C525" s="7">
        <f>SUMPRODUCT($C$3:$X$3,'batch tool'!$B519:$W519)+$Y$3</f>
        <v>-36.514029388465531</v>
      </c>
      <c r="D525" s="7">
        <f>SUMPRODUCT($C$4:$X$4,'batch tool'!$B519:$W519)+$Y$4</f>
        <v>-44.639843068043824</v>
      </c>
      <c r="E525" s="7">
        <f>SUMPRODUCT($C$5:$X$5,'batch tool'!$B519:$W519)+$Y$5</f>
        <v>-51.578889182477603</v>
      </c>
      <c r="F525" s="7">
        <f>SUMPRODUCT($C$6:$X$6,'batch tool'!$B519:$W519)+$Y$6</f>
        <v>-47.741473633885199</v>
      </c>
      <c r="G525" s="7">
        <f>SUMPRODUCT($C$7:$X$7,'batch tool'!$B519:$W519)+$Y$7</f>
        <v>-19.739516238059196</v>
      </c>
      <c r="H525" s="7">
        <f t="shared" si="16"/>
        <v>-19.739516238059196</v>
      </c>
      <c r="I525">
        <f t="shared" si="17"/>
        <v>6</v>
      </c>
      <c r="J525" t="str" cm="1">
        <f t="array" ref="J525">INDEX($A$2:$A$7,I525)</f>
        <v>Segment 6- Self-Conscious Male</v>
      </c>
    </row>
    <row r="526" spans="1:10" x14ac:dyDescent="0.25">
      <c r="A526" s="1">
        <f>'batch tool'!A520</f>
        <v>0</v>
      </c>
      <c r="B526" s="7">
        <f>SUMPRODUCT($C$2:$X$2,'batch tool'!$B520:$W520)+$Y$2</f>
        <v>-49.12272534143483</v>
      </c>
      <c r="C526" s="7">
        <f>SUMPRODUCT($C$3:$X$3,'batch tool'!$B520:$W520)+$Y$3</f>
        <v>-36.514029388465531</v>
      </c>
      <c r="D526" s="7">
        <f>SUMPRODUCT($C$4:$X$4,'batch tool'!$B520:$W520)+$Y$4</f>
        <v>-44.639843068043824</v>
      </c>
      <c r="E526" s="7">
        <f>SUMPRODUCT($C$5:$X$5,'batch tool'!$B520:$W520)+$Y$5</f>
        <v>-51.578889182477603</v>
      </c>
      <c r="F526" s="7">
        <f>SUMPRODUCT($C$6:$X$6,'batch tool'!$B520:$W520)+$Y$6</f>
        <v>-47.741473633885199</v>
      </c>
      <c r="G526" s="7">
        <f>SUMPRODUCT($C$7:$X$7,'batch tool'!$B520:$W520)+$Y$7</f>
        <v>-19.739516238059196</v>
      </c>
      <c r="H526" s="7">
        <f t="shared" si="16"/>
        <v>-19.739516238059196</v>
      </c>
      <c r="I526">
        <f t="shared" si="17"/>
        <v>6</v>
      </c>
      <c r="J526" t="str" cm="1">
        <f t="array" ref="J526">INDEX($A$2:$A$7,I526)</f>
        <v>Segment 6- Self-Conscious Male</v>
      </c>
    </row>
    <row r="527" spans="1:10" x14ac:dyDescent="0.25">
      <c r="A527" s="1">
        <f>'batch tool'!A521</f>
        <v>0</v>
      </c>
      <c r="B527" s="7">
        <f>SUMPRODUCT($C$2:$X$2,'batch tool'!$B521:$W521)+$Y$2</f>
        <v>-49.12272534143483</v>
      </c>
      <c r="C527" s="7">
        <f>SUMPRODUCT($C$3:$X$3,'batch tool'!$B521:$W521)+$Y$3</f>
        <v>-36.514029388465531</v>
      </c>
      <c r="D527" s="7">
        <f>SUMPRODUCT($C$4:$X$4,'batch tool'!$B521:$W521)+$Y$4</f>
        <v>-44.639843068043824</v>
      </c>
      <c r="E527" s="7">
        <f>SUMPRODUCT($C$5:$X$5,'batch tool'!$B521:$W521)+$Y$5</f>
        <v>-51.578889182477603</v>
      </c>
      <c r="F527" s="7">
        <f>SUMPRODUCT($C$6:$X$6,'batch tool'!$B521:$W521)+$Y$6</f>
        <v>-47.741473633885199</v>
      </c>
      <c r="G527" s="7">
        <f>SUMPRODUCT($C$7:$X$7,'batch tool'!$B521:$W521)+$Y$7</f>
        <v>-19.739516238059196</v>
      </c>
      <c r="H527" s="7">
        <f t="shared" si="16"/>
        <v>-19.739516238059196</v>
      </c>
      <c r="I527">
        <f t="shared" si="17"/>
        <v>6</v>
      </c>
      <c r="J527" t="str" cm="1">
        <f t="array" ref="J527">INDEX($A$2:$A$7,I527)</f>
        <v>Segment 6- Self-Conscious Male</v>
      </c>
    </row>
    <row r="528" spans="1:10" x14ac:dyDescent="0.25">
      <c r="A528" s="1">
        <f>'batch tool'!A522</f>
        <v>0</v>
      </c>
      <c r="B528" s="7">
        <f>SUMPRODUCT($C$2:$X$2,'batch tool'!$B522:$W522)+$Y$2</f>
        <v>-49.12272534143483</v>
      </c>
      <c r="C528" s="7">
        <f>SUMPRODUCT($C$3:$X$3,'batch tool'!$B522:$W522)+$Y$3</f>
        <v>-36.514029388465531</v>
      </c>
      <c r="D528" s="7">
        <f>SUMPRODUCT($C$4:$X$4,'batch tool'!$B522:$W522)+$Y$4</f>
        <v>-44.639843068043824</v>
      </c>
      <c r="E528" s="7">
        <f>SUMPRODUCT($C$5:$X$5,'batch tool'!$B522:$W522)+$Y$5</f>
        <v>-51.578889182477603</v>
      </c>
      <c r="F528" s="7">
        <f>SUMPRODUCT($C$6:$X$6,'batch tool'!$B522:$W522)+$Y$6</f>
        <v>-47.741473633885199</v>
      </c>
      <c r="G528" s="7">
        <f>SUMPRODUCT($C$7:$X$7,'batch tool'!$B522:$W522)+$Y$7</f>
        <v>-19.739516238059196</v>
      </c>
      <c r="H528" s="7">
        <f t="shared" si="16"/>
        <v>-19.739516238059196</v>
      </c>
      <c r="I528">
        <f t="shared" si="17"/>
        <v>6</v>
      </c>
      <c r="J528" t="str" cm="1">
        <f t="array" ref="J528">INDEX($A$2:$A$7,I528)</f>
        <v>Segment 6- Self-Conscious Male</v>
      </c>
    </row>
    <row r="529" spans="1:10" x14ac:dyDescent="0.25">
      <c r="A529" s="1">
        <f>'batch tool'!A523</f>
        <v>0</v>
      </c>
      <c r="B529" s="7">
        <f>SUMPRODUCT($C$2:$X$2,'batch tool'!$B523:$W523)+$Y$2</f>
        <v>-49.12272534143483</v>
      </c>
      <c r="C529" s="7">
        <f>SUMPRODUCT($C$3:$X$3,'batch tool'!$B523:$W523)+$Y$3</f>
        <v>-36.514029388465531</v>
      </c>
      <c r="D529" s="7">
        <f>SUMPRODUCT($C$4:$X$4,'batch tool'!$B523:$W523)+$Y$4</f>
        <v>-44.639843068043824</v>
      </c>
      <c r="E529" s="7">
        <f>SUMPRODUCT($C$5:$X$5,'batch tool'!$B523:$W523)+$Y$5</f>
        <v>-51.578889182477603</v>
      </c>
      <c r="F529" s="7">
        <f>SUMPRODUCT($C$6:$X$6,'batch tool'!$B523:$W523)+$Y$6</f>
        <v>-47.741473633885199</v>
      </c>
      <c r="G529" s="7">
        <f>SUMPRODUCT($C$7:$X$7,'batch tool'!$B523:$W523)+$Y$7</f>
        <v>-19.739516238059196</v>
      </c>
      <c r="H529" s="7">
        <f t="shared" si="16"/>
        <v>-19.739516238059196</v>
      </c>
      <c r="I529">
        <f t="shared" si="17"/>
        <v>6</v>
      </c>
      <c r="J529" t="str" cm="1">
        <f t="array" ref="J529">INDEX($A$2:$A$7,I529)</f>
        <v>Segment 6- Self-Conscious Male</v>
      </c>
    </row>
    <row r="530" spans="1:10" x14ac:dyDescent="0.25">
      <c r="A530" s="1">
        <f>'batch tool'!A524</f>
        <v>0</v>
      </c>
      <c r="B530" s="7">
        <f>SUMPRODUCT($C$2:$X$2,'batch tool'!$B524:$W524)+$Y$2</f>
        <v>-49.12272534143483</v>
      </c>
      <c r="C530" s="7">
        <f>SUMPRODUCT($C$3:$X$3,'batch tool'!$B524:$W524)+$Y$3</f>
        <v>-36.514029388465531</v>
      </c>
      <c r="D530" s="7">
        <f>SUMPRODUCT($C$4:$X$4,'batch tool'!$B524:$W524)+$Y$4</f>
        <v>-44.639843068043824</v>
      </c>
      <c r="E530" s="7">
        <f>SUMPRODUCT($C$5:$X$5,'batch tool'!$B524:$W524)+$Y$5</f>
        <v>-51.578889182477603</v>
      </c>
      <c r="F530" s="7">
        <f>SUMPRODUCT($C$6:$X$6,'batch tool'!$B524:$W524)+$Y$6</f>
        <v>-47.741473633885199</v>
      </c>
      <c r="G530" s="7">
        <f>SUMPRODUCT($C$7:$X$7,'batch tool'!$B524:$W524)+$Y$7</f>
        <v>-19.739516238059196</v>
      </c>
      <c r="H530" s="7">
        <f t="shared" si="16"/>
        <v>-19.739516238059196</v>
      </c>
      <c r="I530">
        <f t="shared" si="17"/>
        <v>6</v>
      </c>
      <c r="J530" t="str" cm="1">
        <f t="array" ref="J530">INDEX($A$2:$A$7,I530)</f>
        <v>Segment 6- Self-Conscious Male</v>
      </c>
    </row>
    <row r="531" spans="1:10" x14ac:dyDescent="0.25">
      <c r="A531" s="1">
        <f>'batch tool'!A525</f>
        <v>0</v>
      </c>
      <c r="B531" s="7">
        <f>SUMPRODUCT($C$2:$X$2,'batch tool'!$B525:$W525)+$Y$2</f>
        <v>-49.12272534143483</v>
      </c>
      <c r="C531" s="7">
        <f>SUMPRODUCT($C$3:$X$3,'batch tool'!$B525:$W525)+$Y$3</f>
        <v>-36.514029388465531</v>
      </c>
      <c r="D531" s="7">
        <f>SUMPRODUCT($C$4:$X$4,'batch tool'!$B525:$W525)+$Y$4</f>
        <v>-44.639843068043824</v>
      </c>
      <c r="E531" s="7">
        <f>SUMPRODUCT($C$5:$X$5,'batch tool'!$B525:$W525)+$Y$5</f>
        <v>-51.578889182477603</v>
      </c>
      <c r="F531" s="7">
        <f>SUMPRODUCT($C$6:$X$6,'batch tool'!$B525:$W525)+$Y$6</f>
        <v>-47.741473633885199</v>
      </c>
      <c r="G531" s="7">
        <f>SUMPRODUCT($C$7:$X$7,'batch tool'!$B525:$W525)+$Y$7</f>
        <v>-19.739516238059196</v>
      </c>
      <c r="H531" s="7">
        <f t="shared" si="16"/>
        <v>-19.739516238059196</v>
      </c>
      <c r="I531">
        <f t="shared" si="17"/>
        <v>6</v>
      </c>
      <c r="J531" t="str" cm="1">
        <f t="array" ref="J531">INDEX($A$2:$A$7,I531)</f>
        <v>Segment 6- Self-Conscious Male</v>
      </c>
    </row>
    <row r="532" spans="1:10" x14ac:dyDescent="0.25">
      <c r="A532" s="1">
        <f>'batch tool'!A526</f>
        <v>0</v>
      </c>
      <c r="B532" s="7">
        <f>SUMPRODUCT($C$2:$X$2,'batch tool'!$B526:$W526)+$Y$2</f>
        <v>-49.12272534143483</v>
      </c>
      <c r="C532" s="7">
        <f>SUMPRODUCT($C$3:$X$3,'batch tool'!$B526:$W526)+$Y$3</f>
        <v>-36.514029388465531</v>
      </c>
      <c r="D532" s="7">
        <f>SUMPRODUCT($C$4:$X$4,'batch tool'!$B526:$W526)+$Y$4</f>
        <v>-44.639843068043824</v>
      </c>
      <c r="E532" s="7">
        <f>SUMPRODUCT($C$5:$X$5,'batch tool'!$B526:$W526)+$Y$5</f>
        <v>-51.578889182477603</v>
      </c>
      <c r="F532" s="7">
        <f>SUMPRODUCT($C$6:$X$6,'batch tool'!$B526:$W526)+$Y$6</f>
        <v>-47.741473633885199</v>
      </c>
      <c r="G532" s="7">
        <f>SUMPRODUCT($C$7:$X$7,'batch tool'!$B526:$W526)+$Y$7</f>
        <v>-19.739516238059196</v>
      </c>
      <c r="H532" s="7">
        <f t="shared" si="16"/>
        <v>-19.739516238059196</v>
      </c>
      <c r="I532">
        <f t="shared" si="17"/>
        <v>6</v>
      </c>
      <c r="J532" t="str" cm="1">
        <f t="array" ref="J532">INDEX($A$2:$A$7,I532)</f>
        <v>Segment 6- Self-Conscious Male</v>
      </c>
    </row>
    <row r="533" spans="1:10" x14ac:dyDescent="0.25">
      <c r="A533" s="1">
        <f>'batch tool'!A527</f>
        <v>0</v>
      </c>
      <c r="B533" s="7">
        <f>SUMPRODUCT($C$2:$X$2,'batch tool'!$B527:$W527)+$Y$2</f>
        <v>-49.12272534143483</v>
      </c>
      <c r="C533" s="7">
        <f>SUMPRODUCT($C$3:$X$3,'batch tool'!$B527:$W527)+$Y$3</f>
        <v>-36.514029388465531</v>
      </c>
      <c r="D533" s="7">
        <f>SUMPRODUCT($C$4:$X$4,'batch tool'!$B527:$W527)+$Y$4</f>
        <v>-44.639843068043824</v>
      </c>
      <c r="E533" s="7">
        <f>SUMPRODUCT($C$5:$X$5,'batch tool'!$B527:$W527)+$Y$5</f>
        <v>-51.578889182477603</v>
      </c>
      <c r="F533" s="7">
        <f>SUMPRODUCT($C$6:$X$6,'batch tool'!$B527:$W527)+$Y$6</f>
        <v>-47.741473633885199</v>
      </c>
      <c r="G533" s="7">
        <f>SUMPRODUCT($C$7:$X$7,'batch tool'!$B527:$W527)+$Y$7</f>
        <v>-19.739516238059196</v>
      </c>
      <c r="H533" s="7">
        <f t="shared" si="16"/>
        <v>-19.739516238059196</v>
      </c>
      <c r="I533">
        <f t="shared" si="17"/>
        <v>6</v>
      </c>
      <c r="J533" t="str" cm="1">
        <f t="array" ref="J533">INDEX($A$2:$A$7,I533)</f>
        <v>Segment 6- Self-Conscious Male</v>
      </c>
    </row>
    <row r="534" spans="1:10" x14ac:dyDescent="0.25">
      <c r="A534" s="1">
        <f>'batch tool'!A528</f>
        <v>0</v>
      </c>
      <c r="B534" s="7">
        <f>SUMPRODUCT($C$2:$X$2,'batch tool'!$B528:$W528)+$Y$2</f>
        <v>-49.12272534143483</v>
      </c>
      <c r="C534" s="7">
        <f>SUMPRODUCT($C$3:$X$3,'batch tool'!$B528:$W528)+$Y$3</f>
        <v>-36.514029388465531</v>
      </c>
      <c r="D534" s="7">
        <f>SUMPRODUCT($C$4:$X$4,'batch tool'!$B528:$W528)+$Y$4</f>
        <v>-44.639843068043824</v>
      </c>
      <c r="E534" s="7">
        <f>SUMPRODUCT($C$5:$X$5,'batch tool'!$B528:$W528)+$Y$5</f>
        <v>-51.578889182477603</v>
      </c>
      <c r="F534" s="7">
        <f>SUMPRODUCT($C$6:$X$6,'batch tool'!$B528:$W528)+$Y$6</f>
        <v>-47.741473633885199</v>
      </c>
      <c r="G534" s="7">
        <f>SUMPRODUCT($C$7:$X$7,'batch tool'!$B528:$W528)+$Y$7</f>
        <v>-19.739516238059196</v>
      </c>
      <c r="H534" s="7">
        <f t="shared" si="16"/>
        <v>-19.739516238059196</v>
      </c>
      <c r="I534">
        <f t="shared" si="17"/>
        <v>6</v>
      </c>
      <c r="J534" t="str" cm="1">
        <f t="array" ref="J534">INDEX($A$2:$A$7,I534)</f>
        <v>Segment 6- Self-Conscious Male</v>
      </c>
    </row>
    <row r="535" spans="1:10" x14ac:dyDescent="0.25">
      <c r="A535" s="1">
        <f>'batch tool'!A529</f>
        <v>0</v>
      </c>
      <c r="B535" s="7">
        <f>SUMPRODUCT($C$2:$X$2,'batch tool'!$B529:$W529)+$Y$2</f>
        <v>-49.12272534143483</v>
      </c>
      <c r="C535" s="7">
        <f>SUMPRODUCT($C$3:$X$3,'batch tool'!$B529:$W529)+$Y$3</f>
        <v>-36.514029388465531</v>
      </c>
      <c r="D535" s="7">
        <f>SUMPRODUCT($C$4:$X$4,'batch tool'!$B529:$W529)+$Y$4</f>
        <v>-44.639843068043824</v>
      </c>
      <c r="E535" s="7">
        <f>SUMPRODUCT($C$5:$X$5,'batch tool'!$B529:$W529)+$Y$5</f>
        <v>-51.578889182477603</v>
      </c>
      <c r="F535" s="7">
        <f>SUMPRODUCT($C$6:$X$6,'batch tool'!$B529:$W529)+$Y$6</f>
        <v>-47.741473633885199</v>
      </c>
      <c r="G535" s="7">
        <f>SUMPRODUCT($C$7:$X$7,'batch tool'!$B529:$W529)+$Y$7</f>
        <v>-19.739516238059196</v>
      </c>
      <c r="H535" s="7">
        <f t="shared" si="16"/>
        <v>-19.739516238059196</v>
      </c>
      <c r="I535">
        <f t="shared" si="17"/>
        <v>6</v>
      </c>
      <c r="J535" t="str" cm="1">
        <f t="array" ref="J535">INDEX($A$2:$A$7,I535)</f>
        <v>Segment 6- Self-Conscious Male</v>
      </c>
    </row>
    <row r="536" spans="1:10" x14ac:dyDescent="0.25">
      <c r="A536" s="1">
        <f>'batch tool'!A530</f>
        <v>0</v>
      </c>
      <c r="B536" s="7">
        <f>SUMPRODUCT($C$2:$X$2,'batch tool'!$B530:$W530)+$Y$2</f>
        <v>-49.12272534143483</v>
      </c>
      <c r="C536" s="7">
        <f>SUMPRODUCT($C$3:$X$3,'batch tool'!$B530:$W530)+$Y$3</f>
        <v>-36.514029388465531</v>
      </c>
      <c r="D536" s="7">
        <f>SUMPRODUCT($C$4:$X$4,'batch tool'!$B530:$W530)+$Y$4</f>
        <v>-44.639843068043824</v>
      </c>
      <c r="E536" s="7">
        <f>SUMPRODUCT($C$5:$X$5,'batch tool'!$B530:$W530)+$Y$5</f>
        <v>-51.578889182477603</v>
      </c>
      <c r="F536" s="7">
        <f>SUMPRODUCT($C$6:$X$6,'batch tool'!$B530:$W530)+$Y$6</f>
        <v>-47.741473633885199</v>
      </c>
      <c r="G536" s="7">
        <f>SUMPRODUCT($C$7:$X$7,'batch tool'!$B530:$W530)+$Y$7</f>
        <v>-19.739516238059196</v>
      </c>
      <c r="H536" s="7">
        <f t="shared" si="16"/>
        <v>-19.739516238059196</v>
      </c>
      <c r="I536">
        <f t="shared" si="17"/>
        <v>6</v>
      </c>
      <c r="J536" t="str" cm="1">
        <f t="array" ref="J536">INDEX($A$2:$A$7,I536)</f>
        <v>Segment 6- Self-Conscious Male</v>
      </c>
    </row>
    <row r="537" spans="1:10" x14ac:dyDescent="0.25">
      <c r="A537" s="1">
        <f>'batch tool'!A531</f>
        <v>0</v>
      </c>
      <c r="B537" s="7">
        <f>SUMPRODUCT($C$2:$X$2,'batch tool'!$B531:$W531)+$Y$2</f>
        <v>-49.12272534143483</v>
      </c>
      <c r="C537" s="7">
        <f>SUMPRODUCT($C$3:$X$3,'batch tool'!$B531:$W531)+$Y$3</f>
        <v>-36.514029388465531</v>
      </c>
      <c r="D537" s="7">
        <f>SUMPRODUCT($C$4:$X$4,'batch tool'!$B531:$W531)+$Y$4</f>
        <v>-44.639843068043824</v>
      </c>
      <c r="E537" s="7">
        <f>SUMPRODUCT($C$5:$X$5,'batch tool'!$B531:$W531)+$Y$5</f>
        <v>-51.578889182477603</v>
      </c>
      <c r="F537" s="7">
        <f>SUMPRODUCT($C$6:$X$6,'batch tool'!$B531:$W531)+$Y$6</f>
        <v>-47.741473633885199</v>
      </c>
      <c r="G537" s="7">
        <f>SUMPRODUCT($C$7:$X$7,'batch tool'!$B531:$W531)+$Y$7</f>
        <v>-19.739516238059196</v>
      </c>
      <c r="H537" s="7">
        <f t="shared" si="16"/>
        <v>-19.739516238059196</v>
      </c>
      <c r="I537">
        <f t="shared" si="17"/>
        <v>6</v>
      </c>
      <c r="J537" t="str" cm="1">
        <f t="array" ref="J537">INDEX($A$2:$A$7,I537)</f>
        <v>Segment 6- Self-Conscious Male</v>
      </c>
    </row>
    <row r="538" spans="1:10" x14ac:dyDescent="0.25">
      <c r="A538" s="1">
        <f>'batch tool'!A532</f>
        <v>0</v>
      </c>
      <c r="B538" s="7">
        <f>SUMPRODUCT($C$2:$X$2,'batch tool'!$B532:$W532)+$Y$2</f>
        <v>-49.12272534143483</v>
      </c>
      <c r="C538" s="7">
        <f>SUMPRODUCT($C$3:$X$3,'batch tool'!$B532:$W532)+$Y$3</f>
        <v>-36.514029388465531</v>
      </c>
      <c r="D538" s="7">
        <f>SUMPRODUCT($C$4:$X$4,'batch tool'!$B532:$W532)+$Y$4</f>
        <v>-44.639843068043824</v>
      </c>
      <c r="E538" s="7">
        <f>SUMPRODUCT($C$5:$X$5,'batch tool'!$B532:$W532)+$Y$5</f>
        <v>-51.578889182477603</v>
      </c>
      <c r="F538" s="7">
        <f>SUMPRODUCT($C$6:$X$6,'batch tool'!$B532:$W532)+$Y$6</f>
        <v>-47.741473633885199</v>
      </c>
      <c r="G538" s="7">
        <f>SUMPRODUCT($C$7:$X$7,'batch tool'!$B532:$W532)+$Y$7</f>
        <v>-19.739516238059196</v>
      </c>
      <c r="H538" s="7">
        <f t="shared" si="16"/>
        <v>-19.739516238059196</v>
      </c>
      <c r="I538">
        <f t="shared" si="17"/>
        <v>6</v>
      </c>
      <c r="J538" t="str" cm="1">
        <f t="array" ref="J538">INDEX($A$2:$A$7,I538)</f>
        <v>Segment 6- Self-Conscious Male</v>
      </c>
    </row>
    <row r="539" spans="1:10" x14ac:dyDescent="0.25">
      <c r="A539" s="1">
        <f>'batch tool'!A533</f>
        <v>0</v>
      </c>
      <c r="B539" s="7">
        <f>SUMPRODUCT($C$2:$X$2,'batch tool'!$B533:$W533)+$Y$2</f>
        <v>-49.12272534143483</v>
      </c>
      <c r="C539" s="7">
        <f>SUMPRODUCT($C$3:$X$3,'batch tool'!$B533:$W533)+$Y$3</f>
        <v>-36.514029388465531</v>
      </c>
      <c r="D539" s="7">
        <f>SUMPRODUCT($C$4:$X$4,'batch tool'!$B533:$W533)+$Y$4</f>
        <v>-44.639843068043824</v>
      </c>
      <c r="E539" s="7">
        <f>SUMPRODUCT($C$5:$X$5,'batch tool'!$B533:$W533)+$Y$5</f>
        <v>-51.578889182477603</v>
      </c>
      <c r="F539" s="7">
        <f>SUMPRODUCT($C$6:$X$6,'batch tool'!$B533:$W533)+$Y$6</f>
        <v>-47.741473633885199</v>
      </c>
      <c r="G539" s="7">
        <f>SUMPRODUCT($C$7:$X$7,'batch tool'!$B533:$W533)+$Y$7</f>
        <v>-19.739516238059196</v>
      </c>
      <c r="H539" s="7">
        <f t="shared" si="16"/>
        <v>-19.739516238059196</v>
      </c>
      <c r="I539">
        <f t="shared" si="17"/>
        <v>6</v>
      </c>
      <c r="J539" t="str" cm="1">
        <f t="array" ref="J539">INDEX($A$2:$A$7,I539)</f>
        <v>Segment 6- Self-Conscious Male</v>
      </c>
    </row>
    <row r="540" spans="1:10" x14ac:dyDescent="0.25">
      <c r="A540" s="1">
        <f>'batch tool'!A534</f>
        <v>0</v>
      </c>
      <c r="B540" s="7">
        <f>SUMPRODUCT($C$2:$X$2,'batch tool'!$B534:$W534)+$Y$2</f>
        <v>-49.12272534143483</v>
      </c>
      <c r="C540" s="7">
        <f>SUMPRODUCT($C$3:$X$3,'batch tool'!$B534:$W534)+$Y$3</f>
        <v>-36.514029388465531</v>
      </c>
      <c r="D540" s="7">
        <f>SUMPRODUCT($C$4:$X$4,'batch tool'!$B534:$W534)+$Y$4</f>
        <v>-44.639843068043824</v>
      </c>
      <c r="E540" s="7">
        <f>SUMPRODUCT($C$5:$X$5,'batch tool'!$B534:$W534)+$Y$5</f>
        <v>-51.578889182477603</v>
      </c>
      <c r="F540" s="7">
        <f>SUMPRODUCT($C$6:$X$6,'batch tool'!$B534:$W534)+$Y$6</f>
        <v>-47.741473633885199</v>
      </c>
      <c r="G540" s="7">
        <f>SUMPRODUCT($C$7:$X$7,'batch tool'!$B534:$W534)+$Y$7</f>
        <v>-19.739516238059196</v>
      </c>
      <c r="H540" s="7">
        <f t="shared" si="16"/>
        <v>-19.739516238059196</v>
      </c>
      <c r="I540">
        <f t="shared" si="17"/>
        <v>6</v>
      </c>
      <c r="J540" t="str" cm="1">
        <f t="array" ref="J540">INDEX($A$2:$A$7,I540)</f>
        <v>Segment 6- Self-Conscious Male</v>
      </c>
    </row>
    <row r="541" spans="1:10" x14ac:dyDescent="0.25">
      <c r="A541" s="1">
        <f>'batch tool'!A535</f>
        <v>0</v>
      </c>
      <c r="B541" s="7">
        <f>SUMPRODUCT($C$2:$X$2,'batch tool'!$B535:$W535)+$Y$2</f>
        <v>-49.12272534143483</v>
      </c>
      <c r="C541" s="7">
        <f>SUMPRODUCT($C$3:$X$3,'batch tool'!$B535:$W535)+$Y$3</f>
        <v>-36.514029388465531</v>
      </c>
      <c r="D541" s="7">
        <f>SUMPRODUCT($C$4:$X$4,'batch tool'!$B535:$W535)+$Y$4</f>
        <v>-44.639843068043824</v>
      </c>
      <c r="E541" s="7">
        <f>SUMPRODUCT($C$5:$X$5,'batch tool'!$B535:$W535)+$Y$5</f>
        <v>-51.578889182477603</v>
      </c>
      <c r="F541" s="7">
        <f>SUMPRODUCT($C$6:$X$6,'batch tool'!$B535:$W535)+$Y$6</f>
        <v>-47.741473633885199</v>
      </c>
      <c r="G541" s="7">
        <f>SUMPRODUCT($C$7:$X$7,'batch tool'!$B535:$W535)+$Y$7</f>
        <v>-19.739516238059196</v>
      </c>
      <c r="H541" s="7">
        <f t="shared" si="16"/>
        <v>-19.739516238059196</v>
      </c>
      <c r="I541">
        <f t="shared" si="17"/>
        <v>6</v>
      </c>
      <c r="J541" t="str" cm="1">
        <f t="array" ref="J541">INDEX($A$2:$A$7,I541)</f>
        <v>Segment 6- Self-Conscious Male</v>
      </c>
    </row>
    <row r="542" spans="1:10" x14ac:dyDescent="0.25">
      <c r="A542" s="1">
        <f>'batch tool'!A536</f>
        <v>0</v>
      </c>
      <c r="B542" s="7">
        <f>SUMPRODUCT($C$2:$X$2,'batch tool'!$B536:$W536)+$Y$2</f>
        <v>-49.12272534143483</v>
      </c>
      <c r="C542" s="7">
        <f>SUMPRODUCT($C$3:$X$3,'batch tool'!$B536:$W536)+$Y$3</f>
        <v>-36.514029388465531</v>
      </c>
      <c r="D542" s="7">
        <f>SUMPRODUCT($C$4:$X$4,'batch tool'!$B536:$W536)+$Y$4</f>
        <v>-44.639843068043824</v>
      </c>
      <c r="E542" s="7">
        <f>SUMPRODUCT($C$5:$X$5,'batch tool'!$B536:$W536)+$Y$5</f>
        <v>-51.578889182477603</v>
      </c>
      <c r="F542" s="7">
        <f>SUMPRODUCT($C$6:$X$6,'batch tool'!$B536:$W536)+$Y$6</f>
        <v>-47.741473633885199</v>
      </c>
      <c r="G542" s="7">
        <f>SUMPRODUCT($C$7:$X$7,'batch tool'!$B536:$W536)+$Y$7</f>
        <v>-19.739516238059196</v>
      </c>
      <c r="H542" s="7">
        <f t="shared" si="16"/>
        <v>-19.739516238059196</v>
      </c>
      <c r="I542">
        <f t="shared" si="17"/>
        <v>6</v>
      </c>
      <c r="J542" t="str" cm="1">
        <f t="array" ref="J542">INDEX($A$2:$A$7,I542)</f>
        <v>Segment 6- Self-Conscious Male</v>
      </c>
    </row>
    <row r="543" spans="1:10" x14ac:dyDescent="0.25">
      <c r="A543" s="1">
        <f>'batch tool'!A537</f>
        <v>0</v>
      </c>
      <c r="B543" s="7">
        <f>SUMPRODUCT($C$2:$X$2,'batch tool'!$B537:$W537)+$Y$2</f>
        <v>-49.12272534143483</v>
      </c>
      <c r="C543" s="7">
        <f>SUMPRODUCT($C$3:$X$3,'batch tool'!$B537:$W537)+$Y$3</f>
        <v>-36.514029388465531</v>
      </c>
      <c r="D543" s="7">
        <f>SUMPRODUCT($C$4:$X$4,'batch tool'!$B537:$W537)+$Y$4</f>
        <v>-44.639843068043824</v>
      </c>
      <c r="E543" s="7">
        <f>SUMPRODUCT($C$5:$X$5,'batch tool'!$B537:$W537)+$Y$5</f>
        <v>-51.578889182477603</v>
      </c>
      <c r="F543" s="7">
        <f>SUMPRODUCT($C$6:$X$6,'batch tool'!$B537:$W537)+$Y$6</f>
        <v>-47.741473633885199</v>
      </c>
      <c r="G543" s="7">
        <f>SUMPRODUCT($C$7:$X$7,'batch tool'!$B537:$W537)+$Y$7</f>
        <v>-19.739516238059196</v>
      </c>
      <c r="H543" s="7">
        <f t="shared" si="16"/>
        <v>-19.739516238059196</v>
      </c>
      <c r="I543">
        <f t="shared" si="17"/>
        <v>6</v>
      </c>
      <c r="J543" t="str" cm="1">
        <f t="array" ref="J543">INDEX($A$2:$A$7,I543)</f>
        <v>Segment 6- Self-Conscious Male</v>
      </c>
    </row>
    <row r="544" spans="1:10" x14ac:dyDescent="0.25">
      <c r="A544" s="1">
        <f>'batch tool'!A538</f>
        <v>0</v>
      </c>
      <c r="B544" s="7">
        <f>SUMPRODUCT($C$2:$X$2,'batch tool'!$B538:$W538)+$Y$2</f>
        <v>-49.12272534143483</v>
      </c>
      <c r="C544" s="7">
        <f>SUMPRODUCT($C$3:$X$3,'batch tool'!$B538:$W538)+$Y$3</f>
        <v>-36.514029388465531</v>
      </c>
      <c r="D544" s="7">
        <f>SUMPRODUCT($C$4:$X$4,'batch tool'!$B538:$W538)+$Y$4</f>
        <v>-44.639843068043824</v>
      </c>
      <c r="E544" s="7">
        <f>SUMPRODUCT($C$5:$X$5,'batch tool'!$B538:$W538)+$Y$5</f>
        <v>-51.578889182477603</v>
      </c>
      <c r="F544" s="7">
        <f>SUMPRODUCT($C$6:$X$6,'batch tool'!$B538:$W538)+$Y$6</f>
        <v>-47.741473633885199</v>
      </c>
      <c r="G544" s="7">
        <f>SUMPRODUCT($C$7:$X$7,'batch tool'!$B538:$W538)+$Y$7</f>
        <v>-19.739516238059196</v>
      </c>
      <c r="H544" s="7">
        <f t="shared" si="16"/>
        <v>-19.739516238059196</v>
      </c>
      <c r="I544">
        <f t="shared" si="17"/>
        <v>6</v>
      </c>
      <c r="J544" t="str" cm="1">
        <f t="array" ref="J544">INDEX($A$2:$A$7,I544)</f>
        <v>Segment 6- Self-Conscious Male</v>
      </c>
    </row>
    <row r="545" spans="1:10" x14ac:dyDescent="0.25">
      <c r="A545" s="1">
        <f>'batch tool'!A539</f>
        <v>0</v>
      </c>
      <c r="B545" s="7">
        <f>SUMPRODUCT($C$2:$X$2,'batch tool'!$B539:$W539)+$Y$2</f>
        <v>-49.12272534143483</v>
      </c>
      <c r="C545" s="7">
        <f>SUMPRODUCT($C$3:$X$3,'batch tool'!$B539:$W539)+$Y$3</f>
        <v>-36.514029388465531</v>
      </c>
      <c r="D545" s="7">
        <f>SUMPRODUCT($C$4:$X$4,'batch tool'!$B539:$W539)+$Y$4</f>
        <v>-44.639843068043824</v>
      </c>
      <c r="E545" s="7">
        <f>SUMPRODUCT($C$5:$X$5,'batch tool'!$B539:$W539)+$Y$5</f>
        <v>-51.578889182477603</v>
      </c>
      <c r="F545" s="7">
        <f>SUMPRODUCT($C$6:$X$6,'batch tool'!$B539:$W539)+$Y$6</f>
        <v>-47.741473633885199</v>
      </c>
      <c r="G545" s="7">
        <f>SUMPRODUCT($C$7:$X$7,'batch tool'!$B539:$W539)+$Y$7</f>
        <v>-19.739516238059196</v>
      </c>
      <c r="H545" s="7">
        <f t="shared" si="16"/>
        <v>-19.739516238059196</v>
      </c>
      <c r="I545">
        <f t="shared" si="17"/>
        <v>6</v>
      </c>
      <c r="J545" t="str" cm="1">
        <f t="array" ref="J545">INDEX($A$2:$A$7,I545)</f>
        <v>Segment 6- Self-Conscious Male</v>
      </c>
    </row>
    <row r="546" spans="1:10" x14ac:dyDescent="0.25">
      <c r="A546" s="1">
        <f>'batch tool'!A540</f>
        <v>0</v>
      </c>
      <c r="B546" s="7">
        <f>SUMPRODUCT($C$2:$X$2,'batch tool'!$B540:$W540)+$Y$2</f>
        <v>-49.12272534143483</v>
      </c>
      <c r="C546" s="7">
        <f>SUMPRODUCT($C$3:$X$3,'batch tool'!$B540:$W540)+$Y$3</f>
        <v>-36.514029388465531</v>
      </c>
      <c r="D546" s="7">
        <f>SUMPRODUCT($C$4:$X$4,'batch tool'!$B540:$W540)+$Y$4</f>
        <v>-44.639843068043824</v>
      </c>
      <c r="E546" s="7">
        <f>SUMPRODUCT($C$5:$X$5,'batch tool'!$B540:$W540)+$Y$5</f>
        <v>-51.578889182477603</v>
      </c>
      <c r="F546" s="7">
        <f>SUMPRODUCT($C$6:$X$6,'batch tool'!$B540:$W540)+$Y$6</f>
        <v>-47.741473633885199</v>
      </c>
      <c r="G546" s="7">
        <f>SUMPRODUCT($C$7:$X$7,'batch tool'!$B540:$W540)+$Y$7</f>
        <v>-19.739516238059196</v>
      </c>
      <c r="H546" s="7">
        <f t="shared" si="16"/>
        <v>-19.739516238059196</v>
      </c>
      <c r="I546">
        <f t="shared" si="17"/>
        <v>6</v>
      </c>
      <c r="J546" t="str" cm="1">
        <f t="array" ref="J546">INDEX($A$2:$A$7,I546)</f>
        <v>Segment 6- Self-Conscious Male</v>
      </c>
    </row>
    <row r="547" spans="1:10" x14ac:dyDescent="0.25">
      <c r="A547" s="1">
        <f>'batch tool'!A541</f>
        <v>0</v>
      </c>
      <c r="B547" s="7">
        <f>SUMPRODUCT($C$2:$X$2,'batch tool'!$B541:$W541)+$Y$2</f>
        <v>-49.12272534143483</v>
      </c>
      <c r="C547" s="7">
        <f>SUMPRODUCT($C$3:$X$3,'batch tool'!$B541:$W541)+$Y$3</f>
        <v>-36.514029388465531</v>
      </c>
      <c r="D547" s="7">
        <f>SUMPRODUCT($C$4:$X$4,'batch tool'!$B541:$W541)+$Y$4</f>
        <v>-44.639843068043824</v>
      </c>
      <c r="E547" s="7">
        <f>SUMPRODUCT($C$5:$X$5,'batch tool'!$B541:$W541)+$Y$5</f>
        <v>-51.578889182477603</v>
      </c>
      <c r="F547" s="7">
        <f>SUMPRODUCT($C$6:$X$6,'batch tool'!$B541:$W541)+$Y$6</f>
        <v>-47.741473633885199</v>
      </c>
      <c r="G547" s="7">
        <f>SUMPRODUCT($C$7:$X$7,'batch tool'!$B541:$W541)+$Y$7</f>
        <v>-19.739516238059196</v>
      </c>
      <c r="H547" s="7">
        <f t="shared" si="16"/>
        <v>-19.739516238059196</v>
      </c>
      <c r="I547">
        <f t="shared" si="17"/>
        <v>6</v>
      </c>
      <c r="J547" t="str" cm="1">
        <f t="array" ref="J547">INDEX($A$2:$A$7,I547)</f>
        <v>Segment 6- Self-Conscious Male</v>
      </c>
    </row>
    <row r="548" spans="1:10" x14ac:dyDescent="0.25">
      <c r="A548" s="1">
        <f>'batch tool'!A542</f>
        <v>0</v>
      </c>
      <c r="B548" s="7">
        <f>SUMPRODUCT($C$2:$X$2,'batch tool'!$B542:$W542)+$Y$2</f>
        <v>-49.12272534143483</v>
      </c>
      <c r="C548" s="7">
        <f>SUMPRODUCT($C$3:$X$3,'batch tool'!$B542:$W542)+$Y$3</f>
        <v>-36.514029388465531</v>
      </c>
      <c r="D548" s="7">
        <f>SUMPRODUCT($C$4:$X$4,'batch tool'!$B542:$W542)+$Y$4</f>
        <v>-44.639843068043824</v>
      </c>
      <c r="E548" s="7">
        <f>SUMPRODUCT($C$5:$X$5,'batch tool'!$B542:$W542)+$Y$5</f>
        <v>-51.578889182477603</v>
      </c>
      <c r="F548" s="7">
        <f>SUMPRODUCT($C$6:$X$6,'batch tool'!$B542:$W542)+$Y$6</f>
        <v>-47.741473633885199</v>
      </c>
      <c r="G548" s="7">
        <f>SUMPRODUCT($C$7:$X$7,'batch tool'!$B542:$W542)+$Y$7</f>
        <v>-19.739516238059196</v>
      </c>
      <c r="H548" s="7">
        <f t="shared" si="16"/>
        <v>-19.739516238059196</v>
      </c>
      <c r="I548">
        <f t="shared" si="17"/>
        <v>6</v>
      </c>
      <c r="J548" t="str" cm="1">
        <f t="array" ref="J548">INDEX($A$2:$A$7,I548)</f>
        <v>Segment 6- Self-Conscious Male</v>
      </c>
    </row>
    <row r="549" spans="1:10" x14ac:dyDescent="0.25">
      <c r="A549" s="1">
        <f>'batch tool'!A543</f>
        <v>0</v>
      </c>
      <c r="B549" s="7">
        <f>SUMPRODUCT($C$2:$X$2,'batch tool'!$B543:$W543)+$Y$2</f>
        <v>-49.12272534143483</v>
      </c>
      <c r="C549" s="7">
        <f>SUMPRODUCT($C$3:$X$3,'batch tool'!$B543:$W543)+$Y$3</f>
        <v>-36.514029388465531</v>
      </c>
      <c r="D549" s="7">
        <f>SUMPRODUCT($C$4:$X$4,'batch tool'!$B543:$W543)+$Y$4</f>
        <v>-44.639843068043824</v>
      </c>
      <c r="E549" s="7">
        <f>SUMPRODUCT($C$5:$X$5,'batch tool'!$B543:$W543)+$Y$5</f>
        <v>-51.578889182477603</v>
      </c>
      <c r="F549" s="7">
        <f>SUMPRODUCT($C$6:$X$6,'batch tool'!$B543:$W543)+$Y$6</f>
        <v>-47.741473633885199</v>
      </c>
      <c r="G549" s="7">
        <f>SUMPRODUCT($C$7:$X$7,'batch tool'!$B543:$W543)+$Y$7</f>
        <v>-19.739516238059196</v>
      </c>
      <c r="H549" s="7">
        <f t="shared" si="16"/>
        <v>-19.739516238059196</v>
      </c>
      <c r="I549">
        <f t="shared" si="17"/>
        <v>6</v>
      </c>
      <c r="J549" t="str" cm="1">
        <f t="array" ref="J549">INDEX($A$2:$A$7,I549)</f>
        <v>Segment 6- Self-Conscious Male</v>
      </c>
    </row>
    <row r="550" spans="1:10" x14ac:dyDescent="0.25">
      <c r="A550" s="1">
        <f>'batch tool'!A544</f>
        <v>0</v>
      </c>
      <c r="B550" s="7">
        <f>SUMPRODUCT($C$2:$X$2,'batch tool'!$B544:$W544)+$Y$2</f>
        <v>-49.12272534143483</v>
      </c>
      <c r="C550" s="7">
        <f>SUMPRODUCT($C$3:$X$3,'batch tool'!$B544:$W544)+$Y$3</f>
        <v>-36.514029388465531</v>
      </c>
      <c r="D550" s="7">
        <f>SUMPRODUCT($C$4:$X$4,'batch tool'!$B544:$W544)+$Y$4</f>
        <v>-44.639843068043824</v>
      </c>
      <c r="E550" s="7">
        <f>SUMPRODUCT($C$5:$X$5,'batch tool'!$B544:$W544)+$Y$5</f>
        <v>-51.578889182477603</v>
      </c>
      <c r="F550" s="7">
        <f>SUMPRODUCT($C$6:$X$6,'batch tool'!$B544:$W544)+$Y$6</f>
        <v>-47.741473633885199</v>
      </c>
      <c r="G550" s="7">
        <f>SUMPRODUCT($C$7:$X$7,'batch tool'!$B544:$W544)+$Y$7</f>
        <v>-19.739516238059196</v>
      </c>
      <c r="H550" s="7">
        <f t="shared" si="16"/>
        <v>-19.739516238059196</v>
      </c>
      <c r="I550">
        <f t="shared" si="17"/>
        <v>6</v>
      </c>
      <c r="J550" t="str" cm="1">
        <f t="array" ref="J550">INDEX($A$2:$A$7,I550)</f>
        <v>Segment 6- Self-Conscious Male</v>
      </c>
    </row>
    <row r="551" spans="1:10" x14ac:dyDescent="0.25">
      <c r="A551" s="1">
        <f>'batch tool'!A545</f>
        <v>0</v>
      </c>
      <c r="B551" s="7">
        <f>SUMPRODUCT($C$2:$X$2,'batch tool'!$B545:$W545)+$Y$2</f>
        <v>-49.12272534143483</v>
      </c>
      <c r="C551" s="7">
        <f>SUMPRODUCT($C$3:$X$3,'batch tool'!$B545:$W545)+$Y$3</f>
        <v>-36.514029388465531</v>
      </c>
      <c r="D551" s="7">
        <f>SUMPRODUCT($C$4:$X$4,'batch tool'!$B545:$W545)+$Y$4</f>
        <v>-44.639843068043824</v>
      </c>
      <c r="E551" s="7">
        <f>SUMPRODUCT($C$5:$X$5,'batch tool'!$B545:$W545)+$Y$5</f>
        <v>-51.578889182477603</v>
      </c>
      <c r="F551" s="7">
        <f>SUMPRODUCT($C$6:$X$6,'batch tool'!$B545:$W545)+$Y$6</f>
        <v>-47.741473633885199</v>
      </c>
      <c r="G551" s="7">
        <f>SUMPRODUCT($C$7:$X$7,'batch tool'!$B545:$W545)+$Y$7</f>
        <v>-19.739516238059196</v>
      </c>
      <c r="H551" s="7">
        <f t="shared" si="16"/>
        <v>-19.739516238059196</v>
      </c>
      <c r="I551">
        <f t="shared" si="17"/>
        <v>6</v>
      </c>
      <c r="J551" t="str" cm="1">
        <f t="array" ref="J551">INDEX($A$2:$A$7,I551)</f>
        <v>Segment 6- Self-Conscious Male</v>
      </c>
    </row>
    <row r="552" spans="1:10" x14ac:dyDescent="0.25">
      <c r="A552" s="1">
        <f>'batch tool'!A546</f>
        <v>0</v>
      </c>
      <c r="B552" s="7">
        <f>SUMPRODUCT($C$2:$X$2,'batch tool'!$B546:$W546)+$Y$2</f>
        <v>-49.12272534143483</v>
      </c>
      <c r="C552" s="7">
        <f>SUMPRODUCT($C$3:$X$3,'batch tool'!$B546:$W546)+$Y$3</f>
        <v>-36.514029388465531</v>
      </c>
      <c r="D552" s="7">
        <f>SUMPRODUCT($C$4:$X$4,'batch tool'!$B546:$W546)+$Y$4</f>
        <v>-44.639843068043824</v>
      </c>
      <c r="E552" s="7">
        <f>SUMPRODUCT($C$5:$X$5,'batch tool'!$B546:$W546)+$Y$5</f>
        <v>-51.578889182477603</v>
      </c>
      <c r="F552" s="7">
        <f>SUMPRODUCT($C$6:$X$6,'batch tool'!$B546:$W546)+$Y$6</f>
        <v>-47.741473633885199</v>
      </c>
      <c r="G552" s="7">
        <f>SUMPRODUCT($C$7:$X$7,'batch tool'!$B546:$W546)+$Y$7</f>
        <v>-19.739516238059196</v>
      </c>
      <c r="H552" s="7">
        <f t="shared" si="16"/>
        <v>-19.739516238059196</v>
      </c>
      <c r="I552">
        <f t="shared" si="17"/>
        <v>6</v>
      </c>
      <c r="J552" t="str" cm="1">
        <f t="array" ref="J552">INDEX($A$2:$A$7,I552)</f>
        <v>Segment 6- Self-Conscious Male</v>
      </c>
    </row>
    <row r="553" spans="1:10" x14ac:dyDescent="0.25">
      <c r="A553" s="1">
        <f>'batch tool'!A547</f>
        <v>0</v>
      </c>
      <c r="B553" s="7">
        <f>SUMPRODUCT($C$2:$X$2,'batch tool'!$B547:$W547)+$Y$2</f>
        <v>-49.12272534143483</v>
      </c>
      <c r="C553" s="7">
        <f>SUMPRODUCT($C$3:$X$3,'batch tool'!$B547:$W547)+$Y$3</f>
        <v>-36.514029388465531</v>
      </c>
      <c r="D553" s="7">
        <f>SUMPRODUCT($C$4:$X$4,'batch tool'!$B547:$W547)+$Y$4</f>
        <v>-44.639843068043824</v>
      </c>
      <c r="E553" s="7">
        <f>SUMPRODUCT($C$5:$X$5,'batch tool'!$B547:$W547)+$Y$5</f>
        <v>-51.578889182477603</v>
      </c>
      <c r="F553" s="7">
        <f>SUMPRODUCT($C$6:$X$6,'batch tool'!$B547:$W547)+$Y$6</f>
        <v>-47.741473633885199</v>
      </c>
      <c r="G553" s="7">
        <f>SUMPRODUCT($C$7:$X$7,'batch tool'!$B547:$W547)+$Y$7</f>
        <v>-19.739516238059196</v>
      </c>
      <c r="H553" s="7">
        <f t="shared" si="16"/>
        <v>-19.739516238059196</v>
      </c>
      <c r="I553">
        <f t="shared" si="17"/>
        <v>6</v>
      </c>
      <c r="J553" t="str" cm="1">
        <f t="array" ref="J553">INDEX($A$2:$A$7,I553)</f>
        <v>Segment 6- Self-Conscious Male</v>
      </c>
    </row>
    <row r="554" spans="1:10" x14ac:dyDescent="0.25">
      <c r="A554" s="1">
        <f>'batch tool'!A548</f>
        <v>0</v>
      </c>
      <c r="B554" s="7">
        <f>SUMPRODUCT($C$2:$X$2,'batch tool'!$B548:$W548)+$Y$2</f>
        <v>-49.12272534143483</v>
      </c>
      <c r="C554" s="7">
        <f>SUMPRODUCT($C$3:$X$3,'batch tool'!$B548:$W548)+$Y$3</f>
        <v>-36.514029388465531</v>
      </c>
      <c r="D554" s="7">
        <f>SUMPRODUCT($C$4:$X$4,'batch tool'!$B548:$W548)+$Y$4</f>
        <v>-44.639843068043824</v>
      </c>
      <c r="E554" s="7">
        <f>SUMPRODUCT($C$5:$X$5,'batch tool'!$B548:$W548)+$Y$5</f>
        <v>-51.578889182477603</v>
      </c>
      <c r="F554" s="7">
        <f>SUMPRODUCT($C$6:$X$6,'batch tool'!$B548:$W548)+$Y$6</f>
        <v>-47.741473633885199</v>
      </c>
      <c r="G554" s="7">
        <f>SUMPRODUCT($C$7:$X$7,'batch tool'!$B548:$W548)+$Y$7</f>
        <v>-19.739516238059196</v>
      </c>
      <c r="H554" s="7">
        <f t="shared" si="16"/>
        <v>-19.739516238059196</v>
      </c>
      <c r="I554">
        <f t="shared" si="17"/>
        <v>6</v>
      </c>
      <c r="J554" t="str" cm="1">
        <f t="array" ref="J554">INDEX($A$2:$A$7,I554)</f>
        <v>Segment 6- Self-Conscious Male</v>
      </c>
    </row>
    <row r="555" spans="1:10" x14ac:dyDescent="0.25">
      <c r="A555" s="1">
        <f>'batch tool'!A549</f>
        <v>0</v>
      </c>
      <c r="B555" s="7">
        <f>SUMPRODUCT($C$2:$X$2,'batch tool'!$B549:$W549)+$Y$2</f>
        <v>-49.12272534143483</v>
      </c>
      <c r="C555" s="7">
        <f>SUMPRODUCT($C$3:$X$3,'batch tool'!$B549:$W549)+$Y$3</f>
        <v>-36.514029388465531</v>
      </c>
      <c r="D555" s="7">
        <f>SUMPRODUCT($C$4:$X$4,'batch tool'!$B549:$W549)+$Y$4</f>
        <v>-44.639843068043824</v>
      </c>
      <c r="E555" s="7">
        <f>SUMPRODUCT($C$5:$X$5,'batch tool'!$B549:$W549)+$Y$5</f>
        <v>-51.578889182477603</v>
      </c>
      <c r="F555" s="7">
        <f>SUMPRODUCT($C$6:$X$6,'batch tool'!$B549:$W549)+$Y$6</f>
        <v>-47.741473633885199</v>
      </c>
      <c r="G555" s="7">
        <f>SUMPRODUCT($C$7:$X$7,'batch tool'!$B549:$W549)+$Y$7</f>
        <v>-19.739516238059196</v>
      </c>
      <c r="H555" s="7">
        <f t="shared" si="16"/>
        <v>-19.739516238059196</v>
      </c>
      <c r="I555">
        <f t="shared" si="17"/>
        <v>6</v>
      </c>
      <c r="J555" t="str" cm="1">
        <f t="array" ref="J555">INDEX($A$2:$A$7,I555)</f>
        <v>Segment 6- Self-Conscious Male</v>
      </c>
    </row>
    <row r="556" spans="1:10" x14ac:dyDescent="0.25">
      <c r="A556" s="1">
        <f>'batch tool'!A550</f>
        <v>0</v>
      </c>
      <c r="B556" s="7">
        <f>SUMPRODUCT($C$2:$X$2,'batch tool'!$B550:$W550)+$Y$2</f>
        <v>-49.12272534143483</v>
      </c>
      <c r="C556" s="7">
        <f>SUMPRODUCT($C$3:$X$3,'batch tool'!$B550:$W550)+$Y$3</f>
        <v>-36.514029388465531</v>
      </c>
      <c r="D556" s="7">
        <f>SUMPRODUCT($C$4:$X$4,'batch tool'!$B550:$W550)+$Y$4</f>
        <v>-44.639843068043824</v>
      </c>
      <c r="E556" s="7">
        <f>SUMPRODUCT($C$5:$X$5,'batch tool'!$B550:$W550)+$Y$5</f>
        <v>-51.578889182477603</v>
      </c>
      <c r="F556" s="7">
        <f>SUMPRODUCT($C$6:$X$6,'batch tool'!$B550:$W550)+$Y$6</f>
        <v>-47.741473633885199</v>
      </c>
      <c r="G556" s="7">
        <f>SUMPRODUCT($C$7:$X$7,'batch tool'!$B550:$W550)+$Y$7</f>
        <v>-19.739516238059196</v>
      </c>
      <c r="H556" s="7">
        <f t="shared" si="16"/>
        <v>-19.739516238059196</v>
      </c>
      <c r="I556">
        <f t="shared" si="17"/>
        <v>6</v>
      </c>
      <c r="J556" t="str" cm="1">
        <f t="array" ref="J556">INDEX($A$2:$A$7,I556)</f>
        <v>Segment 6- Self-Conscious Male</v>
      </c>
    </row>
    <row r="557" spans="1:10" x14ac:dyDescent="0.25">
      <c r="A557" s="1">
        <f>'batch tool'!A551</f>
        <v>0</v>
      </c>
      <c r="B557" s="7">
        <f>SUMPRODUCT($C$2:$X$2,'batch tool'!$B551:$W551)+$Y$2</f>
        <v>-49.12272534143483</v>
      </c>
      <c r="C557" s="7">
        <f>SUMPRODUCT($C$3:$X$3,'batch tool'!$B551:$W551)+$Y$3</f>
        <v>-36.514029388465531</v>
      </c>
      <c r="D557" s="7">
        <f>SUMPRODUCT($C$4:$X$4,'batch tool'!$B551:$W551)+$Y$4</f>
        <v>-44.639843068043824</v>
      </c>
      <c r="E557" s="7">
        <f>SUMPRODUCT($C$5:$X$5,'batch tool'!$B551:$W551)+$Y$5</f>
        <v>-51.578889182477603</v>
      </c>
      <c r="F557" s="7">
        <f>SUMPRODUCT($C$6:$X$6,'batch tool'!$B551:$W551)+$Y$6</f>
        <v>-47.741473633885199</v>
      </c>
      <c r="G557" s="7">
        <f>SUMPRODUCT($C$7:$X$7,'batch tool'!$B551:$W551)+$Y$7</f>
        <v>-19.739516238059196</v>
      </c>
      <c r="H557" s="7">
        <f t="shared" si="16"/>
        <v>-19.739516238059196</v>
      </c>
      <c r="I557">
        <f t="shared" si="17"/>
        <v>6</v>
      </c>
      <c r="J557" t="str" cm="1">
        <f t="array" ref="J557">INDEX($A$2:$A$7,I557)</f>
        <v>Segment 6- Self-Conscious Male</v>
      </c>
    </row>
    <row r="558" spans="1:10" x14ac:dyDescent="0.25">
      <c r="A558" s="1">
        <f>'batch tool'!A552</f>
        <v>0</v>
      </c>
      <c r="B558" s="7">
        <f>SUMPRODUCT($C$2:$X$2,'batch tool'!$B552:$W552)+$Y$2</f>
        <v>-49.12272534143483</v>
      </c>
      <c r="C558" s="7">
        <f>SUMPRODUCT($C$3:$X$3,'batch tool'!$B552:$W552)+$Y$3</f>
        <v>-36.514029388465531</v>
      </c>
      <c r="D558" s="7">
        <f>SUMPRODUCT($C$4:$X$4,'batch tool'!$B552:$W552)+$Y$4</f>
        <v>-44.639843068043824</v>
      </c>
      <c r="E558" s="7">
        <f>SUMPRODUCT($C$5:$X$5,'batch tool'!$B552:$W552)+$Y$5</f>
        <v>-51.578889182477603</v>
      </c>
      <c r="F558" s="7">
        <f>SUMPRODUCT($C$6:$X$6,'batch tool'!$B552:$W552)+$Y$6</f>
        <v>-47.741473633885199</v>
      </c>
      <c r="G558" s="7">
        <f>SUMPRODUCT($C$7:$X$7,'batch tool'!$B552:$W552)+$Y$7</f>
        <v>-19.739516238059196</v>
      </c>
      <c r="H558" s="7">
        <f t="shared" si="16"/>
        <v>-19.739516238059196</v>
      </c>
      <c r="I558">
        <f t="shared" si="17"/>
        <v>6</v>
      </c>
      <c r="J558" t="str" cm="1">
        <f t="array" ref="J558">INDEX($A$2:$A$7,I558)</f>
        <v>Segment 6- Self-Conscious Male</v>
      </c>
    </row>
    <row r="559" spans="1:10" x14ac:dyDescent="0.25">
      <c r="A559" s="1">
        <f>'batch tool'!A553</f>
        <v>0</v>
      </c>
      <c r="B559" s="7">
        <f>SUMPRODUCT($C$2:$X$2,'batch tool'!$B553:$W553)+$Y$2</f>
        <v>-49.12272534143483</v>
      </c>
      <c r="C559" s="7">
        <f>SUMPRODUCT($C$3:$X$3,'batch tool'!$B553:$W553)+$Y$3</f>
        <v>-36.514029388465531</v>
      </c>
      <c r="D559" s="7">
        <f>SUMPRODUCT($C$4:$X$4,'batch tool'!$B553:$W553)+$Y$4</f>
        <v>-44.639843068043824</v>
      </c>
      <c r="E559" s="7">
        <f>SUMPRODUCT($C$5:$X$5,'batch tool'!$B553:$W553)+$Y$5</f>
        <v>-51.578889182477603</v>
      </c>
      <c r="F559" s="7">
        <f>SUMPRODUCT($C$6:$X$6,'batch tool'!$B553:$W553)+$Y$6</f>
        <v>-47.741473633885199</v>
      </c>
      <c r="G559" s="7">
        <f>SUMPRODUCT($C$7:$X$7,'batch tool'!$B553:$W553)+$Y$7</f>
        <v>-19.739516238059196</v>
      </c>
      <c r="H559" s="7">
        <f t="shared" si="16"/>
        <v>-19.739516238059196</v>
      </c>
      <c r="I559">
        <f t="shared" si="17"/>
        <v>6</v>
      </c>
      <c r="J559" t="str" cm="1">
        <f t="array" ref="J559">INDEX($A$2:$A$7,I559)</f>
        <v>Segment 6- Self-Conscious Male</v>
      </c>
    </row>
    <row r="560" spans="1:10" x14ac:dyDescent="0.25">
      <c r="A560" s="1">
        <f>'batch tool'!A554</f>
        <v>0</v>
      </c>
      <c r="B560" s="7">
        <f>SUMPRODUCT($C$2:$X$2,'batch tool'!$B554:$W554)+$Y$2</f>
        <v>-49.12272534143483</v>
      </c>
      <c r="C560" s="7">
        <f>SUMPRODUCT($C$3:$X$3,'batch tool'!$B554:$W554)+$Y$3</f>
        <v>-36.514029388465531</v>
      </c>
      <c r="D560" s="7">
        <f>SUMPRODUCT($C$4:$X$4,'batch tool'!$B554:$W554)+$Y$4</f>
        <v>-44.639843068043824</v>
      </c>
      <c r="E560" s="7">
        <f>SUMPRODUCT($C$5:$X$5,'batch tool'!$B554:$W554)+$Y$5</f>
        <v>-51.578889182477603</v>
      </c>
      <c r="F560" s="7">
        <f>SUMPRODUCT($C$6:$X$6,'batch tool'!$B554:$W554)+$Y$6</f>
        <v>-47.741473633885199</v>
      </c>
      <c r="G560" s="7">
        <f>SUMPRODUCT($C$7:$X$7,'batch tool'!$B554:$W554)+$Y$7</f>
        <v>-19.739516238059196</v>
      </c>
      <c r="H560" s="7">
        <f t="shared" si="16"/>
        <v>-19.739516238059196</v>
      </c>
      <c r="I560">
        <f t="shared" si="17"/>
        <v>6</v>
      </c>
      <c r="J560" t="str" cm="1">
        <f t="array" ref="J560">INDEX($A$2:$A$7,I560)</f>
        <v>Segment 6- Self-Conscious Male</v>
      </c>
    </row>
    <row r="561" spans="1:10" x14ac:dyDescent="0.25">
      <c r="A561" s="1">
        <f>'batch tool'!A555</f>
        <v>0</v>
      </c>
      <c r="B561" s="7">
        <f>SUMPRODUCT($C$2:$X$2,'batch tool'!$B555:$W555)+$Y$2</f>
        <v>-49.12272534143483</v>
      </c>
      <c r="C561" s="7">
        <f>SUMPRODUCT($C$3:$X$3,'batch tool'!$B555:$W555)+$Y$3</f>
        <v>-36.514029388465531</v>
      </c>
      <c r="D561" s="7">
        <f>SUMPRODUCT($C$4:$X$4,'batch tool'!$B555:$W555)+$Y$4</f>
        <v>-44.639843068043824</v>
      </c>
      <c r="E561" s="7">
        <f>SUMPRODUCT($C$5:$X$5,'batch tool'!$B555:$W555)+$Y$5</f>
        <v>-51.578889182477603</v>
      </c>
      <c r="F561" s="7">
        <f>SUMPRODUCT($C$6:$X$6,'batch tool'!$B555:$W555)+$Y$6</f>
        <v>-47.741473633885199</v>
      </c>
      <c r="G561" s="7">
        <f>SUMPRODUCT($C$7:$X$7,'batch tool'!$B555:$W555)+$Y$7</f>
        <v>-19.739516238059196</v>
      </c>
      <c r="H561" s="7">
        <f t="shared" si="16"/>
        <v>-19.739516238059196</v>
      </c>
      <c r="I561">
        <f t="shared" si="17"/>
        <v>6</v>
      </c>
      <c r="J561" t="str" cm="1">
        <f t="array" ref="J561">INDEX($A$2:$A$7,I561)</f>
        <v>Segment 6- Self-Conscious Male</v>
      </c>
    </row>
    <row r="562" spans="1:10" x14ac:dyDescent="0.25">
      <c r="A562" s="1">
        <f>'batch tool'!A556</f>
        <v>0</v>
      </c>
      <c r="B562" s="7">
        <f>SUMPRODUCT($C$2:$X$2,'batch tool'!$B556:$W556)+$Y$2</f>
        <v>-49.12272534143483</v>
      </c>
      <c r="C562" s="7">
        <f>SUMPRODUCT($C$3:$X$3,'batch tool'!$B556:$W556)+$Y$3</f>
        <v>-36.514029388465531</v>
      </c>
      <c r="D562" s="7">
        <f>SUMPRODUCT($C$4:$X$4,'batch tool'!$B556:$W556)+$Y$4</f>
        <v>-44.639843068043824</v>
      </c>
      <c r="E562" s="7">
        <f>SUMPRODUCT($C$5:$X$5,'batch tool'!$B556:$W556)+$Y$5</f>
        <v>-51.578889182477603</v>
      </c>
      <c r="F562" s="7">
        <f>SUMPRODUCT($C$6:$X$6,'batch tool'!$B556:$W556)+$Y$6</f>
        <v>-47.741473633885199</v>
      </c>
      <c r="G562" s="7">
        <f>SUMPRODUCT($C$7:$X$7,'batch tool'!$B556:$W556)+$Y$7</f>
        <v>-19.739516238059196</v>
      </c>
      <c r="H562" s="7">
        <f t="shared" si="16"/>
        <v>-19.739516238059196</v>
      </c>
      <c r="I562">
        <f t="shared" si="17"/>
        <v>6</v>
      </c>
      <c r="J562" t="str" cm="1">
        <f t="array" ref="J562">INDEX($A$2:$A$7,I562)</f>
        <v>Segment 6- Self-Conscious Male</v>
      </c>
    </row>
    <row r="563" spans="1:10" x14ac:dyDescent="0.25">
      <c r="A563" s="1">
        <f>'batch tool'!A557</f>
        <v>0</v>
      </c>
      <c r="B563" s="7">
        <f>SUMPRODUCT($C$2:$X$2,'batch tool'!$B557:$W557)+$Y$2</f>
        <v>-49.12272534143483</v>
      </c>
      <c r="C563" s="7">
        <f>SUMPRODUCT($C$3:$X$3,'batch tool'!$B557:$W557)+$Y$3</f>
        <v>-36.514029388465531</v>
      </c>
      <c r="D563" s="7">
        <f>SUMPRODUCT($C$4:$X$4,'batch tool'!$B557:$W557)+$Y$4</f>
        <v>-44.639843068043824</v>
      </c>
      <c r="E563" s="7">
        <f>SUMPRODUCT($C$5:$X$5,'batch tool'!$B557:$W557)+$Y$5</f>
        <v>-51.578889182477603</v>
      </c>
      <c r="F563" s="7">
        <f>SUMPRODUCT($C$6:$X$6,'batch tool'!$B557:$W557)+$Y$6</f>
        <v>-47.741473633885199</v>
      </c>
      <c r="G563" s="7">
        <f>SUMPRODUCT($C$7:$X$7,'batch tool'!$B557:$W557)+$Y$7</f>
        <v>-19.739516238059196</v>
      </c>
      <c r="H563" s="7">
        <f t="shared" si="16"/>
        <v>-19.739516238059196</v>
      </c>
      <c r="I563">
        <f t="shared" si="17"/>
        <v>6</v>
      </c>
      <c r="J563" t="str" cm="1">
        <f t="array" ref="J563">INDEX($A$2:$A$7,I563)</f>
        <v>Segment 6- Self-Conscious Male</v>
      </c>
    </row>
    <row r="564" spans="1:10" x14ac:dyDescent="0.25">
      <c r="A564" s="1">
        <f>'batch tool'!A558</f>
        <v>0</v>
      </c>
      <c r="B564" s="7">
        <f>SUMPRODUCT($C$2:$X$2,'batch tool'!$B558:$W558)+$Y$2</f>
        <v>-49.12272534143483</v>
      </c>
      <c r="C564" s="7">
        <f>SUMPRODUCT($C$3:$X$3,'batch tool'!$B558:$W558)+$Y$3</f>
        <v>-36.514029388465531</v>
      </c>
      <c r="D564" s="7">
        <f>SUMPRODUCT($C$4:$X$4,'batch tool'!$B558:$W558)+$Y$4</f>
        <v>-44.639843068043824</v>
      </c>
      <c r="E564" s="7">
        <f>SUMPRODUCT($C$5:$X$5,'batch tool'!$B558:$W558)+$Y$5</f>
        <v>-51.578889182477603</v>
      </c>
      <c r="F564" s="7">
        <f>SUMPRODUCT($C$6:$X$6,'batch tool'!$B558:$W558)+$Y$6</f>
        <v>-47.741473633885199</v>
      </c>
      <c r="G564" s="7">
        <f>SUMPRODUCT($C$7:$X$7,'batch tool'!$B558:$W558)+$Y$7</f>
        <v>-19.739516238059196</v>
      </c>
      <c r="H564" s="7">
        <f t="shared" si="16"/>
        <v>-19.739516238059196</v>
      </c>
      <c r="I564">
        <f t="shared" si="17"/>
        <v>6</v>
      </c>
      <c r="J564" t="str" cm="1">
        <f t="array" ref="J564">INDEX($A$2:$A$7,I564)</f>
        <v>Segment 6- Self-Conscious Male</v>
      </c>
    </row>
    <row r="565" spans="1:10" x14ac:dyDescent="0.25">
      <c r="A565" s="1">
        <f>'batch tool'!A559</f>
        <v>0</v>
      </c>
      <c r="B565" s="7">
        <f>SUMPRODUCT($C$2:$X$2,'batch tool'!$B559:$W559)+$Y$2</f>
        <v>-49.12272534143483</v>
      </c>
      <c r="C565" s="7">
        <f>SUMPRODUCT($C$3:$X$3,'batch tool'!$B559:$W559)+$Y$3</f>
        <v>-36.514029388465531</v>
      </c>
      <c r="D565" s="7">
        <f>SUMPRODUCT($C$4:$X$4,'batch tool'!$B559:$W559)+$Y$4</f>
        <v>-44.639843068043824</v>
      </c>
      <c r="E565" s="7">
        <f>SUMPRODUCT($C$5:$X$5,'batch tool'!$B559:$W559)+$Y$5</f>
        <v>-51.578889182477603</v>
      </c>
      <c r="F565" s="7">
        <f>SUMPRODUCT($C$6:$X$6,'batch tool'!$B559:$W559)+$Y$6</f>
        <v>-47.741473633885199</v>
      </c>
      <c r="G565" s="7">
        <f>SUMPRODUCT($C$7:$X$7,'batch tool'!$B559:$W559)+$Y$7</f>
        <v>-19.739516238059196</v>
      </c>
      <c r="H565" s="7">
        <f t="shared" si="16"/>
        <v>-19.739516238059196</v>
      </c>
      <c r="I565">
        <f t="shared" si="17"/>
        <v>6</v>
      </c>
      <c r="J565" t="str" cm="1">
        <f t="array" ref="J565">INDEX($A$2:$A$7,I565)</f>
        <v>Segment 6- Self-Conscious Male</v>
      </c>
    </row>
    <row r="566" spans="1:10" x14ac:dyDescent="0.25">
      <c r="A566" s="1">
        <f>'batch tool'!A560</f>
        <v>0</v>
      </c>
      <c r="B566" s="7">
        <f>SUMPRODUCT($C$2:$X$2,'batch tool'!$B560:$W560)+$Y$2</f>
        <v>-49.12272534143483</v>
      </c>
      <c r="C566" s="7">
        <f>SUMPRODUCT($C$3:$X$3,'batch tool'!$B560:$W560)+$Y$3</f>
        <v>-36.514029388465531</v>
      </c>
      <c r="D566" s="7">
        <f>SUMPRODUCT($C$4:$X$4,'batch tool'!$B560:$W560)+$Y$4</f>
        <v>-44.639843068043824</v>
      </c>
      <c r="E566" s="7">
        <f>SUMPRODUCT($C$5:$X$5,'batch tool'!$B560:$W560)+$Y$5</f>
        <v>-51.578889182477603</v>
      </c>
      <c r="F566" s="7">
        <f>SUMPRODUCT($C$6:$X$6,'batch tool'!$B560:$W560)+$Y$6</f>
        <v>-47.741473633885199</v>
      </c>
      <c r="G566" s="7">
        <f>SUMPRODUCT($C$7:$X$7,'batch tool'!$B560:$W560)+$Y$7</f>
        <v>-19.739516238059196</v>
      </c>
      <c r="H566" s="7">
        <f t="shared" si="16"/>
        <v>-19.739516238059196</v>
      </c>
      <c r="I566">
        <f t="shared" si="17"/>
        <v>6</v>
      </c>
      <c r="J566" t="str" cm="1">
        <f t="array" ref="J566">INDEX($A$2:$A$7,I566)</f>
        <v>Segment 6- Self-Conscious Male</v>
      </c>
    </row>
    <row r="567" spans="1:10" x14ac:dyDescent="0.25">
      <c r="A567" s="1">
        <f>'batch tool'!A561</f>
        <v>0</v>
      </c>
      <c r="B567" s="7">
        <f>SUMPRODUCT($C$2:$X$2,'batch tool'!$B561:$W561)+$Y$2</f>
        <v>-49.12272534143483</v>
      </c>
      <c r="C567" s="7">
        <f>SUMPRODUCT($C$3:$X$3,'batch tool'!$B561:$W561)+$Y$3</f>
        <v>-36.514029388465531</v>
      </c>
      <c r="D567" s="7">
        <f>SUMPRODUCT($C$4:$X$4,'batch tool'!$B561:$W561)+$Y$4</f>
        <v>-44.639843068043824</v>
      </c>
      <c r="E567" s="7">
        <f>SUMPRODUCT($C$5:$X$5,'batch tool'!$B561:$W561)+$Y$5</f>
        <v>-51.578889182477603</v>
      </c>
      <c r="F567" s="7">
        <f>SUMPRODUCT($C$6:$X$6,'batch tool'!$B561:$W561)+$Y$6</f>
        <v>-47.741473633885199</v>
      </c>
      <c r="G567" s="7">
        <f>SUMPRODUCT($C$7:$X$7,'batch tool'!$B561:$W561)+$Y$7</f>
        <v>-19.739516238059196</v>
      </c>
      <c r="H567" s="7">
        <f t="shared" si="16"/>
        <v>-19.739516238059196</v>
      </c>
      <c r="I567">
        <f t="shared" si="17"/>
        <v>6</v>
      </c>
      <c r="J567" t="str" cm="1">
        <f t="array" ref="J567">INDEX($A$2:$A$7,I567)</f>
        <v>Segment 6- Self-Conscious Male</v>
      </c>
    </row>
    <row r="568" spans="1:10" x14ac:dyDescent="0.25">
      <c r="A568" s="1">
        <f>'batch tool'!A562</f>
        <v>0</v>
      </c>
      <c r="B568" s="7">
        <f>SUMPRODUCT($C$2:$X$2,'batch tool'!$B562:$W562)+$Y$2</f>
        <v>-49.12272534143483</v>
      </c>
      <c r="C568" s="7">
        <f>SUMPRODUCT($C$3:$X$3,'batch tool'!$B562:$W562)+$Y$3</f>
        <v>-36.514029388465531</v>
      </c>
      <c r="D568" s="7">
        <f>SUMPRODUCT($C$4:$X$4,'batch tool'!$B562:$W562)+$Y$4</f>
        <v>-44.639843068043824</v>
      </c>
      <c r="E568" s="7">
        <f>SUMPRODUCT($C$5:$X$5,'batch tool'!$B562:$W562)+$Y$5</f>
        <v>-51.578889182477603</v>
      </c>
      <c r="F568" s="7">
        <f>SUMPRODUCT($C$6:$X$6,'batch tool'!$B562:$W562)+$Y$6</f>
        <v>-47.741473633885199</v>
      </c>
      <c r="G568" s="7">
        <f>SUMPRODUCT($C$7:$X$7,'batch tool'!$B562:$W562)+$Y$7</f>
        <v>-19.739516238059196</v>
      </c>
      <c r="H568" s="7">
        <f t="shared" si="16"/>
        <v>-19.739516238059196</v>
      </c>
      <c r="I568">
        <f t="shared" si="17"/>
        <v>6</v>
      </c>
      <c r="J568" t="str" cm="1">
        <f t="array" ref="J568">INDEX($A$2:$A$7,I568)</f>
        <v>Segment 6- Self-Conscious Male</v>
      </c>
    </row>
    <row r="569" spans="1:10" x14ac:dyDescent="0.25">
      <c r="A569" s="1">
        <f>'batch tool'!A563</f>
        <v>0</v>
      </c>
      <c r="B569" s="7">
        <f>SUMPRODUCT($C$2:$X$2,'batch tool'!$B563:$W563)+$Y$2</f>
        <v>-49.12272534143483</v>
      </c>
      <c r="C569" s="7">
        <f>SUMPRODUCT($C$3:$X$3,'batch tool'!$B563:$W563)+$Y$3</f>
        <v>-36.514029388465531</v>
      </c>
      <c r="D569" s="7">
        <f>SUMPRODUCT($C$4:$X$4,'batch tool'!$B563:$W563)+$Y$4</f>
        <v>-44.639843068043824</v>
      </c>
      <c r="E569" s="7">
        <f>SUMPRODUCT($C$5:$X$5,'batch tool'!$B563:$W563)+$Y$5</f>
        <v>-51.578889182477603</v>
      </c>
      <c r="F569" s="7">
        <f>SUMPRODUCT($C$6:$X$6,'batch tool'!$B563:$W563)+$Y$6</f>
        <v>-47.741473633885199</v>
      </c>
      <c r="G569" s="7">
        <f>SUMPRODUCT($C$7:$X$7,'batch tool'!$B563:$W563)+$Y$7</f>
        <v>-19.739516238059196</v>
      </c>
      <c r="H569" s="7">
        <f t="shared" si="16"/>
        <v>-19.739516238059196</v>
      </c>
      <c r="I569">
        <f t="shared" si="17"/>
        <v>6</v>
      </c>
      <c r="J569" t="str" cm="1">
        <f t="array" ref="J569">INDEX($A$2:$A$7,I569)</f>
        <v>Segment 6- Self-Conscious Male</v>
      </c>
    </row>
    <row r="570" spans="1:10" x14ac:dyDescent="0.25">
      <c r="A570" s="1">
        <f>'batch tool'!A564</f>
        <v>0</v>
      </c>
      <c r="B570" s="7">
        <f>SUMPRODUCT($C$2:$X$2,'batch tool'!$B564:$W564)+$Y$2</f>
        <v>-49.12272534143483</v>
      </c>
      <c r="C570" s="7">
        <f>SUMPRODUCT($C$3:$X$3,'batch tool'!$B564:$W564)+$Y$3</f>
        <v>-36.514029388465531</v>
      </c>
      <c r="D570" s="7">
        <f>SUMPRODUCT($C$4:$X$4,'batch tool'!$B564:$W564)+$Y$4</f>
        <v>-44.639843068043824</v>
      </c>
      <c r="E570" s="7">
        <f>SUMPRODUCT($C$5:$X$5,'batch tool'!$B564:$W564)+$Y$5</f>
        <v>-51.578889182477603</v>
      </c>
      <c r="F570" s="7">
        <f>SUMPRODUCT($C$6:$X$6,'batch tool'!$B564:$W564)+$Y$6</f>
        <v>-47.741473633885199</v>
      </c>
      <c r="G570" s="7">
        <f>SUMPRODUCT($C$7:$X$7,'batch tool'!$B564:$W564)+$Y$7</f>
        <v>-19.739516238059196</v>
      </c>
      <c r="H570" s="7">
        <f t="shared" si="16"/>
        <v>-19.739516238059196</v>
      </c>
      <c r="I570">
        <f t="shared" si="17"/>
        <v>6</v>
      </c>
      <c r="J570" t="str" cm="1">
        <f t="array" ref="J570">INDEX($A$2:$A$7,I570)</f>
        <v>Segment 6- Self-Conscious Male</v>
      </c>
    </row>
    <row r="571" spans="1:10" x14ac:dyDescent="0.25">
      <c r="A571" s="1">
        <f>'batch tool'!A565</f>
        <v>0</v>
      </c>
      <c r="B571" s="7">
        <f>SUMPRODUCT($C$2:$X$2,'batch tool'!$B565:$W565)+$Y$2</f>
        <v>-49.12272534143483</v>
      </c>
      <c r="C571" s="7">
        <f>SUMPRODUCT($C$3:$X$3,'batch tool'!$B565:$W565)+$Y$3</f>
        <v>-36.514029388465531</v>
      </c>
      <c r="D571" s="7">
        <f>SUMPRODUCT($C$4:$X$4,'batch tool'!$B565:$W565)+$Y$4</f>
        <v>-44.639843068043824</v>
      </c>
      <c r="E571" s="7">
        <f>SUMPRODUCT($C$5:$X$5,'batch tool'!$B565:$W565)+$Y$5</f>
        <v>-51.578889182477603</v>
      </c>
      <c r="F571" s="7">
        <f>SUMPRODUCT($C$6:$X$6,'batch tool'!$B565:$W565)+$Y$6</f>
        <v>-47.741473633885199</v>
      </c>
      <c r="G571" s="7">
        <f>SUMPRODUCT($C$7:$X$7,'batch tool'!$B565:$W565)+$Y$7</f>
        <v>-19.739516238059196</v>
      </c>
      <c r="H571" s="7">
        <f t="shared" si="16"/>
        <v>-19.739516238059196</v>
      </c>
      <c r="I571">
        <f t="shared" si="17"/>
        <v>6</v>
      </c>
      <c r="J571" t="str" cm="1">
        <f t="array" ref="J571">INDEX($A$2:$A$7,I571)</f>
        <v>Segment 6- Self-Conscious Male</v>
      </c>
    </row>
    <row r="572" spans="1:10" x14ac:dyDescent="0.25">
      <c r="A572" s="1">
        <f>'batch tool'!A566</f>
        <v>0</v>
      </c>
      <c r="B572" s="7">
        <f>SUMPRODUCT($C$2:$X$2,'batch tool'!$B566:$W566)+$Y$2</f>
        <v>-49.12272534143483</v>
      </c>
      <c r="C572" s="7">
        <f>SUMPRODUCT($C$3:$X$3,'batch tool'!$B566:$W566)+$Y$3</f>
        <v>-36.514029388465531</v>
      </c>
      <c r="D572" s="7">
        <f>SUMPRODUCT($C$4:$X$4,'batch tool'!$B566:$W566)+$Y$4</f>
        <v>-44.639843068043824</v>
      </c>
      <c r="E572" s="7">
        <f>SUMPRODUCT($C$5:$X$5,'batch tool'!$B566:$W566)+$Y$5</f>
        <v>-51.578889182477603</v>
      </c>
      <c r="F572" s="7">
        <f>SUMPRODUCT($C$6:$X$6,'batch tool'!$B566:$W566)+$Y$6</f>
        <v>-47.741473633885199</v>
      </c>
      <c r="G572" s="7">
        <f>SUMPRODUCT($C$7:$X$7,'batch tool'!$B566:$W566)+$Y$7</f>
        <v>-19.739516238059196</v>
      </c>
      <c r="H572" s="7">
        <f t="shared" si="16"/>
        <v>-19.739516238059196</v>
      </c>
      <c r="I572">
        <f t="shared" si="17"/>
        <v>6</v>
      </c>
      <c r="J572" t="str" cm="1">
        <f t="array" ref="J572">INDEX($A$2:$A$7,I572)</f>
        <v>Segment 6- Self-Conscious Male</v>
      </c>
    </row>
    <row r="573" spans="1:10" x14ac:dyDescent="0.25">
      <c r="A573" s="1">
        <f>'batch tool'!A567</f>
        <v>0</v>
      </c>
      <c r="B573" s="7">
        <f>SUMPRODUCT($C$2:$X$2,'batch tool'!$B567:$W567)+$Y$2</f>
        <v>-49.12272534143483</v>
      </c>
      <c r="C573" s="7">
        <f>SUMPRODUCT($C$3:$X$3,'batch tool'!$B567:$W567)+$Y$3</f>
        <v>-36.514029388465531</v>
      </c>
      <c r="D573" s="7">
        <f>SUMPRODUCT($C$4:$X$4,'batch tool'!$B567:$W567)+$Y$4</f>
        <v>-44.639843068043824</v>
      </c>
      <c r="E573" s="7">
        <f>SUMPRODUCT($C$5:$X$5,'batch tool'!$B567:$W567)+$Y$5</f>
        <v>-51.578889182477603</v>
      </c>
      <c r="F573" s="7">
        <f>SUMPRODUCT($C$6:$X$6,'batch tool'!$B567:$W567)+$Y$6</f>
        <v>-47.741473633885199</v>
      </c>
      <c r="G573" s="7">
        <f>SUMPRODUCT($C$7:$X$7,'batch tool'!$B567:$W567)+$Y$7</f>
        <v>-19.739516238059196</v>
      </c>
      <c r="H573" s="7">
        <f t="shared" si="16"/>
        <v>-19.739516238059196</v>
      </c>
      <c r="I573">
        <f t="shared" si="17"/>
        <v>6</v>
      </c>
      <c r="J573" t="str" cm="1">
        <f t="array" ref="J573">INDEX($A$2:$A$7,I573)</f>
        <v>Segment 6- Self-Conscious Male</v>
      </c>
    </row>
    <row r="574" spans="1:10" x14ac:dyDescent="0.25">
      <c r="A574" s="1">
        <f>'batch tool'!A568</f>
        <v>0</v>
      </c>
      <c r="B574" s="7">
        <f>SUMPRODUCT($C$2:$X$2,'batch tool'!$B568:$W568)+$Y$2</f>
        <v>-49.12272534143483</v>
      </c>
      <c r="C574" s="7">
        <f>SUMPRODUCT($C$3:$X$3,'batch tool'!$B568:$W568)+$Y$3</f>
        <v>-36.514029388465531</v>
      </c>
      <c r="D574" s="7">
        <f>SUMPRODUCT($C$4:$X$4,'batch tool'!$B568:$W568)+$Y$4</f>
        <v>-44.639843068043824</v>
      </c>
      <c r="E574" s="7">
        <f>SUMPRODUCT($C$5:$X$5,'batch tool'!$B568:$W568)+$Y$5</f>
        <v>-51.578889182477603</v>
      </c>
      <c r="F574" s="7">
        <f>SUMPRODUCT($C$6:$X$6,'batch tool'!$B568:$W568)+$Y$6</f>
        <v>-47.741473633885199</v>
      </c>
      <c r="G574" s="7">
        <f>SUMPRODUCT($C$7:$X$7,'batch tool'!$B568:$W568)+$Y$7</f>
        <v>-19.739516238059196</v>
      </c>
      <c r="H574" s="7">
        <f t="shared" si="16"/>
        <v>-19.739516238059196</v>
      </c>
      <c r="I574">
        <f t="shared" si="17"/>
        <v>6</v>
      </c>
      <c r="J574" t="str" cm="1">
        <f t="array" ref="J574">INDEX($A$2:$A$7,I574)</f>
        <v>Segment 6- Self-Conscious Male</v>
      </c>
    </row>
    <row r="575" spans="1:10" x14ac:dyDescent="0.25">
      <c r="A575" s="1">
        <f>'batch tool'!A569</f>
        <v>0</v>
      </c>
      <c r="B575" s="7">
        <f>SUMPRODUCT($C$2:$X$2,'batch tool'!$B569:$W569)+$Y$2</f>
        <v>-49.12272534143483</v>
      </c>
      <c r="C575" s="7">
        <f>SUMPRODUCT($C$3:$X$3,'batch tool'!$B569:$W569)+$Y$3</f>
        <v>-36.514029388465531</v>
      </c>
      <c r="D575" s="7">
        <f>SUMPRODUCT($C$4:$X$4,'batch tool'!$B569:$W569)+$Y$4</f>
        <v>-44.639843068043824</v>
      </c>
      <c r="E575" s="7">
        <f>SUMPRODUCT($C$5:$X$5,'batch tool'!$B569:$W569)+$Y$5</f>
        <v>-51.578889182477603</v>
      </c>
      <c r="F575" s="7">
        <f>SUMPRODUCT($C$6:$X$6,'batch tool'!$B569:$W569)+$Y$6</f>
        <v>-47.741473633885199</v>
      </c>
      <c r="G575" s="7">
        <f>SUMPRODUCT($C$7:$X$7,'batch tool'!$B569:$W569)+$Y$7</f>
        <v>-19.739516238059196</v>
      </c>
      <c r="H575" s="7">
        <f t="shared" si="16"/>
        <v>-19.739516238059196</v>
      </c>
      <c r="I575">
        <f t="shared" si="17"/>
        <v>6</v>
      </c>
      <c r="J575" t="str" cm="1">
        <f t="array" ref="J575">INDEX($A$2:$A$7,I575)</f>
        <v>Segment 6- Self-Conscious Male</v>
      </c>
    </row>
    <row r="576" spans="1:10" x14ac:dyDescent="0.25">
      <c r="A576" s="1">
        <f>'batch tool'!A570</f>
        <v>0</v>
      </c>
      <c r="B576" s="7">
        <f>SUMPRODUCT($C$2:$X$2,'batch tool'!$B570:$W570)+$Y$2</f>
        <v>-49.12272534143483</v>
      </c>
      <c r="C576" s="7">
        <f>SUMPRODUCT($C$3:$X$3,'batch tool'!$B570:$W570)+$Y$3</f>
        <v>-36.514029388465531</v>
      </c>
      <c r="D576" s="7">
        <f>SUMPRODUCT($C$4:$X$4,'batch tool'!$B570:$W570)+$Y$4</f>
        <v>-44.639843068043824</v>
      </c>
      <c r="E576" s="7">
        <f>SUMPRODUCT($C$5:$X$5,'batch tool'!$B570:$W570)+$Y$5</f>
        <v>-51.578889182477603</v>
      </c>
      <c r="F576" s="7">
        <f>SUMPRODUCT($C$6:$X$6,'batch tool'!$B570:$W570)+$Y$6</f>
        <v>-47.741473633885199</v>
      </c>
      <c r="G576" s="7">
        <f>SUMPRODUCT($C$7:$X$7,'batch tool'!$B570:$W570)+$Y$7</f>
        <v>-19.739516238059196</v>
      </c>
      <c r="H576" s="7">
        <f t="shared" si="16"/>
        <v>-19.739516238059196</v>
      </c>
      <c r="I576">
        <f t="shared" si="17"/>
        <v>6</v>
      </c>
      <c r="J576" t="str" cm="1">
        <f t="array" ref="J576">INDEX($A$2:$A$7,I576)</f>
        <v>Segment 6- Self-Conscious Male</v>
      </c>
    </row>
    <row r="577" spans="1:10" x14ac:dyDescent="0.25">
      <c r="A577" s="1">
        <f>'batch tool'!A571</f>
        <v>0</v>
      </c>
      <c r="B577" s="7">
        <f>SUMPRODUCT($C$2:$X$2,'batch tool'!$B571:$W571)+$Y$2</f>
        <v>-49.12272534143483</v>
      </c>
      <c r="C577" s="7">
        <f>SUMPRODUCT($C$3:$X$3,'batch tool'!$B571:$W571)+$Y$3</f>
        <v>-36.514029388465531</v>
      </c>
      <c r="D577" s="7">
        <f>SUMPRODUCT($C$4:$X$4,'batch tool'!$B571:$W571)+$Y$4</f>
        <v>-44.639843068043824</v>
      </c>
      <c r="E577" s="7">
        <f>SUMPRODUCT($C$5:$X$5,'batch tool'!$B571:$W571)+$Y$5</f>
        <v>-51.578889182477603</v>
      </c>
      <c r="F577" s="7">
        <f>SUMPRODUCT($C$6:$X$6,'batch tool'!$B571:$W571)+$Y$6</f>
        <v>-47.741473633885199</v>
      </c>
      <c r="G577" s="7">
        <f>SUMPRODUCT($C$7:$X$7,'batch tool'!$B571:$W571)+$Y$7</f>
        <v>-19.739516238059196</v>
      </c>
      <c r="H577" s="7">
        <f t="shared" si="16"/>
        <v>-19.739516238059196</v>
      </c>
      <c r="I577">
        <f t="shared" si="17"/>
        <v>6</v>
      </c>
      <c r="J577" t="str" cm="1">
        <f t="array" ref="J577">INDEX($A$2:$A$7,I577)</f>
        <v>Segment 6- Self-Conscious Male</v>
      </c>
    </row>
    <row r="578" spans="1:10" x14ac:dyDescent="0.25">
      <c r="A578" s="1">
        <f>'batch tool'!A572</f>
        <v>0</v>
      </c>
      <c r="B578" s="7">
        <f>SUMPRODUCT($C$2:$X$2,'batch tool'!$B572:$W572)+$Y$2</f>
        <v>-49.12272534143483</v>
      </c>
      <c r="C578" s="7">
        <f>SUMPRODUCT($C$3:$X$3,'batch tool'!$B572:$W572)+$Y$3</f>
        <v>-36.514029388465531</v>
      </c>
      <c r="D578" s="7">
        <f>SUMPRODUCT($C$4:$X$4,'batch tool'!$B572:$W572)+$Y$4</f>
        <v>-44.639843068043824</v>
      </c>
      <c r="E578" s="7">
        <f>SUMPRODUCT($C$5:$X$5,'batch tool'!$B572:$W572)+$Y$5</f>
        <v>-51.578889182477603</v>
      </c>
      <c r="F578" s="7">
        <f>SUMPRODUCT($C$6:$X$6,'batch tool'!$B572:$W572)+$Y$6</f>
        <v>-47.741473633885199</v>
      </c>
      <c r="G578" s="7">
        <f>SUMPRODUCT($C$7:$X$7,'batch tool'!$B572:$W572)+$Y$7</f>
        <v>-19.739516238059196</v>
      </c>
      <c r="H578" s="7">
        <f t="shared" si="16"/>
        <v>-19.739516238059196</v>
      </c>
      <c r="I578">
        <f t="shared" si="17"/>
        <v>6</v>
      </c>
      <c r="J578" t="str" cm="1">
        <f t="array" ref="J578">INDEX($A$2:$A$7,I578)</f>
        <v>Segment 6- Self-Conscious Male</v>
      </c>
    </row>
    <row r="579" spans="1:10" x14ac:dyDescent="0.25">
      <c r="A579" s="1">
        <f>'batch tool'!A573</f>
        <v>0</v>
      </c>
      <c r="B579" s="7">
        <f>SUMPRODUCT($C$2:$X$2,'batch tool'!$B573:$W573)+$Y$2</f>
        <v>-49.12272534143483</v>
      </c>
      <c r="C579" s="7">
        <f>SUMPRODUCT($C$3:$X$3,'batch tool'!$B573:$W573)+$Y$3</f>
        <v>-36.514029388465531</v>
      </c>
      <c r="D579" s="7">
        <f>SUMPRODUCT($C$4:$X$4,'batch tool'!$B573:$W573)+$Y$4</f>
        <v>-44.639843068043824</v>
      </c>
      <c r="E579" s="7">
        <f>SUMPRODUCT($C$5:$X$5,'batch tool'!$B573:$W573)+$Y$5</f>
        <v>-51.578889182477603</v>
      </c>
      <c r="F579" s="7">
        <f>SUMPRODUCT($C$6:$X$6,'batch tool'!$B573:$W573)+$Y$6</f>
        <v>-47.741473633885199</v>
      </c>
      <c r="G579" s="7">
        <f>SUMPRODUCT($C$7:$X$7,'batch tool'!$B573:$W573)+$Y$7</f>
        <v>-19.739516238059196</v>
      </c>
      <c r="H579" s="7">
        <f t="shared" si="16"/>
        <v>-19.739516238059196</v>
      </c>
      <c r="I579">
        <f t="shared" si="17"/>
        <v>6</v>
      </c>
      <c r="J579" t="str" cm="1">
        <f t="array" ref="J579">INDEX($A$2:$A$7,I579)</f>
        <v>Segment 6- Self-Conscious Male</v>
      </c>
    </row>
    <row r="580" spans="1:10" x14ac:dyDescent="0.25">
      <c r="A580" s="1">
        <f>'batch tool'!A574</f>
        <v>0</v>
      </c>
      <c r="B580" s="7">
        <f>SUMPRODUCT($C$2:$X$2,'batch tool'!$B574:$W574)+$Y$2</f>
        <v>-49.12272534143483</v>
      </c>
      <c r="C580" s="7">
        <f>SUMPRODUCT($C$3:$X$3,'batch tool'!$B574:$W574)+$Y$3</f>
        <v>-36.514029388465531</v>
      </c>
      <c r="D580" s="7">
        <f>SUMPRODUCT($C$4:$X$4,'batch tool'!$B574:$W574)+$Y$4</f>
        <v>-44.639843068043824</v>
      </c>
      <c r="E580" s="7">
        <f>SUMPRODUCT($C$5:$X$5,'batch tool'!$B574:$W574)+$Y$5</f>
        <v>-51.578889182477603</v>
      </c>
      <c r="F580" s="7">
        <f>SUMPRODUCT($C$6:$X$6,'batch tool'!$B574:$W574)+$Y$6</f>
        <v>-47.741473633885199</v>
      </c>
      <c r="G580" s="7">
        <f>SUMPRODUCT($C$7:$X$7,'batch tool'!$B574:$W574)+$Y$7</f>
        <v>-19.739516238059196</v>
      </c>
      <c r="H580" s="7">
        <f t="shared" si="16"/>
        <v>-19.739516238059196</v>
      </c>
      <c r="I580">
        <f t="shared" si="17"/>
        <v>6</v>
      </c>
      <c r="J580" t="str" cm="1">
        <f t="array" ref="J580">INDEX($A$2:$A$7,I580)</f>
        <v>Segment 6- Self-Conscious Male</v>
      </c>
    </row>
    <row r="581" spans="1:10" x14ac:dyDescent="0.25">
      <c r="A581" s="1">
        <f>'batch tool'!A575</f>
        <v>0</v>
      </c>
      <c r="B581" s="7">
        <f>SUMPRODUCT($C$2:$X$2,'batch tool'!$B575:$W575)+$Y$2</f>
        <v>-49.12272534143483</v>
      </c>
      <c r="C581" s="7">
        <f>SUMPRODUCT($C$3:$X$3,'batch tool'!$B575:$W575)+$Y$3</f>
        <v>-36.514029388465531</v>
      </c>
      <c r="D581" s="7">
        <f>SUMPRODUCT($C$4:$X$4,'batch tool'!$B575:$W575)+$Y$4</f>
        <v>-44.639843068043824</v>
      </c>
      <c r="E581" s="7">
        <f>SUMPRODUCT($C$5:$X$5,'batch tool'!$B575:$W575)+$Y$5</f>
        <v>-51.578889182477603</v>
      </c>
      <c r="F581" s="7">
        <f>SUMPRODUCT($C$6:$X$6,'batch tool'!$B575:$W575)+$Y$6</f>
        <v>-47.741473633885199</v>
      </c>
      <c r="G581" s="7">
        <f>SUMPRODUCT($C$7:$X$7,'batch tool'!$B575:$W575)+$Y$7</f>
        <v>-19.739516238059196</v>
      </c>
      <c r="H581" s="7">
        <f t="shared" si="16"/>
        <v>-19.739516238059196</v>
      </c>
      <c r="I581">
        <f t="shared" si="17"/>
        <v>6</v>
      </c>
      <c r="J581" t="str" cm="1">
        <f t="array" ref="J581">INDEX($A$2:$A$7,I581)</f>
        <v>Segment 6- Self-Conscious Male</v>
      </c>
    </row>
    <row r="582" spans="1:10" x14ac:dyDescent="0.25">
      <c r="A582" s="1">
        <f>'batch tool'!A576</f>
        <v>0</v>
      </c>
      <c r="B582" s="7">
        <f>SUMPRODUCT($C$2:$X$2,'batch tool'!$B576:$W576)+$Y$2</f>
        <v>-49.12272534143483</v>
      </c>
      <c r="C582" s="7">
        <f>SUMPRODUCT($C$3:$X$3,'batch tool'!$B576:$W576)+$Y$3</f>
        <v>-36.514029388465531</v>
      </c>
      <c r="D582" s="7">
        <f>SUMPRODUCT($C$4:$X$4,'batch tool'!$B576:$W576)+$Y$4</f>
        <v>-44.639843068043824</v>
      </c>
      <c r="E582" s="7">
        <f>SUMPRODUCT($C$5:$X$5,'batch tool'!$B576:$W576)+$Y$5</f>
        <v>-51.578889182477603</v>
      </c>
      <c r="F582" s="7">
        <f>SUMPRODUCT($C$6:$X$6,'batch tool'!$B576:$W576)+$Y$6</f>
        <v>-47.741473633885199</v>
      </c>
      <c r="G582" s="7">
        <f>SUMPRODUCT($C$7:$X$7,'batch tool'!$B576:$W576)+$Y$7</f>
        <v>-19.739516238059196</v>
      </c>
      <c r="H582" s="7">
        <f t="shared" si="16"/>
        <v>-19.739516238059196</v>
      </c>
      <c r="I582">
        <f t="shared" si="17"/>
        <v>6</v>
      </c>
      <c r="J582" t="str" cm="1">
        <f t="array" ref="J582">INDEX($A$2:$A$7,I582)</f>
        <v>Segment 6- Self-Conscious Male</v>
      </c>
    </row>
    <row r="583" spans="1:10" x14ac:dyDescent="0.25">
      <c r="A583" s="1">
        <f>'batch tool'!A577</f>
        <v>0</v>
      </c>
      <c r="B583" s="7">
        <f>SUMPRODUCT($C$2:$X$2,'batch tool'!$B577:$W577)+$Y$2</f>
        <v>-49.12272534143483</v>
      </c>
      <c r="C583" s="7">
        <f>SUMPRODUCT($C$3:$X$3,'batch tool'!$B577:$W577)+$Y$3</f>
        <v>-36.514029388465531</v>
      </c>
      <c r="D583" s="7">
        <f>SUMPRODUCT($C$4:$X$4,'batch tool'!$B577:$W577)+$Y$4</f>
        <v>-44.639843068043824</v>
      </c>
      <c r="E583" s="7">
        <f>SUMPRODUCT($C$5:$X$5,'batch tool'!$B577:$W577)+$Y$5</f>
        <v>-51.578889182477603</v>
      </c>
      <c r="F583" s="7">
        <f>SUMPRODUCT($C$6:$X$6,'batch tool'!$B577:$W577)+$Y$6</f>
        <v>-47.741473633885199</v>
      </c>
      <c r="G583" s="7">
        <f>SUMPRODUCT($C$7:$X$7,'batch tool'!$B577:$W577)+$Y$7</f>
        <v>-19.739516238059196</v>
      </c>
      <c r="H583" s="7">
        <f t="shared" si="16"/>
        <v>-19.739516238059196</v>
      </c>
      <c r="I583">
        <f t="shared" si="17"/>
        <v>6</v>
      </c>
      <c r="J583" t="str" cm="1">
        <f t="array" ref="J583">INDEX($A$2:$A$7,I583)</f>
        <v>Segment 6- Self-Conscious Male</v>
      </c>
    </row>
    <row r="584" spans="1:10" x14ac:dyDescent="0.25">
      <c r="A584" s="1">
        <f>'batch tool'!A578</f>
        <v>0</v>
      </c>
      <c r="B584" s="7">
        <f>SUMPRODUCT($C$2:$X$2,'batch tool'!$B578:$W578)+$Y$2</f>
        <v>-49.12272534143483</v>
      </c>
      <c r="C584" s="7">
        <f>SUMPRODUCT($C$3:$X$3,'batch tool'!$B578:$W578)+$Y$3</f>
        <v>-36.514029388465531</v>
      </c>
      <c r="D584" s="7">
        <f>SUMPRODUCT($C$4:$X$4,'batch tool'!$B578:$W578)+$Y$4</f>
        <v>-44.639843068043824</v>
      </c>
      <c r="E584" s="7">
        <f>SUMPRODUCT($C$5:$X$5,'batch tool'!$B578:$W578)+$Y$5</f>
        <v>-51.578889182477603</v>
      </c>
      <c r="F584" s="7">
        <f>SUMPRODUCT($C$6:$X$6,'batch tool'!$B578:$W578)+$Y$6</f>
        <v>-47.741473633885199</v>
      </c>
      <c r="G584" s="7">
        <f>SUMPRODUCT($C$7:$X$7,'batch tool'!$B578:$W578)+$Y$7</f>
        <v>-19.739516238059196</v>
      </c>
      <c r="H584" s="7">
        <f t="shared" si="16"/>
        <v>-19.739516238059196</v>
      </c>
      <c r="I584">
        <f t="shared" si="17"/>
        <v>6</v>
      </c>
      <c r="J584" t="str" cm="1">
        <f t="array" ref="J584">INDEX($A$2:$A$7,I584)</f>
        <v>Segment 6- Self-Conscious Male</v>
      </c>
    </row>
    <row r="585" spans="1:10" x14ac:dyDescent="0.25">
      <c r="A585" s="1">
        <f>'batch tool'!A579</f>
        <v>0</v>
      </c>
      <c r="B585" s="7">
        <f>SUMPRODUCT($C$2:$X$2,'batch tool'!$B579:$W579)+$Y$2</f>
        <v>-49.12272534143483</v>
      </c>
      <c r="C585" s="7">
        <f>SUMPRODUCT($C$3:$X$3,'batch tool'!$B579:$W579)+$Y$3</f>
        <v>-36.514029388465531</v>
      </c>
      <c r="D585" s="7">
        <f>SUMPRODUCT($C$4:$X$4,'batch tool'!$B579:$W579)+$Y$4</f>
        <v>-44.639843068043824</v>
      </c>
      <c r="E585" s="7">
        <f>SUMPRODUCT($C$5:$X$5,'batch tool'!$B579:$W579)+$Y$5</f>
        <v>-51.578889182477603</v>
      </c>
      <c r="F585" s="7">
        <f>SUMPRODUCT($C$6:$X$6,'batch tool'!$B579:$W579)+$Y$6</f>
        <v>-47.741473633885199</v>
      </c>
      <c r="G585" s="7">
        <f>SUMPRODUCT($C$7:$X$7,'batch tool'!$B579:$W579)+$Y$7</f>
        <v>-19.739516238059196</v>
      </c>
      <c r="H585" s="7">
        <f t="shared" si="16"/>
        <v>-19.739516238059196</v>
      </c>
      <c r="I585">
        <f t="shared" si="17"/>
        <v>6</v>
      </c>
      <c r="J585" t="str" cm="1">
        <f t="array" ref="J585">INDEX($A$2:$A$7,I585)</f>
        <v>Segment 6- Self-Conscious Male</v>
      </c>
    </row>
    <row r="586" spans="1:10" x14ac:dyDescent="0.25">
      <c r="A586" s="1">
        <f>'batch tool'!A580</f>
        <v>0</v>
      </c>
      <c r="B586" s="7">
        <f>SUMPRODUCT($C$2:$X$2,'batch tool'!$B580:$W580)+$Y$2</f>
        <v>-49.12272534143483</v>
      </c>
      <c r="C586" s="7">
        <f>SUMPRODUCT($C$3:$X$3,'batch tool'!$B580:$W580)+$Y$3</f>
        <v>-36.514029388465531</v>
      </c>
      <c r="D586" s="7">
        <f>SUMPRODUCT($C$4:$X$4,'batch tool'!$B580:$W580)+$Y$4</f>
        <v>-44.639843068043824</v>
      </c>
      <c r="E586" s="7">
        <f>SUMPRODUCT($C$5:$X$5,'batch tool'!$B580:$W580)+$Y$5</f>
        <v>-51.578889182477603</v>
      </c>
      <c r="F586" s="7">
        <f>SUMPRODUCT($C$6:$X$6,'batch tool'!$B580:$W580)+$Y$6</f>
        <v>-47.741473633885199</v>
      </c>
      <c r="G586" s="7">
        <f>SUMPRODUCT($C$7:$X$7,'batch tool'!$B580:$W580)+$Y$7</f>
        <v>-19.739516238059196</v>
      </c>
      <c r="H586" s="7">
        <f t="shared" si="16"/>
        <v>-19.739516238059196</v>
      </c>
      <c r="I586">
        <f t="shared" si="17"/>
        <v>6</v>
      </c>
      <c r="J586" t="str" cm="1">
        <f t="array" ref="J586">INDEX($A$2:$A$7,I586)</f>
        <v>Segment 6- Self-Conscious Male</v>
      </c>
    </row>
    <row r="587" spans="1:10" x14ac:dyDescent="0.25">
      <c r="A587" s="1">
        <f>'batch tool'!A581</f>
        <v>0</v>
      </c>
      <c r="B587" s="7">
        <f>SUMPRODUCT($C$2:$X$2,'batch tool'!$B581:$W581)+$Y$2</f>
        <v>-49.12272534143483</v>
      </c>
      <c r="C587" s="7">
        <f>SUMPRODUCT($C$3:$X$3,'batch tool'!$B581:$W581)+$Y$3</f>
        <v>-36.514029388465531</v>
      </c>
      <c r="D587" s="7">
        <f>SUMPRODUCT($C$4:$X$4,'batch tool'!$B581:$W581)+$Y$4</f>
        <v>-44.639843068043824</v>
      </c>
      <c r="E587" s="7">
        <f>SUMPRODUCT($C$5:$X$5,'batch tool'!$B581:$W581)+$Y$5</f>
        <v>-51.578889182477603</v>
      </c>
      <c r="F587" s="7">
        <f>SUMPRODUCT($C$6:$X$6,'batch tool'!$B581:$W581)+$Y$6</f>
        <v>-47.741473633885199</v>
      </c>
      <c r="G587" s="7">
        <f>SUMPRODUCT($C$7:$X$7,'batch tool'!$B581:$W581)+$Y$7</f>
        <v>-19.739516238059196</v>
      </c>
      <c r="H587" s="7">
        <f t="shared" ref="H587:H650" si="18">MAX(B587:G587)</f>
        <v>-19.739516238059196</v>
      </c>
      <c r="I587">
        <f t="shared" ref="I587:I650" si="19">MATCH(H587,B587:G587,0)</f>
        <v>6</v>
      </c>
      <c r="J587" t="str" cm="1">
        <f t="array" ref="J587">INDEX($A$2:$A$7,I587)</f>
        <v>Segment 6- Self-Conscious Male</v>
      </c>
    </row>
    <row r="588" spans="1:10" x14ac:dyDescent="0.25">
      <c r="A588" s="1">
        <f>'batch tool'!A582</f>
        <v>0</v>
      </c>
      <c r="B588" s="7">
        <f>SUMPRODUCT($C$2:$X$2,'batch tool'!$B582:$W582)+$Y$2</f>
        <v>-49.12272534143483</v>
      </c>
      <c r="C588" s="7">
        <f>SUMPRODUCT($C$3:$X$3,'batch tool'!$B582:$W582)+$Y$3</f>
        <v>-36.514029388465531</v>
      </c>
      <c r="D588" s="7">
        <f>SUMPRODUCT($C$4:$X$4,'batch tool'!$B582:$W582)+$Y$4</f>
        <v>-44.639843068043824</v>
      </c>
      <c r="E588" s="7">
        <f>SUMPRODUCT($C$5:$X$5,'batch tool'!$B582:$W582)+$Y$5</f>
        <v>-51.578889182477603</v>
      </c>
      <c r="F588" s="7">
        <f>SUMPRODUCT($C$6:$X$6,'batch tool'!$B582:$W582)+$Y$6</f>
        <v>-47.741473633885199</v>
      </c>
      <c r="G588" s="7">
        <f>SUMPRODUCT($C$7:$X$7,'batch tool'!$B582:$W582)+$Y$7</f>
        <v>-19.739516238059196</v>
      </c>
      <c r="H588" s="7">
        <f t="shared" si="18"/>
        <v>-19.739516238059196</v>
      </c>
      <c r="I588">
        <f t="shared" si="19"/>
        <v>6</v>
      </c>
      <c r="J588" t="str" cm="1">
        <f t="array" ref="J588">INDEX($A$2:$A$7,I588)</f>
        <v>Segment 6- Self-Conscious Male</v>
      </c>
    </row>
    <row r="589" spans="1:10" x14ac:dyDescent="0.25">
      <c r="A589" s="1">
        <f>'batch tool'!A583</f>
        <v>0</v>
      </c>
      <c r="B589" s="7">
        <f>SUMPRODUCT($C$2:$X$2,'batch tool'!$B583:$W583)+$Y$2</f>
        <v>-49.12272534143483</v>
      </c>
      <c r="C589" s="7">
        <f>SUMPRODUCT($C$3:$X$3,'batch tool'!$B583:$W583)+$Y$3</f>
        <v>-36.514029388465531</v>
      </c>
      <c r="D589" s="7">
        <f>SUMPRODUCT($C$4:$X$4,'batch tool'!$B583:$W583)+$Y$4</f>
        <v>-44.639843068043824</v>
      </c>
      <c r="E589" s="7">
        <f>SUMPRODUCT($C$5:$X$5,'batch tool'!$B583:$W583)+$Y$5</f>
        <v>-51.578889182477603</v>
      </c>
      <c r="F589" s="7">
        <f>SUMPRODUCT($C$6:$X$6,'batch tool'!$B583:$W583)+$Y$6</f>
        <v>-47.741473633885199</v>
      </c>
      <c r="G589" s="7">
        <f>SUMPRODUCT($C$7:$X$7,'batch tool'!$B583:$W583)+$Y$7</f>
        <v>-19.739516238059196</v>
      </c>
      <c r="H589" s="7">
        <f t="shared" si="18"/>
        <v>-19.739516238059196</v>
      </c>
      <c r="I589">
        <f t="shared" si="19"/>
        <v>6</v>
      </c>
      <c r="J589" t="str" cm="1">
        <f t="array" ref="J589">INDEX($A$2:$A$7,I589)</f>
        <v>Segment 6- Self-Conscious Male</v>
      </c>
    </row>
    <row r="590" spans="1:10" x14ac:dyDescent="0.25">
      <c r="A590" s="1">
        <f>'batch tool'!A584</f>
        <v>0</v>
      </c>
      <c r="B590" s="7">
        <f>SUMPRODUCT($C$2:$X$2,'batch tool'!$B584:$W584)+$Y$2</f>
        <v>-49.12272534143483</v>
      </c>
      <c r="C590" s="7">
        <f>SUMPRODUCT($C$3:$X$3,'batch tool'!$B584:$W584)+$Y$3</f>
        <v>-36.514029388465531</v>
      </c>
      <c r="D590" s="7">
        <f>SUMPRODUCT($C$4:$X$4,'batch tool'!$B584:$W584)+$Y$4</f>
        <v>-44.639843068043824</v>
      </c>
      <c r="E590" s="7">
        <f>SUMPRODUCT($C$5:$X$5,'batch tool'!$B584:$W584)+$Y$5</f>
        <v>-51.578889182477603</v>
      </c>
      <c r="F590" s="7">
        <f>SUMPRODUCT($C$6:$X$6,'batch tool'!$B584:$W584)+$Y$6</f>
        <v>-47.741473633885199</v>
      </c>
      <c r="G590" s="7">
        <f>SUMPRODUCT($C$7:$X$7,'batch tool'!$B584:$W584)+$Y$7</f>
        <v>-19.739516238059196</v>
      </c>
      <c r="H590" s="7">
        <f t="shared" si="18"/>
        <v>-19.739516238059196</v>
      </c>
      <c r="I590">
        <f t="shared" si="19"/>
        <v>6</v>
      </c>
      <c r="J590" t="str" cm="1">
        <f t="array" ref="J590">INDEX($A$2:$A$7,I590)</f>
        <v>Segment 6- Self-Conscious Male</v>
      </c>
    </row>
    <row r="591" spans="1:10" x14ac:dyDescent="0.25">
      <c r="A591" s="1">
        <f>'batch tool'!A585</f>
        <v>0</v>
      </c>
      <c r="B591" s="7">
        <f>SUMPRODUCT($C$2:$X$2,'batch tool'!$B585:$W585)+$Y$2</f>
        <v>-49.12272534143483</v>
      </c>
      <c r="C591" s="7">
        <f>SUMPRODUCT($C$3:$X$3,'batch tool'!$B585:$W585)+$Y$3</f>
        <v>-36.514029388465531</v>
      </c>
      <c r="D591" s="7">
        <f>SUMPRODUCT($C$4:$X$4,'batch tool'!$B585:$W585)+$Y$4</f>
        <v>-44.639843068043824</v>
      </c>
      <c r="E591" s="7">
        <f>SUMPRODUCT($C$5:$X$5,'batch tool'!$B585:$W585)+$Y$5</f>
        <v>-51.578889182477603</v>
      </c>
      <c r="F591" s="7">
        <f>SUMPRODUCT($C$6:$X$6,'batch tool'!$B585:$W585)+$Y$6</f>
        <v>-47.741473633885199</v>
      </c>
      <c r="G591" s="7">
        <f>SUMPRODUCT($C$7:$X$7,'batch tool'!$B585:$W585)+$Y$7</f>
        <v>-19.739516238059196</v>
      </c>
      <c r="H591" s="7">
        <f t="shared" si="18"/>
        <v>-19.739516238059196</v>
      </c>
      <c r="I591">
        <f t="shared" si="19"/>
        <v>6</v>
      </c>
      <c r="J591" t="str" cm="1">
        <f t="array" ref="J591">INDEX($A$2:$A$7,I591)</f>
        <v>Segment 6- Self-Conscious Male</v>
      </c>
    </row>
    <row r="592" spans="1:10" x14ac:dyDescent="0.25">
      <c r="A592" s="1">
        <f>'batch tool'!A586</f>
        <v>0</v>
      </c>
      <c r="B592" s="7">
        <f>SUMPRODUCT($C$2:$X$2,'batch tool'!$B586:$W586)+$Y$2</f>
        <v>-49.12272534143483</v>
      </c>
      <c r="C592" s="7">
        <f>SUMPRODUCT($C$3:$X$3,'batch tool'!$B586:$W586)+$Y$3</f>
        <v>-36.514029388465531</v>
      </c>
      <c r="D592" s="7">
        <f>SUMPRODUCT($C$4:$X$4,'batch tool'!$B586:$W586)+$Y$4</f>
        <v>-44.639843068043824</v>
      </c>
      <c r="E592" s="7">
        <f>SUMPRODUCT($C$5:$X$5,'batch tool'!$B586:$W586)+$Y$5</f>
        <v>-51.578889182477603</v>
      </c>
      <c r="F592" s="7">
        <f>SUMPRODUCT($C$6:$X$6,'batch tool'!$B586:$W586)+$Y$6</f>
        <v>-47.741473633885199</v>
      </c>
      <c r="G592" s="7">
        <f>SUMPRODUCT($C$7:$X$7,'batch tool'!$B586:$W586)+$Y$7</f>
        <v>-19.739516238059196</v>
      </c>
      <c r="H592" s="7">
        <f t="shared" si="18"/>
        <v>-19.739516238059196</v>
      </c>
      <c r="I592">
        <f t="shared" si="19"/>
        <v>6</v>
      </c>
      <c r="J592" t="str" cm="1">
        <f t="array" ref="J592">INDEX($A$2:$A$7,I592)</f>
        <v>Segment 6- Self-Conscious Male</v>
      </c>
    </row>
    <row r="593" spans="1:10" x14ac:dyDescent="0.25">
      <c r="A593" s="1">
        <f>'batch tool'!A587</f>
        <v>0</v>
      </c>
      <c r="B593" s="7">
        <f>SUMPRODUCT($C$2:$X$2,'batch tool'!$B587:$W587)+$Y$2</f>
        <v>-49.12272534143483</v>
      </c>
      <c r="C593" s="7">
        <f>SUMPRODUCT($C$3:$X$3,'batch tool'!$B587:$W587)+$Y$3</f>
        <v>-36.514029388465531</v>
      </c>
      <c r="D593" s="7">
        <f>SUMPRODUCT($C$4:$X$4,'batch tool'!$B587:$W587)+$Y$4</f>
        <v>-44.639843068043824</v>
      </c>
      <c r="E593" s="7">
        <f>SUMPRODUCT($C$5:$X$5,'batch tool'!$B587:$W587)+$Y$5</f>
        <v>-51.578889182477603</v>
      </c>
      <c r="F593" s="7">
        <f>SUMPRODUCT($C$6:$X$6,'batch tool'!$B587:$W587)+$Y$6</f>
        <v>-47.741473633885199</v>
      </c>
      <c r="G593" s="7">
        <f>SUMPRODUCT($C$7:$X$7,'batch tool'!$B587:$W587)+$Y$7</f>
        <v>-19.739516238059196</v>
      </c>
      <c r="H593" s="7">
        <f t="shared" si="18"/>
        <v>-19.739516238059196</v>
      </c>
      <c r="I593">
        <f t="shared" si="19"/>
        <v>6</v>
      </c>
      <c r="J593" t="str" cm="1">
        <f t="array" ref="J593">INDEX($A$2:$A$7,I593)</f>
        <v>Segment 6- Self-Conscious Male</v>
      </c>
    </row>
    <row r="594" spans="1:10" x14ac:dyDescent="0.25">
      <c r="A594" s="1">
        <f>'batch tool'!A588</f>
        <v>0</v>
      </c>
      <c r="B594" s="7">
        <f>SUMPRODUCT($C$2:$X$2,'batch tool'!$B588:$W588)+$Y$2</f>
        <v>-49.12272534143483</v>
      </c>
      <c r="C594" s="7">
        <f>SUMPRODUCT($C$3:$X$3,'batch tool'!$B588:$W588)+$Y$3</f>
        <v>-36.514029388465531</v>
      </c>
      <c r="D594" s="7">
        <f>SUMPRODUCT($C$4:$X$4,'batch tool'!$B588:$W588)+$Y$4</f>
        <v>-44.639843068043824</v>
      </c>
      <c r="E594" s="7">
        <f>SUMPRODUCT($C$5:$X$5,'batch tool'!$B588:$W588)+$Y$5</f>
        <v>-51.578889182477603</v>
      </c>
      <c r="F594" s="7">
        <f>SUMPRODUCT($C$6:$X$6,'batch tool'!$B588:$W588)+$Y$6</f>
        <v>-47.741473633885199</v>
      </c>
      <c r="G594" s="7">
        <f>SUMPRODUCT($C$7:$X$7,'batch tool'!$B588:$W588)+$Y$7</f>
        <v>-19.739516238059196</v>
      </c>
      <c r="H594" s="7">
        <f t="shared" si="18"/>
        <v>-19.739516238059196</v>
      </c>
      <c r="I594">
        <f t="shared" si="19"/>
        <v>6</v>
      </c>
      <c r="J594" t="str" cm="1">
        <f t="array" ref="J594">INDEX($A$2:$A$7,I594)</f>
        <v>Segment 6- Self-Conscious Male</v>
      </c>
    </row>
    <row r="595" spans="1:10" x14ac:dyDescent="0.25">
      <c r="A595" s="1">
        <f>'batch tool'!A589</f>
        <v>0</v>
      </c>
      <c r="B595" s="7">
        <f>SUMPRODUCT($C$2:$X$2,'batch tool'!$B589:$W589)+$Y$2</f>
        <v>-49.12272534143483</v>
      </c>
      <c r="C595" s="7">
        <f>SUMPRODUCT($C$3:$X$3,'batch tool'!$B589:$W589)+$Y$3</f>
        <v>-36.514029388465531</v>
      </c>
      <c r="D595" s="7">
        <f>SUMPRODUCT($C$4:$X$4,'batch tool'!$B589:$W589)+$Y$4</f>
        <v>-44.639843068043824</v>
      </c>
      <c r="E595" s="7">
        <f>SUMPRODUCT($C$5:$X$5,'batch tool'!$B589:$W589)+$Y$5</f>
        <v>-51.578889182477603</v>
      </c>
      <c r="F595" s="7">
        <f>SUMPRODUCT($C$6:$X$6,'batch tool'!$B589:$W589)+$Y$6</f>
        <v>-47.741473633885199</v>
      </c>
      <c r="G595" s="7">
        <f>SUMPRODUCT($C$7:$X$7,'batch tool'!$B589:$W589)+$Y$7</f>
        <v>-19.739516238059196</v>
      </c>
      <c r="H595" s="7">
        <f t="shared" si="18"/>
        <v>-19.739516238059196</v>
      </c>
      <c r="I595">
        <f t="shared" si="19"/>
        <v>6</v>
      </c>
      <c r="J595" t="str" cm="1">
        <f t="array" ref="J595">INDEX($A$2:$A$7,I595)</f>
        <v>Segment 6- Self-Conscious Male</v>
      </c>
    </row>
    <row r="596" spans="1:10" x14ac:dyDescent="0.25">
      <c r="A596" s="1">
        <f>'batch tool'!A590</f>
        <v>0</v>
      </c>
      <c r="B596" s="7">
        <f>SUMPRODUCT($C$2:$X$2,'batch tool'!$B590:$W590)+$Y$2</f>
        <v>-49.12272534143483</v>
      </c>
      <c r="C596" s="7">
        <f>SUMPRODUCT($C$3:$X$3,'batch tool'!$B590:$W590)+$Y$3</f>
        <v>-36.514029388465531</v>
      </c>
      <c r="D596" s="7">
        <f>SUMPRODUCT($C$4:$X$4,'batch tool'!$B590:$W590)+$Y$4</f>
        <v>-44.639843068043824</v>
      </c>
      <c r="E596" s="7">
        <f>SUMPRODUCT($C$5:$X$5,'batch tool'!$B590:$W590)+$Y$5</f>
        <v>-51.578889182477603</v>
      </c>
      <c r="F596" s="7">
        <f>SUMPRODUCT($C$6:$X$6,'batch tool'!$B590:$W590)+$Y$6</f>
        <v>-47.741473633885199</v>
      </c>
      <c r="G596" s="7">
        <f>SUMPRODUCT($C$7:$X$7,'batch tool'!$B590:$W590)+$Y$7</f>
        <v>-19.739516238059196</v>
      </c>
      <c r="H596" s="7">
        <f t="shared" si="18"/>
        <v>-19.739516238059196</v>
      </c>
      <c r="I596">
        <f t="shared" si="19"/>
        <v>6</v>
      </c>
      <c r="J596" t="str" cm="1">
        <f t="array" ref="J596">INDEX($A$2:$A$7,I596)</f>
        <v>Segment 6- Self-Conscious Male</v>
      </c>
    </row>
    <row r="597" spans="1:10" x14ac:dyDescent="0.25">
      <c r="A597" s="1">
        <f>'batch tool'!A591</f>
        <v>0</v>
      </c>
      <c r="B597" s="7">
        <f>SUMPRODUCT($C$2:$X$2,'batch tool'!$B591:$W591)+$Y$2</f>
        <v>-49.12272534143483</v>
      </c>
      <c r="C597" s="7">
        <f>SUMPRODUCT($C$3:$X$3,'batch tool'!$B591:$W591)+$Y$3</f>
        <v>-36.514029388465531</v>
      </c>
      <c r="D597" s="7">
        <f>SUMPRODUCT($C$4:$X$4,'batch tool'!$B591:$W591)+$Y$4</f>
        <v>-44.639843068043824</v>
      </c>
      <c r="E597" s="7">
        <f>SUMPRODUCT($C$5:$X$5,'batch tool'!$B591:$W591)+$Y$5</f>
        <v>-51.578889182477603</v>
      </c>
      <c r="F597" s="7">
        <f>SUMPRODUCT($C$6:$X$6,'batch tool'!$B591:$W591)+$Y$6</f>
        <v>-47.741473633885199</v>
      </c>
      <c r="G597" s="7">
        <f>SUMPRODUCT($C$7:$X$7,'batch tool'!$B591:$W591)+$Y$7</f>
        <v>-19.739516238059196</v>
      </c>
      <c r="H597" s="7">
        <f t="shared" si="18"/>
        <v>-19.739516238059196</v>
      </c>
      <c r="I597">
        <f t="shared" si="19"/>
        <v>6</v>
      </c>
      <c r="J597" t="str" cm="1">
        <f t="array" ref="J597">INDEX($A$2:$A$7,I597)</f>
        <v>Segment 6- Self-Conscious Male</v>
      </c>
    </row>
    <row r="598" spans="1:10" x14ac:dyDescent="0.25">
      <c r="A598" s="1">
        <f>'batch tool'!A592</f>
        <v>0</v>
      </c>
      <c r="B598" s="7">
        <f>SUMPRODUCT($C$2:$X$2,'batch tool'!$B592:$W592)+$Y$2</f>
        <v>-49.12272534143483</v>
      </c>
      <c r="C598" s="7">
        <f>SUMPRODUCT($C$3:$X$3,'batch tool'!$B592:$W592)+$Y$3</f>
        <v>-36.514029388465531</v>
      </c>
      <c r="D598" s="7">
        <f>SUMPRODUCT($C$4:$X$4,'batch tool'!$B592:$W592)+$Y$4</f>
        <v>-44.639843068043824</v>
      </c>
      <c r="E598" s="7">
        <f>SUMPRODUCT($C$5:$X$5,'batch tool'!$B592:$W592)+$Y$5</f>
        <v>-51.578889182477603</v>
      </c>
      <c r="F598" s="7">
        <f>SUMPRODUCT($C$6:$X$6,'batch tool'!$B592:$W592)+$Y$6</f>
        <v>-47.741473633885199</v>
      </c>
      <c r="G598" s="7">
        <f>SUMPRODUCT($C$7:$X$7,'batch tool'!$B592:$W592)+$Y$7</f>
        <v>-19.739516238059196</v>
      </c>
      <c r="H598" s="7">
        <f t="shared" si="18"/>
        <v>-19.739516238059196</v>
      </c>
      <c r="I598">
        <f t="shared" si="19"/>
        <v>6</v>
      </c>
      <c r="J598" t="str" cm="1">
        <f t="array" ref="J598">INDEX($A$2:$A$7,I598)</f>
        <v>Segment 6- Self-Conscious Male</v>
      </c>
    </row>
    <row r="599" spans="1:10" x14ac:dyDescent="0.25">
      <c r="A599" s="1">
        <f>'batch tool'!A593</f>
        <v>0</v>
      </c>
      <c r="B599" s="7">
        <f>SUMPRODUCT($C$2:$X$2,'batch tool'!$B593:$W593)+$Y$2</f>
        <v>-49.12272534143483</v>
      </c>
      <c r="C599" s="7">
        <f>SUMPRODUCT($C$3:$X$3,'batch tool'!$B593:$W593)+$Y$3</f>
        <v>-36.514029388465531</v>
      </c>
      <c r="D599" s="7">
        <f>SUMPRODUCT($C$4:$X$4,'batch tool'!$B593:$W593)+$Y$4</f>
        <v>-44.639843068043824</v>
      </c>
      <c r="E599" s="7">
        <f>SUMPRODUCT($C$5:$X$5,'batch tool'!$B593:$W593)+$Y$5</f>
        <v>-51.578889182477603</v>
      </c>
      <c r="F599" s="7">
        <f>SUMPRODUCT($C$6:$X$6,'batch tool'!$B593:$W593)+$Y$6</f>
        <v>-47.741473633885199</v>
      </c>
      <c r="G599" s="7">
        <f>SUMPRODUCT($C$7:$X$7,'batch tool'!$B593:$W593)+$Y$7</f>
        <v>-19.739516238059196</v>
      </c>
      <c r="H599" s="7">
        <f t="shared" si="18"/>
        <v>-19.739516238059196</v>
      </c>
      <c r="I599">
        <f t="shared" si="19"/>
        <v>6</v>
      </c>
      <c r="J599" t="str" cm="1">
        <f t="array" ref="J599">INDEX($A$2:$A$7,I599)</f>
        <v>Segment 6- Self-Conscious Male</v>
      </c>
    </row>
    <row r="600" spans="1:10" x14ac:dyDescent="0.25">
      <c r="A600" s="1">
        <f>'batch tool'!A594</f>
        <v>0</v>
      </c>
      <c r="B600" s="7">
        <f>SUMPRODUCT($C$2:$X$2,'batch tool'!$B594:$W594)+$Y$2</f>
        <v>-49.12272534143483</v>
      </c>
      <c r="C600" s="7">
        <f>SUMPRODUCT($C$3:$X$3,'batch tool'!$B594:$W594)+$Y$3</f>
        <v>-36.514029388465531</v>
      </c>
      <c r="D600" s="7">
        <f>SUMPRODUCT($C$4:$X$4,'batch tool'!$B594:$W594)+$Y$4</f>
        <v>-44.639843068043824</v>
      </c>
      <c r="E600" s="7">
        <f>SUMPRODUCT($C$5:$X$5,'batch tool'!$B594:$W594)+$Y$5</f>
        <v>-51.578889182477603</v>
      </c>
      <c r="F600" s="7">
        <f>SUMPRODUCT($C$6:$X$6,'batch tool'!$B594:$W594)+$Y$6</f>
        <v>-47.741473633885199</v>
      </c>
      <c r="G600" s="7">
        <f>SUMPRODUCT($C$7:$X$7,'batch tool'!$B594:$W594)+$Y$7</f>
        <v>-19.739516238059196</v>
      </c>
      <c r="H600" s="7">
        <f t="shared" si="18"/>
        <v>-19.739516238059196</v>
      </c>
      <c r="I600">
        <f t="shared" si="19"/>
        <v>6</v>
      </c>
      <c r="J600" t="str" cm="1">
        <f t="array" ref="J600">INDEX($A$2:$A$7,I600)</f>
        <v>Segment 6- Self-Conscious Male</v>
      </c>
    </row>
    <row r="601" spans="1:10" x14ac:dyDescent="0.25">
      <c r="A601" s="1">
        <f>'batch tool'!A595</f>
        <v>0</v>
      </c>
      <c r="B601" s="7">
        <f>SUMPRODUCT($C$2:$X$2,'batch tool'!$B595:$W595)+$Y$2</f>
        <v>-49.12272534143483</v>
      </c>
      <c r="C601" s="7">
        <f>SUMPRODUCT($C$3:$X$3,'batch tool'!$B595:$W595)+$Y$3</f>
        <v>-36.514029388465531</v>
      </c>
      <c r="D601" s="7">
        <f>SUMPRODUCT($C$4:$X$4,'batch tool'!$B595:$W595)+$Y$4</f>
        <v>-44.639843068043824</v>
      </c>
      <c r="E601" s="7">
        <f>SUMPRODUCT($C$5:$X$5,'batch tool'!$B595:$W595)+$Y$5</f>
        <v>-51.578889182477603</v>
      </c>
      <c r="F601" s="7">
        <f>SUMPRODUCT($C$6:$X$6,'batch tool'!$B595:$W595)+$Y$6</f>
        <v>-47.741473633885199</v>
      </c>
      <c r="G601" s="7">
        <f>SUMPRODUCT($C$7:$X$7,'batch tool'!$B595:$W595)+$Y$7</f>
        <v>-19.739516238059196</v>
      </c>
      <c r="H601" s="7">
        <f t="shared" si="18"/>
        <v>-19.739516238059196</v>
      </c>
      <c r="I601">
        <f t="shared" si="19"/>
        <v>6</v>
      </c>
      <c r="J601" t="str" cm="1">
        <f t="array" ref="J601">INDEX($A$2:$A$7,I601)</f>
        <v>Segment 6- Self-Conscious Male</v>
      </c>
    </row>
    <row r="602" spans="1:10" x14ac:dyDescent="0.25">
      <c r="A602" s="1">
        <f>'batch tool'!A596</f>
        <v>0</v>
      </c>
      <c r="B602" s="7">
        <f>SUMPRODUCT($C$2:$X$2,'batch tool'!$B596:$W596)+$Y$2</f>
        <v>-49.12272534143483</v>
      </c>
      <c r="C602" s="7">
        <f>SUMPRODUCT($C$3:$X$3,'batch tool'!$B596:$W596)+$Y$3</f>
        <v>-36.514029388465531</v>
      </c>
      <c r="D602" s="7">
        <f>SUMPRODUCT($C$4:$X$4,'batch tool'!$B596:$W596)+$Y$4</f>
        <v>-44.639843068043824</v>
      </c>
      <c r="E602" s="7">
        <f>SUMPRODUCT($C$5:$X$5,'batch tool'!$B596:$W596)+$Y$5</f>
        <v>-51.578889182477603</v>
      </c>
      <c r="F602" s="7">
        <f>SUMPRODUCT($C$6:$X$6,'batch tool'!$B596:$W596)+$Y$6</f>
        <v>-47.741473633885199</v>
      </c>
      <c r="G602" s="7">
        <f>SUMPRODUCT($C$7:$X$7,'batch tool'!$B596:$W596)+$Y$7</f>
        <v>-19.739516238059196</v>
      </c>
      <c r="H602" s="7">
        <f t="shared" si="18"/>
        <v>-19.739516238059196</v>
      </c>
      <c r="I602">
        <f t="shared" si="19"/>
        <v>6</v>
      </c>
      <c r="J602" t="str" cm="1">
        <f t="array" ref="J602">INDEX($A$2:$A$7,I602)</f>
        <v>Segment 6- Self-Conscious Male</v>
      </c>
    </row>
    <row r="603" spans="1:10" x14ac:dyDescent="0.25">
      <c r="A603" s="1">
        <f>'batch tool'!A597</f>
        <v>0</v>
      </c>
      <c r="B603" s="7">
        <f>SUMPRODUCT($C$2:$X$2,'batch tool'!$B597:$W597)+$Y$2</f>
        <v>-49.12272534143483</v>
      </c>
      <c r="C603" s="7">
        <f>SUMPRODUCT($C$3:$X$3,'batch tool'!$B597:$W597)+$Y$3</f>
        <v>-36.514029388465531</v>
      </c>
      <c r="D603" s="7">
        <f>SUMPRODUCT($C$4:$X$4,'batch tool'!$B597:$W597)+$Y$4</f>
        <v>-44.639843068043824</v>
      </c>
      <c r="E603" s="7">
        <f>SUMPRODUCT($C$5:$X$5,'batch tool'!$B597:$W597)+$Y$5</f>
        <v>-51.578889182477603</v>
      </c>
      <c r="F603" s="7">
        <f>SUMPRODUCT($C$6:$X$6,'batch tool'!$B597:$W597)+$Y$6</f>
        <v>-47.741473633885199</v>
      </c>
      <c r="G603" s="7">
        <f>SUMPRODUCT($C$7:$X$7,'batch tool'!$B597:$W597)+$Y$7</f>
        <v>-19.739516238059196</v>
      </c>
      <c r="H603" s="7">
        <f t="shared" si="18"/>
        <v>-19.739516238059196</v>
      </c>
      <c r="I603">
        <f t="shared" si="19"/>
        <v>6</v>
      </c>
      <c r="J603" t="str" cm="1">
        <f t="array" ref="J603">INDEX($A$2:$A$7,I603)</f>
        <v>Segment 6- Self-Conscious Male</v>
      </c>
    </row>
    <row r="604" spans="1:10" x14ac:dyDescent="0.25">
      <c r="A604" s="1">
        <f>'batch tool'!A598</f>
        <v>0</v>
      </c>
      <c r="B604" s="7">
        <f>SUMPRODUCT($C$2:$X$2,'batch tool'!$B598:$W598)+$Y$2</f>
        <v>-49.12272534143483</v>
      </c>
      <c r="C604" s="7">
        <f>SUMPRODUCT($C$3:$X$3,'batch tool'!$B598:$W598)+$Y$3</f>
        <v>-36.514029388465531</v>
      </c>
      <c r="D604" s="7">
        <f>SUMPRODUCT($C$4:$X$4,'batch tool'!$B598:$W598)+$Y$4</f>
        <v>-44.639843068043824</v>
      </c>
      <c r="E604" s="7">
        <f>SUMPRODUCT($C$5:$X$5,'batch tool'!$B598:$W598)+$Y$5</f>
        <v>-51.578889182477603</v>
      </c>
      <c r="F604" s="7">
        <f>SUMPRODUCT($C$6:$X$6,'batch tool'!$B598:$W598)+$Y$6</f>
        <v>-47.741473633885199</v>
      </c>
      <c r="G604" s="7">
        <f>SUMPRODUCT($C$7:$X$7,'batch tool'!$B598:$W598)+$Y$7</f>
        <v>-19.739516238059196</v>
      </c>
      <c r="H604" s="7">
        <f t="shared" si="18"/>
        <v>-19.739516238059196</v>
      </c>
      <c r="I604">
        <f t="shared" si="19"/>
        <v>6</v>
      </c>
      <c r="J604" t="str" cm="1">
        <f t="array" ref="J604">INDEX($A$2:$A$7,I604)</f>
        <v>Segment 6- Self-Conscious Male</v>
      </c>
    </row>
    <row r="605" spans="1:10" x14ac:dyDescent="0.25">
      <c r="A605" s="1">
        <f>'batch tool'!A599</f>
        <v>0</v>
      </c>
      <c r="B605" s="7">
        <f>SUMPRODUCT($C$2:$X$2,'batch tool'!$B599:$W599)+$Y$2</f>
        <v>-49.12272534143483</v>
      </c>
      <c r="C605" s="7">
        <f>SUMPRODUCT($C$3:$X$3,'batch tool'!$B599:$W599)+$Y$3</f>
        <v>-36.514029388465531</v>
      </c>
      <c r="D605" s="7">
        <f>SUMPRODUCT($C$4:$X$4,'batch tool'!$B599:$W599)+$Y$4</f>
        <v>-44.639843068043824</v>
      </c>
      <c r="E605" s="7">
        <f>SUMPRODUCT($C$5:$X$5,'batch tool'!$B599:$W599)+$Y$5</f>
        <v>-51.578889182477603</v>
      </c>
      <c r="F605" s="7">
        <f>SUMPRODUCT($C$6:$X$6,'batch tool'!$B599:$W599)+$Y$6</f>
        <v>-47.741473633885199</v>
      </c>
      <c r="G605" s="7">
        <f>SUMPRODUCT($C$7:$X$7,'batch tool'!$B599:$W599)+$Y$7</f>
        <v>-19.739516238059196</v>
      </c>
      <c r="H605" s="7">
        <f t="shared" si="18"/>
        <v>-19.739516238059196</v>
      </c>
      <c r="I605">
        <f t="shared" si="19"/>
        <v>6</v>
      </c>
      <c r="J605" t="str" cm="1">
        <f t="array" ref="J605">INDEX($A$2:$A$7,I605)</f>
        <v>Segment 6- Self-Conscious Male</v>
      </c>
    </row>
    <row r="606" spans="1:10" x14ac:dyDescent="0.25">
      <c r="A606" s="1">
        <f>'batch tool'!A600</f>
        <v>0</v>
      </c>
      <c r="B606" s="7">
        <f>SUMPRODUCT($C$2:$X$2,'batch tool'!$B600:$W600)+$Y$2</f>
        <v>-49.12272534143483</v>
      </c>
      <c r="C606" s="7">
        <f>SUMPRODUCT($C$3:$X$3,'batch tool'!$B600:$W600)+$Y$3</f>
        <v>-36.514029388465531</v>
      </c>
      <c r="D606" s="7">
        <f>SUMPRODUCT($C$4:$X$4,'batch tool'!$B600:$W600)+$Y$4</f>
        <v>-44.639843068043824</v>
      </c>
      <c r="E606" s="7">
        <f>SUMPRODUCT($C$5:$X$5,'batch tool'!$B600:$W600)+$Y$5</f>
        <v>-51.578889182477603</v>
      </c>
      <c r="F606" s="7">
        <f>SUMPRODUCT($C$6:$X$6,'batch tool'!$B600:$W600)+$Y$6</f>
        <v>-47.741473633885199</v>
      </c>
      <c r="G606" s="7">
        <f>SUMPRODUCT($C$7:$X$7,'batch tool'!$B600:$W600)+$Y$7</f>
        <v>-19.739516238059196</v>
      </c>
      <c r="H606" s="7">
        <f t="shared" si="18"/>
        <v>-19.739516238059196</v>
      </c>
      <c r="I606">
        <f t="shared" si="19"/>
        <v>6</v>
      </c>
      <c r="J606" t="str" cm="1">
        <f t="array" ref="J606">INDEX($A$2:$A$7,I606)</f>
        <v>Segment 6- Self-Conscious Male</v>
      </c>
    </row>
    <row r="607" spans="1:10" x14ac:dyDescent="0.25">
      <c r="A607" s="1">
        <f>'batch tool'!A601</f>
        <v>0</v>
      </c>
      <c r="B607" s="7">
        <f>SUMPRODUCT($C$2:$X$2,'batch tool'!$B601:$W601)+$Y$2</f>
        <v>-49.12272534143483</v>
      </c>
      <c r="C607" s="7">
        <f>SUMPRODUCT($C$3:$X$3,'batch tool'!$B601:$W601)+$Y$3</f>
        <v>-36.514029388465531</v>
      </c>
      <c r="D607" s="7">
        <f>SUMPRODUCT($C$4:$X$4,'batch tool'!$B601:$W601)+$Y$4</f>
        <v>-44.639843068043824</v>
      </c>
      <c r="E607" s="7">
        <f>SUMPRODUCT($C$5:$X$5,'batch tool'!$B601:$W601)+$Y$5</f>
        <v>-51.578889182477603</v>
      </c>
      <c r="F607" s="7">
        <f>SUMPRODUCT($C$6:$X$6,'batch tool'!$B601:$W601)+$Y$6</f>
        <v>-47.741473633885199</v>
      </c>
      <c r="G607" s="7">
        <f>SUMPRODUCT($C$7:$X$7,'batch tool'!$B601:$W601)+$Y$7</f>
        <v>-19.739516238059196</v>
      </c>
      <c r="H607" s="7">
        <f t="shared" si="18"/>
        <v>-19.739516238059196</v>
      </c>
      <c r="I607">
        <f t="shared" si="19"/>
        <v>6</v>
      </c>
      <c r="J607" t="str" cm="1">
        <f t="array" ref="J607">INDEX($A$2:$A$7,I607)</f>
        <v>Segment 6- Self-Conscious Male</v>
      </c>
    </row>
    <row r="608" spans="1:10" x14ac:dyDescent="0.25">
      <c r="A608" s="1">
        <f>'batch tool'!A602</f>
        <v>0</v>
      </c>
      <c r="B608" s="7">
        <f>SUMPRODUCT($C$2:$X$2,'batch tool'!$B602:$W602)+$Y$2</f>
        <v>-49.12272534143483</v>
      </c>
      <c r="C608" s="7">
        <f>SUMPRODUCT($C$3:$X$3,'batch tool'!$B602:$W602)+$Y$3</f>
        <v>-36.514029388465531</v>
      </c>
      <c r="D608" s="7">
        <f>SUMPRODUCT($C$4:$X$4,'batch tool'!$B602:$W602)+$Y$4</f>
        <v>-44.639843068043824</v>
      </c>
      <c r="E608" s="7">
        <f>SUMPRODUCT($C$5:$X$5,'batch tool'!$B602:$W602)+$Y$5</f>
        <v>-51.578889182477603</v>
      </c>
      <c r="F608" s="7">
        <f>SUMPRODUCT($C$6:$X$6,'batch tool'!$B602:$W602)+$Y$6</f>
        <v>-47.741473633885199</v>
      </c>
      <c r="G608" s="7">
        <f>SUMPRODUCT($C$7:$X$7,'batch tool'!$B602:$W602)+$Y$7</f>
        <v>-19.739516238059196</v>
      </c>
      <c r="H608" s="7">
        <f t="shared" si="18"/>
        <v>-19.739516238059196</v>
      </c>
      <c r="I608">
        <f t="shared" si="19"/>
        <v>6</v>
      </c>
      <c r="J608" t="str" cm="1">
        <f t="array" ref="J608">INDEX($A$2:$A$7,I608)</f>
        <v>Segment 6- Self-Conscious Male</v>
      </c>
    </row>
    <row r="609" spans="1:10" x14ac:dyDescent="0.25">
      <c r="A609" s="1">
        <f>'batch tool'!A603</f>
        <v>0</v>
      </c>
      <c r="B609" s="7">
        <f>SUMPRODUCT($C$2:$X$2,'batch tool'!$B603:$W603)+$Y$2</f>
        <v>-49.12272534143483</v>
      </c>
      <c r="C609" s="7">
        <f>SUMPRODUCT($C$3:$X$3,'batch tool'!$B603:$W603)+$Y$3</f>
        <v>-36.514029388465531</v>
      </c>
      <c r="D609" s="7">
        <f>SUMPRODUCT($C$4:$X$4,'batch tool'!$B603:$W603)+$Y$4</f>
        <v>-44.639843068043824</v>
      </c>
      <c r="E609" s="7">
        <f>SUMPRODUCT($C$5:$X$5,'batch tool'!$B603:$W603)+$Y$5</f>
        <v>-51.578889182477603</v>
      </c>
      <c r="F609" s="7">
        <f>SUMPRODUCT($C$6:$X$6,'batch tool'!$B603:$W603)+$Y$6</f>
        <v>-47.741473633885199</v>
      </c>
      <c r="G609" s="7">
        <f>SUMPRODUCT($C$7:$X$7,'batch tool'!$B603:$W603)+$Y$7</f>
        <v>-19.739516238059196</v>
      </c>
      <c r="H609" s="7">
        <f t="shared" si="18"/>
        <v>-19.739516238059196</v>
      </c>
      <c r="I609">
        <f t="shared" si="19"/>
        <v>6</v>
      </c>
      <c r="J609" t="str" cm="1">
        <f t="array" ref="J609">INDEX($A$2:$A$7,I609)</f>
        <v>Segment 6- Self-Conscious Male</v>
      </c>
    </row>
    <row r="610" spans="1:10" x14ac:dyDescent="0.25">
      <c r="A610" s="1">
        <f>'batch tool'!A604</f>
        <v>0</v>
      </c>
      <c r="B610" s="7">
        <f>SUMPRODUCT($C$2:$X$2,'batch tool'!$B604:$W604)+$Y$2</f>
        <v>-49.12272534143483</v>
      </c>
      <c r="C610" s="7">
        <f>SUMPRODUCT($C$3:$X$3,'batch tool'!$B604:$W604)+$Y$3</f>
        <v>-36.514029388465531</v>
      </c>
      <c r="D610" s="7">
        <f>SUMPRODUCT($C$4:$X$4,'batch tool'!$B604:$W604)+$Y$4</f>
        <v>-44.639843068043824</v>
      </c>
      <c r="E610" s="7">
        <f>SUMPRODUCT($C$5:$X$5,'batch tool'!$B604:$W604)+$Y$5</f>
        <v>-51.578889182477603</v>
      </c>
      <c r="F610" s="7">
        <f>SUMPRODUCT($C$6:$X$6,'batch tool'!$B604:$W604)+$Y$6</f>
        <v>-47.741473633885199</v>
      </c>
      <c r="G610" s="7">
        <f>SUMPRODUCT($C$7:$X$7,'batch tool'!$B604:$W604)+$Y$7</f>
        <v>-19.739516238059196</v>
      </c>
      <c r="H610" s="7">
        <f t="shared" si="18"/>
        <v>-19.739516238059196</v>
      </c>
      <c r="I610">
        <f t="shared" si="19"/>
        <v>6</v>
      </c>
      <c r="J610" t="str" cm="1">
        <f t="array" ref="J610">INDEX($A$2:$A$7,I610)</f>
        <v>Segment 6- Self-Conscious Male</v>
      </c>
    </row>
    <row r="611" spans="1:10" x14ac:dyDescent="0.25">
      <c r="A611" s="1">
        <f>'batch tool'!A605</f>
        <v>0</v>
      </c>
      <c r="B611" s="7">
        <f>SUMPRODUCT($C$2:$X$2,'batch tool'!$B605:$W605)+$Y$2</f>
        <v>-49.12272534143483</v>
      </c>
      <c r="C611" s="7">
        <f>SUMPRODUCT($C$3:$X$3,'batch tool'!$B605:$W605)+$Y$3</f>
        <v>-36.514029388465531</v>
      </c>
      <c r="D611" s="7">
        <f>SUMPRODUCT($C$4:$X$4,'batch tool'!$B605:$W605)+$Y$4</f>
        <v>-44.639843068043824</v>
      </c>
      <c r="E611" s="7">
        <f>SUMPRODUCT($C$5:$X$5,'batch tool'!$B605:$W605)+$Y$5</f>
        <v>-51.578889182477603</v>
      </c>
      <c r="F611" s="7">
        <f>SUMPRODUCT($C$6:$X$6,'batch tool'!$B605:$W605)+$Y$6</f>
        <v>-47.741473633885199</v>
      </c>
      <c r="G611" s="7">
        <f>SUMPRODUCT($C$7:$X$7,'batch tool'!$B605:$W605)+$Y$7</f>
        <v>-19.739516238059196</v>
      </c>
      <c r="H611" s="7">
        <f t="shared" si="18"/>
        <v>-19.739516238059196</v>
      </c>
      <c r="I611">
        <f t="shared" si="19"/>
        <v>6</v>
      </c>
      <c r="J611" t="str" cm="1">
        <f t="array" ref="J611">INDEX($A$2:$A$7,I611)</f>
        <v>Segment 6- Self-Conscious Male</v>
      </c>
    </row>
    <row r="612" spans="1:10" x14ac:dyDescent="0.25">
      <c r="A612" s="1">
        <f>'batch tool'!A606</f>
        <v>0</v>
      </c>
      <c r="B612" s="7">
        <f>SUMPRODUCT($C$2:$X$2,'batch tool'!$B606:$W606)+$Y$2</f>
        <v>-49.12272534143483</v>
      </c>
      <c r="C612" s="7">
        <f>SUMPRODUCT($C$3:$X$3,'batch tool'!$B606:$W606)+$Y$3</f>
        <v>-36.514029388465531</v>
      </c>
      <c r="D612" s="7">
        <f>SUMPRODUCT($C$4:$X$4,'batch tool'!$B606:$W606)+$Y$4</f>
        <v>-44.639843068043824</v>
      </c>
      <c r="E612" s="7">
        <f>SUMPRODUCT($C$5:$X$5,'batch tool'!$B606:$W606)+$Y$5</f>
        <v>-51.578889182477603</v>
      </c>
      <c r="F612" s="7">
        <f>SUMPRODUCT($C$6:$X$6,'batch tool'!$B606:$W606)+$Y$6</f>
        <v>-47.741473633885199</v>
      </c>
      <c r="G612" s="7">
        <f>SUMPRODUCT($C$7:$X$7,'batch tool'!$B606:$W606)+$Y$7</f>
        <v>-19.739516238059196</v>
      </c>
      <c r="H612" s="7">
        <f t="shared" si="18"/>
        <v>-19.739516238059196</v>
      </c>
      <c r="I612">
        <f t="shared" si="19"/>
        <v>6</v>
      </c>
      <c r="J612" t="str" cm="1">
        <f t="array" ref="J612">INDEX($A$2:$A$7,I612)</f>
        <v>Segment 6- Self-Conscious Male</v>
      </c>
    </row>
    <row r="613" spans="1:10" x14ac:dyDescent="0.25">
      <c r="A613" s="1">
        <f>'batch tool'!A607</f>
        <v>0</v>
      </c>
      <c r="B613" s="7">
        <f>SUMPRODUCT($C$2:$X$2,'batch tool'!$B607:$W607)+$Y$2</f>
        <v>-49.12272534143483</v>
      </c>
      <c r="C613" s="7">
        <f>SUMPRODUCT($C$3:$X$3,'batch tool'!$B607:$W607)+$Y$3</f>
        <v>-36.514029388465531</v>
      </c>
      <c r="D613" s="7">
        <f>SUMPRODUCT($C$4:$X$4,'batch tool'!$B607:$W607)+$Y$4</f>
        <v>-44.639843068043824</v>
      </c>
      <c r="E613" s="7">
        <f>SUMPRODUCT($C$5:$X$5,'batch tool'!$B607:$W607)+$Y$5</f>
        <v>-51.578889182477603</v>
      </c>
      <c r="F613" s="7">
        <f>SUMPRODUCT($C$6:$X$6,'batch tool'!$B607:$W607)+$Y$6</f>
        <v>-47.741473633885199</v>
      </c>
      <c r="G613" s="7">
        <f>SUMPRODUCT($C$7:$X$7,'batch tool'!$B607:$W607)+$Y$7</f>
        <v>-19.739516238059196</v>
      </c>
      <c r="H613" s="7">
        <f t="shared" si="18"/>
        <v>-19.739516238059196</v>
      </c>
      <c r="I613">
        <f t="shared" si="19"/>
        <v>6</v>
      </c>
      <c r="J613" t="str" cm="1">
        <f t="array" ref="J613">INDEX($A$2:$A$7,I613)</f>
        <v>Segment 6- Self-Conscious Male</v>
      </c>
    </row>
    <row r="614" spans="1:10" x14ac:dyDescent="0.25">
      <c r="A614" s="1">
        <f>'batch tool'!A608</f>
        <v>0</v>
      </c>
      <c r="B614" s="7">
        <f>SUMPRODUCT($C$2:$X$2,'batch tool'!$B608:$W608)+$Y$2</f>
        <v>-49.12272534143483</v>
      </c>
      <c r="C614" s="7">
        <f>SUMPRODUCT($C$3:$X$3,'batch tool'!$B608:$W608)+$Y$3</f>
        <v>-36.514029388465531</v>
      </c>
      <c r="D614" s="7">
        <f>SUMPRODUCT($C$4:$X$4,'batch tool'!$B608:$W608)+$Y$4</f>
        <v>-44.639843068043824</v>
      </c>
      <c r="E614" s="7">
        <f>SUMPRODUCT($C$5:$X$5,'batch tool'!$B608:$W608)+$Y$5</f>
        <v>-51.578889182477603</v>
      </c>
      <c r="F614" s="7">
        <f>SUMPRODUCT($C$6:$X$6,'batch tool'!$B608:$W608)+$Y$6</f>
        <v>-47.741473633885199</v>
      </c>
      <c r="G614" s="7">
        <f>SUMPRODUCT($C$7:$X$7,'batch tool'!$B608:$W608)+$Y$7</f>
        <v>-19.739516238059196</v>
      </c>
      <c r="H614" s="7">
        <f t="shared" si="18"/>
        <v>-19.739516238059196</v>
      </c>
      <c r="I614">
        <f t="shared" si="19"/>
        <v>6</v>
      </c>
      <c r="J614" t="str" cm="1">
        <f t="array" ref="J614">INDEX($A$2:$A$7,I614)</f>
        <v>Segment 6- Self-Conscious Male</v>
      </c>
    </row>
    <row r="615" spans="1:10" x14ac:dyDescent="0.25">
      <c r="A615" s="1">
        <f>'batch tool'!A609</f>
        <v>0</v>
      </c>
      <c r="B615" s="7">
        <f>SUMPRODUCT($C$2:$X$2,'batch tool'!$B609:$W609)+$Y$2</f>
        <v>-49.12272534143483</v>
      </c>
      <c r="C615" s="7">
        <f>SUMPRODUCT($C$3:$X$3,'batch tool'!$B609:$W609)+$Y$3</f>
        <v>-36.514029388465531</v>
      </c>
      <c r="D615" s="7">
        <f>SUMPRODUCT($C$4:$X$4,'batch tool'!$B609:$W609)+$Y$4</f>
        <v>-44.639843068043824</v>
      </c>
      <c r="E615" s="7">
        <f>SUMPRODUCT($C$5:$X$5,'batch tool'!$B609:$W609)+$Y$5</f>
        <v>-51.578889182477603</v>
      </c>
      <c r="F615" s="7">
        <f>SUMPRODUCT($C$6:$X$6,'batch tool'!$B609:$W609)+$Y$6</f>
        <v>-47.741473633885199</v>
      </c>
      <c r="G615" s="7">
        <f>SUMPRODUCT($C$7:$X$7,'batch tool'!$B609:$W609)+$Y$7</f>
        <v>-19.739516238059196</v>
      </c>
      <c r="H615" s="7">
        <f t="shared" si="18"/>
        <v>-19.739516238059196</v>
      </c>
      <c r="I615">
        <f t="shared" si="19"/>
        <v>6</v>
      </c>
      <c r="J615" t="str" cm="1">
        <f t="array" ref="J615">INDEX($A$2:$A$7,I615)</f>
        <v>Segment 6- Self-Conscious Male</v>
      </c>
    </row>
    <row r="616" spans="1:10" x14ac:dyDescent="0.25">
      <c r="A616" s="1">
        <f>'batch tool'!A610</f>
        <v>0</v>
      </c>
      <c r="B616" s="7">
        <f>SUMPRODUCT($C$2:$X$2,'batch tool'!$B610:$W610)+$Y$2</f>
        <v>-49.12272534143483</v>
      </c>
      <c r="C616" s="7">
        <f>SUMPRODUCT($C$3:$X$3,'batch tool'!$B610:$W610)+$Y$3</f>
        <v>-36.514029388465531</v>
      </c>
      <c r="D616" s="7">
        <f>SUMPRODUCT($C$4:$X$4,'batch tool'!$B610:$W610)+$Y$4</f>
        <v>-44.639843068043824</v>
      </c>
      <c r="E616" s="7">
        <f>SUMPRODUCT($C$5:$X$5,'batch tool'!$B610:$W610)+$Y$5</f>
        <v>-51.578889182477603</v>
      </c>
      <c r="F616" s="7">
        <f>SUMPRODUCT($C$6:$X$6,'batch tool'!$B610:$W610)+$Y$6</f>
        <v>-47.741473633885199</v>
      </c>
      <c r="G616" s="7">
        <f>SUMPRODUCT($C$7:$X$7,'batch tool'!$B610:$W610)+$Y$7</f>
        <v>-19.739516238059196</v>
      </c>
      <c r="H616" s="7">
        <f t="shared" si="18"/>
        <v>-19.739516238059196</v>
      </c>
      <c r="I616">
        <f t="shared" si="19"/>
        <v>6</v>
      </c>
      <c r="J616" t="str" cm="1">
        <f t="array" ref="J616">INDEX($A$2:$A$7,I616)</f>
        <v>Segment 6- Self-Conscious Male</v>
      </c>
    </row>
    <row r="617" spans="1:10" x14ac:dyDescent="0.25">
      <c r="A617" s="1">
        <f>'batch tool'!A611</f>
        <v>0</v>
      </c>
      <c r="B617" s="7">
        <f>SUMPRODUCT($C$2:$X$2,'batch tool'!$B611:$W611)+$Y$2</f>
        <v>-49.12272534143483</v>
      </c>
      <c r="C617" s="7">
        <f>SUMPRODUCT($C$3:$X$3,'batch tool'!$B611:$W611)+$Y$3</f>
        <v>-36.514029388465531</v>
      </c>
      <c r="D617" s="7">
        <f>SUMPRODUCT($C$4:$X$4,'batch tool'!$B611:$W611)+$Y$4</f>
        <v>-44.639843068043824</v>
      </c>
      <c r="E617" s="7">
        <f>SUMPRODUCT($C$5:$X$5,'batch tool'!$B611:$W611)+$Y$5</f>
        <v>-51.578889182477603</v>
      </c>
      <c r="F617" s="7">
        <f>SUMPRODUCT($C$6:$X$6,'batch tool'!$B611:$W611)+$Y$6</f>
        <v>-47.741473633885199</v>
      </c>
      <c r="G617" s="7">
        <f>SUMPRODUCT($C$7:$X$7,'batch tool'!$B611:$W611)+$Y$7</f>
        <v>-19.739516238059196</v>
      </c>
      <c r="H617" s="7">
        <f t="shared" si="18"/>
        <v>-19.739516238059196</v>
      </c>
      <c r="I617">
        <f t="shared" si="19"/>
        <v>6</v>
      </c>
      <c r="J617" t="str" cm="1">
        <f t="array" ref="J617">INDEX($A$2:$A$7,I617)</f>
        <v>Segment 6- Self-Conscious Male</v>
      </c>
    </row>
    <row r="618" spans="1:10" x14ac:dyDescent="0.25">
      <c r="A618" s="1">
        <f>'batch tool'!A612</f>
        <v>0</v>
      </c>
      <c r="B618" s="7">
        <f>SUMPRODUCT($C$2:$X$2,'batch tool'!$B612:$W612)+$Y$2</f>
        <v>-49.12272534143483</v>
      </c>
      <c r="C618" s="7">
        <f>SUMPRODUCT($C$3:$X$3,'batch tool'!$B612:$W612)+$Y$3</f>
        <v>-36.514029388465531</v>
      </c>
      <c r="D618" s="7">
        <f>SUMPRODUCT($C$4:$X$4,'batch tool'!$B612:$W612)+$Y$4</f>
        <v>-44.639843068043824</v>
      </c>
      <c r="E618" s="7">
        <f>SUMPRODUCT($C$5:$X$5,'batch tool'!$B612:$W612)+$Y$5</f>
        <v>-51.578889182477603</v>
      </c>
      <c r="F618" s="7">
        <f>SUMPRODUCT($C$6:$X$6,'batch tool'!$B612:$W612)+$Y$6</f>
        <v>-47.741473633885199</v>
      </c>
      <c r="G618" s="7">
        <f>SUMPRODUCT($C$7:$X$7,'batch tool'!$B612:$W612)+$Y$7</f>
        <v>-19.739516238059196</v>
      </c>
      <c r="H618" s="7">
        <f t="shared" si="18"/>
        <v>-19.739516238059196</v>
      </c>
      <c r="I618">
        <f t="shared" si="19"/>
        <v>6</v>
      </c>
      <c r="J618" t="str" cm="1">
        <f t="array" ref="J618">INDEX($A$2:$A$7,I618)</f>
        <v>Segment 6- Self-Conscious Male</v>
      </c>
    </row>
    <row r="619" spans="1:10" x14ac:dyDescent="0.25">
      <c r="A619" s="1">
        <f>'batch tool'!A613</f>
        <v>0</v>
      </c>
      <c r="B619" s="7">
        <f>SUMPRODUCT($C$2:$X$2,'batch tool'!$B613:$W613)+$Y$2</f>
        <v>-49.12272534143483</v>
      </c>
      <c r="C619" s="7">
        <f>SUMPRODUCT($C$3:$X$3,'batch tool'!$B613:$W613)+$Y$3</f>
        <v>-36.514029388465531</v>
      </c>
      <c r="D619" s="7">
        <f>SUMPRODUCT($C$4:$X$4,'batch tool'!$B613:$W613)+$Y$4</f>
        <v>-44.639843068043824</v>
      </c>
      <c r="E619" s="7">
        <f>SUMPRODUCT($C$5:$X$5,'batch tool'!$B613:$W613)+$Y$5</f>
        <v>-51.578889182477603</v>
      </c>
      <c r="F619" s="7">
        <f>SUMPRODUCT($C$6:$X$6,'batch tool'!$B613:$W613)+$Y$6</f>
        <v>-47.741473633885199</v>
      </c>
      <c r="G619" s="7">
        <f>SUMPRODUCT($C$7:$X$7,'batch tool'!$B613:$W613)+$Y$7</f>
        <v>-19.739516238059196</v>
      </c>
      <c r="H619" s="7">
        <f t="shared" si="18"/>
        <v>-19.739516238059196</v>
      </c>
      <c r="I619">
        <f t="shared" si="19"/>
        <v>6</v>
      </c>
      <c r="J619" t="str" cm="1">
        <f t="array" ref="J619">INDEX($A$2:$A$7,I619)</f>
        <v>Segment 6- Self-Conscious Male</v>
      </c>
    </row>
    <row r="620" spans="1:10" x14ac:dyDescent="0.25">
      <c r="A620" s="1">
        <f>'batch tool'!A614</f>
        <v>0</v>
      </c>
      <c r="B620" s="7">
        <f>SUMPRODUCT($C$2:$X$2,'batch tool'!$B614:$W614)+$Y$2</f>
        <v>-49.12272534143483</v>
      </c>
      <c r="C620" s="7">
        <f>SUMPRODUCT($C$3:$X$3,'batch tool'!$B614:$W614)+$Y$3</f>
        <v>-36.514029388465531</v>
      </c>
      <c r="D620" s="7">
        <f>SUMPRODUCT($C$4:$X$4,'batch tool'!$B614:$W614)+$Y$4</f>
        <v>-44.639843068043824</v>
      </c>
      <c r="E620" s="7">
        <f>SUMPRODUCT($C$5:$X$5,'batch tool'!$B614:$W614)+$Y$5</f>
        <v>-51.578889182477603</v>
      </c>
      <c r="F620" s="7">
        <f>SUMPRODUCT($C$6:$X$6,'batch tool'!$B614:$W614)+$Y$6</f>
        <v>-47.741473633885199</v>
      </c>
      <c r="G620" s="7">
        <f>SUMPRODUCT($C$7:$X$7,'batch tool'!$B614:$W614)+$Y$7</f>
        <v>-19.739516238059196</v>
      </c>
      <c r="H620" s="7">
        <f t="shared" si="18"/>
        <v>-19.739516238059196</v>
      </c>
      <c r="I620">
        <f t="shared" si="19"/>
        <v>6</v>
      </c>
      <c r="J620" t="str" cm="1">
        <f t="array" ref="J620">INDEX($A$2:$A$7,I620)</f>
        <v>Segment 6- Self-Conscious Male</v>
      </c>
    </row>
    <row r="621" spans="1:10" x14ac:dyDescent="0.25">
      <c r="A621" s="1">
        <f>'batch tool'!A615</f>
        <v>0</v>
      </c>
      <c r="B621" s="7">
        <f>SUMPRODUCT($C$2:$X$2,'batch tool'!$B615:$W615)+$Y$2</f>
        <v>-49.12272534143483</v>
      </c>
      <c r="C621" s="7">
        <f>SUMPRODUCT($C$3:$X$3,'batch tool'!$B615:$W615)+$Y$3</f>
        <v>-36.514029388465531</v>
      </c>
      <c r="D621" s="7">
        <f>SUMPRODUCT($C$4:$X$4,'batch tool'!$B615:$W615)+$Y$4</f>
        <v>-44.639843068043824</v>
      </c>
      <c r="E621" s="7">
        <f>SUMPRODUCT($C$5:$X$5,'batch tool'!$B615:$W615)+$Y$5</f>
        <v>-51.578889182477603</v>
      </c>
      <c r="F621" s="7">
        <f>SUMPRODUCT($C$6:$X$6,'batch tool'!$B615:$W615)+$Y$6</f>
        <v>-47.741473633885199</v>
      </c>
      <c r="G621" s="7">
        <f>SUMPRODUCT($C$7:$X$7,'batch tool'!$B615:$W615)+$Y$7</f>
        <v>-19.739516238059196</v>
      </c>
      <c r="H621" s="7">
        <f t="shared" si="18"/>
        <v>-19.739516238059196</v>
      </c>
      <c r="I621">
        <f t="shared" si="19"/>
        <v>6</v>
      </c>
      <c r="J621" t="str" cm="1">
        <f t="array" ref="J621">INDEX($A$2:$A$7,I621)</f>
        <v>Segment 6- Self-Conscious Male</v>
      </c>
    </row>
    <row r="622" spans="1:10" x14ac:dyDescent="0.25">
      <c r="A622" s="1">
        <f>'batch tool'!A616</f>
        <v>0</v>
      </c>
      <c r="B622" s="7">
        <f>SUMPRODUCT($C$2:$X$2,'batch tool'!$B616:$W616)+$Y$2</f>
        <v>-49.12272534143483</v>
      </c>
      <c r="C622" s="7">
        <f>SUMPRODUCT($C$3:$X$3,'batch tool'!$B616:$W616)+$Y$3</f>
        <v>-36.514029388465531</v>
      </c>
      <c r="D622" s="7">
        <f>SUMPRODUCT($C$4:$X$4,'batch tool'!$B616:$W616)+$Y$4</f>
        <v>-44.639843068043824</v>
      </c>
      <c r="E622" s="7">
        <f>SUMPRODUCT($C$5:$X$5,'batch tool'!$B616:$W616)+$Y$5</f>
        <v>-51.578889182477603</v>
      </c>
      <c r="F622" s="7">
        <f>SUMPRODUCT($C$6:$X$6,'batch tool'!$B616:$W616)+$Y$6</f>
        <v>-47.741473633885199</v>
      </c>
      <c r="G622" s="7">
        <f>SUMPRODUCT($C$7:$X$7,'batch tool'!$B616:$W616)+$Y$7</f>
        <v>-19.739516238059196</v>
      </c>
      <c r="H622" s="7">
        <f t="shared" si="18"/>
        <v>-19.739516238059196</v>
      </c>
      <c r="I622">
        <f t="shared" si="19"/>
        <v>6</v>
      </c>
      <c r="J622" t="str" cm="1">
        <f t="array" ref="J622">INDEX($A$2:$A$7,I622)</f>
        <v>Segment 6- Self-Conscious Male</v>
      </c>
    </row>
    <row r="623" spans="1:10" x14ac:dyDescent="0.25">
      <c r="A623" s="1">
        <f>'batch tool'!A617</f>
        <v>0</v>
      </c>
      <c r="B623" s="7">
        <f>SUMPRODUCT($C$2:$X$2,'batch tool'!$B617:$W617)+$Y$2</f>
        <v>-49.12272534143483</v>
      </c>
      <c r="C623" s="7">
        <f>SUMPRODUCT($C$3:$X$3,'batch tool'!$B617:$W617)+$Y$3</f>
        <v>-36.514029388465531</v>
      </c>
      <c r="D623" s="7">
        <f>SUMPRODUCT($C$4:$X$4,'batch tool'!$B617:$W617)+$Y$4</f>
        <v>-44.639843068043824</v>
      </c>
      <c r="E623" s="7">
        <f>SUMPRODUCT($C$5:$X$5,'batch tool'!$B617:$W617)+$Y$5</f>
        <v>-51.578889182477603</v>
      </c>
      <c r="F623" s="7">
        <f>SUMPRODUCT($C$6:$X$6,'batch tool'!$B617:$W617)+$Y$6</f>
        <v>-47.741473633885199</v>
      </c>
      <c r="G623" s="7">
        <f>SUMPRODUCT($C$7:$X$7,'batch tool'!$B617:$W617)+$Y$7</f>
        <v>-19.739516238059196</v>
      </c>
      <c r="H623" s="7">
        <f t="shared" si="18"/>
        <v>-19.739516238059196</v>
      </c>
      <c r="I623">
        <f t="shared" si="19"/>
        <v>6</v>
      </c>
      <c r="J623" t="str" cm="1">
        <f t="array" ref="J623">INDEX($A$2:$A$7,I623)</f>
        <v>Segment 6- Self-Conscious Male</v>
      </c>
    </row>
    <row r="624" spans="1:10" x14ac:dyDescent="0.25">
      <c r="A624" s="1">
        <f>'batch tool'!A618</f>
        <v>0</v>
      </c>
      <c r="B624" s="7">
        <f>SUMPRODUCT($C$2:$X$2,'batch tool'!$B618:$W618)+$Y$2</f>
        <v>-49.12272534143483</v>
      </c>
      <c r="C624" s="7">
        <f>SUMPRODUCT($C$3:$X$3,'batch tool'!$B618:$W618)+$Y$3</f>
        <v>-36.514029388465531</v>
      </c>
      <c r="D624" s="7">
        <f>SUMPRODUCT($C$4:$X$4,'batch tool'!$B618:$W618)+$Y$4</f>
        <v>-44.639843068043824</v>
      </c>
      <c r="E624" s="7">
        <f>SUMPRODUCT($C$5:$X$5,'batch tool'!$B618:$W618)+$Y$5</f>
        <v>-51.578889182477603</v>
      </c>
      <c r="F624" s="7">
        <f>SUMPRODUCT($C$6:$X$6,'batch tool'!$B618:$W618)+$Y$6</f>
        <v>-47.741473633885199</v>
      </c>
      <c r="G624" s="7">
        <f>SUMPRODUCT($C$7:$X$7,'batch tool'!$B618:$W618)+$Y$7</f>
        <v>-19.739516238059196</v>
      </c>
      <c r="H624" s="7">
        <f t="shared" si="18"/>
        <v>-19.739516238059196</v>
      </c>
      <c r="I624">
        <f t="shared" si="19"/>
        <v>6</v>
      </c>
      <c r="J624" t="str" cm="1">
        <f t="array" ref="J624">INDEX($A$2:$A$7,I624)</f>
        <v>Segment 6- Self-Conscious Male</v>
      </c>
    </row>
    <row r="625" spans="1:10" x14ac:dyDescent="0.25">
      <c r="A625" s="1">
        <f>'batch tool'!A619</f>
        <v>0</v>
      </c>
      <c r="B625" s="7">
        <f>SUMPRODUCT($C$2:$X$2,'batch tool'!$B619:$W619)+$Y$2</f>
        <v>-49.12272534143483</v>
      </c>
      <c r="C625" s="7">
        <f>SUMPRODUCT($C$3:$X$3,'batch tool'!$B619:$W619)+$Y$3</f>
        <v>-36.514029388465531</v>
      </c>
      <c r="D625" s="7">
        <f>SUMPRODUCT($C$4:$X$4,'batch tool'!$B619:$W619)+$Y$4</f>
        <v>-44.639843068043824</v>
      </c>
      <c r="E625" s="7">
        <f>SUMPRODUCT($C$5:$X$5,'batch tool'!$B619:$W619)+$Y$5</f>
        <v>-51.578889182477603</v>
      </c>
      <c r="F625" s="7">
        <f>SUMPRODUCT($C$6:$X$6,'batch tool'!$B619:$W619)+$Y$6</f>
        <v>-47.741473633885199</v>
      </c>
      <c r="G625" s="7">
        <f>SUMPRODUCT($C$7:$X$7,'batch tool'!$B619:$W619)+$Y$7</f>
        <v>-19.739516238059196</v>
      </c>
      <c r="H625" s="7">
        <f t="shared" si="18"/>
        <v>-19.739516238059196</v>
      </c>
      <c r="I625">
        <f t="shared" si="19"/>
        <v>6</v>
      </c>
      <c r="J625" t="str" cm="1">
        <f t="array" ref="J625">INDEX($A$2:$A$7,I625)</f>
        <v>Segment 6- Self-Conscious Male</v>
      </c>
    </row>
    <row r="626" spans="1:10" x14ac:dyDescent="0.25">
      <c r="A626" s="1">
        <f>'batch tool'!A620</f>
        <v>0</v>
      </c>
      <c r="B626" s="7">
        <f>SUMPRODUCT($C$2:$X$2,'batch tool'!$B620:$W620)+$Y$2</f>
        <v>-49.12272534143483</v>
      </c>
      <c r="C626" s="7">
        <f>SUMPRODUCT($C$3:$X$3,'batch tool'!$B620:$W620)+$Y$3</f>
        <v>-36.514029388465531</v>
      </c>
      <c r="D626" s="7">
        <f>SUMPRODUCT($C$4:$X$4,'batch tool'!$B620:$W620)+$Y$4</f>
        <v>-44.639843068043824</v>
      </c>
      <c r="E626" s="7">
        <f>SUMPRODUCT($C$5:$X$5,'batch tool'!$B620:$W620)+$Y$5</f>
        <v>-51.578889182477603</v>
      </c>
      <c r="F626" s="7">
        <f>SUMPRODUCT($C$6:$X$6,'batch tool'!$B620:$W620)+$Y$6</f>
        <v>-47.741473633885199</v>
      </c>
      <c r="G626" s="7">
        <f>SUMPRODUCT($C$7:$X$7,'batch tool'!$B620:$W620)+$Y$7</f>
        <v>-19.739516238059196</v>
      </c>
      <c r="H626" s="7">
        <f t="shared" si="18"/>
        <v>-19.739516238059196</v>
      </c>
      <c r="I626">
        <f t="shared" si="19"/>
        <v>6</v>
      </c>
      <c r="J626" t="str" cm="1">
        <f t="array" ref="J626">INDEX($A$2:$A$7,I626)</f>
        <v>Segment 6- Self-Conscious Male</v>
      </c>
    </row>
    <row r="627" spans="1:10" x14ac:dyDescent="0.25">
      <c r="A627" s="1">
        <f>'batch tool'!A621</f>
        <v>0</v>
      </c>
      <c r="B627" s="7">
        <f>SUMPRODUCT($C$2:$X$2,'batch tool'!$B621:$W621)+$Y$2</f>
        <v>-49.12272534143483</v>
      </c>
      <c r="C627" s="7">
        <f>SUMPRODUCT($C$3:$X$3,'batch tool'!$B621:$W621)+$Y$3</f>
        <v>-36.514029388465531</v>
      </c>
      <c r="D627" s="7">
        <f>SUMPRODUCT($C$4:$X$4,'batch tool'!$B621:$W621)+$Y$4</f>
        <v>-44.639843068043824</v>
      </c>
      <c r="E627" s="7">
        <f>SUMPRODUCT($C$5:$X$5,'batch tool'!$B621:$W621)+$Y$5</f>
        <v>-51.578889182477603</v>
      </c>
      <c r="F627" s="7">
        <f>SUMPRODUCT($C$6:$X$6,'batch tool'!$B621:$W621)+$Y$6</f>
        <v>-47.741473633885199</v>
      </c>
      <c r="G627" s="7">
        <f>SUMPRODUCT($C$7:$X$7,'batch tool'!$B621:$W621)+$Y$7</f>
        <v>-19.739516238059196</v>
      </c>
      <c r="H627" s="7">
        <f t="shared" si="18"/>
        <v>-19.739516238059196</v>
      </c>
      <c r="I627">
        <f t="shared" si="19"/>
        <v>6</v>
      </c>
      <c r="J627" t="str" cm="1">
        <f t="array" ref="J627">INDEX($A$2:$A$7,I627)</f>
        <v>Segment 6- Self-Conscious Male</v>
      </c>
    </row>
    <row r="628" spans="1:10" x14ac:dyDescent="0.25">
      <c r="A628" s="1">
        <f>'batch tool'!A622</f>
        <v>0</v>
      </c>
      <c r="B628" s="7">
        <f>SUMPRODUCT($C$2:$X$2,'batch tool'!$B622:$W622)+$Y$2</f>
        <v>-49.12272534143483</v>
      </c>
      <c r="C628" s="7">
        <f>SUMPRODUCT($C$3:$X$3,'batch tool'!$B622:$W622)+$Y$3</f>
        <v>-36.514029388465531</v>
      </c>
      <c r="D628" s="7">
        <f>SUMPRODUCT($C$4:$X$4,'batch tool'!$B622:$W622)+$Y$4</f>
        <v>-44.639843068043824</v>
      </c>
      <c r="E628" s="7">
        <f>SUMPRODUCT($C$5:$X$5,'batch tool'!$B622:$W622)+$Y$5</f>
        <v>-51.578889182477603</v>
      </c>
      <c r="F628" s="7">
        <f>SUMPRODUCT($C$6:$X$6,'batch tool'!$B622:$W622)+$Y$6</f>
        <v>-47.741473633885199</v>
      </c>
      <c r="G628" s="7">
        <f>SUMPRODUCT($C$7:$X$7,'batch tool'!$B622:$W622)+$Y$7</f>
        <v>-19.739516238059196</v>
      </c>
      <c r="H628" s="7">
        <f t="shared" si="18"/>
        <v>-19.739516238059196</v>
      </c>
      <c r="I628">
        <f t="shared" si="19"/>
        <v>6</v>
      </c>
      <c r="J628" t="str" cm="1">
        <f t="array" ref="J628">INDEX($A$2:$A$7,I628)</f>
        <v>Segment 6- Self-Conscious Male</v>
      </c>
    </row>
    <row r="629" spans="1:10" x14ac:dyDescent="0.25">
      <c r="A629" s="1">
        <f>'batch tool'!A623</f>
        <v>0</v>
      </c>
      <c r="B629" s="7">
        <f>SUMPRODUCT($C$2:$X$2,'batch tool'!$B623:$W623)+$Y$2</f>
        <v>-49.12272534143483</v>
      </c>
      <c r="C629" s="7">
        <f>SUMPRODUCT($C$3:$X$3,'batch tool'!$B623:$W623)+$Y$3</f>
        <v>-36.514029388465531</v>
      </c>
      <c r="D629" s="7">
        <f>SUMPRODUCT($C$4:$X$4,'batch tool'!$B623:$W623)+$Y$4</f>
        <v>-44.639843068043824</v>
      </c>
      <c r="E629" s="7">
        <f>SUMPRODUCT($C$5:$X$5,'batch tool'!$B623:$W623)+$Y$5</f>
        <v>-51.578889182477603</v>
      </c>
      <c r="F629" s="7">
        <f>SUMPRODUCT($C$6:$X$6,'batch tool'!$B623:$W623)+$Y$6</f>
        <v>-47.741473633885199</v>
      </c>
      <c r="G629" s="7">
        <f>SUMPRODUCT($C$7:$X$7,'batch tool'!$B623:$W623)+$Y$7</f>
        <v>-19.739516238059196</v>
      </c>
      <c r="H629" s="7">
        <f t="shared" si="18"/>
        <v>-19.739516238059196</v>
      </c>
      <c r="I629">
        <f t="shared" si="19"/>
        <v>6</v>
      </c>
      <c r="J629" t="str" cm="1">
        <f t="array" ref="J629">INDEX($A$2:$A$7,I629)</f>
        <v>Segment 6- Self-Conscious Male</v>
      </c>
    </row>
    <row r="630" spans="1:10" x14ac:dyDescent="0.25">
      <c r="A630" s="1">
        <f>'batch tool'!A624</f>
        <v>0</v>
      </c>
      <c r="B630" s="7">
        <f>SUMPRODUCT($C$2:$X$2,'batch tool'!$B624:$W624)+$Y$2</f>
        <v>-49.12272534143483</v>
      </c>
      <c r="C630" s="7">
        <f>SUMPRODUCT($C$3:$X$3,'batch tool'!$B624:$W624)+$Y$3</f>
        <v>-36.514029388465531</v>
      </c>
      <c r="D630" s="7">
        <f>SUMPRODUCT($C$4:$X$4,'batch tool'!$B624:$W624)+$Y$4</f>
        <v>-44.639843068043824</v>
      </c>
      <c r="E630" s="7">
        <f>SUMPRODUCT($C$5:$X$5,'batch tool'!$B624:$W624)+$Y$5</f>
        <v>-51.578889182477603</v>
      </c>
      <c r="F630" s="7">
        <f>SUMPRODUCT($C$6:$X$6,'batch tool'!$B624:$W624)+$Y$6</f>
        <v>-47.741473633885199</v>
      </c>
      <c r="G630" s="7">
        <f>SUMPRODUCT($C$7:$X$7,'batch tool'!$B624:$W624)+$Y$7</f>
        <v>-19.739516238059196</v>
      </c>
      <c r="H630" s="7">
        <f t="shared" si="18"/>
        <v>-19.739516238059196</v>
      </c>
      <c r="I630">
        <f t="shared" si="19"/>
        <v>6</v>
      </c>
      <c r="J630" t="str" cm="1">
        <f t="array" ref="J630">INDEX($A$2:$A$7,I630)</f>
        <v>Segment 6- Self-Conscious Male</v>
      </c>
    </row>
    <row r="631" spans="1:10" x14ac:dyDescent="0.25">
      <c r="A631" s="1">
        <f>'batch tool'!A625</f>
        <v>0</v>
      </c>
      <c r="B631" s="7">
        <f>SUMPRODUCT($C$2:$X$2,'batch tool'!$B625:$W625)+$Y$2</f>
        <v>-49.12272534143483</v>
      </c>
      <c r="C631" s="7">
        <f>SUMPRODUCT($C$3:$X$3,'batch tool'!$B625:$W625)+$Y$3</f>
        <v>-36.514029388465531</v>
      </c>
      <c r="D631" s="7">
        <f>SUMPRODUCT($C$4:$X$4,'batch tool'!$B625:$W625)+$Y$4</f>
        <v>-44.639843068043824</v>
      </c>
      <c r="E631" s="7">
        <f>SUMPRODUCT($C$5:$X$5,'batch tool'!$B625:$W625)+$Y$5</f>
        <v>-51.578889182477603</v>
      </c>
      <c r="F631" s="7">
        <f>SUMPRODUCT($C$6:$X$6,'batch tool'!$B625:$W625)+$Y$6</f>
        <v>-47.741473633885199</v>
      </c>
      <c r="G631" s="7">
        <f>SUMPRODUCT($C$7:$X$7,'batch tool'!$B625:$W625)+$Y$7</f>
        <v>-19.739516238059196</v>
      </c>
      <c r="H631" s="7">
        <f t="shared" si="18"/>
        <v>-19.739516238059196</v>
      </c>
      <c r="I631">
        <f t="shared" si="19"/>
        <v>6</v>
      </c>
      <c r="J631" t="str" cm="1">
        <f t="array" ref="J631">INDEX($A$2:$A$7,I631)</f>
        <v>Segment 6- Self-Conscious Male</v>
      </c>
    </row>
    <row r="632" spans="1:10" x14ac:dyDescent="0.25">
      <c r="A632" s="1">
        <f>'batch tool'!A626</f>
        <v>0</v>
      </c>
      <c r="B632" s="7">
        <f>SUMPRODUCT($C$2:$X$2,'batch tool'!$B626:$W626)+$Y$2</f>
        <v>-49.12272534143483</v>
      </c>
      <c r="C632" s="7">
        <f>SUMPRODUCT($C$3:$X$3,'batch tool'!$B626:$W626)+$Y$3</f>
        <v>-36.514029388465531</v>
      </c>
      <c r="D632" s="7">
        <f>SUMPRODUCT($C$4:$X$4,'batch tool'!$B626:$W626)+$Y$4</f>
        <v>-44.639843068043824</v>
      </c>
      <c r="E632" s="7">
        <f>SUMPRODUCT($C$5:$X$5,'batch tool'!$B626:$W626)+$Y$5</f>
        <v>-51.578889182477603</v>
      </c>
      <c r="F632" s="7">
        <f>SUMPRODUCT($C$6:$X$6,'batch tool'!$B626:$W626)+$Y$6</f>
        <v>-47.741473633885199</v>
      </c>
      <c r="G632" s="7">
        <f>SUMPRODUCT($C$7:$X$7,'batch tool'!$B626:$W626)+$Y$7</f>
        <v>-19.739516238059196</v>
      </c>
      <c r="H632" s="7">
        <f t="shared" si="18"/>
        <v>-19.739516238059196</v>
      </c>
      <c r="I632">
        <f t="shared" si="19"/>
        <v>6</v>
      </c>
      <c r="J632" t="str" cm="1">
        <f t="array" ref="J632">INDEX($A$2:$A$7,I632)</f>
        <v>Segment 6- Self-Conscious Male</v>
      </c>
    </row>
    <row r="633" spans="1:10" x14ac:dyDescent="0.25">
      <c r="A633" s="1">
        <f>'batch tool'!A627</f>
        <v>0</v>
      </c>
      <c r="B633" s="7">
        <f>SUMPRODUCT($C$2:$X$2,'batch tool'!$B627:$W627)+$Y$2</f>
        <v>-49.12272534143483</v>
      </c>
      <c r="C633" s="7">
        <f>SUMPRODUCT($C$3:$X$3,'batch tool'!$B627:$W627)+$Y$3</f>
        <v>-36.514029388465531</v>
      </c>
      <c r="D633" s="7">
        <f>SUMPRODUCT($C$4:$X$4,'batch tool'!$B627:$W627)+$Y$4</f>
        <v>-44.639843068043824</v>
      </c>
      <c r="E633" s="7">
        <f>SUMPRODUCT($C$5:$X$5,'batch tool'!$B627:$W627)+$Y$5</f>
        <v>-51.578889182477603</v>
      </c>
      <c r="F633" s="7">
        <f>SUMPRODUCT($C$6:$X$6,'batch tool'!$B627:$W627)+$Y$6</f>
        <v>-47.741473633885199</v>
      </c>
      <c r="G633" s="7">
        <f>SUMPRODUCT($C$7:$X$7,'batch tool'!$B627:$W627)+$Y$7</f>
        <v>-19.739516238059196</v>
      </c>
      <c r="H633" s="7">
        <f t="shared" si="18"/>
        <v>-19.739516238059196</v>
      </c>
      <c r="I633">
        <f t="shared" si="19"/>
        <v>6</v>
      </c>
      <c r="J633" t="str" cm="1">
        <f t="array" ref="J633">INDEX($A$2:$A$7,I633)</f>
        <v>Segment 6- Self-Conscious Male</v>
      </c>
    </row>
    <row r="634" spans="1:10" x14ac:dyDescent="0.25">
      <c r="A634" s="1">
        <f>'batch tool'!A628</f>
        <v>0</v>
      </c>
      <c r="B634" s="7">
        <f>SUMPRODUCT($C$2:$X$2,'batch tool'!$B628:$W628)+$Y$2</f>
        <v>-49.12272534143483</v>
      </c>
      <c r="C634" s="7">
        <f>SUMPRODUCT($C$3:$X$3,'batch tool'!$B628:$W628)+$Y$3</f>
        <v>-36.514029388465531</v>
      </c>
      <c r="D634" s="7">
        <f>SUMPRODUCT($C$4:$X$4,'batch tool'!$B628:$W628)+$Y$4</f>
        <v>-44.639843068043824</v>
      </c>
      <c r="E634" s="7">
        <f>SUMPRODUCT($C$5:$X$5,'batch tool'!$B628:$W628)+$Y$5</f>
        <v>-51.578889182477603</v>
      </c>
      <c r="F634" s="7">
        <f>SUMPRODUCT($C$6:$X$6,'batch tool'!$B628:$W628)+$Y$6</f>
        <v>-47.741473633885199</v>
      </c>
      <c r="G634" s="7">
        <f>SUMPRODUCT($C$7:$X$7,'batch tool'!$B628:$W628)+$Y$7</f>
        <v>-19.739516238059196</v>
      </c>
      <c r="H634" s="7">
        <f t="shared" si="18"/>
        <v>-19.739516238059196</v>
      </c>
      <c r="I634">
        <f t="shared" si="19"/>
        <v>6</v>
      </c>
      <c r="J634" t="str" cm="1">
        <f t="array" ref="J634">INDEX($A$2:$A$7,I634)</f>
        <v>Segment 6- Self-Conscious Male</v>
      </c>
    </row>
    <row r="635" spans="1:10" x14ac:dyDescent="0.25">
      <c r="A635" s="1">
        <f>'batch tool'!A629</f>
        <v>0</v>
      </c>
      <c r="B635" s="7">
        <f>SUMPRODUCT($C$2:$X$2,'batch tool'!$B629:$W629)+$Y$2</f>
        <v>-49.12272534143483</v>
      </c>
      <c r="C635" s="7">
        <f>SUMPRODUCT($C$3:$X$3,'batch tool'!$B629:$W629)+$Y$3</f>
        <v>-36.514029388465531</v>
      </c>
      <c r="D635" s="7">
        <f>SUMPRODUCT($C$4:$X$4,'batch tool'!$B629:$W629)+$Y$4</f>
        <v>-44.639843068043824</v>
      </c>
      <c r="E635" s="7">
        <f>SUMPRODUCT($C$5:$X$5,'batch tool'!$B629:$W629)+$Y$5</f>
        <v>-51.578889182477603</v>
      </c>
      <c r="F635" s="7">
        <f>SUMPRODUCT($C$6:$X$6,'batch tool'!$B629:$W629)+$Y$6</f>
        <v>-47.741473633885199</v>
      </c>
      <c r="G635" s="7">
        <f>SUMPRODUCT($C$7:$X$7,'batch tool'!$B629:$W629)+$Y$7</f>
        <v>-19.739516238059196</v>
      </c>
      <c r="H635" s="7">
        <f t="shared" si="18"/>
        <v>-19.739516238059196</v>
      </c>
      <c r="I635">
        <f t="shared" si="19"/>
        <v>6</v>
      </c>
      <c r="J635" t="str" cm="1">
        <f t="array" ref="J635">INDEX($A$2:$A$7,I635)</f>
        <v>Segment 6- Self-Conscious Male</v>
      </c>
    </row>
    <row r="636" spans="1:10" x14ac:dyDescent="0.25">
      <c r="A636" s="1">
        <f>'batch tool'!A630</f>
        <v>0</v>
      </c>
      <c r="B636" s="7">
        <f>SUMPRODUCT($C$2:$X$2,'batch tool'!$B630:$W630)+$Y$2</f>
        <v>-49.12272534143483</v>
      </c>
      <c r="C636" s="7">
        <f>SUMPRODUCT($C$3:$X$3,'batch tool'!$B630:$W630)+$Y$3</f>
        <v>-36.514029388465531</v>
      </c>
      <c r="D636" s="7">
        <f>SUMPRODUCT($C$4:$X$4,'batch tool'!$B630:$W630)+$Y$4</f>
        <v>-44.639843068043824</v>
      </c>
      <c r="E636" s="7">
        <f>SUMPRODUCT($C$5:$X$5,'batch tool'!$B630:$W630)+$Y$5</f>
        <v>-51.578889182477603</v>
      </c>
      <c r="F636" s="7">
        <f>SUMPRODUCT($C$6:$X$6,'batch tool'!$B630:$W630)+$Y$6</f>
        <v>-47.741473633885199</v>
      </c>
      <c r="G636" s="7">
        <f>SUMPRODUCT($C$7:$X$7,'batch tool'!$B630:$W630)+$Y$7</f>
        <v>-19.739516238059196</v>
      </c>
      <c r="H636" s="7">
        <f t="shared" si="18"/>
        <v>-19.739516238059196</v>
      </c>
      <c r="I636">
        <f t="shared" si="19"/>
        <v>6</v>
      </c>
      <c r="J636" t="str" cm="1">
        <f t="array" ref="J636">INDEX($A$2:$A$7,I636)</f>
        <v>Segment 6- Self-Conscious Male</v>
      </c>
    </row>
    <row r="637" spans="1:10" x14ac:dyDescent="0.25">
      <c r="A637" s="1">
        <f>'batch tool'!A631</f>
        <v>0</v>
      </c>
      <c r="B637" s="7">
        <f>SUMPRODUCT($C$2:$X$2,'batch tool'!$B631:$W631)+$Y$2</f>
        <v>-49.12272534143483</v>
      </c>
      <c r="C637" s="7">
        <f>SUMPRODUCT($C$3:$X$3,'batch tool'!$B631:$W631)+$Y$3</f>
        <v>-36.514029388465531</v>
      </c>
      <c r="D637" s="7">
        <f>SUMPRODUCT($C$4:$X$4,'batch tool'!$B631:$W631)+$Y$4</f>
        <v>-44.639843068043824</v>
      </c>
      <c r="E637" s="7">
        <f>SUMPRODUCT($C$5:$X$5,'batch tool'!$B631:$W631)+$Y$5</f>
        <v>-51.578889182477603</v>
      </c>
      <c r="F637" s="7">
        <f>SUMPRODUCT($C$6:$X$6,'batch tool'!$B631:$W631)+$Y$6</f>
        <v>-47.741473633885199</v>
      </c>
      <c r="G637" s="7">
        <f>SUMPRODUCT($C$7:$X$7,'batch tool'!$B631:$W631)+$Y$7</f>
        <v>-19.739516238059196</v>
      </c>
      <c r="H637" s="7">
        <f t="shared" si="18"/>
        <v>-19.739516238059196</v>
      </c>
      <c r="I637">
        <f t="shared" si="19"/>
        <v>6</v>
      </c>
      <c r="J637" t="str" cm="1">
        <f t="array" ref="J637">INDEX($A$2:$A$7,I637)</f>
        <v>Segment 6- Self-Conscious Male</v>
      </c>
    </row>
    <row r="638" spans="1:10" x14ac:dyDescent="0.25">
      <c r="A638" s="1">
        <f>'batch tool'!A632</f>
        <v>0</v>
      </c>
      <c r="B638" s="7">
        <f>SUMPRODUCT($C$2:$X$2,'batch tool'!$B632:$W632)+$Y$2</f>
        <v>-49.12272534143483</v>
      </c>
      <c r="C638" s="7">
        <f>SUMPRODUCT($C$3:$X$3,'batch tool'!$B632:$W632)+$Y$3</f>
        <v>-36.514029388465531</v>
      </c>
      <c r="D638" s="7">
        <f>SUMPRODUCT($C$4:$X$4,'batch tool'!$B632:$W632)+$Y$4</f>
        <v>-44.639843068043824</v>
      </c>
      <c r="E638" s="7">
        <f>SUMPRODUCT($C$5:$X$5,'batch tool'!$B632:$W632)+$Y$5</f>
        <v>-51.578889182477603</v>
      </c>
      <c r="F638" s="7">
        <f>SUMPRODUCT($C$6:$X$6,'batch tool'!$B632:$W632)+$Y$6</f>
        <v>-47.741473633885199</v>
      </c>
      <c r="G638" s="7">
        <f>SUMPRODUCT($C$7:$X$7,'batch tool'!$B632:$W632)+$Y$7</f>
        <v>-19.739516238059196</v>
      </c>
      <c r="H638" s="7">
        <f t="shared" si="18"/>
        <v>-19.739516238059196</v>
      </c>
      <c r="I638">
        <f t="shared" si="19"/>
        <v>6</v>
      </c>
      <c r="J638" t="str" cm="1">
        <f t="array" ref="J638">INDEX($A$2:$A$7,I638)</f>
        <v>Segment 6- Self-Conscious Male</v>
      </c>
    </row>
    <row r="639" spans="1:10" x14ac:dyDescent="0.25">
      <c r="A639" s="1">
        <f>'batch tool'!A633</f>
        <v>0</v>
      </c>
      <c r="B639" s="7">
        <f>SUMPRODUCT($C$2:$X$2,'batch tool'!$B633:$W633)+$Y$2</f>
        <v>-49.12272534143483</v>
      </c>
      <c r="C639" s="7">
        <f>SUMPRODUCT($C$3:$X$3,'batch tool'!$B633:$W633)+$Y$3</f>
        <v>-36.514029388465531</v>
      </c>
      <c r="D639" s="7">
        <f>SUMPRODUCT($C$4:$X$4,'batch tool'!$B633:$W633)+$Y$4</f>
        <v>-44.639843068043824</v>
      </c>
      <c r="E639" s="7">
        <f>SUMPRODUCT($C$5:$X$5,'batch tool'!$B633:$W633)+$Y$5</f>
        <v>-51.578889182477603</v>
      </c>
      <c r="F639" s="7">
        <f>SUMPRODUCT($C$6:$X$6,'batch tool'!$B633:$W633)+$Y$6</f>
        <v>-47.741473633885199</v>
      </c>
      <c r="G639" s="7">
        <f>SUMPRODUCT($C$7:$X$7,'batch tool'!$B633:$W633)+$Y$7</f>
        <v>-19.739516238059196</v>
      </c>
      <c r="H639" s="7">
        <f t="shared" si="18"/>
        <v>-19.739516238059196</v>
      </c>
      <c r="I639">
        <f t="shared" si="19"/>
        <v>6</v>
      </c>
      <c r="J639" t="str" cm="1">
        <f t="array" ref="J639">INDEX($A$2:$A$7,I639)</f>
        <v>Segment 6- Self-Conscious Male</v>
      </c>
    </row>
    <row r="640" spans="1:10" x14ac:dyDescent="0.25">
      <c r="A640" s="1">
        <f>'batch tool'!A634</f>
        <v>0</v>
      </c>
      <c r="B640" s="7">
        <f>SUMPRODUCT($C$2:$X$2,'batch tool'!$B634:$W634)+$Y$2</f>
        <v>-49.12272534143483</v>
      </c>
      <c r="C640" s="7">
        <f>SUMPRODUCT($C$3:$X$3,'batch tool'!$B634:$W634)+$Y$3</f>
        <v>-36.514029388465531</v>
      </c>
      <c r="D640" s="7">
        <f>SUMPRODUCT($C$4:$X$4,'batch tool'!$B634:$W634)+$Y$4</f>
        <v>-44.639843068043824</v>
      </c>
      <c r="E640" s="7">
        <f>SUMPRODUCT($C$5:$X$5,'batch tool'!$B634:$W634)+$Y$5</f>
        <v>-51.578889182477603</v>
      </c>
      <c r="F640" s="7">
        <f>SUMPRODUCT($C$6:$X$6,'batch tool'!$B634:$W634)+$Y$6</f>
        <v>-47.741473633885199</v>
      </c>
      <c r="G640" s="7">
        <f>SUMPRODUCT($C$7:$X$7,'batch tool'!$B634:$W634)+$Y$7</f>
        <v>-19.739516238059196</v>
      </c>
      <c r="H640" s="7">
        <f t="shared" si="18"/>
        <v>-19.739516238059196</v>
      </c>
      <c r="I640">
        <f t="shared" si="19"/>
        <v>6</v>
      </c>
      <c r="J640" t="str" cm="1">
        <f t="array" ref="J640">INDEX($A$2:$A$7,I640)</f>
        <v>Segment 6- Self-Conscious Male</v>
      </c>
    </row>
    <row r="641" spans="1:10" x14ac:dyDescent="0.25">
      <c r="A641" s="1">
        <f>'batch tool'!A635</f>
        <v>0</v>
      </c>
      <c r="B641" s="7">
        <f>SUMPRODUCT($C$2:$X$2,'batch tool'!$B635:$W635)+$Y$2</f>
        <v>-49.12272534143483</v>
      </c>
      <c r="C641" s="7">
        <f>SUMPRODUCT($C$3:$X$3,'batch tool'!$B635:$W635)+$Y$3</f>
        <v>-36.514029388465531</v>
      </c>
      <c r="D641" s="7">
        <f>SUMPRODUCT($C$4:$X$4,'batch tool'!$B635:$W635)+$Y$4</f>
        <v>-44.639843068043824</v>
      </c>
      <c r="E641" s="7">
        <f>SUMPRODUCT($C$5:$X$5,'batch tool'!$B635:$W635)+$Y$5</f>
        <v>-51.578889182477603</v>
      </c>
      <c r="F641" s="7">
        <f>SUMPRODUCT($C$6:$X$6,'batch tool'!$B635:$W635)+$Y$6</f>
        <v>-47.741473633885199</v>
      </c>
      <c r="G641" s="7">
        <f>SUMPRODUCT($C$7:$X$7,'batch tool'!$B635:$W635)+$Y$7</f>
        <v>-19.739516238059196</v>
      </c>
      <c r="H641" s="7">
        <f t="shared" si="18"/>
        <v>-19.739516238059196</v>
      </c>
      <c r="I641">
        <f t="shared" si="19"/>
        <v>6</v>
      </c>
      <c r="J641" t="str" cm="1">
        <f t="array" ref="J641">INDEX($A$2:$A$7,I641)</f>
        <v>Segment 6- Self-Conscious Male</v>
      </c>
    </row>
    <row r="642" spans="1:10" x14ac:dyDescent="0.25">
      <c r="A642" s="1">
        <f>'batch tool'!A636</f>
        <v>0</v>
      </c>
      <c r="B642" s="7">
        <f>SUMPRODUCT($C$2:$X$2,'batch tool'!$B636:$W636)+$Y$2</f>
        <v>-49.12272534143483</v>
      </c>
      <c r="C642" s="7">
        <f>SUMPRODUCT($C$3:$X$3,'batch tool'!$B636:$W636)+$Y$3</f>
        <v>-36.514029388465531</v>
      </c>
      <c r="D642" s="7">
        <f>SUMPRODUCT($C$4:$X$4,'batch tool'!$B636:$W636)+$Y$4</f>
        <v>-44.639843068043824</v>
      </c>
      <c r="E642" s="7">
        <f>SUMPRODUCT($C$5:$X$5,'batch tool'!$B636:$W636)+$Y$5</f>
        <v>-51.578889182477603</v>
      </c>
      <c r="F642" s="7">
        <f>SUMPRODUCT($C$6:$X$6,'batch tool'!$B636:$W636)+$Y$6</f>
        <v>-47.741473633885199</v>
      </c>
      <c r="G642" s="7">
        <f>SUMPRODUCT($C$7:$X$7,'batch tool'!$B636:$W636)+$Y$7</f>
        <v>-19.739516238059196</v>
      </c>
      <c r="H642" s="7">
        <f t="shared" si="18"/>
        <v>-19.739516238059196</v>
      </c>
      <c r="I642">
        <f t="shared" si="19"/>
        <v>6</v>
      </c>
      <c r="J642" t="str" cm="1">
        <f t="array" ref="J642">INDEX($A$2:$A$7,I642)</f>
        <v>Segment 6- Self-Conscious Male</v>
      </c>
    </row>
    <row r="643" spans="1:10" x14ac:dyDescent="0.25">
      <c r="A643" s="1">
        <f>'batch tool'!A637</f>
        <v>0</v>
      </c>
      <c r="B643" s="7">
        <f>SUMPRODUCT($C$2:$X$2,'batch tool'!$B637:$W637)+$Y$2</f>
        <v>-49.12272534143483</v>
      </c>
      <c r="C643" s="7">
        <f>SUMPRODUCT($C$3:$X$3,'batch tool'!$B637:$W637)+$Y$3</f>
        <v>-36.514029388465531</v>
      </c>
      <c r="D643" s="7">
        <f>SUMPRODUCT($C$4:$X$4,'batch tool'!$B637:$W637)+$Y$4</f>
        <v>-44.639843068043824</v>
      </c>
      <c r="E643" s="7">
        <f>SUMPRODUCT($C$5:$X$5,'batch tool'!$B637:$W637)+$Y$5</f>
        <v>-51.578889182477603</v>
      </c>
      <c r="F643" s="7">
        <f>SUMPRODUCT($C$6:$X$6,'batch tool'!$B637:$W637)+$Y$6</f>
        <v>-47.741473633885199</v>
      </c>
      <c r="G643" s="7">
        <f>SUMPRODUCT($C$7:$X$7,'batch tool'!$B637:$W637)+$Y$7</f>
        <v>-19.739516238059196</v>
      </c>
      <c r="H643" s="7">
        <f t="shared" si="18"/>
        <v>-19.739516238059196</v>
      </c>
      <c r="I643">
        <f t="shared" si="19"/>
        <v>6</v>
      </c>
      <c r="J643" t="str" cm="1">
        <f t="array" ref="J643">INDEX($A$2:$A$7,I643)</f>
        <v>Segment 6- Self-Conscious Male</v>
      </c>
    </row>
    <row r="644" spans="1:10" x14ac:dyDescent="0.25">
      <c r="A644" s="1">
        <f>'batch tool'!A638</f>
        <v>0</v>
      </c>
      <c r="B644" s="7">
        <f>SUMPRODUCT($C$2:$X$2,'batch tool'!$B638:$W638)+$Y$2</f>
        <v>-49.12272534143483</v>
      </c>
      <c r="C644" s="7">
        <f>SUMPRODUCT($C$3:$X$3,'batch tool'!$B638:$W638)+$Y$3</f>
        <v>-36.514029388465531</v>
      </c>
      <c r="D644" s="7">
        <f>SUMPRODUCT($C$4:$X$4,'batch tool'!$B638:$W638)+$Y$4</f>
        <v>-44.639843068043824</v>
      </c>
      <c r="E644" s="7">
        <f>SUMPRODUCT($C$5:$X$5,'batch tool'!$B638:$W638)+$Y$5</f>
        <v>-51.578889182477603</v>
      </c>
      <c r="F644" s="7">
        <f>SUMPRODUCT($C$6:$X$6,'batch tool'!$B638:$W638)+$Y$6</f>
        <v>-47.741473633885199</v>
      </c>
      <c r="G644" s="7">
        <f>SUMPRODUCT($C$7:$X$7,'batch tool'!$B638:$W638)+$Y$7</f>
        <v>-19.739516238059196</v>
      </c>
      <c r="H644" s="7">
        <f t="shared" si="18"/>
        <v>-19.739516238059196</v>
      </c>
      <c r="I644">
        <f t="shared" si="19"/>
        <v>6</v>
      </c>
      <c r="J644" t="str" cm="1">
        <f t="array" ref="J644">INDEX($A$2:$A$7,I644)</f>
        <v>Segment 6- Self-Conscious Male</v>
      </c>
    </row>
    <row r="645" spans="1:10" x14ac:dyDescent="0.25">
      <c r="A645" s="1">
        <f>'batch tool'!A639</f>
        <v>0</v>
      </c>
      <c r="B645" s="7">
        <f>SUMPRODUCT($C$2:$X$2,'batch tool'!$B639:$W639)+$Y$2</f>
        <v>-49.12272534143483</v>
      </c>
      <c r="C645" s="7">
        <f>SUMPRODUCT($C$3:$X$3,'batch tool'!$B639:$W639)+$Y$3</f>
        <v>-36.514029388465531</v>
      </c>
      <c r="D645" s="7">
        <f>SUMPRODUCT($C$4:$X$4,'batch tool'!$B639:$W639)+$Y$4</f>
        <v>-44.639843068043824</v>
      </c>
      <c r="E645" s="7">
        <f>SUMPRODUCT($C$5:$X$5,'batch tool'!$B639:$W639)+$Y$5</f>
        <v>-51.578889182477603</v>
      </c>
      <c r="F645" s="7">
        <f>SUMPRODUCT($C$6:$X$6,'batch tool'!$B639:$W639)+$Y$6</f>
        <v>-47.741473633885199</v>
      </c>
      <c r="G645" s="7">
        <f>SUMPRODUCT($C$7:$X$7,'batch tool'!$B639:$W639)+$Y$7</f>
        <v>-19.739516238059196</v>
      </c>
      <c r="H645" s="7">
        <f t="shared" si="18"/>
        <v>-19.739516238059196</v>
      </c>
      <c r="I645">
        <f t="shared" si="19"/>
        <v>6</v>
      </c>
      <c r="J645" t="str" cm="1">
        <f t="array" ref="J645">INDEX($A$2:$A$7,I645)</f>
        <v>Segment 6- Self-Conscious Male</v>
      </c>
    </row>
    <row r="646" spans="1:10" x14ac:dyDescent="0.25">
      <c r="A646" s="1">
        <f>'batch tool'!A640</f>
        <v>0</v>
      </c>
      <c r="B646" s="7">
        <f>SUMPRODUCT($C$2:$X$2,'batch tool'!$B640:$W640)+$Y$2</f>
        <v>-49.12272534143483</v>
      </c>
      <c r="C646" s="7">
        <f>SUMPRODUCT($C$3:$X$3,'batch tool'!$B640:$W640)+$Y$3</f>
        <v>-36.514029388465531</v>
      </c>
      <c r="D646" s="7">
        <f>SUMPRODUCT($C$4:$X$4,'batch tool'!$B640:$W640)+$Y$4</f>
        <v>-44.639843068043824</v>
      </c>
      <c r="E646" s="7">
        <f>SUMPRODUCT($C$5:$X$5,'batch tool'!$B640:$W640)+$Y$5</f>
        <v>-51.578889182477603</v>
      </c>
      <c r="F646" s="7">
        <f>SUMPRODUCT($C$6:$X$6,'batch tool'!$B640:$W640)+$Y$6</f>
        <v>-47.741473633885199</v>
      </c>
      <c r="G646" s="7">
        <f>SUMPRODUCT($C$7:$X$7,'batch tool'!$B640:$W640)+$Y$7</f>
        <v>-19.739516238059196</v>
      </c>
      <c r="H646" s="7">
        <f t="shared" si="18"/>
        <v>-19.739516238059196</v>
      </c>
      <c r="I646">
        <f t="shared" si="19"/>
        <v>6</v>
      </c>
      <c r="J646" t="str" cm="1">
        <f t="array" ref="J646">INDEX($A$2:$A$7,I646)</f>
        <v>Segment 6- Self-Conscious Male</v>
      </c>
    </row>
    <row r="647" spans="1:10" x14ac:dyDescent="0.25">
      <c r="A647" s="1">
        <f>'batch tool'!A641</f>
        <v>0</v>
      </c>
      <c r="B647" s="7">
        <f>SUMPRODUCT($C$2:$X$2,'batch tool'!$B641:$W641)+$Y$2</f>
        <v>-49.12272534143483</v>
      </c>
      <c r="C647" s="7">
        <f>SUMPRODUCT($C$3:$X$3,'batch tool'!$B641:$W641)+$Y$3</f>
        <v>-36.514029388465531</v>
      </c>
      <c r="D647" s="7">
        <f>SUMPRODUCT($C$4:$X$4,'batch tool'!$B641:$W641)+$Y$4</f>
        <v>-44.639843068043824</v>
      </c>
      <c r="E647" s="7">
        <f>SUMPRODUCT($C$5:$X$5,'batch tool'!$B641:$W641)+$Y$5</f>
        <v>-51.578889182477603</v>
      </c>
      <c r="F647" s="7">
        <f>SUMPRODUCT($C$6:$X$6,'batch tool'!$B641:$W641)+$Y$6</f>
        <v>-47.741473633885199</v>
      </c>
      <c r="G647" s="7">
        <f>SUMPRODUCT($C$7:$X$7,'batch tool'!$B641:$W641)+$Y$7</f>
        <v>-19.739516238059196</v>
      </c>
      <c r="H647" s="7">
        <f t="shared" si="18"/>
        <v>-19.739516238059196</v>
      </c>
      <c r="I647">
        <f t="shared" si="19"/>
        <v>6</v>
      </c>
      <c r="J647" t="str" cm="1">
        <f t="array" ref="J647">INDEX($A$2:$A$7,I647)</f>
        <v>Segment 6- Self-Conscious Male</v>
      </c>
    </row>
    <row r="648" spans="1:10" x14ac:dyDescent="0.25">
      <c r="A648" s="1">
        <f>'batch tool'!A642</f>
        <v>0</v>
      </c>
      <c r="B648" s="7">
        <f>SUMPRODUCT($C$2:$X$2,'batch tool'!$B642:$W642)+$Y$2</f>
        <v>-49.12272534143483</v>
      </c>
      <c r="C648" s="7">
        <f>SUMPRODUCT($C$3:$X$3,'batch tool'!$B642:$W642)+$Y$3</f>
        <v>-36.514029388465531</v>
      </c>
      <c r="D648" s="7">
        <f>SUMPRODUCT($C$4:$X$4,'batch tool'!$B642:$W642)+$Y$4</f>
        <v>-44.639843068043824</v>
      </c>
      <c r="E648" s="7">
        <f>SUMPRODUCT($C$5:$X$5,'batch tool'!$B642:$W642)+$Y$5</f>
        <v>-51.578889182477603</v>
      </c>
      <c r="F648" s="7">
        <f>SUMPRODUCT($C$6:$X$6,'batch tool'!$B642:$W642)+$Y$6</f>
        <v>-47.741473633885199</v>
      </c>
      <c r="G648" s="7">
        <f>SUMPRODUCT($C$7:$X$7,'batch tool'!$B642:$W642)+$Y$7</f>
        <v>-19.739516238059196</v>
      </c>
      <c r="H648" s="7">
        <f t="shared" si="18"/>
        <v>-19.739516238059196</v>
      </c>
      <c r="I648">
        <f t="shared" si="19"/>
        <v>6</v>
      </c>
      <c r="J648" t="str" cm="1">
        <f t="array" ref="J648">INDEX($A$2:$A$7,I648)</f>
        <v>Segment 6- Self-Conscious Male</v>
      </c>
    </row>
    <row r="649" spans="1:10" x14ac:dyDescent="0.25">
      <c r="A649" s="1">
        <f>'batch tool'!A643</f>
        <v>0</v>
      </c>
      <c r="B649" s="7">
        <f>SUMPRODUCT($C$2:$X$2,'batch tool'!$B643:$W643)+$Y$2</f>
        <v>-49.12272534143483</v>
      </c>
      <c r="C649" s="7">
        <f>SUMPRODUCT($C$3:$X$3,'batch tool'!$B643:$W643)+$Y$3</f>
        <v>-36.514029388465531</v>
      </c>
      <c r="D649" s="7">
        <f>SUMPRODUCT($C$4:$X$4,'batch tool'!$B643:$W643)+$Y$4</f>
        <v>-44.639843068043824</v>
      </c>
      <c r="E649" s="7">
        <f>SUMPRODUCT($C$5:$X$5,'batch tool'!$B643:$W643)+$Y$5</f>
        <v>-51.578889182477603</v>
      </c>
      <c r="F649" s="7">
        <f>SUMPRODUCT($C$6:$X$6,'batch tool'!$B643:$W643)+$Y$6</f>
        <v>-47.741473633885199</v>
      </c>
      <c r="G649" s="7">
        <f>SUMPRODUCT($C$7:$X$7,'batch tool'!$B643:$W643)+$Y$7</f>
        <v>-19.739516238059196</v>
      </c>
      <c r="H649" s="7">
        <f t="shared" si="18"/>
        <v>-19.739516238059196</v>
      </c>
      <c r="I649">
        <f t="shared" si="19"/>
        <v>6</v>
      </c>
      <c r="J649" t="str" cm="1">
        <f t="array" ref="J649">INDEX($A$2:$A$7,I649)</f>
        <v>Segment 6- Self-Conscious Male</v>
      </c>
    </row>
    <row r="650" spans="1:10" x14ac:dyDescent="0.25">
      <c r="A650" s="1">
        <f>'batch tool'!A644</f>
        <v>0</v>
      </c>
      <c r="B650" s="7">
        <f>SUMPRODUCT($C$2:$X$2,'batch tool'!$B644:$W644)+$Y$2</f>
        <v>-49.12272534143483</v>
      </c>
      <c r="C650" s="7">
        <f>SUMPRODUCT($C$3:$X$3,'batch tool'!$B644:$W644)+$Y$3</f>
        <v>-36.514029388465531</v>
      </c>
      <c r="D650" s="7">
        <f>SUMPRODUCT($C$4:$X$4,'batch tool'!$B644:$W644)+$Y$4</f>
        <v>-44.639843068043824</v>
      </c>
      <c r="E650" s="7">
        <f>SUMPRODUCT($C$5:$X$5,'batch tool'!$B644:$W644)+$Y$5</f>
        <v>-51.578889182477603</v>
      </c>
      <c r="F650" s="7">
        <f>SUMPRODUCT($C$6:$X$6,'batch tool'!$B644:$W644)+$Y$6</f>
        <v>-47.741473633885199</v>
      </c>
      <c r="G650" s="7">
        <f>SUMPRODUCT($C$7:$X$7,'batch tool'!$B644:$W644)+$Y$7</f>
        <v>-19.739516238059196</v>
      </c>
      <c r="H650" s="7">
        <f t="shared" si="18"/>
        <v>-19.739516238059196</v>
      </c>
      <c r="I650">
        <f t="shared" si="19"/>
        <v>6</v>
      </c>
      <c r="J650" t="str" cm="1">
        <f t="array" ref="J650">INDEX($A$2:$A$7,I650)</f>
        <v>Segment 6- Self-Conscious Male</v>
      </c>
    </row>
    <row r="651" spans="1:10" x14ac:dyDescent="0.25">
      <c r="A651" s="1">
        <f>'batch tool'!A645</f>
        <v>0</v>
      </c>
      <c r="B651" s="7">
        <f>SUMPRODUCT($C$2:$X$2,'batch tool'!$B645:$W645)+$Y$2</f>
        <v>-49.12272534143483</v>
      </c>
      <c r="C651" s="7">
        <f>SUMPRODUCT($C$3:$X$3,'batch tool'!$B645:$W645)+$Y$3</f>
        <v>-36.514029388465531</v>
      </c>
      <c r="D651" s="7">
        <f>SUMPRODUCT($C$4:$X$4,'batch tool'!$B645:$W645)+$Y$4</f>
        <v>-44.639843068043824</v>
      </c>
      <c r="E651" s="7">
        <f>SUMPRODUCT($C$5:$X$5,'batch tool'!$B645:$W645)+$Y$5</f>
        <v>-51.578889182477603</v>
      </c>
      <c r="F651" s="7">
        <f>SUMPRODUCT($C$6:$X$6,'batch tool'!$B645:$W645)+$Y$6</f>
        <v>-47.741473633885199</v>
      </c>
      <c r="G651" s="7">
        <f>SUMPRODUCT($C$7:$X$7,'batch tool'!$B645:$W645)+$Y$7</f>
        <v>-19.739516238059196</v>
      </c>
      <c r="H651" s="7">
        <f t="shared" ref="H651:H714" si="20">MAX(B651:G651)</f>
        <v>-19.739516238059196</v>
      </c>
      <c r="I651">
        <f t="shared" ref="I651:I714" si="21">MATCH(H651,B651:G651,0)</f>
        <v>6</v>
      </c>
      <c r="J651" t="str" cm="1">
        <f t="array" ref="J651">INDEX($A$2:$A$7,I651)</f>
        <v>Segment 6- Self-Conscious Male</v>
      </c>
    </row>
    <row r="652" spans="1:10" x14ac:dyDescent="0.25">
      <c r="A652" s="1">
        <f>'batch tool'!A646</f>
        <v>0</v>
      </c>
      <c r="B652" s="7">
        <f>SUMPRODUCT($C$2:$X$2,'batch tool'!$B646:$W646)+$Y$2</f>
        <v>-49.12272534143483</v>
      </c>
      <c r="C652" s="7">
        <f>SUMPRODUCT($C$3:$X$3,'batch tool'!$B646:$W646)+$Y$3</f>
        <v>-36.514029388465531</v>
      </c>
      <c r="D652" s="7">
        <f>SUMPRODUCT($C$4:$X$4,'batch tool'!$B646:$W646)+$Y$4</f>
        <v>-44.639843068043824</v>
      </c>
      <c r="E652" s="7">
        <f>SUMPRODUCT($C$5:$X$5,'batch tool'!$B646:$W646)+$Y$5</f>
        <v>-51.578889182477603</v>
      </c>
      <c r="F652" s="7">
        <f>SUMPRODUCT($C$6:$X$6,'batch tool'!$B646:$W646)+$Y$6</f>
        <v>-47.741473633885199</v>
      </c>
      <c r="G652" s="7">
        <f>SUMPRODUCT($C$7:$X$7,'batch tool'!$B646:$W646)+$Y$7</f>
        <v>-19.739516238059196</v>
      </c>
      <c r="H652" s="7">
        <f t="shared" si="20"/>
        <v>-19.739516238059196</v>
      </c>
      <c r="I652">
        <f t="shared" si="21"/>
        <v>6</v>
      </c>
      <c r="J652" t="str" cm="1">
        <f t="array" ref="J652">INDEX($A$2:$A$7,I652)</f>
        <v>Segment 6- Self-Conscious Male</v>
      </c>
    </row>
    <row r="653" spans="1:10" x14ac:dyDescent="0.25">
      <c r="A653" s="1">
        <f>'batch tool'!A647</f>
        <v>0</v>
      </c>
      <c r="B653" s="7">
        <f>SUMPRODUCT($C$2:$X$2,'batch tool'!$B647:$W647)+$Y$2</f>
        <v>-49.12272534143483</v>
      </c>
      <c r="C653" s="7">
        <f>SUMPRODUCT($C$3:$X$3,'batch tool'!$B647:$W647)+$Y$3</f>
        <v>-36.514029388465531</v>
      </c>
      <c r="D653" s="7">
        <f>SUMPRODUCT($C$4:$X$4,'batch tool'!$B647:$W647)+$Y$4</f>
        <v>-44.639843068043824</v>
      </c>
      <c r="E653" s="7">
        <f>SUMPRODUCT($C$5:$X$5,'batch tool'!$B647:$W647)+$Y$5</f>
        <v>-51.578889182477603</v>
      </c>
      <c r="F653" s="7">
        <f>SUMPRODUCT($C$6:$X$6,'batch tool'!$B647:$W647)+$Y$6</f>
        <v>-47.741473633885199</v>
      </c>
      <c r="G653" s="7">
        <f>SUMPRODUCT($C$7:$X$7,'batch tool'!$B647:$W647)+$Y$7</f>
        <v>-19.739516238059196</v>
      </c>
      <c r="H653" s="7">
        <f t="shared" si="20"/>
        <v>-19.739516238059196</v>
      </c>
      <c r="I653">
        <f t="shared" si="21"/>
        <v>6</v>
      </c>
      <c r="J653" t="str" cm="1">
        <f t="array" ref="J653">INDEX($A$2:$A$7,I653)</f>
        <v>Segment 6- Self-Conscious Male</v>
      </c>
    </row>
    <row r="654" spans="1:10" x14ac:dyDescent="0.25">
      <c r="A654" s="1">
        <f>'batch tool'!A648</f>
        <v>0</v>
      </c>
      <c r="B654" s="7">
        <f>SUMPRODUCT($C$2:$X$2,'batch tool'!$B648:$W648)+$Y$2</f>
        <v>-49.12272534143483</v>
      </c>
      <c r="C654" s="7">
        <f>SUMPRODUCT($C$3:$X$3,'batch tool'!$B648:$W648)+$Y$3</f>
        <v>-36.514029388465531</v>
      </c>
      <c r="D654" s="7">
        <f>SUMPRODUCT($C$4:$X$4,'batch tool'!$B648:$W648)+$Y$4</f>
        <v>-44.639843068043824</v>
      </c>
      <c r="E654" s="7">
        <f>SUMPRODUCT($C$5:$X$5,'batch tool'!$B648:$W648)+$Y$5</f>
        <v>-51.578889182477603</v>
      </c>
      <c r="F654" s="7">
        <f>SUMPRODUCT($C$6:$X$6,'batch tool'!$B648:$W648)+$Y$6</f>
        <v>-47.741473633885199</v>
      </c>
      <c r="G654" s="7">
        <f>SUMPRODUCT($C$7:$X$7,'batch tool'!$B648:$W648)+$Y$7</f>
        <v>-19.739516238059196</v>
      </c>
      <c r="H654" s="7">
        <f t="shared" si="20"/>
        <v>-19.739516238059196</v>
      </c>
      <c r="I654">
        <f t="shared" si="21"/>
        <v>6</v>
      </c>
      <c r="J654" t="str" cm="1">
        <f t="array" ref="J654">INDEX($A$2:$A$7,I654)</f>
        <v>Segment 6- Self-Conscious Male</v>
      </c>
    </row>
    <row r="655" spans="1:10" x14ac:dyDescent="0.25">
      <c r="A655" s="1">
        <f>'batch tool'!A649</f>
        <v>0</v>
      </c>
      <c r="B655" s="7">
        <f>SUMPRODUCT($C$2:$X$2,'batch tool'!$B649:$W649)+$Y$2</f>
        <v>-49.12272534143483</v>
      </c>
      <c r="C655" s="7">
        <f>SUMPRODUCT($C$3:$X$3,'batch tool'!$B649:$W649)+$Y$3</f>
        <v>-36.514029388465531</v>
      </c>
      <c r="D655" s="7">
        <f>SUMPRODUCT($C$4:$X$4,'batch tool'!$B649:$W649)+$Y$4</f>
        <v>-44.639843068043824</v>
      </c>
      <c r="E655" s="7">
        <f>SUMPRODUCT($C$5:$X$5,'batch tool'!$B649:$W649)+$Y$5</f>
        <v>-51.578889182477603</v>
      </c>
      <c r="F655" s="7">
        <f>SUMPRODUCT($C$6:$X$6,'batch tool'!$B649:$W649)+$Y$6</f>
        <v>-47.741473633885199</v>
      </c>
      <c r="G655" s="7">
        <f>SUMPRODUCT($C$7:$X$7,'batch tool'!$B649:$W649)+$Y$7</f>
        <v>-19.739516238059196</v>
      </c>
      <c r="H655" s="7">
        <f t="shared" si="20"/>
        <v>-19.739516238059196</v>
      </c>
      <c r="I655">
        <f t="shared" si="21"/>
        <v>6</v>
      </c>
      <c r="J655" t="str" cm="1">
        <f t="array" ref="J655">INDEX($A$2:$A$7,I655)</f>
        <v>Segment 6- Self-Conscious Male</v>
      </c>
    </row>
    <row r="656" spans="1:10" x14ac:dyDescent="0.25">
      <c r="A656" s="1">
        <f>'batch tool'!A650</f>
        <v>0</v>
      </c>
      <c r="B656" s="7">
        <f>SUMPRODUCT($C$2:$X$2,'batch tool'!$B650:$W650)+$Y$2</f>
        <v>-49.12272534143483</v>
      </c>
      <c r="C656" s="7">
        <f>SUMPRODUCT($C$3:$X$3,'batch tool'!$B650:$W650)+$Y$3</f>
        <v>-36.514029388465531</v>
      </c>
      <c r="D656" s="7">
        <f>SUMPRODUCT($C$4:$X$4,'batch tool'!$B650:$W650)+$Y$4</f>
        <v>-44.639843068043824</v>
      </c>
      <c r="E656" s="7">
        <f>SUMPRODUCT($C$5:$X$5,'batch tool'!$B650:$W650)+$Y$5</f>
        <v>-51.578889182477603</v>
      </c>
      <c r="F656" s="7">
        <f>SUMPRODUCT($C$6:$X$6,'batch tool'!$B650:$W650)+$Y$6</f>
        <v>-47.741473633885199</v>
      </c>
      <c r="G656" s="7">
        <f>SUMPRODUCT($C$7:$X$7,'batch tool'!$B650:$W650)+$Y$7</f>
        <v>-19.739516238059196</v>
      </c>
      <c r="H656" s="7">
        <f t="shared" si="20"/>
        <v>-19.739516238059196</v>
      </c>
      <c r="I656">
        <f t="shared" si="21"/>
        <v>6</v>
      </c>
      <c r="J656" t="str" cm="1">
        <f t="array" ref="J656">INDEX($A$2:$A$7,I656)</f>
        <v>Segment 6- Self-Conscious Male</v>
      </c>
    </row>
    <row r="657" spans="1:10" x14ac:dyDescent="0.25">
      <c r="A657" s="1">
        <f>'batch tool'!A651</f>
        <v>0</v>
      </c>
      <c r="B657" s="7">
        <f>SUMPRODUCT($C$2:$X$2,'batch tool'!$B651:$W651)+$Y$2</f>
        <v>-49.12272534143483</v>
      </c>
      <c r="C657" s="7">
        <f>SUMPRODUCT($C$3:$X$3,'batch tool'!$B651:$W651)+$Y$3</f>
        <v>-36.514029388465531</v>
      </c>
      <c r="D657" s="7">
        <f>SUMPRODUCT($C$4:$X$4,'batch tool'!$B651:$W651)+$Y$4</f>
        <v>-44.639843068043824</v>
      </c>
      <c r="E657" s="7">
        <f>SUMPRODUCT($C$5:$X$5,'batch tool'!$B651:$W651)+$Y$5</f>
        <v>-51.578889182477603</v>
      </c>
      <c r="F657" s="7">
        <f>SUMPRODUCT($C$6:$X$6,'batch tool'!$B651:$W651)+$Y$6</f>
        <v>-47.741473633885199</v>
      </c>
      <c r="G657" s="7">
        <f>SUMPRODUCT($C$7:$X$7,'batch tool'!$B651:$W651)+$Y$7</f>
        <v>-19.739516238059196</v>
      </c>
      <c r="H657" s="7">
        <f t="shared" si="20"/>
        <v>-19.739516238059196</v>
      </c>
      <c r="I657">
        <f t="shared" si="21"/>
        <v>6</v>
      </c>
      <c r="J657" t="str" cm="1">
        <f t="array" ref="J657">INDEX($A$2:$A$7,I657)</f>
        <v>Segment 6- Self-Conscious Male</v>
      </c>
    </row>
    <row r="658" spans="1:10" x14ac:dyDescent="0.25">
      <c r="A658" s="1">
        <f>'batch tool'!A652</f>
        <v>0</v>
      </c>
      <c r="B658" s="7">
        <f>SUMPRODUCT($C$2:$X$2,'batch tool'!$B652:$W652)+$Y$2</f>
        <v>-49.12272534143483</v>
      </c>
      <c r="C658" s="7">
        <f>SUMPRODUCT($C$3:$X$3,'batch tool'!$B652:$W652)+$Y$3</f>
        <v>-36.514029388465531</v>
      </c>
      <c r="D658" s="7">
        <f>SUMPRODUCT($C$4:$X$4,'batch tool'!$B652:$W652)+$Y$4</f>
        <v>-44.639843068043824</v>
      </c>
      <c r="E658" s="7">
        <f>SUMPRODUCT($C$5:$X$5,'batch tool'!$B652:$W652)+$Y$5</f>
        <v>-51.578889182477603</v>
      </c>
      <c r="F658" s="7">
        <f>SUMPRODUCT($C$6:$X$6,'batch tool'!$B652:$W652)+$Y$6</f>
        <v>-47.741473633885199</v>
      </c>
      <c r="G658" s="7">
        <f>SUMPRODUCT($C$7:$X$7,'batch tool'!$B652:$W652)+$Y$7</f>
        <v>-19.739516238059196</v>
      </c>
      <c r="H658" s="7">
        <f t="shared" si="20"/>
        <v>-19.739516238059196</v>
      </c>
      <c r="I658">
        <f t="shared" si="21"/>
        <v>6</v>
      </c>
      <c r="J658" t="str" cm="1">
        <f t="array" ref="J658">INDEX($A$2:$A$7,I658)</f>
        <v>Segment 6- Self-Conscious Male</v>
      </c>
    </row>
    <row r="659" spans="1:10" x14ac:dyDescent="0.25">
      <c r="A659" s="1">
        <f>'batch tool'!A653</f>
        <v>0</v>
      </c>
      <c r="B659" s="7">
        <f>SUMPRODUCT($C$2:$X$2,'batch tool'!$B653:$W653)+$Y$2</f>
        <v>-49.12272534143483</v>
      </c>
      <c r="C659" s="7">
        <f>SUMPRODUCT($C$3:$X$3,'batch tool'!$B653:$W653)+$Y$3</f>
        <v>-36.514029388465531</v>
      </c>
      <c r="D659" s="7">
        <f>SUMPRODUCT($C$4:$X$4,'batch tool'!$B653:$W653)+$Y$4</f>
        <v>-44.639843068043824</v>
      </c>
      <c r="E659" s="7">
        <f>SUMPRODUCT($C$5:$X$5,'batch tool'!$B653:$W653)+$Y$5</f>
        <v>-51.578889182477603</v>
      </c>
      <c r="F659" s="7">
        <f>SUMPRODUCT($C$6:$X$6,'batch tool'!$B653:$W653)+$Y$6</f>
        <v>-47.741473633885199</v>
      </c>
      <c r="G659" s="7">
        <f>SUMPRODUCT($C$7:$X$7,'batch tool'!$B653:$W653)+$Y$7</f>
        <v>-19.739516238059196</v>
      </c>
      <c r="H659" s="7">
        <f t="shared" si="20"/>
        <v>-19.739516238059196</v>
      </c>
      <c r="I659">
        <f t="shared" si="21"/>
        <v>6</v>
      </c>
      <c r="J659" t="str" cm="1">
        <f t="array" ref="J659">INDEX($A$2:$A$7,I659)</f>
        <v>Segment 6- Self-Conscious Male</v>
      </c>
    </row>
    <row r="660" spans="1:10" x14ac:dyDescent="0.25">
      <c r="A660" s="1">
        <f>'batch tool'!A654</f>
        <v>0</v>
      </c>
      <c r="B660" s="7">
        <f>SUMPRODUCT($C$2:$X$2,'batch tool'!$B654:$W654)+$Y$2</f>
        <v>-49.12272534143483</v>
      </c>
      <c r="C660" s="7">
        <f>SUMPRODUCT($C$3:$X$3,'batch tool'!$B654:$W654)+$Y$3</f>
        <v>-36.514029388465531</v>
      </c>
      <c r="D660" s="7">
        <f>SUMPRODUCT($C$4:$X$4,'batch tool'!$B654:$W654)+$Y$4</f>
        <v>-44.639843068043824</v>
      </c>
      <c r="E660" s="7">
        <f>SUMPRODUCT($C$5:$X$5,'batch tool'!$B654:$W654)+$Y$5</f>
        <v>-51.578889182477603</v>
      </c>
      <c r="F660" s="7">
        <f>SUMPRODUCT($C$6:$X$6,'batch tool'!$B654:$W654)+$Y$6</f>
        <v>-47.741473633885199</v>
      </c>
      <c r="G660" s="7">
        <f>SUMPRODUCT($C$7:$X$7,'batch tool'!$B654:$W654)+$Y$7</f>
        <v>-19.739516238059196</v>
      </c>
      <c r="H660" s="7">
        <f t="shared" si="20"/>
        <v>-19.739516238059196</v>
      </c>
      <c r="I660">
        <f t="shared" si="21"/>
        <v>6</v>
      </c>
      <c r="J660" t="str" cm="1">
        <f t="array" ref="J660">INDEX($A$2:$A$7,I660)</f>
        <v>Segment 6- Self-Conscious Male</v>
      </c>
    </row>
    <row r="661" spans="1:10" x14ac:dyDescent="0.25">
      <c r="A661" s="1">
        <f>'batch tool'!A655</f>
        <v>0</v>
      </c>
      <c r="B661" s="7">
        <f>SUMPRODUCT($C$2:$X$2,'batch tool'!$B655:$W655)+$Y$2</f>
        <v>-49.12272534143483</v>
      </c>
      <c r="C661" s="7">
        <f>SUMPRODUCT($C$3:$X$3,'batch tool'!$B655:$W655)+$Y$3</f>
        <v>-36.514029388465531</v>
      </c>
      <c r="D661" s="7">
        <f>SUMPRODUCT($C$4:$X$4,'batch tool'!$B655:$W655)+$Y$4</f>
        <v>-44.639843068043824</v>
      </c>
      <c r="E661" s="7">
        <f>SUMPRODUCT($C$5:$X$5,'batch tool'!$B655:$W655)+$Y$5</f>
        <v>-51.578889182477603</v>
      </c>
      <c r="F661" s="7">
        <f>SUMPRODUCT($C$6:$X$6,'batch tool'!$B655:$W655)+$Y$6</f>
        <v>-47.741473633885199</v>
      </c>
      <c r="G661" s="7">
        <f>SUMPRODUCT($C$7:$X$7,'batch tool'!$B655:$W655)+$Y$7</f>
        <v>-19.739516238059196</v>
      </c>
      <c r="H661" s="7">
        <f t="shared" si="20"/>
        <v>-19.739516238059196</v>
      </c>
      <c r="I661">
        <f t="shared" si="21"/>
        <v>6</v>
      </c>
      <c r="J661" t="str" cm="1">
        <f t="array" ref="J661">INDEX($A$2:$A$7,I661)</f>
        <v>Segment 6- Self-Conscious Male</v>
      </c>
    </row>
    <row r="662" spans="1:10" x14ac:dyDescent="0.25">
      <c r="A662" s="1">
        <f>'batch tool'!A656</f>
        <v>0</v>
      </c>
      <c r="B662" s="7">
        <f>SUMPRODUCT($C$2:$X$2,'batch tool'!$B656:$W656)+$Y$2</f>
        <v>-49.12272534143483</v>
      </c>
      <c r="C662" s="7">
        <f>SUMPRODUCT($C$3:$X$3,'batch tool'!$B656:$W656)+$Y$3</f>
        <v>-36.514029388465531</v>
      </c>
      <c r="D662" s="7">
        <f>SUMPRODUCT($C$4:$X$4,'batch tool'!$B656:$W656)+$Y$4</f>
        <v>-44.639843068043824</v>
      </c>
      <c r="E662" s="7">
        <f>SUMPRODUCT($C$5:$X$5,'batch tool'!$B656:$W656)+$Y$5</f>
        <v>-51.578889182477603</v>
      </c>
      <c r="F662" s="7">
        <f>SUMPRODUCT($C$6:$X$6,'batch tool'!$B656:$W656)+$Y$6</f>
        <v>-47.741473633885199</v>
      </c>
      <c r="G662" s="7">
        <f>SUMPRODUCT($C$7:$X$7,'batch tool'!$B656:$W656)+$Y$7</f>
        <v>-19.739516238059196</v>
      </c>
      <c r="H662" s="7">
        <f t="shared" si="20"/>
        <v>-19.739516238059196</v>
      </c>
      <c r="I662">
        <f t="shared" si="21"/>
        <v>6</v>
      </c>
      <c r="J662" t="str" cm="1">
        <f t="array" ref="J662">INDEX($A$2:$A$7,I662)</f>
        <v>Segment 6- Self-Conscious Male</v>
      </c>
    </row>
    <row r="663" spans="1:10" x14ac:dyDescent="0.25">
      <c r="A663" s="1">
        <f>'batch tool'!A657</f>
        <v>0</v>
      </c>
      <c r="B663" s="7">
        <f>SUMPRODUCT($C$2:$X$2,'batch tool'!$B657:$W657)+$Y$2</f>
        <v>-49.12272534143483</v>
      </c>
      <c r="C663" s="7">
        <f>SUMPRODUCT($C$3:$X$3,'batch tool'!$B657:$W657)+$Y$3</f>
        <v>-36.514029388465531</v>
      </c>
      <c r="D663" s="7">
        <f>SUMPRODUCT($C$4:$X$4,'batch tool'!$B657:$W657)+$Y$4</f>
        <v>-44.639843068043824</v>
      </c>
      <c r="E663" s="7">
        <f>SUMPRODUCT($C$5:$X$5,'batch tool'!$B657:$W657)+$Y$5</f>
        <v>-51.578889182477603</v>
      </c>
      <c r="F663" s="7">
        <f>SUMPRODUCT($C$6:$X$6,'batch tool'!$B657:$W657)+$Y$6</f>
        <v>-47.741473633885199</v>
      </c>
      <c r="G663" s="7">
        <f>SUMPRODUCT($C$7:$X$7,'batch tool'!$B657:$W657)+$Y$7</f>
        <v>-19.739516238059196</v>
      </c>
      <c r="H663" s="7">
        <f t="shared" si="20"/>
        <v>-19.739516238059196</v>
      </c>
      <c r="I663">
        <f t="shared" si="21"/>
        <v>6</v>
      </c>
      <c r="J663" t="str" cm="1">
        <f t="array" ref="J663">INDEX($A$2:$A$7,I663)</f>
        <v>Segment 6- Self-Conscious Male</v>
      </c>
    </row>
    <row r="664" spans="1:10" x14ac:dyDescent="0.25">
      <c r="A664" s="1">
        <f>'batch tool'!A658</f>
        <v>0</v>
      </c>
      <c r="B664" s="7">
        <f>SUMPRODUCT($C$2:$X$2,'batch tool'!$B658:$W658)+$Y$2</f>
        <v>-49.12272534143483</v>
      </c>
      <c r="C664" s="7">
        <f>SUMPRODUCT($C$3:$X$3,'batch tool'!$B658:$W658)+$Y$3</f>
        <v>-36.514029388465531</v>
      </c>
      <c r="D664" s="7">
        <f>SUMPRODUCT($C$4:$X$4,'batch tool'!$B658:$W658)+$Y$4</f>
        <v>-44.639843068043824</v>
      </c>
      <c r="E664" s="7">
        <f>SUMPRODUCT($C$5:$X$5,'batch tool'!$B658:$W658)+$Y$5</f>
        <v>-51.578889182477603</v>
      </c>
      <c r="F664" s="7">
        <f>SUMPRODUCT($C$6:$X$6,'batch tool'!$B658:$W658)+$Y$6</f>
        <v>-47.741473633885199</v>
      </c>
      <c r="G664" s="7">
        <f>SUMPRODUCT($C$7:$X$7,'batch tool'!$B658:$W658)+$Y$7</f>
        <v>-19.739516238059196</v>
      </c>
      <c r="H664" s="7">
        <f t="shared" si="20"/>
        <v>-19.739516238059196</v>
      </c>
      <c r="I664">
        <f t="shared" si="21"/>
        <v>6</v>
      </c>
      <c r="J664" t="str" cm="1">
        <f t="array" ref="J664">INDEX($A$2:$A$7,I664)</f>
        <v>Segment 6- Self-Conscious Male</v>
      </c>
    </row>
    <row r="665" spans="1:10" x14ac:dyDescent="0.25">
      <c r="A665" s="1">
        <f>'batch tool'!A659</f>
        <v>0</v>
      </c>
      <c r="B665" s="7">
        <f>SUMPRODUCT($C$2:$X$2,'batch tool'!$B659:$W659)+$Y$2</f>
        <v>-49.12272534143483</v>
      </c>
      <c r="C665" s="7">
        <f>SUMPRODUCT($C$3:$X$3,'batch tool'!$B659:$W659)+$Y$3</f>
        <v>-36.514029388465531</v>
      </c>
      <c r="D665" s="7">
        <f>SUMPRODUCT($C$4:$X$4,'batch tool'!$B659:$W659)+$Y$4</f>
        <v>-44.639843068043824</v>
      </c>
      <c r="E665" s="7">
        <f>SUMPRODUCT($C$5:$X$5,'batch tool'!$B659:$W659)+$Y$5</f>
        <v>-51.578889182477603</v>
      </c>
      <c r="F665" s="7">
        <f>SUMPRODUCT($C$6:$X$6,'batch tool'!$B659:$W659)+$Y$6</f>
        <v>-47.741473633885199</v>
      </c>
      <c r="G665" s="7">
        <f>SUMPRODUCT($C$7:$X$7,'batch tool'!$B659:$W659)+$Y$7</f>
        <v>-19.739516238059196</v>
      </c>
      <c r="H665" s="7">
        <f t="shared" si="20"/>
        <v>-19.739516238059196</v>
      </c>
      <c r="I665">
        <f t="shared" si="21"/>
        <v>6</v>
      </c>
      <c r="J665" t="str" cm="1">
        <f t="array" ref="J665">INDEX($A$2:$A$7,I665)</f>
        <v>Segment 6- Self-Conscious Male</v>
      </c>
    </row>
    <row r="666" spans="1:10" x14ac:dyDescent="0.25">
      <c r="A666" s="1">
        <f>'batch tool'!A660</f>
        <v>0</v>
      </c>
      <c r="B666" s="7">
        <f>SUMPRODUCT($C$2:$X$2,'batch tool'!$B660:$W660)+$Y$2</f>
        <v>-49.12272534143483</v>
      </c>
      <c r="C666" s="7">
        <f>SUMPRODUCT($C$3:$X$3,'batch tool'!$B660:$W660)+$Y$3</f>
        <v>-36.514029388465531</v>
      </c>
      <c r="D666" s="7">
        <f>SUMPRODUCT($C$4:$X$4,'batch tool'!$B660:$W660)+$Y$4</f>
        <v>-44.639843068043824</v>
      </c>
      <c r="E666" s="7">
        <f>SUMPRODUCT($C$5:$X$5,'batch tool'!$B660:$W660)+$Y$5</f>
        <v>-51.578889182477603</v>
      </c>
      <c r="F666" s="7">
        <f>SUMPRODUCT($C$6:$X$6,'batch tool'!$B660:$W660)+$Y$6</f>
        <v>-47.741473633885199</v>
      </c>
      <c r="G666" s="7">
        <f>SUMPRODUCT($C$7:$X$7,'batch tool'!$B660:$W660)+$Y$7</f>
        <v>-19.739516238059196</v>
      </c>
      <c r="H666" s="7">
        <f t="shared" si="20"/>
        <v>-19.739516238059196</v>
      </c>
      <c r="I666">
        <f t="shared" si="21"/>
        <v>6</v>
      </c>
      <c r="J666" t="str" cm="1">
        <f t="array" ref="J666">INDEX($A$2:$A$7,I666)</f>
        <v>Segment 6- Self-Conscious Male</v>
      </c>
    </row>
    <row r="667" spans="1:10" x14ac:dyDescent="0.25">
      <c r="A667" s="1">
        <f>'batch tool'!A661</f>
        <v>0</v>
      </c>
      <c r="B667" s="7">
        <f>SUMPRODUCT($C$2:$X$2,'batch tool'!$B661:$W661)+$Y$2</f>
        <v>-49.12272534143483</v>
      </c>
      <c r="C667" s="7">
        <f>SUMPRODUCT($C$3:$X$3,'batch tool'!$B661:$W661)+$Y$3</f>
        <v>-36.514029388465531</v>
      </c>
      <c r="D667" s="7">
        <f>SUMPRODUCT($C$4:$X$4,'batch tool'!$B661:$W661)+$Y$4</f>
        <v>-44.639843068043824</v>
      </c>
      <c r="E667" s="7">
        <f>SUMPRODUCT($C$5:$X$5,'batch tool'!$B661:$W661)+$Y$5</f>
        <v>-51.578889182477603</v>
      </c>
      <c r="F667" s="7">
        <f>SUMPRODUCT($C$6:$X$6,'batch tool'!$B661:$W661)+$Y$6</f>
        <v>-47.741473633885199</v>
      </c>
      <c r="G667" s="7">
        <f>SUMPRODUCT($C$7:$X$7,'batch tool'!$B661:$W661)+$Y$7</f>
        <v>-19.739516238059196</v>
      </c>
      <c r="H667" s="7">
        <f t="shared" si="20"/>
        <v>-19.739516238059196</v>
      </c>
      <c r="I667">
        <f t="shared" si="21"/>
        <v>6</v>
      </c>
      <c r="J667" t="str" cm="1">
        <f t="array" ref="J667">INDEX($A$2:$A$7,I667)</f>
        <v>Segment 6- Self-Conscious Male</v>
      </c>
    </row>
    <row r="668" spans="1:10" x14ac:dyDescent="0.25">
      <c r="A668" s="1">
        <f>'batch tool'!A662</f>
        <v>0</v>
      </c>
      <c r="B668" s="7">
        <f>SUMPRODUCT($C$2:$X$2,'batch tool'!$B662:$W662)+$Y$2</f>
        <v>-49.12272534143483</v>
      </c>
      <c r="C668" s="7">
        <f>SUMPRODUCT($C$3:$X$3,'batch tool'!$B662:$W662)+$Y$3</f>
        <v>-36.514029388465531</v>
      </c>
      <c r="D668" s="7">
        <f>SUMPRODUCT($C$4:$X$4,'batch tool'!$B662:$W662)+$Y$4</f>
        <v>-44.639843068043824</v>
      </c>
      <c r="E668" s="7">
        <f>SUMPRODUCT($C$5:$X$5,'batch tool'!$B662:$W662)+$Y$5</f>
        <v>-51.578889182477603</v>
      </c>
      <c r="F668" s="7">
        <f>SUMPRODUCT($C$6:$X$6,'batch tool'!$B662:$W662)+$Y$6</f>
        <v>-47.741473633885199</v>
      </c>
      <c r="G668" s="7">
        <f>SUMPRODUCT($C$7:$X$7,'batch tool'!$B662:$W662)+$Y$7</f>
        <v>-19.739516238059196</v>
      </c>
      <c r="H668" s="7">
        <f t="shared" si="20"/>
        <v>-19.739516238059196</v>
      </c>
      <c r="I668">
        <f t="shared" si="21"/>
        <v>6</v>
      </c>
      <c r="J668" t="str" cm="1">
        <f t="array" ref="J668">INDEX($A$2:$A$7,I668)</f>
        <v>Segment 6- Self-Conscious Male</v>
      </c>
    </row>
    <row r="669" spans="1:10" x14ac:dyDescent="0.25">
      <c r="A669" s="1">
        <f>'batch tool'!A663</f>
        <v>0</v>
      </c>
      <c r="B669" s="7">
        <f>SUMPRODUCT($C$2:$X$2,'batch tool'!$B663:$W663)+$Y$2</f>
        <v>-49.12272534143483</v>
      </c>
      <c r="C669" s="7">
        <f>SUMPRODUCT($C$3:$X$3,'batch tool'!$B663:$W663)+$Y$3</f>
        <v>-36.514029388465531</v>
      </c>
      <c r="D669" s="7">
        <f>SUMPRODUCT($C$4:$X$4,'batch tool'!$B663:$W663)+$Y$4</f>
        <v>-44.639843068043824</v>
      </c>
      <c r="E669" s="7">
        <f>SUMPRODUCT($C$5:$X$5,'batch tool'!$B663:$W663)+$Y$5</f>
        <v>-51.578889182477603</v>
      </c>
      <c r="F669" s="7">
        <f>SUMPRODUCT($C$6:$X$6,'batch tool'!$B663:$W663)+$Y$6</f>
        <v>-47.741473633885199</v>
      </c>
      <c r="G669" s="7">
        <f>SUMPRODUCT($C$7:$X$7,'batch tool'!$B663:$W663)+$Y$7</f>
        <v>-19.739516238059196</v>
      </c>
      <c r="H669" s="7">
        <f t="shared" si="20"/>
        <v>-19.739516238059196</v>
      </c>
      <c r="I669">
        <f t="shared" si="21"/>
        <v>6</v>
      </c>
      <c r="J669" t="str" cm="1">
        <f t="array" ref="J669">INDEX($A$2:$A$7,I669)</f>
        <v>Segment 6- Self-Conscious Male</v>
      </c>
    </row>
    <row r="670" spans="1:10" x14ac:dyDescent="0.25">
      <c r="A670" s="1">
        <f>'batch tool'!A664</f>
        <v>0</v>
      </c>
      <c r="B670" s="7">
        <f>SUMPRODUCT($C$2:$X$2,'batch tool'!$B664:$W664)+$Y$2</f>
        <v>-49.12272534143483</v>
      </c>
      <c r="C670" s="7">
        <f>SUMPRODUCT($C$3:$X$3,'batch tool'!$B664:$W664)+$Y$3</f>
        <v>-36.514029388465531</v>
      </c>
      <c r="D670" s="7">
        <f>SUMPRODUCT($C$4:$X$4,'batch tool'!$B664:$W664)+$Y$4</f>
        <v>-44.639843068043824</v>
      </c>
      <c r="E670" s="7">
        <f>SUMPRODUCT($C$5:$X$5,'batch tool'!$B664:$W664)+$Y$5</f>
        <v>-51.578889182477603</v>
      </c>
      <c r="F670" s="7">
        <f>SUMPRODUCT($C$6:$X$6,'batch tool'!$B664:$W664)+$Y$6</f>
        <v>-47.741473633885199</v>
      </c>
      <c r="G670" s="7">
        <f>SUMPRODUCT($C$7:$X$7,'batch tool'!$B664:$W664)+$Y$7</f>
        <v>-19.739516238059196</v>
      </c>
      <c r="H670" s="7">
        <f t="shared" si="20"/>
        <v>-19.739516238059196</v>
      </c>
      <c r="I670">
        <f t="shared" si="21"/>
        <v>6</v>
      </c>
      <c r="J670" t="str" cm="1">
        <f t="array" ref="J670">INDEX($A$2:$A$7,I670)</f>
        <v>Segment 6- Self-Conscious Male</v>
      </c>
    </row>
    <row r="671" spans="1:10" x14ac:dyDescent="0.25">
      <c r="A671" s="1">
        <f>'batch tool'!A665</f>
        <v>0</v>
      </c>
      <c r="B671" s="7">
        <f>SUMPRODUCT($C$2:$X$2,'batch tool'!$B665:$W665)+$Y$2</f>
        <v>-49.12272534143483</v>
      </c>
      <c r="C671" s="7">
        <f>SUMPRODUCT($C$3:$X$3,'batch tool'!$B665:$W665)+$Y$3</f>
        <v>-36.514029388465531</v>
      </c>
      <c r="D671" s="7">
        <f>SUMPRODUCT($C$4:$X$4,'batch tool'!$B665:$W665)+$Y$4</f>
        <v>-44.639843068043824</v>
      </c>
      <c r="E671" s="7">
        <f>SUMPRODUCT($C$5:$X$5,'batch tool'!$B665:$W665)+$Y$5</f>
        <v>-51.578889182477603</v>
      </c>
      <c r="F671" s="7">
        <f>SUMPRODUCT($C$6:$X$6,'batch tool'!$B665:$W665)+$Y$6</f>
        <v>-47.741473633885199</v>
      </c>
      <c r="G671" s="7">
        <f>SUMPRODUCT($C$7:$X$7,'batch tool'!$B665:$W665)+$Y$7</f>
        <v>-19.739516238059196</v>
      </c>
      <c r="H671" s="7">
        <f t="shared" si="20"/>
        <v>-19.739516238059196</v>
      </c>
      <c r="I671">
        <f t="shared" si="21"/>
        <v>6</v>
      </c>
      <c r="J671" t="str" cm="1">
        <f t="array" ref="J671">INDEX($A$2:$A$7,I671)</f>
        <v>Segment 6- Self-Conscious Male</v>
      </c>
    </row>
    <row r="672" spans="1:10" x14ac:dyDescent="0.25">
      <c r="A672" s="1">
        <f>'batch tool'!A666</f>
        <v>0</v>
      </c>
      <c r="B672" s="7">
        <f>SUMPRODUCT($C$2:$X$2,'batch tool'!$B666:$W666)+$Y$2</f>
        <v>-49.12272534143483</v>
      </c>
      <c r="C672" s="7">
        <f>SUMPRODUCT($C$3:$X$3,'batch tool'!$B666:$W666)+$Y$3</f>
        <v>-36.514029388465531</v>
      </c>
      <c r="D672" s="7">
        <f>SUMPRODUCT($C$4:$X$4,'batch tool'!$B666:$W666)+$Y$4</f>
        <v>-44.639843068043824</v>
      </c>
      <c r="E672" s="7">
        <f>SUMPRODUCT($C$5:$X$5,'batch tool'!$B666:$W666)+$Y$5</f>
        <v>-51.578889182477603</v>
      </c>
      <c r="F672" s="7">
        <f>SUMPRODUCT($C$6:$X$6,'batch tool'!$B666:$W666)+$Y$6</f>
        <v>-47.741473633885199</v>
      </c>
      <c r="G672" s="7">
        <f>SUMPRODUCT($C$7:$X$7,'batch tool'!$B666:$W666)+$Y$7</f>
        <v>-19.739516238059196</v>
      </c>
      <c r="H672" s="7">
        <f t="shared" si="20"/>
        <v>-19.739516238059196</v>
      </c>
      <c r="I672">
        <f t="shared" si="21"/>
        <v>6</v>
      </c>
      <c r="J672" t="str" cm="1">
        <f t="array" ref="J672">INDEX($A$2:$A$7,I672)</f>
        <v>Segment 6- Self-Conscious Male</v>
      </c>
    </row>
    <row r="673" spans="1:10" x14ac:dyDescent="0.25">
      <c r="A673" s="1">
        <f>'batch tool'!A667</f>
        <v>0</v>
      </c>
      <c r="B673" s="7">
        <f>SUMPRODUCT($C$2:$X$2,'batch tool'!$B667:$W667)+$Y$2</f>
        <v>-49.12272534143483</v>
      </c>
      <c r="C673" s="7">
        <f>SUMPRODUCT($C$3:$X$3,'batch tool'!$B667:$W667)+$Y$3</f>
        <v>-36.514029388465531</v>
      </c>
      <c r="D673" s="7">
        <f>SUMPRODUCT($C$4:$X$4,'batch tool'!$B667:$W667)+$Y$4</f>
        <v>-44.639843068043824</v>
      </c>
      <c r="E673" s="7">
        <f>SUMPRODUCT($C$5:$X$5,'batch tool'!$B667:$W667)+$Y$5</f>
        <v>-51.578889182477603</v>
      </c>
      <c r="F673" s="7">
        <f>SUMPRODUCT($C$6:$X$6,'batch tool'!$B667:$W667)+$Y$6</f>
        <v>-47.741473633885199</v>
      </c>
      <c r="G673" s="7">
        <f>SUMPRODUCT($C$7:$X$7,'batch tool'!$B667:$W667)+$Y$7</f>
        <v>-19.739516238059196</v>
      </c>
      <c r="H673" s="7">
        <f t="shared" si="20"/>
        <v>-19.739516238059196</v>
      </c>
      <c r="I673">
        <f t="shared" si="21"/>
        <v>6</v>
      </c>
      <c r="J673" t="str" cm="1">
        <f t="array" ref="J673">INDEX($A$2:$A$7,I673)</f>
        <v>Segment 6- Self-Conscious Male</v>
      </c>
    </row>
    <row r="674" spans="1:10" x14ac:dyDescent="0.25">
      <c r="A674" s="1">
        <f>'batch tool'!A668</f>
        <v>0</v>
      </c>
      <c r="B674" s="7">
        <f>SUMPRODUCT($C$2:$X$2,'batch tool'!$B668:$W668)+$Y$2</f>
        <v>-49.12272534143483</v>
      </c>
      <c r="C674" s="7">
        <f>SUMPRODUCT($C$3:$X$3,'batch tool'!$B668:$W668)+$Y$3</f>
        <v>-36.514029388465531</v>
      </c>
      <c r="D674" s="7">
        <f>SUMPRODUCT($C$4:$X$4,'batch tool'!$B668:$W668)+$Y$4</f>
        <v>-44.639843068043824</v>
      </c>
      <c r="E674" s="7">
        <f>SUMPRODUCT($C$5:$X$5,'batch tool'!$B668:$W668)+$Y$5</f>
        <v>-51.578889182477603</v>
      </c>
      <c r="F674" s="7">
        <f>SUMPRODUCT($C$6:$X$6,'batch tool'!$B668:$W668)+$Y$6</f>
        <v>-47.741473633885199</v>
      </c>
      <c r="G674" s="7">
        <f>SUMPRODUCT($C$7:$X$7,'batch tool'!$B668:$W668)+$Y$7</f>
        <v>-19.739516238059196</v>
      </c>
      <c r="H674" s="7">
        <f t="shared" si="20"/>
        <v>-19.739516238059196</v>
      </c>
      <c r="I674">
        <f t="shared" si="21"/>
        <v>6</v>
      </c>
      <c r="J674" t="str" cm="1">
        <f t="array" ref="J674">INDEX($A$2:$A$7,I674)</f>
        <v>Segment 6- Self-Conscious Male</v>
      </c>
    </row>
    <row r="675" spans="1:10" x14ac:dyDescent="0.25">
      <c r="A675" s="1">
        <f>'batch tool'!A669</f>
        <v>0</v>
      </c>
      <c r="B675" s="7">
        <f>SUMPRODUCT($C$2:$X$2,'batch tool'!$B669:$W669)+$Y$2</f>
        <v>-49.12272534143483</v>
      </c>
      <c r="C675" s="7">
        <f>SUMPRODUCT($C$3:$X$3,'batch tool'!$B669:$W669)+$Y$3</f>
        <v>-36.514029388465531</v>
      </c>
      <c r="D675" s="7">
        <f>SUMPRODUCT($C$4:$X$4,'batch tool'!$B669:$W669)+$Y$4</f>
        <v>-44.639843068043824</v>
      </c>
      <c r="E675" s="7">
        <f>SUMPRODUCT($C$5:$X$5,'batch tool'!$B669:$W669)+$Y$5</f>
        <v>-51.578889182477603</v>
      </c>
      <c r="F675" s="7">
        <f>SUMPRODUCT($C$6:$X$6,'batch tool'!$B669:$W669)+$Y$6</f>
        <v>-47.741473633885199</v>
      </c>
      <c r="G675" s="7">
        <f>SUMPRODUCT($C$7:$X$7,'batch tool'!$B669:$W669)+$Y$7</f>
        <v>-19.739516238059196</v>
      </c>
      <c r="H675" s="7">
        <f t="shared" si="20"/>
        <v>-19.739516238059196</v>
      </c>
      <c r="I675">
        <f t="shared" si="21"/>
        <v>6</v>
      </c>
      <c r="J675" t="str" cm="1">
        <f t="array" ref="J675">INDEX($A$2:$A$7,I675)</f>
        <v>Segment 6- Self-Conscious Male</v>
      </c>
    </row>
    <row r="676" spans="1:10" x14ac:dyDescent="0.25">
      <c r="A676" s="1">
        <f>'batch tool'!A670</f>
        <v>0</v>
      </c>
      <c r="B676" s="7">
        <f>SUMPRODUCT($C$2:$X$2,'batch tool'!$B670:$W670)+$Y$2</f>
        <v>-49.12272534143483</v>
      </c>
      <c r="C676" s="7">
        <f>SUMPRODUCT($C$3:$X$3,'batch tool'!$B670:$W670)+$Y$3</f>
        <v>-36.514029388465531</v>
      </c>
      <c r="D676" s="7">
        <f>SUMPRODUCT($C$4:$X$4,'batch tool'!$B670:$W670)+$Y$4</f>
        <v>-44.639843068043824</v>
      </c>
      <c r="E676" s="7">
        <f>SUMPRODUCT($C$5:$X$5,'batch tool'!$B670:$W670)+$Y$5</f>
        <v>-51.578889182477603</v>
      </c>
      <c r="F676" s="7">
        <f>SUMPRODUCT($C$6:$X$6,'batch tool'!$B670:$W670)+$Y$6</f>
        <v>-47.741473633885199</v>
      </c>
      <c r="G676" s="7">
        <f>SUMPRODUCT($C$7:$X$7,'batch tool'!$B670:$W670)+$Y$7</f>
        <v>-19.739516238059196</v>
      </c>
      <c r="H676" s="7">
        <f t="shared" si="20"/>
        <v>-19.739516238059196</v>
      </c>
      <c r="I676">
        <f t="shared" si="21"/>
        <v>6</v>
      </c>
      <c r="J676" t="str" cm="1">
        <f t="array" ref="J676">INDEX($A$2:$A$7,I676)</f>
        <v>Segment 6- Self-Conscious Male</v>
      </c>
    </row>
    <row r="677" spans="1:10" x14ac:dyDescent="0.25">
      <c r="A677" s="1">
        <f>'batch tool'!A671</f>
        <v>0</v>
      </c>
      <c r="B677" s="7">
        <f>SUMPRODUCT($C$2:$X$2,'batch tool'!$B671:$W671)+$Y$2</f>
        <v>-49.12272534143483</v>
      </c>
      <c r="C677" s="7">
        <f>SUMPRODUCT($C$3:$X$3,'batch tool'!$B671:$W671)+$Y$3</f>
        <v>-36.514029388465531</v>
      </c>
      <c r="D677" s="7">
        <f>SUMPRODUCT($C$4:$X$4,'batch tool'!$B671:$W671)+$Y$4</f>
        <v>-44.639843068043824</v>
      </c>
      <c r="E677" s="7">
        <f>SUMPRODUCT($C$5:$X$5,'batch tool'!$B671:$W671)+$Y$5</f>
        <v>-51.578889182477603</v>
      </c>
      <c r="F677" s="7">
        <f>SUMPRODUCT($C$6:$X$6,'batch tool'!$B671:$W671)+$Y$6</f>
        <v>-47.741473633885199</v>
      </c>
      <c r="G677" s="7">
        <f>SUMPRODUCT($C$7:$X$7,'batch tool'!$B671:$W671)+$Y$7</f>
        <v>-19.739516238059196</v>
      </c>
      <c r="H677" s="7">
        <f t="shared" si="20"/>
        <v>-19.739516238059196</v>
      </c>
      <c r="I677">
        <f t="shared" si="21"/>
        <v>6</v>
      </c>
      <c r="J677" t="str" cm="1">
        <f t="array" ref="J677">INDEX($A$2:$A$7,I677)</f>
        <v>Segment 6- Self-Conscious Male</v>
      </c>
    </row>
    <row r="678" spans="1:10" x14ac:dyDescent="0.25">
      <c r="A678" s="1">
        <f>'batch tool'!A672</f>
        <v>0</v>
      </c>
      <c r="B678" s="7">
        <f>SUMPRODUCT($C$2:$X$2,'batch tool'!$B672:$W672)+$Y$2</f>
        <v>-49.12272534143483</v>
      </c>
      <c r="C678" s="7">
        <f>SUMPRODUCT($C$3:$X$3,'batch tool'!$B672:$W672)+$Y$3</f>
        <v>-36.514029388465531</v>
      </c>
      <c r="D678" s="7">
        <f>SUMPRODUCT($C$4:$X$4,'batch tool'!$B672:$W672)+$Y$4</f>
        <v>-44.639843068043824</v>
      </c>
      <c r="E678" s="7">
        <f>SUMPRODUCT($C$5:$X$5,'batch tool'!$B672:$W672)+$Y$5</f>
        <v>-51.578889182477603</v>
      </c>
      <c r="F678" s="7">
        <f>SUMPRODUCT($C$6:$X$6,'batch tool'!$B672:$W672)+$Y$6</f>
        <v>-47.741473633885199</v>
      </c>
      <c r="G678" s="7">
        <f>SUMPRODUCT($C$7:$X$7,'batch tool'!$B672:$W672)+$Y$7</f>
        <v>-19.739516238059196</v>
      </c>
      <c r="H678" s="7">
        <f t="shared" si="20"/>
        <v>-19.739516238059196</v>
      </c>
      <c r="I678">
        <f t="shared" si="21"/>
        <v>6</v>
      </c>
      <c r="J678" t="str" cm="1">
        <f t="array" ref="J678">INDEX($A$2:$A$7,I678)</f>
        <v>Segment 6- Self-Conscious Male</v>
      </c>
    </row>
    <row r="679" spans="1:10" x14ac:dyDescent="0.25">
      <c r="A679" s="1">
        <f>'batch tool'!A673</f>
        <v>0</v>
      </c>
      <c r="B679" s="7">
        <f>SUMPRODUCT($C$2:$X$2,'batch tool'!$B673:$W673)+$Y$2</f>
        <v>-49.12272534143483</v>
      </c>
      <c r="C679" s="7">
        <f>SUMPRODUCT($C$3:$X$3,'batch tool'!$B673:$W673)+$Y$3</f>
        <v>-36.514029388465531</v>
      </c>
      <c r="D679" s="7">
        <f>SUMPRODUCT($C$4:$X$4,'batch tool'!$B673:$W673)+$Y$4</f>
        <v>-44.639843068043824</v>
      </c>
      <c r="E679" s="7">
        <f>SUMPRODUCT($C$5:$X$5,'batch tool'!$B673:$W673)+$Y$5</f>
        <v>-51.578889182477603</v>
      </c>
      <c r="F679" s="7">
        <f>SUMPRODUCT($C$6:$X$6,'batch tool'!$B673:$W673)+$Y$6</f>
        <v>-47.741473633885199</v>
      </c>
      <c r="G679" s="7">
        <f>SUMPRODUCT($C$7:$X$7,'batch tool'!$B673:$W673)+$Y$7</f>
        <v>-19.739516238059196</v>
      </c>
      <c r="H679" s="7">
        <f t="shared" si="20"/>
        <v>-19.739516238059196</v>
      </c>
      <c r="I679">
        <f t="shared" si="21"/>
        <v>6</v>
      </c>
      <c r="J679" t="str" cm="1">
        <f t="array" ref="J679">INDEX($A$2:$A$7,I679)</f>
        <v>Segment 6- Self-Conscious Male</v>
      </c>
    </row>
    <row r="680" spans="1:10" x14ac:dyDescent="0.25">
      <c r="A680" s="1">
        <f>'batch tool'!A674</f>
        <v>0</v>
      </c>
      <c r="B680" s="7">
        <f>SUMPRODUCT($C$2:$X$2,'batch tool'!$B674:$W674)+$Y$2</f>
        <v>-49.12272534143483</v>
      </c>
      <c r="C680" s="7">
        <f>SUMPRODUCT($C$3:$X$3,'batch tool'!$B674:$W674)+$Y$3</f>
        <v>-36.514029388465531</v>
      </c>
      <c r="D680" s="7">
        <f>SUMPRODUCT($C$4:$X$4,'batch tool'!$B674:$W674)+$Y$4</f>
        <v>-44.639843068043824</v>
      </c>
      <c r="E680" s="7">
        <f>SUMPRODUCT($C$5:$X$5,'batch tool'!$B674:$W674)+$Y$5</f>
        <v>-51.578889182477603</v>
      </c>
      <c r="F680" s="7">
        <f>SUMPRODUCT($C$6:$X$6,'batch tool'!$B674:$W674)+$Y$6</f>
        <v>-47.741473633885199</v>
      </c>
      <c r="G680" s="7">
        <f>SUMPRODUCT($C$7:$X$7,'batch tool'!$B674:$W674)+$Y$7</f>
        <v>-19.739516238059196</v>
      </c>
      <c r="H680" s="7">
        <f t="shared" si="20"/>
        <v>-19.739516238059196</v>
      </c>
      <c r="I680">
        <f t="shared" si="21"/>
        <v>6</v>
      </c>
      <c r="J680" t="str" cm="1">
        <f t="array" ref="J680">INDEX($A$2:$A$7,I680)</f>
        <v>Segment 6- Self-Conscious Male</v>
      </c>
    </row>
    <row r="681" spans="1:10" x14ac:dyDescent="0.25">
      <c r="A681" s="1">
        <f>'batch tool'!A675</f>
        <v>0</v>
      </c>
      <c r="B681" s="7">
        <f>SUMPRODUCT($C$2:$X$2,'batch tool'!$B675:$W675)+$Y$2</f>
        <v>-49.12272534143483</v>
      </c>
      <c r="C681" s="7">
        <f>SUMPRODUCT($C$3:$X$3,'batch tool'!$B675:$W675)+$Y$3</f>
        <v>-36.514029388465531</v>
      </c>
      <c r="D681" s="7">
        <f>SUMPRODUCT($C$4:$X$4,'batch tool'!$B675:$W675)+$Y$4</f>
        <v>-44.639843068043824</v>
      </c>
      <c r="E681" s="7">
        <f>SUMPRODUCT($C$5:$X$5,'batch tool'!$B675:$W675)+$Y$5</f>
        <v>-51.578889182477603</v>
      </c>
      <c r="F681" s="7">
        <f>SUMPRODUCT($C$6:$X$6,'batch tool'!$B675:$W675)+$Y$6</f>
        <v>-47.741473633885199</v>
      </c>
      <c r="G681" s="7">
        <f>SUMPRODUCT($C$7:$X$7,'batch tool'!$B675:$W675)+$Y$7</f>
        <v>-19.739516238059196</v>
      </c>
      <c r="H681" s="7">
        <f t="shared" si="20"/>
        <v>-19.739516238059196</v>
      </c>
      <c r="I681">
        <f t="shared" si="21"/>
        <v>6</v>
      </c>
      <c r="J681" t="str" cm="1">
        <f t="array" ref="J681">INDEX($A$2:$A$7,I681)</f>
        <v>Segment 6- Self-Conscious Male</v>
      </c>
    </row>
    <row r="682" spans="1:10" x14ac:dyDescent="0.25">
      <c r="A682" s="1">
        <f>'batch tool'!A676</f>
        <v>0</v>
      </c>
      <c r="B682" s="7">
        <f>SUMPRODUCT($C$2:$X$2,'batch tool'!$B676:$W676)+$Y$2</f>
        <v>-49.12272534143483</v>
      </c>
      <c r="C682" s="7">
        <f>SUMPRODUCT($C$3:$X$3,'batch tool'!$B676:$W676)+$Y$3</f>
        <v>-36.514029388465531</v>
      </c>
      <c r="D682" s="7">
        <f>SUMPRODUCT($C$4:$X$4,'batch tool'!$B676:$W676)+$Y$4</f>
        <v>-44.639843068043824</v>
      </c>
      <c r="E682" s="7">
        <f>SUMPRODUCT($C$5:$X$5,'batch tool'!$B676:$W676)+$Y$5</f>
        <v>-51.578889182477603</v>
      </c>
      <c r="F682" s="7">
        <f>SUMPRODUCT($C$6:$X$6,'batch tool'!$B676:$W676)+$Y$6</f>
        <v>-47.741473633885199</v>
      </c>
      <c r="G682" s="7">
        <f>SUMPRODUCT($C$7:$X$7,'batch tool'!$B676:$W676)+$Y$7</f>
        <v>-19.739516238059196</v>
      </c>
      <c r="H682" s="7">
        <f t="shared" si="20"/>
        <v>-19.739516238059196</v>
      </c>
      <c r="I682">
        <f t="shared" si="21"/>
        <v>6</v>
      </c>
      <c r="J682" t="str" cm="1">
        <f t="array" ref="J682">INDEX($A$2:$A$7,I682)</f>
        <v>Segment 6- Self-Conscious Male</v>
      </c>
    </row>
    <row r="683" spans="1:10" x14ac:dyDescent="0.25">
      <c r="A683" s="1">
        <f>'batch tool'!A677</f>
        <v>0</v>
      </c>
      <c r="B683" s="7">
        <f>SUMPRODUCT($C$2:$X$2,'batch tool'!$B677:$W677)+$Y$2</f>
        <v>-49.12272534143483</v>
      </c>
      <c r="C683" s="7">
        <f>SUMPRODUCT($C$3:$X$3,'batch tool'!$B677:$W677)+$Y$3</f>
        <v>-36.514029388465531</v>
      </c>
      <c r="D683" s="7">
        <f>SUMPRODUCT($C$4:$X$4,'batch tool'!$B677:$W677)+$Y$4</f>
        <v>-44.639843068043824</v>
      </c>
      <c r="E683" s="7">
        <f>SUMPRODUCT($C$5:$X$5,'batch tool'!$B677:$W677)+$Y$5</f>
        <v>-51.578889182477603</v>
      </c>
      <c r="F683" s="7">
        <f>SUMPRODUCT($C$6:$X$6,'batch tool'!$B677:$W677)+$Y$6</f>
        <v>-47.741473633885199</v>
      </c>
      <c r="G683" s="7">
        <f>SUMPRODUCT($C$7:$X$7,'batch tool'!$B677:$W677)+$Y$7</f>
        <v>-19.739516238059196</v>
      </c>
      <c r="H683" s="7">
        <f t="shared" si="20"/>
        <v>-19.739516238059196</v>
      </c>
      <c r="I683">
        <f t="shared" si="21"/>
        <v>6</v>
      </c>
      <c r="J683" t="str" cm="1">
        <f t="array" ref="J683">INDEX($A$2:$A$7,I683)</f>
        <v>Segment 6- Self-Conscious Male</v>
      </c>
    </row>
    <row r="684" spans="1:10" x14ac:dyDescent="0.25">
      <c r="A684" s="1">
        <f>'batch tool'!A678</f>
        <v>0</v>
      </c>
      <c r="B684" s="7">
        <f>SUMPRODUCT($C$2:$X$2,'batch tool'!$B678:$W678)+$Y$2</f>
        <v>-49.12272534143483</v>
      </c>
      <c r="C684" s="7">
        <f>SUMPRODUCT($C$3:$X$3,'batch tool'!$B678:$W678)+$Y$3</f>
        <v>-36.514029388465531</v>
      </c>
      <c r="D684" s="7">
        <f>SUMPRODUCT($C$4:$X$4,'batch tool'!$B678:$W678)+$Y$4</f>
        <v>-44.639843068043824</v>
      </c>
      <c r="E684" s="7">
        <f>SUMPRODUCT($C$5:$X$5,'batch tool'!$B678:$W678)+$Y$5</f>
        <v>-51.578889182477603</v>
      </c>
      <c r="F684" s="7">
        <f>SUMPRODUCT($C$6:$X$6,'batch tool'!$B678:$W678)+$Y$6</f>
        <v>-47.741473633885199</v>
      </c>
      <c r="G684" s="7">
        <f>SUMPRODUCT($C$7:$X$7,'batch tool'!$B678:$W678)+$Y$7</f>
        <v>-19.739516238059196</v>
      </c>
      <c r="H684" s="7">
        <f t="shared" si="20"/>
        <v>-19.739516238059196</v>
      </c>
      <c r="I684">
        <f t="shared" si="21"/>
        <v>6</v>
      </c>
      <c r="J684" t="str" cm="1">
        <f t="array" ref="J684">INDEX($A$2:$A$7,I684)</f>
        <v>Segment 6- Self-Conscious Male</v>
      </c>
    </row>
    <row r="685" spans="1:10" x14ac:dyDescent="0.25">
      <c r="A685" s="1">
        <f>'batch tool'!A679</f>
        <v>0</v>
      </c>
      <c r="B685" s="7">
        <f>SUMPRODUCT($C$2:$X$2,'batch tool'!$B679:$W679)+$Y$2</f>
        <v>-49.12272534143483</v>
      </c>
      <c r="C685" s="7">
        <f>SUMPRODUCT($C$3:$X$3,'batch tool'!$B679:$W679)+$Y$3</f>
        <v>-36.514029388465531</v>
      </c>
      <c r="D685" s="7">
        <f>SUMPRODUCT($C$4:$X$4,'batch tool'!$B679:$W679)+$Y$4</f>
        <v>-44.639843068043824</v>
      </c>
      <c r="E685" s="7">
        <f>SUMPRODUCT($C$5:$X$5,'batch tool'!$B679:$W679)+$Y$5</f>
        <v>-51.578889182477603</v>
      </c>
      <c r="F685" s="7">
        <f>SUMPRODUCT($C$6:$X$6,'batch tool'!$B679:$W679)+$Y$6</f>
        <v>-47.741473633885199</v>
      </c>
      <c r="G685" s="7">
        <f>SUMPRODUCT($C$7:$X$7,'batch tool'!$B679:$W679)+$Y$7</f>
        <v>-19.739516238059196</v>
      </c>
      <c r="H685" s="7">
        <f t="shared" si="20"/>
        <v>-19.739516238059196</v>
      </c>
      <c r="I685">
        <f t="shared" si="21"/>
        <v>6</v>
      </c>
      <c r="J685" t="str" cm="1">
        <f t="array" ref="J685">INDEX($A$2:$A$7,I685)</f>
        <v>Segment 6- Self-Conscious Male</v>
      </c>
    </row>
    <row r="686" spans="1:10" x14ac:dyDescent="0.25">
      <c r="A686" s="1">
        <f>'batch tool'!A680</f>
        <v>0</v>
      </c>
      <c r="B686" s="7">
        <f>SUMPRODUCT($C$2:$X$2,'batch tool'!$B680:$W680)+$Y$2</f>
        <v>-49.12272534143483</v>
      </c>
      <c r="C686" s="7">
        <f>SUMPRODUCT($C$3:$X$3,'batch tool'!$B680:$W680)+$Y$3</f>
        <v>-36.514029388465531</v>
      </c>
      <c r="D686" s="7">
        <f>SUMPRODUCT($C$4:$X$4,'batch tool'!$B680:$W680)+$Y$4</f>
        <v>-44.639843068043824</v>
      </c>
      <c r="E686" s="7">
        <f>SUMPRODUCT($C$5:$X$5,'batch tool'!$B680:$W680)+$Y$5</f>
        <v>-51.578889182477603</v>
      </c>
      <c r="F686" s="7">
        <f>SUMPRODUCT($C$6:$X$6,'batch tool'!$B680:$W680)+$Y$6</f>
        <v>-47.741473633885199</v>
      </c>
      <c r="G686" s="7">
        <f>SUMPRODUCT($C$7:$X$7,'batch tool'!$B680:$W680)+$Y$7</f>
        <v>-19.739516238059196</v>
      </c>
      <c r="H686" s="7">
        <f t="shared" si="20"/>
        <v>-19.739516238059196</v>
      </c>
      <c r="I686">
        <f t="shared" si="21"/>
        <v>6</v>
      </c>
      <c r="J686" t="str" cm="1">
        <f t="array" ref="J686">INDEX($A$2:$A$7,I686)</f>
        <v>Segment 6- Self-Conscious Male</v>
      </c>
    </row>
    <row r="687" spans="1:10" x14ac:dyDescent="0.25">
      <c r="A687" s="1">
        <f>'batch tool'!A681</f>
        <v>0</v>
      </c>
      <c r="B687" s="7">
        <f>SUMPRODUCT($C$2:$X$2,'batch tool'!$B681:$W681)+$Y$2</f>
        <v>-49.12272534143483</v>
      </c>
      <c r="C687" s="7">
        <f>SUMPRODUCT($C$3:$X$3,'batch tool'!$B681:$W681)+$Y$3</f>
        <v>-36.514029388465531</v>
      </c>
      <c r="D687" s="7">
        <f>SUMPRODUCT($C$4:$X$4,'batch tool'!$B681:$W681)+$Y$4</f>
        <v>-44.639843068043824</v>
      </c>
      <c r="E687" s="7">
        <f>SUMPRODUCT($C$5:$X$5,'batch tool'!$B681:$W681)+$Y$5</f>
        <v>-51.578889182477603</v>
      </c>
      <c r="F687" s="7">
        <f>SUMPRODUCT($C$6:$X$6,'batch tool'!$B681:$W681)+$Y$6</f>
        <v>-47.741473633885199</v>
      </c>
      <c r="G687" s="7">
        <f>SUMPRODUCT($C$7:$X$7,'batch tool'!$B681:$W681)+$Y$7</f>
        <v>-19.739516238059196</v>
      </c>
      <c r="H687" s="7">
        <f t="shared" si="20"/>
        <v>-19.739516238059196</v>
      </c>
      <c r="I687">
        <f t="shared" si="21"/>
        <v>6</v>
      </c>
      <c r="J687" t="str" cm="1">
        <f t="array" ref="J687">INDEX($A$2:$A$7,I687)</f>
        <v>Segment 6- Self-Conscious Male</v>
      </c>
    </row>
    <row r="688" spans="1:10" x14ac:dyDescent="0.25">
      <c r="A688" s="1">
        <f>'batch tool'!A682</f>
        <v>0</v>
      </c>
      <c r="B688" s="7">
        <f>SUMPRODUCT($C$2:$X$2,'batch tool'!$B682:$W682)+$Y$2</f>
        <v>-49.12272534143483</v>
      </c>
      <c r="C688" s="7">
        <f>SUMPRODUCT($C$3:$X$3,'batch tool'!$B682:$W682)+$Y$3</f>
        <v>-36.514029388465531</v>
      </c>
      <c r="D688" s="7">
        <f>SUMPRODUCT($C$4:$X$4,'batch tool'!$B682:$W682)+$Y$4</f>
        <v>-44.639843068043824</v>
      </c>
      <c r="E688" s="7">
        <f>SUMPRODUCT($C$5:$X$5,'batch tool'!$B682:$W682)+$Y$5</f>
        <v>-51.578889182477603</v>
      </c>
      <c r="F688" s="7">
        <f>SUMPRODUCT($C$6:$X$6,'batch tool'!$B682:$W682)+$Y$6</f>
        <v>-47.741473633885199</v>
      </c>
      <c r="G688" s="7">
        <f>SUMPRODUCT($C$7:$X$7,'batch tool'!$B682:$W682)+$Y$7</f>
        <v>-19.739516238059196</v>
      </c>
      <c r="H688" s="7">
        <f t="shared" si="20"/>
        <v>-19.739516238059196</v>
      </c>
      <c r="I688">
        <f t="shared" si="21"/>
        <v>6</v>
      </c>
      <c r="J688" t="str" cm="1">
        <f t="array" ref="J688">INDEX($A$2:$A$7,I688)</f>
        <v>Segment 6- Self-Conscious Male</v>
      </c>
    </row>
    <row r="689" spans="1:10" x14ac:dyDescent="0.25">
      <c r="A689" s="1">
        <f>'batch tool'!A683</f>
        <v>0</v>
      </c>
      <c r="B689" s="7">
        <f>SUMPRODUCT($C$2:$X$2,'batch tool'!$B683:$W683)+$Y$2</f>
        <v>-49.12272534143483</v>
      </c>
      <c r="C689" s="7">
        <f>SUMPRODUCT($C$3:$X$3,'batch tool'!$B683:$W683)+$Y$3</f>
        <v>-36.514029388465531</v>
      </c>
      <c r="D689" s="7">
        <f>SUMPRODUCT($C$4:$X$4,'batch tool'!$B683:$W683)+$Y$4</f>
        <v>-44.639843068043824</v>
      </c>
      <c r="E689" s="7">
        <f>SUMPRODUCT($C$5:$X$5,'batch tool'!$B683:$W683)+$Y$5</f>
        <v>-51.578889182477603</v>
      </c>
      <c r="F689" s="7">
        <f>SUMPRODUCT($C$6:$X$6,'batch tool'!$B683:$W683)+$Y$6</f>
        <v>-47.741473633885199</v>
      </c>
      <c r="G689" s="7">
        <f>SUMPRODUCT($C$7:$X$7,'batch tool'!$B683:$W683)+$Y$7</f>
        <v>-19.739516238059196</v>
      </c>
      <c r="H689" s="7">
        <f t="shared" si="20"/>
        <v>-19.739516238059196</v>
      </c>
      <c r="I689">
        <f t="shared" si="21"/>
        <v>6</v>
      </c>
      <c r="J689" t="str" cm="1">
        <f t="array" ref="J689">INDEX($A$2:$A$7,I689)</f>
        <v>Segment 6- Self-Conscious Male</v>
      </c>
    </row>
    <row r="690" spans="1:10" x14ac:dyDescent="0.25">
      <c r="A690" s="1">
        <f>'batch tool'!A684</f>
        <v>0</v>
      </c>
      <c r="B690" s="7">
        <f>SUMPRODUCT($C$2:$X$2,'batch tool'!$B684:$W684)+$Y$2</f>
        <v>-49.12272534143483</v>
      </c>
      <c r="C690" s="7">
        <f>SUMPRODUCT($C$3:$X$3,'batch tool'!$B684:$W684)+$Y$3</f>
        <v>-36.514029388465531</v>
      </c>
      <c r="D690" s="7">
        <f>SUMPRODUCT($C$4:$X$4,'batch tool'!$B684:$W684)+$Y$4</f>
        <v>-44.639843068043824</v>
      </c>
      <c r="E690" s="7">
        <f>SUMPRODUCT($C$5:$X$5,'batch tool'!$B684:$W684)+$Y$5</f>
        <v>-51.578889182477603</v>
      </c>
      <c r="F690" s="7">
        <f>SUMPRODUCT($C$6:$X$6,'batch tool'!$B684:$W684)+$Y$6</f>
        <v>-47.741473633885199</v>
      </c>
      <c r="G690" s="7">
        <f>SUMPRODUCT($C$7:$X$7,'batch tool'!$B684:$W684)+$Y$7</f>
        <v>-19.739516238059196</v>
      </c>
      <c r="H690" s="7">
        <f t="shared" si="20"/>
        <v>-19.739516238059196</v>
      </c>
      <c r="I690">
        <f t="shared" si="21"/>
        <v>6</v>
      </c>
      <c r="J690" t="str" cm="1">
        <f t="array" ref="J690">INDEX($A$2:$A$7,I690)</f>
        <v>Segment 6- Self-Conscious Male</v>
      </c>
    </row>
    <row r="691" spans="1:10" x14ac:dyDescent="0.25">
      <c r="A691" s="1">
        <f>'batch tool'!A685</f>
        <v>0</v>
      </c>
      <c r="B691" s="7">
        <f>SUMPRODUCT($C$2:$X$2,'batch tool'!$B685:$W685)+$Y$2</f>
        <v>-49.12272534143483</v>
      </c>
      <c r="C691" s="7">
        <f>SUMPRODUCT($C$3:$X$3,'batch tool'!$B685:$W685)+$Y$3</f>
        <v>-36.514029388465531</v>
      </c>
      <c r="D691" s="7">
        <f>SUMPRODUCT($C$4:$X$4,'batch tool'!$B685:$W685)+$Y$4</f>
        <v>-44.639843068043824</v>
      </c>
      <c r="E691" s="7">
        <f>SUMPRODUCT($C$5:$X$5,'batch tool'!$B685:$W685)+$Y$5</f>
        <v>-51.578889182477603</v>
      </c>
      <c r="F691" s="7">
        <f>SUMPRODUCT($C$6:$X$6,'batch tool'!$B685:$W685)+$Y$6</f>
        <v>-47.741473633885199</v>
      </c>
      <c r="G691" s="7">
        <f>SUMPRODUCT($C$7:$X$7,'batch tool'!$B685:$W685)+$Y$7</f>
        <v>-19.739516238059196</v>
      </c>
      <c r="H691" s="7">
        <f t="shared" si="20"/>
        <v>-19.739516238059196</v>
      </c>
      <c r="I691">
        <f t="shared" si="21"/>
        <v>6</v>
      </c>
      <c r="J691" t="str" cm="1">
        <f t="array" ref="J691">INDEX($A$2:$A$7,I691)</f>
        <v>Segment 6- Self-Conscious Male</v>
      </c>
    </row>
    <row r="692" spans="1:10" x14ac:dyDescent="0.25">
      <c r="A692" s="1">
        <f>'batch tool'!A686</f>
        <v>0</v>
      </c>
      <c r="B692" s="7">
        <f>SUMPRODUCT($C$2:$X$2,'batch tool'!$B686:$W686)+$Y$2</f>
        <v>-49.12272534143483</v>
      </c>
      <c r="C692" s="7">
        <f>SUMPRODUCT($C$3:$X$3,'batch tool'!$B686:$W686)+$Y$3</f>
        <v>-36.514029388465531</v>
      </c>
      <c r="D692" s="7">
        <f>SUMPRODUCT($C$4:$X$4,'batch tool'!$B686:$W686)+$Y$4</f>
        <v>-44.639843068043824</v>
      </c>
      <c r="E692" s="7">
        <f>SUMPRODUCT($C$5:$X$5,'batch tool'!$B686:$W686)+$Y$5</f>
        <v>-51.578889182477603</v>
      </c>
      <c r="F692" s="7">
        <f>SUMPRODUCT($C$6:$X$6,'batch tool'!$B686:$W686)+$Y$6</f>
        <v>-47.741473633885199</v>
      </c>
      <c r="G692" s="7">
        <f>SUMPRODUCT($C$7:$X$7,'batch tool'!$B686:$W686)+$Y$7</f>
        <v>-19.739516238059196</v>
      </c>
      <c r="H692" s="7">
        <f t="shared" si="20"/>
        <v>-19.739516238059196</v>
      </c>
      <c r="I692">
        <f t="shared" si="21"/>
        <v>6</v>
      </c>
      <c r="J692" t="str" cm="1">
        <f t="array" ref="J692">INDEX($A$2:$A$7,I692)</f>
        <v>Segment 6- Self-Conscious Male</v>
      </c>
    </row>
    <row r="693" spans="1:10" x14ac:dyDescent="0.25">
      <c r="A693" s="1">
        <f>'batch tool'!A687</f>
        <v>0</v>
      </c>
      <c r="B693" s="7">
        <f>SUMPRODUCT($C$2:$X$2,'batch tool'!$B687:$W687)+$Y$2</f>
        <v>-49.12272534143483</v>
      </c>
      <c r="C693" s="7">
        <f>SUMPRODUCT($C$3:$X$3,'batch tool'!$B687:$W687)+$Y$3</f>
        <v>-36.514029388465531</v>
      </c>
      <c r="D693" s="7">
        <f>SUMPRODUCT($C$4:$X$4,'batch tool'!$B687:$W687)+$Y$4</f>
        <v>-44.639843068043824</v>
      </c>
      <c r="E693" s="7">
        <f>SUMPRODUCT($C$5:$X$5,'batch tool'!$B687:$W687)+$Y$5</f>
        <v>-51.578889182477603</v>
      </c>
      <c r="F693" s="7">
        <f>SUMPRODUCT($C$6:$X$6,'batch tool'!$B687:$W687)+$Y$6</f>
        <v>-47.741473633885199</v>
      </c>
      <c r="G693" s="7">
        <f>SUMPRODUCT($C$7:$X$7,'batch tool'!$B687:$W687)+$Y$7</f>
        <v>-19.739516238059196</v>
      </c>
      <c r="H693" s="7">
        <f t="shared" si="20"/>
        <v>-19.739516238059196</v>
      </c>
      <c r="I693">
        <f t="shared" si="21"/>
        <v>6</v>
      </c>
      <c r="J693" t="str" cm="1">
        <f t="array" ref="J693">INDEX($A$2:$A$7,I693)</f>
        <v>Segment 6- Self-Conscious Male</v>
      </c>
    </row>
    <row r="694" spans="1:10" x14ac:dyDescent="0.25">
      <c r="A694" s="1">
        <f>'batch tool'!A688</f>
        <v>0</v>
      </c>
      <c r="B694" s="7">
        <f>SUMPRODUCT($C$2:$X$2,'batch tool'!$B688:$W688)+$Y$2</f>
        <v>-49.12272534143483</v>
      </c>
      <c r="C694" s="7">
        <f>SUMPRODUCT($C$3:$X$3,'batch tool'!$B688:$W688)+$Y$3</f>
        <v>-36.514029388465531</v>
      </c>
      <c r="D694" s="7">
        <f>SUMPRODUCT($C$4:$X$4,'batch tool'!$B688:$W688)+$Y$4</f>
        <v>-44.639843068043824</v>
      </c>
      <c r="E694" s="7">
        <f>SUMPRODUCT($C$5:$X$5,'batch tool'!$B688:$W688)+$Y$5</f>
        <v>-51.578889182477603</v>
      </c>
      <c r="F694" s="7">
        <f>SUMPRODUCT($C$6:$X$6,'batch tool'!$B688:$W688)+$Y$6</f>
        <v>-47.741473633885199</v>
      </c>
      <c r="G694" s="7">
        <f>SUMPRODUCT($C$7:$X$7,'batch tool'!$B688:$W688)+$Y$7</f>
        <v>-19.739516238059196</v>
      </c>
      <c r="H694" s="7">
        <f t="shared" si="20"/>
        <v>-19.739516238059196</v>
      </c>
      <c r="I694">
        <f t="shared" si="21"/>
        <v>6</v>
      </c>
      <c r="J694" t="str" cm="1">
        <f t="array" ref="J694">INDEX($A$2:$A$7,I694)</f>
        <v>Segment 6- Self-Conscious Male</v>
      </c>
    </row>
    <row r="695" spans="1:10" x14ac:dyDescent="0.25">
      <c r="A695" s="1">
        <f>'batch tool'!A689</f>
        <v>0</v>
      </c>
      <c r="B695" s="7">
        <f>SUMPRODUCT($C$2:$X$2,'batch tool'!$B689:$W689)+$Y$2</f>
        <v>-49.12272534143483</v>
      </c>
      <c r="C695" s="7">
        <f>SUMPRODUCT($C$3:$X$3,'batch tool'!$B689:$W689)+$Y$3</f>
        <v>-36.514029388465531</v>
      </c>
      <c r="D695" s="7">
        <f>SUMPRODUCT($C$4:$X$4,'batch tool'!$B689:$W689)+$Y$4</f>
        <v>-44.639843068043824</v>
      </c>
      <c r="E695" s="7">
        <f>SUMPRODUCT($C$5:$X$5,'batch tool'!$B689:$W689)+$Y$5</f>
        <v>-51.578889182477603</v>
      </c>
      <c r="F695" s="7">
        <f>SUMPRODUCT($C$6:$X$6,'batch tool'!$B689:$W689)+$Y$6</f>
        <v>-47.741473633885199</v>
      </c>
      <c r="G695" s="7">
        <f>SUMPRODUCT($C$7:$X$7,'batch tool'!$B689:$W689)+$Y$7</f>
        <v>-19.739516238059196</v>
      </c>
      <c r="H695" s="7">
        <f t="shared" si="20"/>
        <v>-19.739516238059196</v>
      </c>
      <c r="I695">
        <f t="shared" si="21"/>
        <v>6</v>
      </c>
      <c r="J695" t="str" cm="1">
        <f t="array" ref="J695">INDEX($A$2:$A$7,I695)</f>
        <v>Segment 6- Self-Conscious Male</v>
      </c>
    </row>
    <row r="696" spans="1:10" x14ac:dyDescent="0.25">
      <c r="A696" s="1">
        <f>'batch tool'!A690</f>
        <v>0</v>
      </c>
      <c r="B696" s="7">
        <f>SUMPRODUCT($C$2:$X$2,'batch tool'!$B690:$W690)+$Y$2</f>
        <v>-49.12272534143483</v>
      </c>
      <c r="C696" s="7">
        <f>SUMPRODUCT($C$3:$X$3,'batch tool'!$B690:$W690)+$Y$3</f>
        <v>-36.514029388465531</v>
      </c>
      <c r="D696" s="7">
        <f>SUMPRODUCT($C$4:$X$4,'batch tool'!$B690:$W690)+$Y$4</f>
        <v>-44.639843068043824</v>
      </c>
      <c r="E696" s="7">
        <f>SUMPRODUCT($C$5:$X$5,'batch tool'!$B690:$W690)+$Y$5</f>
        <v>-51.578889182477603</v>
      </c>
      <c r="F696" s="7">
        <f>SUMPRODUCT($C$6:$X$6,'batch tool'!$B690:$W690)+$Y$6</f>
        <v>-47.741473633885199</v>
      </c>
      <c r="G696" s="7">
        <f>SUMPRODUCT($C$7:$X$7,'batch tool'!$B690:$W690)+$Y$7</f>
        <v>-19.739516238059196</v>
      </c>
      <c r="H696" s="7">
        <f t="shared" si="20"/>
        <v>-19.739516238059196</v>
      </c>
      <c r="I696">
        <f t="shared" si="21"/>
        <v>6</v>
      </c>
      <c r="J696" t="str" cm="1">
        <f t="array" ref="J696">INDEX($A$2:$A$7,I696)</f>
        <v>Segment 6- Self-Conscious Male</v>
      </c>
    </row>
    <row r="697" spans="1:10" x14ac:dyDescent="0.25">
      <c r="A697" s="1">
        <f>'batch tool'!A691</f>
        <v>0</v>
      </c>
      <c r="B697" s="7">
        <f>SUMPRODUCT($C$2:$X$2,'batch tool'!$B691:$W691)+$Y$2</f>
        <v>-49.12272534143483</v>
      </c>
      <c r="C697" s="7">
        <f>SUMPRODUCT($C$3:$X$3,'batch tool'!$B691:$W691)+$Y$3</f>
        <v>-36.514029388465531</v>
      </c>
      <c r="D697" s="7">
        <f>SUMPRODUCT($C$4:$X$4,'batch tool'!$B691:$W691)+$Y$4</f>
        <v>-44.639843068043824</v>
      </c>
      <c r="E697" s="7">
        <f>SUMPRODUCT($C$5:$X$5,'batch tool'!$B691:$W691)+$Y$5</f>
        <v>-51.578889182477603</v>
      </c>
      <c r="F697" s="7">
        <f>SUMPRODUCT($C$6:$X$6,'batch tool'!$B691:$W691)+$Y$6</f>
        <v>-47.741473633885199</v>
      </c>
      <c r="G697" s="7">
        <f>SUMPRODUCT($C$7:$X$7,'batch tool'!$B691:$W691)+$Y$7</f>
        <v>-19.739516238059196</v>
      </c>
      <c r="H697" s="7">
        <f t="shared" si="20"/>
        <v>-19.739516238059196</v>
      </c>
      <c r="I697">
        <f t="shared" si="21"/>
        <v>6</v>
      </c>
      <c r="J697" t="str" cm="1">
        <f t="array" ref="J697">INDEX($A$2:$A$7,I697)</f>
        <v>Segment 6- Self-Conscious Male</v>
      </c>
    </row>
    <row r="698" spans="1:10" x14ac:dyDescent="0.25">
      <c r="A698" s="1">
        <f>'batch tool'!A692</f>
        <v>0</v>
      </c>
      <c r="B698" s="7">
        <f>SUMPRODUCT($C$2:$X$2,'batch tool'!$B692:$W692)+$Y$2</f>
        <v>-49.12272534143483</v>
      </c>
      <c r="C698" s="7">
        <f>SUMPRODUCT($C$3:$X$3,'batch tool'!$B692:$W692)+$Y$3</f>
        <v>-36.514029388465531</v>
      </c>
      <c r="D698" s="7">
        <f>SUMPRODUCT($C$4:$X$4,'batch tool'!$B692:$W692)+$Y$4</f>
        <v>-44.639843068043824</v>
      </c>
      <c r="E698" s="7">
        <f>SUMPRODUCT($C$5:$X$5,'batch tool'!$B692:$W692)+$Y$5</f>
        <v>-51.578889182477603</v>
      </c>
      <c r="F698" s="7">
        <f>SUMPRODUCT($C$6:$X$6,'batch tool'!$B692:$W692)+$Y$6</f>
        <v>-47.741473633885199</v>
      </c>
      <c r="G698" s="7">
        <f>SUMPRODUCT($C$7:$X$7,'batch tool'!$B692:$W692)+$Y$7</f>
        <v>-19.739516238059196</v>
      </c>
      <c r="H698" s="7">
        <f t="shared" si="20"/>
        <v>-19.739516238059196</v>
      </c>
      <c r="I698">
        <f t="shared" si="21"/>
        <v>6</v>
      </c>
      <c r="J698" t="str" cm="1">
        <f t="array" ref="J698">INDEX($A$2:$A$7,I698)</f>
        <v>Segment 6- Self-Conscious Male</v>
      </c>
    </row>
    <row r="699" spans="1:10" x14ac:dyDescent="0.25">
      <c r="A699" s="1">
        <f>'batch tool'!A693</f>
        <v>0</v>
      </c>
      <c r="B699" s="7">
        <f>SUMPRODUCT($C$2:$X$2,'batch tool'!$B693:$W693)+$Y$2</f>
        <v>-49.12272534143483</v>
      </c>
      <c r="C699" s="7">
        <f>SUMPRODUCT($C$3:$X$3,'batch tool'!$B693:$W693)+$Y$3</f>
        <v>-36.514029388465531</v>
      </c>
      <c r="D699" s="7">
        <f>SUMPRODUCT($C$4:$X$4,'batch tool'!$B693:$W693)+$Y$4</f>
        <v>-44.639843068043824</v>
      </c>
      <c r="E699" s="7">
        <f>SUMPRODUCT($C$5:$X$5,'batch tool'!$B693:$W693)+$Y$5</f>
        <v>-51.578889182477603</v>
      </c>
      <c r="F699" s="7">
        <f>SUMPRODUCT($C$6:$X$6,'batch tool'!$B693:$W693)+$Y$6</f>
        <v>-47.741473633885199</v>
      </c>
      <c r="G699" s="7">
        <f>SUMPRODUCT($C$7:$X$7,'batch tool'!$B693:$W693)+$Y$7</f>
        <v>-19.739516238059196</v>
      </c>
      <c r="H699" s="7">
        <f t="shared" si="20"/>
        <v>-19.739516238059196</v>
      </c>
      <c r="I699">
        <f t="shared" si="21"/>
        <v>6</v>
      </c>
      <c r="J699" t="str" cm="1">
        <f t="array" ref="J699">INDEX($A$2:$A$7,I699)</f>
        <v>Segment 6- Self-Conscious Male</v>
      </c>
    </row>
    <row r="700" spans="1:10" x14ac:dyDescent="0.25">
      <c r="A700" s="1">
        <f>'batch tool'!A694</f>
        <v>0</v>
      </c>
      <c r="B700" s="7">
        <f>SUMPRODUCT($C$2:$X$2,'batch tool'!$B694:$W694)+$Y$2</f>
        <v>-49.12272534143483</v>
      </c>
      <c r="C700" s="7">
        <f>SUMPRODUCT($C$3:$X$3,'batch tool'!$B694:$W694)+$Y$3</f>
        <v>-36.514029388465531</v>
      </c>
      <c r="D700" s="7">
        <f>SUMPRODUCT($C$4:$X$4,'batch tool'!$B694:$W694)+$Y$4</f>
        <v>-44.639843068043824</v>
      </c>
      <c r="E700" s="7">
        <f>SUMPRODUCT($C$5:$X$5,'batch tool'!$B694:$W694)+$Y$5</f>
        <v>-51.578889182477603</v>
      </c>
      <c r="F700" s="7">
        <f>SUMPRODUCT($C$6:$X$6,'batch tool'!$B694:$W694)+$Y$6</f>
        <v>-47.741473633885199</v>
      </c>
      <c r="G700" s="7">
        <f>SUMPRODUCT($C$7:$X$7,'batch tool'!$B694:$W694)+$Y$7</f>
        <v>-19.739516238059196</v>
      </c>
      <c r="H700" s="7">
        <f t="shared" si="20"/>
        <v>-19.739516238059196</v>
      </c>
      <c r="I700">
        <f t="shared" si="21"/>
        <v>6</v>
      </c>
      <c r="J700" t="str" cm="1">
        <f t="array" ref="J700">INDEX($A$2:$A$7,I700)</f>
        <v>Segment 6- Self-Conscious Male</v>
      </c>
    </row>
    <row r="701" spans="1:10" x14ac:dyDescent="0.25">
      <c r="A701" s="1">
        <f>'batch tool'!A695</f>
        <v>0</v>
      </c>
      <c r="B701" s="7">
        <f>SUMPRODUCT($C$2:$X$2,'batch tool'!$B695:$W695)+$Y$2</f>
        <v>-49.12272534143483</v>
      </c>
      <c r="C701" s="7">
        <f>SUMPRODUCT($C$3:$X$3,'batch tool'!$B695:$W695)+$Y$3</f>
        <v>-36.514029388465531</v>
      </c>
      <c r="D701" s="7">
        <f>SUMPRODUCT($C$4:$X$4,'batch tool'!$B695:$W695)+$Y$4</f>
        <v>-44.639843068043824</v>
      </c>
      <c r="E701" s="7">
        <f>SUMPRODUCT($C$5:$X$5,'batch tool'!$B695:$W695)+$Y$5</f>
        <v>-51.578889182477603</v>
      </c>
      <c r="F701" s="7">
        <f>SUMPRODUCT($C$6:$X$6,'batch tool'!$B695:$W695)+$Y$6</f>
        <v>-47.741473633885199</v>
      </c>
      <c r="G701" s="7">
        <f>SUMPRODUCT($C$7:$X$7,'batch tool'!$B695:$W695)+$Y$7</f>
        <v>-19.739516238059196</v>
      </c>
      <c r="H701" s="7">
        <f t="shared" si="20"/>
        <v>-19.739516238059196</v>
      </c>
      <c r="I701">
        <f t="shared" si="21"/>
        <v>6</v>
      </c>
      <c r="J701" t="str" cm="1">
        <f t="array" ref="J701">INDEX($A$2:$A$7,I701)</f>
        <v>Segment 6- Self-Conscious Male</v>
      </c>
    </row>
    <row r="702" spans="1:10" x14ac:dyDescent="0.25">
      <c r="A702" s="1">
        <f>'batch tool'!A696</f>
        <v>0</v>
      </c>
      <c r="B702" s="7">
        <f>SUMPRODUCT($C$2:$X$2,'batch tool'!$B696:$W696)+$Y$2</f>
        <v>-49.12272534143483</v>
      </c>
      <c r="C702" s="7">
        <f>SUMPRODUCT($C$3:$X$3,'batch tool'!$B696:$W696)+$Y$3</f>
        <v>-36.514029388465531</v>
      </c>
      <c r="D702" s="7">
        <f>SUMPRODUCT($C$4:$X$4,'batch tool'!$B696:$W696)+$Y$4</f>
        <v>-44.639843068043824</v>
      </c>
      <c r="E702" s="7">
        <f>SUMPRODUCT($C$5:$X$5,'batch tool'!$B696:$W696)+$Y$5</f>
        <v>-51.578889182477603</v>
      </c>
      <c r="F702" s="7">
        <f>SUMPRODUCT($C$6:$X$6,'batch tool'!$B696:$W696)+$Y$6</f>
        <v>-47.741473633885199</v>
      </c>
      <c r="G702" s="7">
        <f>SUMPRODUCT($C$7:$X$7,'batch tool'!$B696:$W696)+$Y$7</f>
        <v>-19.739516238059196</v>
      </c>
      <c r="H702" s="7">
        <f t="shared" si="20"/>
        <v>-19.739516238059196</v>
      </c>
      <c r="I702">
        <f t="shared" si="21"/>
        <v>6</v>
      </c>
      <c r="J702" t="str" cm="1">
        <f t="array" ref="J702">INDEX($A$2:$A$7,I702)</f>
        <v>Segment 6- Self-Conscious Male</v>
      </c>
    </row>
    <row r="703" spans="1:10" x14ac:dyDescent="0.25">
      <c r="A703" s="1">
        <f>'batch tool'!A697</f>
        <v>0</v>
      </c>
      <c r="B703" s="7">
        <f>SUMPRODUCT($C$2:$X$2,'batch tool'!$B697:$W697)+$Y$2</f>
        <v>-49.12272534143483</v>
      </c>
      <c r="C703" s="7">
        <f>SUMPRODUCT($C$3:$X$3,'batch tool'!$B697:$W697)+$Y$3</f>
        <v>-36.514029388465531</v>
      </c>
      <c r="D703" s="7">
        <f>SUMPRODUCT($C$4:$X$4,'batch tool'!$B697:$W697)+$Y$4</f>
        <v>-44.639843068043824</v>
      </c>
      <c r="E703" s="7">
        <f>SUMPRODUCT($C$5:$X$5,'batch tool'!$B697:$W697)+$Y$5</f>
        <v>-51.578889182477603</v>
      </c>
      <c r="F703" s="7">
        <f>SUMPRODUCT($C$6:$X$6,'batch tool'!$B697:$W697)+$Y$6</f>
        <v>-47.741473633885199</v>
      </c>
      <c r="G703" s="7">
        <f>SUMPRODUCT($C$7:$X$7,'batch tool'!$B697:$W697)+$Y$7</f>
        <v>-19.739516238059196</v>
      </c>
      <c r="H703" s="7">
        <f t="shared" si="20"/>
        <v>-19.739516238059196</v>
      </c>
      <c r="I703">
        <f t="shared" si="21"/>
        <v>6</v>
      </c>
      <c r="J703" t="str" cm="1">
        <f t="array" ref="J703">INDEX($A$2:$A$7,I703)</f>
        <v>Segment 6- Self-Conscious Male</v>
      </c>
    </row>
    <row r="704" spans="1:10" x14ac:dyDescent="0.25">
      <c r="A704" s="1">
        <f>'batch tool'!A698</f>
        <v>0</v>
      </c>
      <c r="B704" s="7">
        <f>SUMPRODUCT($C$2:$X$2,'batch tool'!$B698:$W698)+$Y$2</f>
        <v>-49.12272534143483</v>
      </c>
      <c r="C704" s="7">
        <f>SUMPRODUCT($C$3:$X$3,'batch tool'!$B698:$W698)+$Y$3</f>
        <v>-36.514029388465531</v>
      </c>
      <c r="D704" s="7">
        <f>SUMPRODUCT($C$4:$X$4,'batch tool'!$B698:$W698)+$Y$4</f>
        <v>-44.639843068043824</v>
      </c>
      <c r="E704" s="7">
        <f>SUMPRODUCT($C$5:$X$5,'batch tool'!$B698:$W698)+$Y$5</f>
        <v>-51.578889182477603</v>
      </c>
      <c r="F704" s="7">
        <f>SUMPRODUCT($C$6:$X$6,'batch tool'!$B698:$W698)+$Y$6</f>
        <v>-47.741473633885199</v>
      </c>
      <c r="G704" s="7">
        <f>SUMPRODUCT($C$7:$X$7,'batch tool'!$B698:$W698)+$Y$7</f>
        <v>-19.739516238059196</v>
      </c>
      <c r="H704" s="7">
        <f t="shared" si="20"/>
        <v>-19.739516238059196</v>
      </c>
      <c r="I704">
        <f t="shared" si="21"/>
        <v>6</v>
      </c>
      <c r="J704" t="str" cm="1">
        <f t="array" ref="J704">INDEX($A$2:$A$7,I704)</f>
        <v>Segment 6- Self-Conscious Male</v>
      </c>
    </row>
    <row r="705" spans="1:10" x14ac:dyDescent="0.25">
      <c r="A705" s="1">
        <f>'batch tool'!A699</f>
        <v>0</v>
      </c>
      <c r="B705" s="7">
        <f>SUMPRODUCT($C$2:$X$2,'batch tool'!$B699:$W699)+$Y$2</f>
        <v>-49.12272534143483</v>
      </c>
      <c r="C705" s="7">
        <f>SUMPRODUCT($C$3:$X$3,'batch tool'!$B699:$W699)+$Y$3</f>
        <v>-36.514029388465531</v>
      </c>
      <c r="D705" s="7">
        <f>SUMPRODUCT($C$4:$X$4,'batch tool'!$B699:$W699)+$Y$4</f>
        <v>-44.639843068043824</v>
      </c>
      <c r="E705" s="7">
        <f>SUMPRODUCT($C$5:$X$5,'batch tool'!$B699:$W699)+$Y$5</f>
        <v>-51.578889182477603</v>
      </c>
      <c r="F705" s="7">
        <f>SUMPRODUCT($C$6:$X$6,'batch tool'!$B699:$W699)+$Y$6</f>
        <v>-47.741473633885199</v>
      </c>
      <c r="G705" s="7">
        <f>SUMPRODUCT($C$7:$X$7,'batch tool'!$B699:$W699)+$Y$7</f>
        <v>-19.739516238059196</v>
      </c>
      <c r="H705" s="7">
        <f t="shared" si="20"/>
        <v>-19.739516238059196</v>
      </c>
      <c r="I705">
        <f t="shared" si="21"/>
        <v>6</v>
      </c>
      <c r="J705" t="str" cm="1">
        <f t="array" ref="J705">INDEX($A$2:$A$7,I705)</f>
        <v>Segment 6- Self-Conscious Male</v>
      </c>
    </row>
    <row r="706" spans="1:10" x14ac:dyDescent="0.25">
      <c r="A706" s="1">
        <f>'batch tool'!A700</f>
        <v>0</v>
      </c>
      <c r="B706" s="7">
        <f>SUMPRODUCT($C$2:$X$2,'batch tool'!$B700:$W700)+$Y$2</f>
        <v>-49.12272534143483</v>
      </c>
      <c r="C706" s="7">
        <f>SUMPRODUCT($C$3:$X$3,'batch tool'!$B700:$W700)+$Y$3</f>
        <v>-36.514029388465531</v>
      </c>
      <c r="D706" s="7">
        <f>SUMPRODUCT($C$4:$X$4,'batch tool'!$B700:$W700)+$Y$4</f>
        <v>-44.639843068043824</v>
      </c>
      <c r="E706" s="7">
        <f>SUMPRODUCT($C$5:$X$5,'batch tool'!$B700:$W700)+$Y$5</f>
        <v>-51.578889182477603</v>
      </c>
      <c r="F706" s="7">
        <f>SUMPRODUCT($C$6:$X$6,'batch tool'!$B700:$W700)+$Y$6</f>
        <v>-47.741473633885199</v>
      </c>
      <c r="G706" s="7">
        <f>SUMPRODUCT($C$7:$X$7,'batch tool'!$B700:$W700)+$Y$7</f>
        <v>-19.739516238059196</v>
      </c>
      <c r="H706" s="7">
        <f t="shared" si="20"/>
        <v>-19.739516238059196</v>
      </c>
      <c r="I706">
        <f t="shared" si="21"/>
        <v>6</v>
      </c>
      <c r="J706" t="str" cm="1">
        <f t="array" ref="J706">INDEX($A$2:$A$7,I706)</f>
        <v>Segment 6- Self-Conscious Male</v>
      </c>
    </row>
    <row r="707" spans="1:10" x14ac:dyDescent="0.25">
      <c r="A707" s="1">
        <f>'batch tool'!A701</f>
        <v>0</v>
      </c>
      <c r="B707" s="7">
        <f>SUMPRODUCT($C$2:$X$2,'batch tool'!$B701:$W701)+$Y$2</f>
        <v>-49.12272534143483</v>
      </c>
      <c r="C707" s="7">
        <f>SUMPRODUCT($C$3:$X$3,'batch tool'!$B701:$W701)+$Y$3</f>
        <v>-36.514029388465531</v>
      </c>
      <c r="D707" s="7">
        <f>SUMPRODUCT($C$4:$X$4,'batch tool'!$B701:$W701)+$Y$4</f>
        <v>-44.639843068043824</v>
      </c>
      <c r="E707" s="7">
        <f>SUMPRODUCT($C$5:$X$5,'batch tool'!$B701:$W701)+$Y$5</f>
        <v>-51.578889182477603</v>
      </c>
      <c r="F707" s="7">
        <f>SUMPRODUCT($C$6:$X$6,'batch tool'!$B701:$W701)+$Y$6</f>
        <v>-47.741473633885199</v>
      </c>
      <c r="G707" s="7">
        <f>SUMPRODUCT($C$7:$X$7,'batch tool'!$B701:$W701)+$Y$7</f>
        <v>-19.739516238059196</v>
      </c>
      <c r="H707" s="7">
        <f t="shared" si="20"/>
        <v>-19.739516238059196</v>
      </c>
      <c r="I707">
        <f t="shared" si="21"/>
        <v>6</v>
      </c>
      <c r="J707" t="str" cm="1">
        <f t="array" ref="J707">INDEX($A$2:$A$7,I707)</f>
        <v>Segment 6- Self-Conscious Male</v>
      </c>
    </row>
    <row r="708" spans="1:10" x14ac:dyDescent="0.25">
      <c r="A708" s="1">
        <f>'batch tool'!A702</f>
        <v>0</v>
      </c>
      <c r="B708" s="7">
        <f>SUMPRODUCT($C$2:$X$2,'batch tool'!$B702:$W702)+$Y$2</f>
        <v>-49.12272534143483</v>
      </c>
      <c r="C708" s="7">
        <f>SUMPRODUCT($C$3:$X$3,'batch tool'!$B702:$W702)+$Y$3</f>
        <v>-36.514029388465531</v>
      </c>
      <c r="D708" s="7">
        <f>SUMPRODUCT($C$4:$X$4,'batch tool'!$B702:$W702)+$Y$4</f>
        <v>-44.639843068043824</v>
      </c>
      <c r="E708" s="7">
        <f>SUMPRODUCT($C$5:$X$5,'batch tool'!$B702:$W702)+$Y$5</f>
        <v>-51.578889182477603</v>
      </c>
      <c r="F708" s="7">
        <f>SUMPRODUCT($C$6:$X$6,'batch tool'!$B702:$W702)+$Y$6</f>
        <v>-47.741473633885199</v>
      </c>
      <c r="G708" s="7">
        <f>SUMPRODUCT($C$7:$X$7,'batch tool'!$B702:$W702)+$Y$7</f>
        <v>-19.739516238059196</v>
      </c>
      <c r="H708" s="7">
        <f t="shared" si="20"/>
        <v>-19.739516238059196</v>
      </c>
      <c r="I708">
        <f t="shared" si="21"/>
        <v>6</v>
      </c>
      <c r="J708" t="str" cm="1">
        <f t="array" ref="J708">INDEX($A$2:$A$7,I708)</f>
        <v>Segment 6- Self-Conscious Male</v>
      </c>
    </row>
    <row r="709" spans="1:10" x14ac:dyDescent="0.25">
      <c r="A709" s="1">
        <f>'batch tool'!A703</f>
        <v>0</v>
      </c>
      <c r="B709" s="7">
        <f>SUMPRODUCT($C$2:$X$2,'batch tool'!$B703:$W703)+$Y$2</f>
        <v>-49.12272534143483</v>
      </c>
      <c r="C709" s="7">
        <f>SUMPRODUCT($C$3:$X$3,'batch tool'!$B703:$W703)+$Y$3</f>
        <v>-36.514029388465531</v>
      </c>
      <c r="D709" s="7">
        <f>SUMPRODUCT($C$4:$X$4,'batch tool'!$B703:$W703)+$Y$4</f>
        <v>-44.639843068043824</v>
      </c>
      <c r="E709" s="7">
        <f>SUMPRODUCT($C$5:$X$5,'batch tool'!$B703:$W703)+$Y$5</f>
        <v>-51.578889182477603</v>
      </c>
      <c r="F709" s="7">
        <f>SUMPRODUCT($C$6:$X$6,'batch tool'!$B703:$W703)+$Y$6</f>
        <v>-47.741473633885199</v>
      </c>
      <c r="G709" s="7">
        <f>SUMPRODUCT($C$7:$X$7,'batch tool'!$B703:$W703)+$Y$7</f>
        <v>-19.739516238059196</v>
      </c>
      <c r="H709" s="7">
        <f t="shared" si="20"/>
        <v>-19.739516238059196</v>
      </c>
      <c r="I709">
        <f t="shared" si="21"/>
        <v>6</v>
      </c>
      <c r="J709" t="str" cm="1">
        <f t="array" ref="J709">INDEX($A$2:$A$7,I709)</f>
        <v>Segment 6- Self-Conscious Male</v>
      </c>
    </row>
    <row r="710" spans="1:10" x14ac:dyDescent="0.25">
      <c r="A710" s="1">
        <f>'batch tool'!A704</f>
        <v>0</v>
      </c>
      <c r="B710" s="7">
        <f>SUMPRODUCT($C$2:$X$2,'batch tool'!$B704:$W704)+$Y$2</f>
        <v>-49.12272534143483</v>
      </c>
      <c r="C710" s="7">
        <f>SUMPRODUCT($C$3:$X$3,'batch tool'!$B704:$W704)+$Y$3</f>
        <v>-36.514029388465531</v>
      </c>
      <c r="D710" s="7">
        <f>SUMPRODUCT($C$4:$X$4,'batch tool'!$B704:$W704)+$Y$4</f>
        <v>-44.639843068043824</v>
      </c>
      <c r="E710" s="7">
        <f>SUMPRODUCT($C$5:$X$5,'batch tool'!$B704:$W704)+$Y$5</f>
        <v>-51.578889182477603</v>
      </c>
      <c r="F710" s="7">
        <f>SUMPRODUCT($C$6:$X$6,'batch tool'!$B704:$W704)+$Y$6</f>
        <v>-47.741473633885199</v>
      </c>
      <c r="G710" s="7">
        <f>SUMPRODUCT($C$7:$X$7,'batch tool'!$B704:$W704)+$Y$7</f>
        <v>-19.739516238059196</v>
      </c>
      <c r="H710" s="7">
        <f t="shared" si="20"/>
        <v>-19.739516238059196</v>
      </c>
      <c r="I710">
        <f t="shared" si="21"/>
        <v>6</v>
      </c>
      <c r="J710" t="str" cm="1">
        <f t="array" ref="J710">INDEX($A$2:$A$7,I710)</f>
        <v>Segment 6- Self-Conscious Male</v>
      </c>
    </row>
    <row r="711" spans="1:10" x14ac:dyDescent="0.25">
      <c r="A711" s="1">
        <f>'batch tool'!A705</f>
        <v>0</v>
      </c>
      <c r="B711" s="7">
        <f>SUMPRODUCT($C$2:$X$2,'batch tool'!$B705:$W705)+$Y$2</f>
        <v>-49.12272534143483</v>
      </c>
      <c r="C711" s="7">
        <f>SUMPRODUCT($C$3:$X$3,'batch tool'!$B705:$W705)+$Y$3</f>
        <v>-36.514029388465531</v>
      </c>
      <c r="D711" s="7">
        <f>SUMPRODUCT($C$4:$X$4,'batch tool'!$B705:$W705)+$Y$4</f>
        <v>-44.639843068043824</v>
      </c>
      <c r="E711" s="7">
        <f>SUMPRODUCT($C$5:$X$5,'batch tool'!$B705:$W705)+$Y$5</f>
        <v>-51.578889182477603</v>
      </c>
      <c r="F711" s="7">
        <f>SUMPRODUCT($C$6:$X$6,'batch tool'!$B705:$W705)+$Y$6</f>
        <v>-47.741473633885199</v>
      </c>
      <c r="G711" s="7">
        <f>SUMPRODUCT($C$7:$X$7,'batch tool'!$B705:$W705)+$Y$7</f>
        <v>-19.739516238059196</v>
      </c>
      <c r="H711" s="7">
        <f t="shared" si="20"/>
        <v>-19.739516238059196</v>
      </c>
      <c r="I711">
        <f t="shared" si="21"/>
        <v>6</v>
      </c>
      <c r="J711" t="str" cm="1">
        <f t="array" ref="J711">INDEX($A$2:$A$7,I711)</f>
        <v>Segment 6- Self-Conscious Male</v>
      </c>
    </row>
    <row r="712" spans="1:10" x14ac:dyDescent="0.25">
      <c r="A712" s="1">
        <f>'batch tool'!A706</f>
        <v>0</v>
      </c>
      <c r="B712" s="7">
        <f>SUMPRODUCT($C$2:$X$2,'batch tool'!$B706:$W706)+$Y$2</f>
        <v>-49.12272534143483</v>
      </c>
      <c r="C712" s="7">
        <f>SUMPRODUCT($C$3:$X$3,'batch tool'!$B706:$W706)+$Y$3</f>
        <v>-36.514029388465531</v>
      </c>
      <c r="D712" s="7">
        <f>SUMPRODUCT($C$4:$X$4,'batch tool'!$B706:$W706)+$Y$4</f>
        <v>-44.639843068043824</v>
      </c>
      <c r="E712" s="7">
        <f>SUMPRODUCT($C$5:$X$5,'batch tool'!$B706:$W706)+$Y$5</f>
        <v>-51.578889182477603</v>
      </c>
      <c r="F712" s="7">
        <f>SUMPRODUCT($C$6:$X$6,'batch tool'!$B706:$W706)+$Y$6</f>
        <v>-47.741473633885199</v>
      </c>
      <c r="G712" s="7">
        <f>SUMPRODUCT($C$7:$X$7,'batch tool'!$B706:$W706)+$Y$7</f>
        <v>-19.739516238059196</v>
      </c>
      <c r="H712" s="7">
        <f t="shared" si="20"/>
        <v>-19.739516238059196</v>
      </c>
      <c r="I712">
        <f t="shared" si="21"/>
        <v>6</v>
      </c>
      <c r="J712" t="str" cm="1">
        <f t="array" ref="J712">INDEX($A$2:$A$7,I712)</f>
        <v>Segment 6- Self-Conscious Male</v>
      </c>
    </row>
    <row r="713" spans="1:10" x14ac:dyDescent="0.25">
      <c r="A713" s="1">
        <f>'batch tool'!A707</f>
        <v>0</v>
      </c>
      <c r="B713" s="7">
        <f>SUMPRODUCT($C$2:$X$2,'batch tool'!$B707:$W707)+$Y$2</f>
        <v>-49.12272534143483</v>
      </c>
      <c r="C713" s="7">
        <f>SUMPRODUCT($C$3:$X$3,'batch tool'!$B707:$W707)+$Y$3</f>
        <v>-36.514029388465531</v>
      </c>
      <c r="D713" s="7">
        <f>SUMPRODUCT($C$4:$X$4,'batch tool'!$B707:$W707)+$Y$4</f>
        <v>-44.639843068043824</v>
      </c>
      <c r="E713" s="7">
        <f>SUMPRODUCT($C$5:$X$5,'batch tool'!$B707:$W707)+$Y$5</f>
        <v>-51.578889182477603</v>
      </c>
      <c r="F713" s="7">
        <f>SUMPRODUCT($C$6:$X$6,'batch tool'!$B707:$W707)+$Y$6</f>
        <v>-47.741473633885199</v>
      </c>
      <c r="G713" s="7">
        <f>SUMPRODUCT($C$7:$X$7,'batch tool'!$B707:$W707)+$Y$7</f>
        <v>-19.739516238059196</v>
      </c>
      <c r="H713" s="7">
        <f t="shared" si="20"/>
        <v>-19.739516238059196</v>
      </c>
      <c r="I713">
        <f t="shared" si="21"/>
        <v>6</v>
      </c>
      <c r="J713" t="str" cm="1">
        <f t="array" ref="J713">INDEX($A$2:$A$7,I713)</f>
        <v>Segment 6- Self-Conscious Male</v>
      </c>
    </row>
    <row r="714" spans="1:10" x14ac:dyDescent="0.25">
      <c r="A714" s="1">
        <f>'batch tool'!A708</f>
        <v>0</v>
      </c>
      <c r="B714" s="7">
        <f>SUMPRODUCT($C$2:$X$2,'batch tool'!$B708:$W708)+$Y$2</f>
        <v>-49.12272534143483</v>
      </c>
      <c r="C714" s="7">
        <f>SUMPRODUCT($C$3:$X$3,'batch tool'!$B708:$W708)+$Y$3</f>
        <v>-36.514029388465531</v>
      </c>
      <c r="D714" s="7">
        <f>SUMPRODUCT($C$4:$X$4,'batch tool'!$B708:$W708)+$Y$4</f>
        <v>-44.639843068043824</v>
      </c>
      <c r="E714" s="7">
        <f>SUMPRODUCT($C$5:$X$5,'batch tool'!$B708:$W708)+$Y$5</f>
        <v>-51.578889182477603</v>
      </c>
      <c r="F714" s="7">
        <f>SUMPRODUCT($C$6:$X$6,'batch tool'!$B708:$W708)+$Y$6</f>
        <v>-47.741473633885199</v>
      </c>
      <c r="G714" s="7">
        <f>SUMPRODUCT($C$7:$X$7,'batch tool'!$B708:$W708)+$Y$7</f>
        <v>-19.739516238059196</v>
      </c>
      <c r="H714" s="7">
        <f t="shared" si="20"/>
        <v>-19.739516238059196</v>
      </c>
      <c r="I714">
        <f t="shared" si="21"/>
        <v>6</v>
      </c>
      <c r="J714" t="str" cm="1">
        <f t="array" ref="J714">INDEX($A$2:$A$7,I714)</f>
        <v>Segment 6- Self-Conscious Male</v>
      </c>
    </row>
    <row r="715" spans="1:10" x14ac:dyDescent="0.25">
      <c r="A715" s="1">
        <f>'batch tool'!A709</f>
        <v>0</v>
      </c>
      <c r="B715" s="7">
        <f>SUMPRODUCT($C$2:$X$2,'batch tool'!$B709:$W709)+$Y$2</f>
        <v>-49.12272534143483</v>
      </c>
      <c r="C715" s="7">
        <f>SUMPRODUCT($C$3:$X$3,'batch tool'!$B709:$W709)+$Y$3</f>
        <v>-36.514029388465531</v>
      </c>
      <c r="D715" s="7">
        <f>SUMPRODUCT($C$4:$X$4,'batch tool'!$B709:$W709)+$Y$4</f>
        <v>-44.639843068043824</v>
      </c>
      <c r="E715" s="7">
        <f>SUMPRODUCT($C$5:$X$5,'batch tool'!$B709:$W709)+$Y$5</f>
        <v>-51.578889182477603</v>
      </c>
      <c r="F715" s="7">
        <f>SUMPRODUCT($C$6:$X$6,'batch tool'!$B709:$W709)+$Y$6</f>
        <v>-47.741473633885199</v>
      </c>
      <c r="G715" s="7">
        <f>SUMPRODUCT($C$7:$X$7,'batch tool'!$B709:$W709)+$Y$7</f>
        <v>-19.739516238059196</v>
      </c>
      <c r="H715" s="7">
        <f t="shared" ref="H715:H778" si="22">MAX(B715:G715)</f>
        <v>-19.739516238059196</v>
      </c>
      <c r="I715">
        <f t="shared" ref="I715:I778" si="23">MATCH(H715,B715:G715,0)</f>
        <v>6</v>
      </c>
      <c r="J715" t="str" cm="1">
        <f t="array" ref="J715">INDEX($A$2:$A$7,I715)</f>
        <v>Segment 6- Self-Conscious Male</v>
      </c>
    </row>
    <row r="716" spans="1:10" x14ac:dyDescent="0.25">
      <c r="A716" s="1">
        <f>'batch tool'!A710</f>
        <v>0</v>
      </c>
      <c r="B716" s="7">
        <f>SUMPRODUCT($C$2:$X$2,'batch tool'!$B710:$W710)+$Y$2</f>
        <v>-49.12272534143483</v>
      </c>
      <c r="C716" s="7">
        <f>SUMPRODUCT($C$3:$X$3,'batch tool'!$B710:$W710)+$Y$3</f>
        <v>-36.514029388465531</v>
      </c>
      <c r="D716" s="7">
        <f>SUMPRODUCT($C$4:$X$4,'batch tool'!$B710:$W710)+$Y$4</f>
        <v>-44.639843068043824</v>
      </c>
      <c r="E716" s="7">
        <f>SUMPRODUCT($C$5:$X$5,'batch tool'!$B710:$W710)+$Y$5</f>
        <v>-51.578889182477603</v>
      </c>
      <c r="F716" s="7">
        <f>SUMPRODUCT($C$6:$X$6,'batch tool'!$B710:$W710)+$Y$6</f>
        <v>-47.741473633885199</v>
      </c>
      <c r="G716" s="7">
        <f>SUMPRODUCT($C$7:$X$7,'batch tool'!$B710:$W710)+$Y$7</f>
        <v>-19.739516238059196</v>
      </c>
      <c r="H716" s="7">
        <f t="shared" si="22"/>
        <v>-19.739516238059196</v>
      </c>
      <c r="I716">
        <f t="shared" si="23"/>
        <v>6</v>
      </c>
      <c r="J716" t="str" cm="1">
        <f t="array" ref="J716">INDEX($A$2:$A$7,I716)</f>
        <v>Segment 6- Self-Conscious Male</v>
      </c>
    </row>
    <row r="717" spans="1:10" x14ac:dyDescent="0.25">
      <c r="A717" s="1">
        <f>'batch tool'!A711</f>
        <v>0</v>
      </c>
      <c r="B717" s="7">
        <f>SUMPRODUCT($C$2:$X$2,'batch tool'!$B711:$W711)+$Y$2</f>
        <v>-49.12272534143483</v>
      </c>
      <c r="C717" s="7">
        <f>SUMPRODUCT($C$3:$X$3,'batch tool'!$B711:$W711)+$Y$3</f>
        <v>-36.514029388465531</v>
      </c>
      <c r="D717" s="7">
        <f>SUMPRODUCT($C$4:$X$4,'batch tool'!$B711:$W711)+$Y$4</f>
        <v>-44.639843068043824</v>
      </c>
      <c r="E717" s="7">
        <f>SUMPRODUCT($C$5:$X$5,'batch tool'!$B711:$W711)+$Y$5</f>
        <v>-51.578889182477603</v>
      </c>
      <c r="F717" s="7">
        <f>SUMPRODUCT($C$6:$X$6,'batch tool'!$B711:$W711)+$Y$6</f>
        <v>-47.741473633885199</v>
      </c>
      <c r="G717" s="7">
        <f>SUMPRODUCT($C$7:$X$7,'batch tool'!$B711:$W711)+$Y$7</f>
        <v>-19.739516238059196</v>
      </c>
      <c r="H717" s="7">
        <f t="shared" si="22"/>
        <v>-19.739516238059196</v>
      </c>
      <c r="I717">
        <f t="shared" si="23"/>
        <v>6</v>
      </c>
      <c r="J717" t="str" cm="1">
        <f t="array" ref="J717">INDEX($A$2:$A$7,I717)</f>
        <v>Segment 6- Self-Conscious Male</v>
      </c>
    </row>
    <row r="718" spans="1:10" x14ac:dyDescent="0.25">
      <c r="A718" s="1">
        <f>'batch tool'!A712</f>
        <v>0</v>
      </c>
      <c r="B718" s="7">
        <f>SUMPRODUCT($C$2:$X$2,'batch tool'!$B712:$W712)+$Y$2</f>
        <v>-49.12272534143483</v>
      </c>
      <c r="C718" s="7">
        <f>SUMPRODUCT($C$3:$X$3,'batch tool'!$B712:$W712)+$Y$3</f>
        <v>-36.514029388465531</v>
      </c>
      <c r="D718" s="7">
        <f>SUMPRODUCT($C$4:$X$4,'batch tool'!$B712:$W712)+$Y$4</f>
        <v>-44.639843068043824</v>
      </c>
      <c r="E718" s="7">
        <f>SUMPRODUCT($C$5:$X$5,'batch tool'!$B712:$W712)+$Y$5</f>
        <v>-51.578889182477603</v>
      </c>
      <c r="F718" s="7">
        <f>SUMPRODUCT($C$6:$X$6,'batch tool'!$B712:$W712)+$Y$6</f>
        <v>-47.741473633885199</v>
      </c>
      <c r="G718" s="7">
        <f>SUMPRODUCT($C$7:$X$7,'batch tool'!$B712:$W712)+$Y$7</f>
        <v>-19.739516238059196</v>
      </c>
      <c r="H718" s="7">
        <f t="shared" si="22"/>
        <v>-19.739516238059196</v>
      </c>
      <c r="I718">
        <f t="shared" si="23"/>
        <v>6</v>
      </c>
      <c r="J718" t="str" cm="1">
        <f t="array" ref="J718">INDEX($A$2:$A$7,I718)</f>
        <v>Segment 6- Self-Conscious Male</v>
      </c>
    </row>
    <row r="719" spans="1:10" x14ac:dyDescent="0.25">
      <c r="A719" s="1">
        <f>'batch tool'!A713</f>
        <v>0</v>
      </c>
      <c r="B719" s="7">
        <f>SUMPRODUCT($C$2:$X$2,'batch tool'!$B713:$W713)+$Y$2</f>
        <v>-49.12272534143483</v>
      </c>
      <c r="C719" s="7">
        <f>SUMPRODUCT($C$3:$X$3,'batch tool'!$B713:$W713)+$Y$3</f>
        <v>-36.514029388465531</v>
      </c>
      <c r="D719" s="7">
        <f>SUMPRODUCT($C$4:$X$4,'batch tool'!$B713:$W713)+$Y$4</f>
        <v>-44.639843068043824</v>
      </c>
      <c r="E719" s="7">
        <f>SUMPRODUCT($C$5:$X$5,'batch tool'!$B713:$W713)+$Y$5</f>
        <v>-51.578889182477603</v>
      </c>
      <c r="F719" s="7">
        <f>SUMPRODUCT($C$6:$X$6,'batch tool'!$B713:$W713)+$Y$6</f>
        <v>-47.741473633885199</v>
      </c>
      <c r="G719" s="7">
        <f>SUMPRODUCT($C$7:$X$7,'batch tool'!$B713:$W713)+$Y$7</f>
        <v>-19.739516238059196</v>
      </c>
      <c r="H719" s="7">
        <f t="shared" si="22"/>
        <v>-19.739516238059196</v>
      </c>
      <c r="I719">
        <f t="shared" si="23"/>
        <v>6</v>
      </c>
      <c r="J719" t="str" cm="1">
        <f t="array" ref="J719">INDEX($A$2:$A$7,I719)</f>
        <v>Segment 6- Self-Conscious Male</v>
      </c>
    </row>
    <row r="720" spans="1:10" x14ac:dyDescent="0.25">
      <c r="A720" s="1">
        <f>'batch tool'!A714</f>
        <v>0</v>
      </c>
      <c r="B720" s="7">
        <f>SUMPRODUCT($C$2:$X$2,'batch tool'!$B714:$W714)+$Y$2</f>
        <v>-49.12272534143483</v>
      </c>
      <c r="C720" s="7">
        <f>SUMPRODUCT($C$3:$X$3,'batch tool'!$B714:$W714)+$Y$3</f>
        <v>-36.514029388465531</v>
      </c>
      <c r="D720" s="7">
        <f>SUMPRODUCT($C$4:$X$4,'batch tool'!$B714:$W714)+$Y$4</f>
        <v>-44.639843068043824</v>
      </c>
      <c r="E720" s="7">
        <f>SUMPRODUCT($C$5:$X$5,'batch tool'!$B714:$W714)+$Y$5</f>
        <v>-51.578889182477603</v>
      </c>
      <c r="F720" s="7">
        <f>SUMPRODUCT($C$6:$X$6,'batch tool'!$B714:$W714)+$Y$6</f>
        <v>-47.741473633885199</v>
      </c>
      <c r="G720" s="7">
        <f>SUMPRODUCT($C$7:$X$7,'batch tool'!$B714:$W714)+$Y$7</f>
        <v>-19.739516238059196</v>
      </c>
      <c r="H720" s="7">
        <f t="shared" si="22"/>
        <v>-19.739516238059196</v>
      </c>
      <c r="I720">
        <f t="shared" si="23"/>
        <v>6</v>
      </c>
      <c r="J720" t="str" cm="1">
        <f t="array" ref="J720">INDEX($A$2:$A$7,I720)</f>
        <v>Segment 6- Self-Conscious Male</v>
      </c>
    </row>
    <row r="721" spans="1:10" x14ac:dyDescent="0.25">
      <c r="A721" s="1">
        <f>'batch tool'!A715</f>
        <v>0</v>
      </c>
      <c r="B721" s="7">
        <f>SUMPRODUCT($C$2:$X$2,'batch tool'!$B715:$W715)+$Y$2</f>
        <v>-49.12272534143483</v>
      </c>
      <c r="C721" s="7">
        <f>SUMPRODUCT($C$3:$X$3,'batch tool'!$B715:$W715)+$Y$3</f>
        <v>-36.514029388465531</v>
      </c>
      <c r="D721" s="7">
        <f>SUMPRODUCT($C$4:$X$4,'batch tool'!$B715:$W715)+$Y$4</f>
        <v>-44.639843068043824</v>
      </c>
      <c r="E721" s="7">
        <f>SUMPRODUCT($C$5:$X$5,'batch tool'!$B715:$W715)+$Y$5</f>
        <v>-51.578889182477603</v>
      </c>
      <c r="F721" s="7">
        <f>SUMPRODUCT($C$6:$X$6,'batch tool'!$B715:$W715)+$Y$6</f>
        <v>-47.741473633885199</v>
      </c>
      <c r="G721" s="7">
        <f>SUMPRODUCT($C$7:$X$7,'batch tool'!$B715:$W715)+$Y$7</f>
        <v>-19.739516238059196</v>
      </c>
      <c r="H721" s="7">
        <f t="shared" si="22"/>
        <v>-19.739516238059196</v>
      </c>
      <c r="I721">
        <f t="shared" si="23"/>
        <v>6</v>
      </c>
      <c r="J721" t="str" cm="1">
        <f t="array" ref="J721">INDEX($A$2:$A$7,I721)</f>
        <v>Segment 6- Self-Conscious Male</v>
      </c>
    </row>
    <row r="722" spans="1:10" x14ac:dyDescent="0.25">
      <c r="A722" s="1">
        <f>'batch tool'!A716</f>
        <v>0</v>
      </c>
      <c r="B722" s="7">
        <f>SUMPRODUCT($C$2:$X$2,'batch tool'!$B716:$W716)+$Y$2</f>
        <v>-49.12272534143483</v>
      </c>
      <c r="C722" s="7">
        <f>SUMPRODUCT($C$3:$X$3,'batch tool'!$B716:$W716)+$Y$3</f>
        <v>-36.514029388465531</v>
      </c>
      <c r="D722" s="7">
        <f>SUMPRODUCT($C$4:$X$4,'batch tool'!$B716:$W716)+$Y$4</f>
        <v>-44.639843068043824</v>
      </c>
      <c r="E722" s="7">
        <f>SUMPRODUCT($C$5:$X$5,'batch tool'!$B716:$W716)+$Y$5</f>
        <v>-51.578889182477603</v>
      </c>
      <c r="F722" s="7">
        <f>SUMPRODUCT($C$6:$X$6,'batch tool'!$B716:$W716)+$Y$6</f>
        <v>-47.741473633885199</v>
      </c>
      <c r="G722" s="7">
        <f>SUMPRODUCT($C$7:$X$7,'batch tool'!$B716:$W716)+$Y$7</f>
        <v>-19.739516238059196</v>
      </c>
      <c r="H722" s="7">
        <f t="shared" si="22"/>
        <v>-19.739516238059196</v>
      </c>
      <c r="I722">
        <f t="shared" si="23"/>
        <v>6</v>
      </c>
      <c r="J722" t="str" cm="1">
        <f t="array" ref="J722">INDEX($A$2:$A$7,I722)</f>
        <v>Segment 6- Self-Conscious Male</v>
      </c>
    </row>
    <row r="723" spans="1:10" x14ac:dyDescent="0.25">
      <c r="A723" s="1">
        <f>'batch tool'!A717</f>
        <v>0</v>
      </c>
      <c r="B723" s="7">
        <f>SUMPRODUCT($C$2:$X$2,'batch tool'!$B717:$W717)+$Y$2</f>
        <v>-49.12272534143483</v>
      </c>
      <c r="C723" s="7">
        <f>SUMPRODUCT($C$3:$X$3,'batch tool'!$B717:$W717)+$Y$3</f>
        <v>-36.514029388465531</v>
      </c>
      <c r="D723" s="7">
        <f>SUMPRODUCT($C$4:$X$4,'batch tool'!$B717:$W717)+$Y$4</f>
        <v>-44.639843068043824</v>
      </c>
      <c r="E723" s="7">
        <f>SUMPRODUCT($C$5:$X$5,'batch tool'!$B717:$W717)+$Y$5</f>
        <v>-51.578889182477603</v>
      </c>
      <c r="F723" s="7">
        <f>SUMPRODUCT($C$6:$X$6,'batch tool'!$B717:$W717)+$Y$6</f>
        <v>-47.741473633885199</v>
      </c>
      <c r="G723" s="7">
        <f>SUMPRODUCT($C$7:$X$7,'batch tool'!$B717:$W717)+$Y$7</f>
        <v>-19.739516238059196</v>
      </c>
      <c r="H723" s="7">
        <f t="shared" si="22"/>
        <v>-19.739516238059196</v>
      </c>
      <c r="I723">
        <f t="shared" si="23"/>
        <v>6</v>
      </c>
      <c r="J723" t="str" cm="1">
        <f t="array" ref="J723">INDEX($A$2:$A$7,I723)</f>
        <v>Segment 6- Self-Conscious Male</v>
      </c>
    </row>
    <row r="724" spans="1:10" x14ac:dyDescent="0.25">
      <c r="A724" s="1">
        <f>'batch tool'!A718</f>
        <v>0</v>
      </c>
      <c r="B724" s="7">
        <f>SUMPRODUCT($C$2:$X$2,'batch tool'!$B718:$W718)+$Y$2</f>
        <v>-49.12272534143483</v>
      </c>
      <c r="C724" s="7">
        <f>SUMPRODUCT($C$3:$X$3,'batch tool'!$B718:$W718)+$Y$3</f>
        <v>-36.514029388465531</v>
      </c>
      <c r="D724" s="7">
        <f>SUMPRODUCT($C$4:$X$4,'batch tool'!$B718:$W718)+$Y$4</f>
        <v>-44.639843068043824</v>
      </c>
      <c r="E724" s="7">
        <f>SUMPRODUCT($C$5:$X$5,'batch tool'!$B718:$W718)+$Y$5</f>
        <v>-51.578889182477603</v>
      </c>
      <c r="F724" s="7">
        <f>SUMPRODUCT($C$6:$X$6,'batch tool'!$B718:$W718)+$Y$6</f>
        <v>-47.741473633885199</v>
      </c>
      <c r="G724" s="7">
        <f>SUMPRODUCT($C$7:$X$7,'batch tool'!$B718:$W718)+$Y$7</f>
        <v>-19.739516238059196</v>
      </c>
      <c r="H724" s="7">
        <f t="shared" si="22"/>
        <v>-19.739516238059196</v>
      </c>
      <c r="I724">
        <f t="shared" si="23"/>
        <v>6</v>
      </c>
      <c r="J724" t="str" cm="1">
        <f t="array" ref="J724">INDEX($A$2:$A$7,I724)</f>
        <v>Segment 6- Self-Conscious Male</v>
      </c>
    </row>
    <row r="725" spans="1:10" x14ac:dyDescent="0.25">
      <c r="A725" s="1">
        <f>'batch tool'!A719</f>
        <v>0</v>
      </c>
      <c r="B725" s="7">
        <f>SUMPRODUCT($C$2:$X$2,'batch tool'!$B719:$W719)+$Y$2</f>
        <v>-49.12272534143483</v>
      </c>
      <c r="C725" s="7">
        <f>SUMPRODUCT($C$3:$X$3,'batch tool'!$B719:$W719)+$Y$3</f>
        <v>-36.514029388465531</v>
      </c>
      <c r="D725" s="7">
        <f>SUMPRODUCT($C$4:$X$4,'batch tool'!$B719:$W719)+$Y$4</f>
        <v>-44.639843068043824</v>
      </c>
      <c r="E725" s="7">
        <f>SUMPRODUCT($C$5:$X$5,'batch tool'!$B719:$W719)+$Y$5</f>
        <v>-51.578889182477603</v>
      </c>
      <c r="F725" s="7">
        <f>SUMPRODUCT($C$6:$X$6,'batch tool'!$B719:$W719)+$Y$6</f>
        <v>-47.741473633885199</v>
      </c>
      <c r="G725" s="7">
        <f>SUMPRODUCT($C$7:$X$7,'batch tool'!$B719:$W719)+$Y$7</f>
        <v>-19.739516238059196</v>
      </c>
      <c r="H725" s="7">
        <f t="shared" si="22"/>
        <v>-19.739516238059196</v>
      </c>
      <c r="I725">
        <f t="shared" si="23"/>
        <v>6</v>
      </c>
      <c r="J725" t="str" cm="1">
        <f t="array" ref="J725">INDEX($A$2:$A$7,I725)</f>
        <v>Segment 6- Self-Conscious Male</v>
      </c>
    </row>
    <row r="726" spans="1:10" x14ac:dyDescent="0.25">
      <c r="A726" s="1">
        <f>'batch tool'!A720</f>
        <v>0</v>
      </c>
      <c r="B726" s="7">
        <f>SUMPRODUCT($C$2:$X$2,'batch tool'!$B720:$W720)+$Y$2</f>
        <v>-49.12272534143483</v>
      </c>
      <c r="C726" s="7">
        <f>SUMPRODUCT($C$3:$X$3,'batch tool'!$B720:$W720)+$Y$3</f>
        <v>-36.514029388465531</v>
      </c>
      <c r="D726" s="7">
        <f>SUMPRODUCT($C$4:$X$4,'batch tool'!$B720:$W720)+$Y$4</f>
        <v>-44.639843068043824</v>
      </c>
      <c r="E726" s="7">
        <f>SUMPRODUCT($C$5:$X$5,'batch tool'!$B720:$W720)+$Y$5</f>
        <v>-51.578889182477603</v>
      </c>
      <c r="F726" s="7">
        <f>SUMPRODUCT($C$6:$X$6,'batch tool'!$B720:$W720)+$Y$6</f>
        <v>-47.741473633885199</v>
      </c>
      <c r="G726" s="7">
        <f>SUMPRODUCT($C$7:$X$7,'batch tool'!$B720:$W720)+$Y$7</f>
        <v>-19.739516238059196</v>
      </c>
      <c r="H726" s="7">
        <f t="shared" si="22"/>
        <v>-19.739516238059196</v>
      </c>
      <c r="I726">
        <f t="shared" si="23"/>
        <v>6</v>
      </c>
      <c r="J726" t="str" cm="1">
        <f t="array" ref="J726">INDEX($A$2:$A$7,I726)</f>
        <v>Segment 6- Self-Conscious Male</v>
      </c>
    </row>
    <row r="727" spans="1:10" x14ac:dyDescent="0.25">
      <c r="A727" s="1">
        <f>'batch tool'!A721</f>
        <v>0</v>
      </c>
      <c r="B727" s="7">
        <f>SUMPRODUCT($C$2:$X$2,'batch tool'!$B721:$W721)+$Y$2</f>
        <v>-49.12272534143483</v>
      </c>
      <c r="C727" s="7">
        <f>SUMPRODUCT($C$3:$X$3,'batch tool'!$B721:$W721)+$Y$3</f>
        <v>-36.514029388465531</v>
      </c>
      <c r="D727" s="7">
        <f>SUMPRODUCT($C$4:$X$4,'batch tool'!$B721:$W721)+$Y$4</f>
        <v>-44.639843068043824</v>
      </c>
      <c r="E727" s="7">
        <f>SUMPRODUCT($C$5:$X$5,'batch tool'!$B721:$W721)+$Y$5</f>
        <v>-51.578889182477603</v>
      </c>
      <c r="F727" s="7">
        <f>SUMPRODUCT($C$6:$X$6,'batch tool'!$B721:$W721)+$Y$6</f>
        <v>-47.741473633885199</v>
      </c>
      <c r="G727" s="7">
        <f>SUMPRODUCT($C$7:$X$7,'batch tool'!$B721:$W721)+$Y$7</f>
        <v>-19.739516238059196</v>
      </c>
      <c r="H727" s="7">
        <f t="shared" si="22"/>
        <v>-19.739516238059196</v>
      </c>
      <c r="I727">
        <f t="shared" si="23"/>
        <v>6</v>
      </c>
      <c r="J727" t="str" cm="1">
        <f t="array" ref="J727">INDEX($A$2:$A$7,I727)</f>
        <v>Segment 6- Self-Conscious Male</v>
      </c>
    </row>
    <row r="728" spans="1:10" x14ac:dyDescent="0.25">
      <c r="A728" s="1">
        <f>'batch tool'!A722</f>
        <v>0</v>
      </c>
      <c r="B728" s="7">
        <f>SUMPRODUCT($C$2:$X$2,'batch tool'!$B722:$W722)+$Y$2</f>
        <v>-49.12272534143483</v>
      </c>
      <c r="C728" s="7">
        <f>SUMPRODUCT($C$3:$X$3,'batch tool'!$B722:$W722)+$Y$3</f>
        <v>-36.514029388465531</v>
      </c>
      <c r="D728" s="7">
        <f>SUMPRODUCT($C$4:$X$4,'batch tool'!$B722:$W722)+$Y$4</f>
        <v>-44.639843068043824</v>
      </c>
      <c r="E728" s="7">
        <f>SUMPRODUCT($C$5:$X$5,'batch tool'!$B722:$W722)+$Y$5</f>
        <v>-51.578889182477603</v>
      </c>
      <c r="F728" s="7">
        <f>SUMPRODUCT($C$6:$X$6,'batch tool'!$B722:$W722)+$Y$6</f>
        <v>-47.741473633885199</v>
      </c>
      <c r="G728" s="7">
        <f>SUMPRODUCT($C$7:$X$7,'batch tool'!$B722:$W722)+$Y$7</f>
        <v>-19.739516238059196</v>
      </c>
      <c r="H728" s="7">
        <f t="shared" si="22"/>
        <v>-19.739516238059196</v>
      </c>
      <c r="I728">
        <f t="shared" si="23"/>
        <v>6</v>
      </c>
      <c r="J728" t="str" cm="1">
        <f t="array" ref="J728">INDEX($A$2:$A$7,I728)</f>
        <v>Segment 6- Self-Conscious Male</v>
      </c>
    </row>
    <row r="729" spans="1:10" x14ac:dyDescent="0.25">
      <c r="A729" s="1">
        <f>'batch tool'!A723</f>
        <v>0</v>
      </c>
      <c r="B729" s="7">
        <f>SUMPRODUCT($C$2:$X$2,'batch tool'!$B723:$W723)+$Y$2</f>
        <v>-49.12272534143483</v>
      </c>
      <c r="C729" s="7">
        <f>SUMPRODUCT($C$3:$X$3,'batch tool'!$B723:$W723)+$Y$3</f>
        <v>-36.514029388465531</v>
      </c>
      <c r="D729" s="7">
        <f>SUMPRODUCT($C$4:$X$4,'batch tool'!$B723:$W723)+$Y$4</f>
        <v>-44.639843068043824</v>
      </c>
      <c r="E729" s="7">
        <f>SUMPRODUCT($C$5:$X$5,'batch tool'!$B723:$W723)+$Y$5</f>
        <v>-51.578889182477603</v>
      </c>
      <c r="F729" s="7">
        <f>SUMPRODUCT($C$6:$X$6,'batch tool'!$B723:$W723)+$Y$6</f>
        <v>-47.741473633885199</v>
      </c>
      <c r="G729" s="7">
        <f>SUMPRODUCT($C$7:$X$7,'batch tool'!$B723:$W723)+$Y$7</f>
        <v>-19.739516238059196</v>
      </c>
      <c r="H729" s="7">
        <f t="shared" si="22"/>
        <v>-19.739516238059196</v>
      </c>
      <c r="I729">
        <f t="shared" si="23"/>
        <v>6</v>
      </c>
      <c r="J729" t="str" cm="1">
        <f t="array" ref="J729">INDEX($A$2:$A$7,I729)</f>
        <v>Segment 6- Self-Conscious Male</v>
      </c>
    </row>
    <row r="730" spans="1:10" x14ac:dyDescent="0.25">
      <c r="A730" s="1">
        <f>'batch tool'!A724</f>
        <v>0</v>
      </c>
      <c r="B730" s="7">
        <f>SUMPRODUCT($C$2:$X$2,'batch tool'!$B724:$W724)+$Y$2</f>
        <v>-49.12272534143483</v>
      </c>
      <c r="C730" s="7">
        <f>SUMPRODUCT($C$3:$X$3,'batch tool'!$B724:$W724)+$Y$3</f>
        <v>-36.514029388465531</v>
      </c>
      <c r="D730" s="7">
        <f>SUMPRODUCT($C$4:$X$4,'batch tool'!$B724:$W724)+$Y$4</f>
        <v>-44.639843068043824</v>
      </c>
      <c r="E730" s="7">
        <f>SUMPRODUCT($C$5:$X$5,'batch tool'!$B724:$W724)+$Y$5</f>
        <v>-51.578889182477603</v>
      </c>
      <c r="F730" s="7">
        <f>SUMPRODUCT($C$6:$X$6,'batch tool'!$B724:$W724)+$Y$6</f>
        <v>-47.741473633885199</v>
      </c>
      <c r="G730" s="7">
        <f>SUMPRODUCT($C$7:$X$7,'batch tool'!$B724:$W724)+$Y$7</f>
        <v>-19.739516238059196</v>
      </c>
      <c r="H730" s="7">
        <f t="shared" si="22"/>
        <v>-19.739516238059196</v>
      </c>
      <c r="I730">
        <f t="shared" si="23"/>
        <v>6</v>
      </c>
      <c r="J730" t="str" cm="1">
        <f t="array" ref="J730">INDEX($A$2:$A$7,I730)</f>
        <v>Segment 6- Self-Conscious Male</v>
      </c>
    </row>
    <row r="731" spans="1:10" x14ac:dyDescent="0.25">
      <c r="A731" s="1">
        <f>'batch tool'!A725</f>
        <v>0</v>
      </c>
      <c r="B731" s="7">
        <f>SUMPRODUCT($C$2:$X$2,'batch tool'!$B725:$W725)+$Y$2</f>
        <v>-49.12272534143483</v>
      </c>
      <c r="C731" s="7">
        <f>SUMPRODUCT($C$3:$X$3,'batch tool'!$B725:$W725)+$Y$3</f>
        <v>-36.514029388465531</v>
      </c>
      <c r="D731" s="7">
        <f>SUMPRODUCT($C$4:$X$4,'batch tool'!$B725:$W725)+$Y$4</f>
        <v>-44.639843068043824</v>
      </c>
      <c r="E731" s="7">
        <f>SUMPRODUCT($C$5:$X$5,'batch tool'!$B725:$W725)+$Y$5</f>
        <v>-51.578889182477603</v>
      </c>
      <c r="F731" s="7">
        <f>SUMPRODUCT($C$6:$X$6,'batch tool'!$B725:$W725)+$Y$6</f>
        <v>-47.741473633885199</v>
      </c>
      <c r="G731" s="7">
        <f>SUMPRODUCT($C$7:$X$7,'batch tool'!$B725:$W725)+$Y$7</f>
        <v>-19.739516238059196</v>
      </c>
      <c r="H731" s="7">
        <f t="shared" si="22"/>
        <v>-19.739516238059196</v>
      </c>
      <c r="I731">
        <f t="shared" si="23"/>
        <v>6</v>
      </c>
      <c r="J731" t="str" cm="1">
        <f t="array" ref="J731">INDEX($A$2:$A$7,I731)</f>
        <v>Segment 6- Self-Conscious Male</v>
      </c>
    </row>
    <row r="732" spans="1:10" x14ac:dyDescent="0.25">
      <c r="A732" s="1">
        <f>'batch tool'!A726</f>
        <v>0</v>
      </c>
      <c r="B732" s="7">
        <f>SUMPRODUCT($C$2:$X$2,'batch tool'!$B726:$W726)+$Y$2</f>
        <v>-49.12272534143483</v>
      </c>
      <c r="C732" s="7">
        <f>SUMPRODUCT($C$3:$X$3,'batch tool'!$B726:$W726)+$Y$3</f>
        <v>-36.514029388465531</v>
      </c>
      <c r="D732" s="7">
        <f>SUMPRODUCT($C$4:$X$4,'batch tool'!$B726:$W726)+$Y$4</f>
        <v>-44.639843068043824</v>
      </c>
      <c r="E732" s="7">
        <f>SUMPRODUCT($C$5:$X$5,'batch tool'!$B726:$W726)+$Y$5</f>
        <v>-51.578889182477603</v>
      </c>
      <c r="F732" s="7">
        <f>SUMPRODUCT($C$6:$X$6,'batch tool'!$B726:$W726)+$Y$6</f>
        <v>-47.741473633885199</v>
      </c>
      <c r="G732" s="7">
        <f>SUMPRODUCT($C$7:$X$7,'batch tool'!$B726:$W726)+$Y$7</f>
        <v>-19.739516238059196</v>
      </c>
      <c r="H732" s="7">
        <f t="shared" si="22"/>
        <v>-19.739516238059196</v>
      </c>
      <c r="I732">
        <f t="shared" si="23"/>
        <v>6</v>
      </c>
      <c r="J732" t="str" cm="1">
        <f t="array" ref="J732">INDEX($A$2:$A$7,I732)</f>
        <v>Segment 6- Self-Conscious Male</v>
      </c>
    </row>
    <row r="733" spans="1:10" x14ac:dyDescent="0.25">
      <c r="A733" s="1">
        <f>'batch tool'!A727</f>
        <v>0</v>
      </c>
      <c r="B733" s="7">
        <f>SUMPRODUCT($C$2:$X$2,'batch tool'!$B727:$W727)+$Y$2</f>
        <v>-49.12272534143483</v>
      </c>
      <c r="C733" s="7">
        <f>SUMPRODUCT($C$3:$X$3,'batch tool'!$B727:$W727)+$Y$3</f>
        <v>-36.514029388465531</v>
      </c>
      <c r="D733" s="7">
        <f>SUMPRODUCT($C$4:$X$4,'batch tool'!$B727:$W727)+$Y$4</f>
        <v>-44.639843068043824</v>
      </c>
      <c r="E733" s="7">
        <f>SUMPRODUCT($C$5:$X$5,'batch tool'!$B727:$W727)+$Y$5</f>
        <v>-51.578889182477603</v>
      </c>
      <c r="F733" s="7">
        <f>SUMPRODUCT($C$6:$X$6,'batch tool'!$B727:$W727)+$Y$6</f>
        <v>-47.741473633885199</v>
      </c>
      <c r="G733" s="7">
        <f>SUMPRODUCT($C$7:$X$7,'batch tool'!$B727:$W727)+$Y$7</f>
        <v>-19.739516238059196</v>
      </c>
      <c r="H733" s="7">
        <f t="shared" si="22"/>
        <v>-19.739516238059196</v>
      </c>
      <c r="I733">
        <f t="shared" si="23"/>
        <v>6</v>
      </c>
      <c r="J733" t="str" cm="1">
        <f t="array" ref="J733">INDEX($A$2:$A$7,I733)</f>
        <v>Segment 6- Self-Conscious Male</v>
      </c>
    </row>
    <row r="734" spans="1:10" x14ac:dyDescent="0.25">
      <c r="A734" s="1">
        <f>'batch tool'!A728</f>
        <v>0</v>
      </c>
      <c r="B734" s="7">
        <f>SUMPRODUCT($C$2:$X$2,'batch tool'!$B728:$W728)+$Y$2</f>
        <v>-49.12272534143483</v>
      </c>
      <c r="C734" s="7">
        <f>SUMPRODUCT($C$3:$X$3,'batch tool'!$B728:$W728)+$Y$3</f>
        <v>-36.514029388465531</v>
      </c>
      <c r="D734" s="7">
        <f>SUMPRODUCT($C$4:$X$4,'batch tool'!$B728:$W728)+$Y$4</f>
        <v>-44.639843068043824</v>
      </c>
      <c r="E734" s="7">
        <f>SUMPRODUCT($C$5:$X$5,'batch tool'!$B728:$W728)+$Y$5</f>
        <v>-51.578889182477603</v>
      </c>
      <c r="F734" s="7">
        <f>SUMPRODUCT($C$6:$X$6,'batch tool'!$B728:$W728)+$Y$6</f>
        <v>-47.741473633885199</v>
      </c>
      <c r="G734" s="7">
        <f>SUMPRODUCT($C$7:$X$7,'batch tool'!$B728:$W728)+$Y$7</f>
        <v>-19.739516238059196</v>
      </c>
      <c r="H734" s="7">
        <f t="shared" si="22"/>
        <v>-19.739516238059196</v>
      </c>
      <c r="I734">
        <f t="shared" si="23"/>
        <v>6</v>
      </c>
      <c r="J734" t="str" cm="1">
        <f t="array" ref="J734">INDEX($A$2:$A$7,I734)</f>
        <v>Segment 6- Self-Conscious Male</v>
      </c>
    </row>
    <row r="735" spans="1:10" x14ac:dyDescent="0.25">
      <c r="A735" s="1">
        <f>'batch tool'!A729</f>
        <v>0</v>
      </c>
      <c r="B735" s="7">
        <f>SUMPRODUCT($C$2:$X$2,'batch tool'!$B729:$W729)+$Y$2</f>
        <v>-49.12272534143483</v>
      </c>
      <c r="C735" s="7">
        <f>SUMPRODUCT($C$3:$X$3,'batch tool'!$B729:$W729)+$Y$3</f>
        <v>-36.514029388465531</v>
      </c>
      <c r="D735" s="7">
        <f>SUMPRODUCT($C$4:$X$4,'batch tool'!$B729:$W729)+$Y$4</f>
        <v>-44.639843068043824</v>
      </c>
      <c r="E735" s="7">
        <f>SUMPRODUCT($C$5:$X$5,'batch tool'!$B729:$W729)+$Y$5</f>
        <v>-51.578889182477603</v>
      </c>
      <c r="F735" s="7">
        <f>SUMPRODUCT($C$6:$X$6,'batch tool'!$B729:$W729)+$Y$6</f>
        <v>-47.741473633885199</v>
      </c>
      <c r="G735" s="7">
        <f>SUMPRODUCT($C$7:$X$7,'batch tool'!$B729:$W729)+$Y$7</f>
        <v>-19.739516238059196</v>
      </c>
      <c r="H735" s="7">
        <f t="shared" si="22"/>
        <v>-19.739516238059196</v>
      </c>
      <c r="I735">
        <f t="shared" si="23"/>
        <v>6</v>
      </c>
      <c r="J735" t="str" cm="1">
        <f t="array" ref="J735">INDEX($A$2:$A$7,I735)</f>
        <v>Segment 6- Self-Conscious Male</v>
      </c>
    </row>
    <row r="736" spans="1:10" x14ac:dyDescent="0.25">
      <c r="A736" s="1">
        <f>'batch tool'!A730</f>
        <v>0</v>
      </c>
      <c r="B736" s="7">
        <f>SUMPRODUCT($C$2:$X$2,'batch tool'!$B730:$W730)+$Y$2</f>
        <v>-49.12272534143483</v>
      </c>
      <c r="C736" s="7">
        <f>SUMPRODUCT($C$3:$X$3,'batch tool'!$B730:$W730)+$Y$3</f>
        <v>-36.514029388465531</v>
      </c>
      <c r="D736" s="7">
        <f>SUMPRODUCT($C$4:$X$4,'batch tool'!$B730:$W730)+$Y$4</f>
        <v>-44.639843068043824</v>
      </c>
      <c r="E736" s="7">
        <f>SUMPRODUCT($C$5:$X$5,'batch tool'!$B730:$W730)+$Y$5</f>
        <v>-51.578889182477603</v>
      </c>
      <c r="F736" s="7">
        <f>SUMPRODUCT($C$6:$X$6,'batch tool'!$B730:$W730)+$Y$6</f>
        <v>-47.741473633885199</v>
      </c>
      <c r="G736" s="7">
        <f>SUMPRODUCT($C$7:$X$7,'batch tool'!$B730:$W730)+$Y$7</f>
        <v>-19.739516238059196</v>
      </c>
      <c r="H736" s="7">
        <f t="shared" si="22"/>
        <v>-19.739516238059196</v>
      </c>
      <c r="I736">
        <f t="shared" si="23"/>
        <v>6</v>
      </c>
      <c r="J736" t="str" cm="1">
        <f t="array" ref="J736">INDEX($A$2:$A$7,I736)</f>
        <v>Segment 6- Self-Conscious Male</v>
      </c>
    </row>
    <row r="737" spans="1:10" x14ac:dyDescent="0.25">
      <c r="A737" s="1">
        <f>'batch tool'!A731</f>
        <v>0</v>
      </c>
      <c r="B737" s="7">
        <f>SUMPRODUCT($C$2:$X$2,'batch tool'!$B731:$W731)+$Y$2</f>
        <v>-49.12272534143483</v>
      </c>
      <c r="C737" s="7">
        <f>SUMPRODUCT($C$3:$X$3,'batch tool'!$B731:$W731)+$Y$3</f>
        <v>-36.514029388465531</v>
      </c>
      <c r="D737" s="7">
        <f>SUMPRODUCT($C$4:$X$4,'batch tool'!$B731:$W731)+$Y$4</f>
        <v>-44.639843068043824</v>
      </c>
      <c r="E737" s="7">
        <f>SUMPRODUCT($C$5:$X$5,'batch tool'!$B731:$W731)+$Y$5</f>
        <v>-51.578889182477603</v>
      </c>
      <c r="F737" s="7">
        <f>SUMPRODUCT($C$6:$X$6,'batch tool'!$B731:$W731)+$Y$6</f>
        <v>-47.741473633885199</v>
      </c>
      <c r="G737" s="7">
        <f>SUMPRODUCT($C$7:$X$7,'batch tool'!$B731:$W731)+$Y$7</f>
        <v>-19.739516238059196</v>
      </c>
      <c r="H737" s="7">
        <f t="shared" si="22"/>
        <v>-19.739516238059196</v>
      </c>
      <c r="I737">
        <f t="shared" si="23"/>
        <v>6</v>
      </c>
      <c r="J737" t="str" cm="1">
        <f t="array" ref="J737">INDEX($A$2:$A$7,I737)</f>
        <v>Segment 6- Self-Conscious Male</v>
      </c>
    </row>
    <row r="738" spans="1:10" x14ac:dyDescent="0.25">
      <c r="A738" s="1">
        <f>'batch tool'!A732</f>
        <v>0</v>
      </c>
      <c r="B738" s="7">
        <f>SUMPRODUCT($C$2:$X$2,'batch tool'!$B732:$W732)+$Y$2</f>
        <v>-49.12272534143483</v>
      </c>
      <c r="C738" s="7">
        <f>SUMPRODUCT($C$3:$X$3,'batch tool'!$B732:$W732)+$Y$3</f>
        <v>-36.514029388465531</v>
      </c>
      <c r="D738" s="7">
        <f>SUMPRODUCT($C$4:$X$4,'batch tool'!$B732:$W732)+$Y$4</f>
        <v>-44.639843068043824</v>
      </c>
      <c r="E738" s="7">
        <f>SUMPRODUCT($C$5:$X$5,'batch tool'!$B732:$W732)+$Y$5</f>
        <v>-51.578889182477603</v>
      </c>
      <c r="F738" s="7">
        <f>SUMPRODUCT($C$6:$X$6,'batch tool'!$B732:$W732)+$Y$6</f>
        <v>-47.741473633885199</v>
      </c>
      <c r="G738" s="7">
        <f>SUMPRODUCT($C$7:$X$7,'batch tool'!$B732:$W732)+$Y$7</f>
        <v>-19.739516238059196</v>
      </c>
      <c r="H738" s="7">
        <f t="shared" si="22"/>
        <v>-19.739516238059196</v>
      </c>
      <c r="I738">
        <f t="shared" si="23"/>
        <v>6</v>
      </c>
      <c r="J738" t="str" cm="1">
        <f t="array" ref="J738">INDEX($A$2:$A$7,I738)</f>
        <v>Segment 6- Self-Conscious Male</v>
      </c>
    </row>
    <row r="739" spans="1:10" x14ac:dyDescent="0.25">
      <c r="A739" s="1">
        <f>'batch tool'!A733</f>
        <v>0</v>
      </c>
      <c r="B739" s="7">
        <f>SUMPRODUCT($C$2:$X$2,'batch tool'!$B733:$W733)+$Y$2</f>
        <v>-49.12272534143483</v>
      </c>
      <c r="C739" s="7">
        <f>SUMPRODUCT($C$3:$X$3,'batch tool'!$B733:$W733)+$Y$3</f>
        <v>-36.514029388465531</v>
      </c>
      <c r="D739" s="7">
        <f>SUMPRODUCT($C$4:$X$4,'batch tool'!$B733:$W733)+$Y$4</f>
        <v>-44.639843068043824</v>
      </c>
      <c r="E739" s="7">
        <f>SUMPRODUCT($C$5:$X$5,'batch tool'!$B733:$W733)+$Y$5</f>
        <v>-51.578889182477603</v>
      </c>
      <c r="F739" s="7">
        <f>SUMPRODUCT($C$6:$X$6,'batch tool'!$B733:$W733)+$Y$6</f>
        <v>-47.741473633885199</v>
      </c>
      <c r="G739" s="7">
        <f>SUMPRODUCT($C$7:$X$7,'batch tool'!$B733:$W733)+$Y$7</f>
        <v>-19.739516238059196</v>
      </c>
      <c r="H739" s="7">
        <f t="shared" si="22"/>
        <v>-19.739516238059196</v>
      </c>
      <c r="I739">
        <f t="shared" si="23"/>
        <v>6</v>
      </c>
      <c r="J739" t="str" cm="1">
        <f t="array" ref="J739">INDEX($A$2:$A$7,I739)</f>
        <v>Segment 6- Self-Conscious Male</v>
      </c>
    </row>
    <row r="740" spans="1:10" x14ac:dyDescent="0.25">
      <c r="A740" s="1">
        <f>'batch tool'!A734</f>
        <v>0</v>
      </c>
      <c r="B740" s="7">
        <f>SUMPRODUCT($C$2:$X$2,'batch tool'!$B734:$W734)+$Y$2</f>
        <v>-49.12272534143483</v>
      </c>
      <c r="C740" s="7">
        <f>SUMPRODUCT($C$3:$X$3,'batch tool'!$B734:$W734)+$Y$3</f>
        <v>-36.514029388465531</v>
      </c>
      <c r="D740" s="7">
        <f>SUMPRODUCT($C$4:$X$4,'batch tool'!$B734:$W734)+$Y$4</f>
        <v>-44.639843068043824</v>
      </c>
      <c r="E740" s="7">
        <f>SUMPRODUCT($C$5:$X$5,'batch tool'!$B734:$W734)+$Y$5</f>
        <v>-51.578889182477603</v>
      </c>
      <c r="F740" s="7">
        <f>SUMPRODUCT($C$6:$X$6,'batch tool'!$B734:$W734)+$Y$6</f>
        <v>-47.741473633885199</v>
      </c>
      <c r="G740" s="7">
        <f>SUMPRODUCT($C$7:$X$7,'batch tool'!$B734:$W734)+$Y$7</f>
        <v>-19.739516238059196</v>
      </c>
      <c r="H740" s="7">
        <f t="shared" si="22"/>
        <v>-19.739516238059196</v>
      </c>
      <c r="I740">
        <f t="shared" si="23"/>
        <v>6</v>
      </c>
      <c r="J740" t="str" cm="1">
        <f t="array" ref="J740">INDEX($A$2:$A$7,I740)</f>
        <v>Segment 6- Self-Conscious Male</v>
      </c>
    </row>
    <row r="741" spans="1:10" x14ac:dyDescent="0.25">
      <c r="A741" s="1">
        <f>'batch tool'!A735</f>
        <v>0</v>
      </c>
      <c r="B741" s="7">
        <f>SUMPRODUCT($C$2:$X$2,'batch tool'!$B735:$W735)+$Y$2</f>
        <v>-49.12272534143483</v>
      </c>
      <c r="C741" s="7">
        <f>SUMPRODUCT($C$3:$X$3,'batch tool'!$B735:$W735)+$Y$3</f>
        <v>-36.514029388465531</v>
      </c>
      <c r="D741" s="7">
        <f>SUMPRODUCT($C$4:$X$4,'batch tool'!$B735:$W735)+$Y$4</f>
        <v>-44.639843068043824</v>
      </c>
      <c r="E741" s="7">
        <f>SUMPRODUCT($C$5:$X$5,'batch tool'!$B735:$W735)+$Y$5</f>
        <v>-51.578889182477603</v>
      </c>
      <c r="F741" s="7">
        <f>SUMPRODUCT($C$6:$X$6,'batch tool'!$B735:$W735)+$Y$6</f>
        <v>-47.741473633885199</v>
      </c>
      <c r="G741" s="7">
        <f>SUMPRODUCT($C$7:$X$7,'batch tool'!$B735:$W735)+$Y$7</f>
        <v>-19.739516238059196</v>
      </c>
      <c r="H741" s="7">
        <f t="shared" si="22"/>
        <v>-19.739516238059196</v>
      </c>
      <c r="I741">
        <f t="shared" si="23"/>
        <v>6</v>
      </c>
      <c r="J741" t="str" cm="1">
        <f t="array" ref="J741">INDEX($A$2:$A$7,I741)</f>
        <v>Segment 6- Self-Conscious Male</v>
      </c>
    </row>
    <row r="742" spans="1:10" x14ac:dyDescent="0.25">
      <c r="A742" s="1">
        <f>'batch tool'!A736</f>
        <v>0</v>
      </c>
      <c r="B742" s="7">
        <f>SUMPRODUCT($C$2:$X$2,'batch tool'!$B736:$W736)+$Y$2</f>
        <v>-49.12272534143483</v>
      </c>
      <c r="C742" s="7">
        <f>SUMPRODUCT($C$3:$X$3,'batch tool'!$B736:$W736)+$Y$3</f>
        <v>-36.514029388465531</v>
      </c>
      <c r="D742" s="7">
        <f>SUMPRODUCT($C$4:$X$4,'batch tool'!$B736:$W736)+$Y$4</f>
        <v>-44.639843068043824</v>
      </c>
      <c r="E742" s="7">
        <f>SUMPRODUCT($C$5:$X$5,'batch tool'!$B736:$W736)+$Y$5</f>
        <v>-51.578889182477603</v>
      </c>
      <c r="F742" s="7">
        <f>SUMPRODUCT($C$6:$X$6,'batch tool'!$B736:$W736)+$Y$6</f>
        <v>-47.741473633885199</v>
      </c>
      <c r="G742" s="7">
        <f>SUMPRODUCT($C$7:$X$7,'batch tool'!$B736:$W736)+$Y$7</f>
        <v>-19.739516238059196</v>
      </c>
      <c r="H742" s="7">
        <f t="shared" si="22"/>
        <v>-19.739516238059196</v>
      </c>
      <c r="I742">
        <f t="shared" si="23"/>
        <v>6</v>
      </c>
      <c r="J742" t="str" cm="1">
        <f t="array" ref="J742">INDEX($A$2:$A$7,I742)</f>
        <v>Segment 6- Self-Conscious Male</v>
      </c>
    </row>
    <row r="743" spans="1:10" x14ac:dyDescent="0.25">
      <c r="A743" s="1">
        <f>'batch tool'!A737</f>
        <v>0</v>
      </c>
      <c r="B743" s="7">
        <f>SUMPRODUCT($C$2:$X$2,'batch tool'!$B737:$W737)+$Y$2</f>
        <v>-49.12272534143483</v>
      </c>
      <c r="C743" s="7">
        <f>SUMPRODUCT($C$3:$X$3,'batch tool'!$B737:$W737)+$Y$3</f>
        <v>-36.514029388465531</v>
      </c>
      <c r="D743" s="7">
        <f>SUMPRODUCT($C$4:$X$4,'batch tool'!$B737:$W737)+$Y$4</f>
        <v>-44.639843068043824</v>
      </c>
      <c r="E743" s="7">
        <f>SUMPRODUCT($C$5:$X$5,'batch tool'!$B737:$W737)+$Y$5</f>
        <v>-51.578889182477603</v>
      </c>
      <c r="F743" s="7">
        <f>SUMPRODUCT($C$6:$X$6,'batch tool'!$B737:$W737)+$Y$6</f>
        <v>-47.741473633885199</v>
      </c>
      <c r="G743" s="7">
        <f>SUMPRODUCT($C$7:$X$7,'batch tool'!$B737:$W737)+$Y$7</f>
        <v>-19.739516238059196</v>
      </c>
      <c r="H743" s="7">
        <f t="shared" si="22"/>
        <v>-19.739516238059196</v>
      </c>
      <c r="I743">
        <f t="shared" si="23"/>
        <v>6</v>
      </c>
      <c r="J743" t="str" cm="1">
        <f t="array" ref="J743">INDEX($A$2:$A$7,I743)</f>
        <v>Segment 6- Self-Conscious Male</v>
      </c>
    </row>
    <row r="744" spans="1:10" x14ac:dyDescent="0.25">
      <c r="A744" s="1">
        <f>'batch tool'!A738</f>
        <v>0</v>
      </c>
      <c r="B744" s="7">
        <f>SUMPRODUCT($C$2:$X$2,'batch tool'!$B738:$W738)+$Y$2</f>
        <v>-49.12272534143483</v>
      </c>
      <c r="C744" s="7">
        <f>SUMPRODUCT($C$3:$X$3,'batch tool'!$B738:$W738)+$Y$3</f>
        <v>-36.514029388465531</v>
      </c>
      <c r="D744" s="7">
        <f>SUMPRODUCT($C$4:$X$4,'batch tool'!$B738:$W738)+$Y$4</f>
        <v>-44.639843068043824</v>
      </c>
      <c r="E744" s="7">
        <f>SUMPRODUCT($C$5:$X$5,'batch tool'!$B738:$W738)+$Y$5</f>
        <v>-51.578889182477603</v>
      </c>
      <c r="F744" s="7">
        <f>SUMPRODUCT($C$6:$X$6,'batch tool'!$B738:$W738)+$Y$6</f>
        <v>-47.741473633885199</v>
      </c>
      <c r="G744" s="7">
        <f>SUMPRODUCT($C$7:$X$7,'batch tool'!$B738:$W738)+$Y$7</f>
        <v>-19.739516238059196</v>
      </c>
      <c r="H744" s="7">
        <f t="shared" si="22"/>
        <v>-19.739516238059196</v>
      </c>
      <c r="I744">
        <f t="shared" si="23"/>
        <v>6</v>
      </c>
      <c r="J744" t="str" cm="1">
        <f t="array" ref="J744">INDEX($A$2:$A$7,I744)</f>
        <v>Segment 6- Self-Conscious Male</v>
      </c>
    </row>
    <row r="745" spans="1:10" x14ac:dyDescent="0.25">
      <c r="A745" s="1">
        <f>'batch tool'!A739</f>
        <v>0</v>
      </c>
      <c r="B745" s="7">
        <f>SUMPRODUCT($C$2:$X$2,'batch tool'!$B739:$W739)+$Y$2</f>
        <v>-49.12272534143483</v>
      </c>
      <c r="C745" s="7">
        <f>SUMPRODUCT($C$3:$X$3,'batch tool'!$B739:$W739)+$Y$3</f>
        <v>-36.514029388465531</v>
      </c>
      <c r="D745" s="7">
        <f>SUMPRODUCT($C$4:$X$4,'batch tool'!$B739:$W739)+$Y$4</f>
        <v>-44.639843068043824</v>
      </c>
      <c r="E745" s="7">
        <f>SUMPRODUCT($C$5:$X$5,'batch tool'!$B739:$W739)+$Y$5</f>
        <v>-51.578889182477603</v>
      </c>
      <c r="F745" s="7">
        <f>SUMPRODUCT($C$6:$X$6,'batch tool'!$B739:$W739)+$Y$6</f>
        <v>-47.741473633885199</v>
      </c>
      <c r="G745" s="7">
        <f>SUMPRODUCT($C$7:$X$7,'batch tool'!$B739:$W739)+$Y$7</f>
        <v>-19.739516238059196</v>
      </c>
      <c r="H745" s="7">
        <f t="shared" si="22"/>
        <v>-19.739516238059196</v>
      </c>
      <c r="I745">
        <f t="shared" si="23"/>
        <v>6</v>
      </c>
      <c r="J745" t="str" cm="1">
        <f t="array" ref="J745">INDEX($A$2:$A$7,I745)</f>
        <v>Segment 6- Self-Conscious Male</v>
      </c>
    </row>
    <row r="746" spans="1:10" x14ac:dyDescent="0.25">
      <c r="A746" s="1">
        <f>'batch tool'!A740</f>
        <v>0</v>
      </c>
      <c r="B746" s="7">
        <f>SUMPRODUCT($C$2:$X$2,'batch tool'!$B740:$W740)+$Y$2</f>
        <v>-49.12272534143483</v>
      </c>
      <c r="C746" s="7">
        <f>SUMPRODUCT($C$3:$X$3,'batch tool'!$B740:$W740)+$Y$3</f>
        <v>-36.514029388465531</v>
      </c>
      <c r="D746" s="7">
        <f>SUMPRODUCT($C$4:$X$4,'batch tool'!$B740:$W740)+$Y$4</f>
        <v>-44.639843068043824</v>
      </c>
      <c r="E746" s="7">
        <f>SUMPRODUCT($C$5:$X$5,'batch tool'!$B740:$W740)+$Y$5</f>
        <v>-51.578889182477603</v>
      </c>
      <c r="F746" s="7">
        <f>SUMPRODUCT($C$6:$X$6,'batch tool'!$B740:$W740)+$Y$6</f>
        <v>-47.741473633885199</v>
      </c>
      <c r="G746" s="7">
        <f>SUMPRODUCT($C$7:$X$7,'batch tool'!$B740:$W740)+$Y$7</f>
        <v>-19.739516238059196</v>
      </c>
      <c r="H746" s="7">
        <f t="shared" si="22"/>
        <v>-19.739516238059196</v>
      </c>
      <c r="I746">
        <f t="shared" si="23"/>
        <v>6</v>
      </c>
      <c r="J746" t="str" cm="1">
        <f t="array" ref="J746">INDEX($A$2:$A$7,I746)</f>
        <v>Segment 6- Self-Conscious Male</v>
      </c>
    </row>
    <row r="747" spans="1:10" x14ac:dyDescent="0.25">
      <c r="A747" s="1">
        <f>'batch tool'!A741</f>
        <v>0</v>
      </c>
      <c r="B747" s="7">
        <f>SUMPRODUCT($C$2:$X$2,'batch tool'!$B741:$W741)+$Y$2</f>
        <v>-49.12272534143483</v>
      </c>
      <c r="C747" s="7">
        <f>SUMPRODUCT($C$3:$X$3,'batch tool'!$B741:$W741)+$Y$3</f>
        <v>-36.514029388465531</v>
      </c>
      <c r="D747" s="7">
        <f>SUMPRODUCT($C$4:$X$4,'batch tool'!$B741:$W741)+$Y$4</f>
        <v>-44.639843068043824</v>
      </c>
      <c r="E747" s="7">
        <f>SUMPRODUCT($C$5:$X$5,'batch tool'!$B741:$W741)+$Y$5</f>
        <v>-51.578889182477603</v>
      </c>
      <c r="F747" s="7">
        <f>SUMPRODUCT($C$6:$X$6,'batch tool'!$B741:$W741)+$Y$6</f>
        <v>-47.741473633885199</v>
      </c>
      <c r="G747" s="7">
        <f>SUMPRODUCT($C$7:$X$7,'batch tool'!$B741:$W741)+$Y$7</f>
        <v>-19.739516238059196</v>
      </c>
      <c r="H747" s="7">
        <f t="shared" si="22"/>
        <v>-19.739516238059196</v>
      </c>
      <c r="I747">
        <f t="shared" si="23"/>
        <v>6</v>
      </c>
      <c r="J747" t="str" cm="1">
        <f t="array" ref="J747">INDEX($A$2:$A$7,I747)</f>
        <v>Segment 6- Self-Conscious Male</v>
      </c>
    </row>
    <row r="748" spans="1:10" x14ac:dyDescent="0.25">
      <c r="A748" s="1">
        <f>'batch tool'!A742</f>
        <v>0</v>
      </c>
      <c r="B748" s="7">
        <f>SUMPRODUCT($C$2:$X$2,'batch tool'!$B742:$W742)+$Y$2</f>
        <v>-49.12272534143483</v>
      </c>
      <c r="C748" s="7">
        <f>SUMPRODUCT($C$3:$X$3,'batch tool'!$B742:$W742)+$Y$3</f>
        <v>-36.514029388465531</v>
      </c>
      <c r="D748" s="7">
        <f>SUMPRODUCT($C$4:$X$4,'batch tool'!$B742:$W742)+$Y$4</f>
        <v>-44.639843068043824</v>
      </c>
      <c r="E748" s="7">
        <f>SUMPRODUCT($C$5:$X$5,'batch tool'!$B742:$W742)+$Y$5</f>
        <v>-51.578889182477603</v>
      </c>
      <c r="F748" s="7">
        <f>SUMPRODUCT($C$6:$X$6,'batch tool'!$B742:$W742)+$Y$6</f>
        <v>-47.741473633885199</v>
      </c>
      <c r="G748" s="7">
        <f>SUMPRODUCT($C$7:$X$7,'batch tool'!$B742:$W742)+$Y$7</f>
        <v>-19.739516238059196</v>
      </c>
      <c r="H748" s="7">
        <f t="shared" si="22"/>
        <v>-19.739516238059196</v>
      </c>
      <c r="I748">
        <f t="shared" si="23"/>
        <v>6</v>
      </c>
      <c r="J748" t="str" cm="1">
        <f t="array" ref="J748">INDEX($A$2:$A$7,I748)</f>
        <v>Segment 6- Self-Conscious Male</v>
      </c>
    </row>
    <row r="749" spans="1:10" x14ac:dyDescent="0.25">
      <c r="A749" s="1">
        <f>'batch tool'!A743</f>
        <v>0</v>
      </c>
      <c r="B749" s="7">
        <f>SUMPRODUCT($C$2:$X$2,'batch tool'!$B743:$W743)+$Y$2</f>
        <v>-49.12272534143483</v>
      </c>
      <c r="C749" s="7">
        <f>SUMPRODUCT($C$3:$X$3,'batch tool'!$B743:$W743)+$Y$3</f>
        <v>-36.514029388465531</v>
      </c>
      <c r="D749" s="7">
        <f>SUMPRODUCT($C$4:$X$4,'batch tool'!$B743:$W743)+$Y$4</f>
        <v>-44.639843068043824</v>
      </c>
      <c r="E749" s="7">
        <f>SUMPRODUCT($C$5:$X$5,'batch tool'!$B743:$W743)+$Y$5</f>
        <v>-51.578889182477603</v>
      </c>
      <c r="F749" s="7">
        <f>SUMPRODUCT($C$6:$X$6,'batch tool'!$B743:$W743)+$Y$6</f>
        <v>-47.741473633885199</v>
      </c>
      <c r="G749" s="7">
        <f>SUMPRODUCT($C$7:$X$7,'batch tool'!$B743:$W743)+$Y$7</f>
        <v>-19.739516238059196</v>
      </c>
      <c r="H749" s="7">
        <f t="shared" si="22"/>
        <v>-19.739516238059196</v>
      </c>
      <c r="I749">
        <f t="shared" si="23"/>
        <v>6</v>
      </c>
      <c r="J749" t="str" cm="1">
        <f t="array" ref="J749">INDEX($A$2:$A$7,I749)</f>
        <v>Segment 6- Self-Conscious Male</v>
      </c>
    </row>
    <row r="750" spans="1:10" x14ac:dyDescent="0.25">
      <c r="A750" s="1">
        <f>'batch tool'!A744</f>
        <v>0</v>
      </c>
      <c r="B750" s="7">
        <f>SUMPRODUCT($C$2:$X$2,'batch tool'!$B744:$W744)+$Y$2</f>
        <v>-49.12272534143483</v>
      </c>
      <c r="C750" s="7">
        <f>SUMPRODUCT($C$3:$X$3,'batch tool'!$B744:$W744)+$Y$3</f>
        <v>-36.514029388465531</v>
      </c>
      <c r="D750" s="7">
        <f>SUMPRODUCT($C$4:$X$4,'batch tool'!$B744:$W744)+$Y$4</f>
        <v>-44.639843068043824</v>
      </c>
      <c r="E750" s="7">
        <f>SUMPRODUCT($C$5:$X$5,'batch tool'!$B744:$W744)+$Y$5</f>
        <v>-51.578889182477603</v>
      </c>
      <c r="F750" s="7">
        <f>SUMPRODUCT($C$6:$X$6,'batch tool'!$B744:$W744)+$Y$6</f>
        <v>-47.741473633885199</v>
      </c>
      <c r="G750" s="7">
        <f>SUMPRODUCT($C$7:$X$7,'batch tool'!$B744:$W744)+$Y$7</f>
        <v>-19.739516238059196</v>
      </c>
      <c r="H750" s="7">
        <f t="shared" si="22"/>
        <v>-19.739516238059196</v>
      </c>
      <c r="I750">
        <f t="shared" si="23"/>
        <v>6</v>
      </c>
      <c r="J750" t="str" cm="1">
        <f t="array" ref="J750">INDEX($A$2:$A$7,I750)</f>
        <v>Segment 6- Self-Conscious Male</v>
      </c>
    </row>
    <row r="751" spans="1:10" x14ac:dyDescent="0.25">
      <c r="A751" s="1">
        <f>'batch tool'!A745</f>
        <v>0</v>
      </c>
      <c r="B751" s="7">
        <f>SUMPRODUCT($C$2:$X$2,'batch tool'!$B745:$W745)+$Y$2</f>
        <v>-49.12272534143483</v>
      </c>
      <c r="C751" s="7">
        <f>SUMPRODUCT($C$3:$X$3,'batch tool'!$B745:$W745)+$Y$3</f>
        <v>-36.514029388465531</v>
      </c>
      <c r="D751" s="7">
        <f>SUMPRODUCT($C$4:$X$4,'batch tool'!$B745:$W745)+$Y$4</f>
        <v>-44.639843068043824</v>
      </c>
      <c r="E751" s="7">
        <f>SUMPRODUCT($C$5:$X$5,'batch tool'!$B745:$W745)+$Y$5</f>
        <v>-51.578889182477603</v>
      </c>
      <c r="F751" s="7">
        <f>SUMPRODUCT($C$6:$X$6,'batch tool'!$B745:$W745)+$Y$6</f>
        <v>-47.741473633885199</v>
      </c>
      <c r="G751" s="7">
        <f>SUMPRODUCT($C$7:$X$7,'batch tool'!$B745:$W745)+$Y$7</f>
        <v>-19.739516238059196</v>
      </c>
      <c r="H751" s="7">
        <f t="shared" si="22"/>
        <v>-19.739516238059196</v>
      </c>
      <c r="I751">
        <f t="shared" si="23"/>
        <v>6</v>
      </c>
      <c r="J751" t="str" cm="1">
        <f t="array" ref="J751">INDEX($A$2:$A$7,I751)</f>
        <v>Segment 6- Self-Conscious Male</v>
      </c>
    </row>
    <row r="752" spans="1:10" x14ac:dyDescent="0.25">
      <c r="A752" s="1">
        <f>'batch tool'!A746</f>
        <v>0</v>
      </c>
      <c r="B752" s="7">
        <f>SUMPRODUCT($C$2:$X$2,'batch tool'!$B746:$W746)+$Y$2</f>
        <v>-49.12272534143483</v>
      </c>
      <c r="C752" s="7">
        <f>SUMPRODUCT($C$3:$X$3,'batch tool'!$B746:$W746)+$Y$3</f>
        <v>-36.514029388465531</v>
      </c>
      <c r="D752" s="7">
        <f>SUMPRODUCT($C$4:$X$4,'batch tool'!$B746:$W746)+$Y$4</f>
        <v>-44.639843068043824</v>
      </c>
      <c r="E752" s="7">
        <f>SUMPRODUCT($C$5:$X$5,'batch tool'!$B746:$W746)+$Y$5</f>
        <v>-51.578889182477603</v>
      </c>
      <c r="F752" s="7">
        <f>SUMPRODUCT($C$6:$X$6,'batch tool'!$B746:$W746)+$Y$6</f>
        <v>-47.741473633885199</v>
      </c>
      <c r="G752" s="7">
        <f>SUMPRODUCT($C$7:$X$7,'batch tool'!$B746:$W746)+$Y$7</f>
        <v>-19.739516238059196</v>
      </c>
      <c r="H752" s="7">
        <f t="shared" si="22"/>
        <v>-19.739516238059196</v>
      </c>
      <c r="I752">
        <f t="shared" si="23"/>
        <v>6</v>
      </c>
      <c r="J752" t="str" cm="1">
        <f t="array" ref="J752">INDEX($A$2:$A$7,I752)</f>
        <v>Segment 6- Self-Conscious Male</v>
      </c>
    </row>
    <row r="753" spans="1:10" x14ac:dyDescent="0.25">
      <c r="A753" s="1">
        <f>'batch tool'!A747</f>
        <v>0</v>
      </c>
      <c r="B753" s="7">
        <f>SUMPRODUCT($C$2:$X$2,'batch tool'!$B747:$W747)+$Y$2</f>
        <v>-49.12272534143483</v>
      </c>
      <c r="C753" s="7">
        <f>SUMPRODUCT($C$3:$X$3,'batch tool'!$B747:$W747)+$Y$3</f>
        <v>-36.514029388465531</v>
      </c>
      <c r="D753" s="7">
        <f>SUMPRODUCT($C$4:$X$4,'batch tool'!$B747:$W747)+$Y$4</f>
        <v>-44.639843068043824</v>
      </c>
      <c r="E753" s="7">
        <f>SUMPRODUCT($C$5:$X$5,'batch tool'!$B747:$W747)+$Y$5</f>
        <v>-51.578889182477603</v>
      </c>
      <c r="F753" s="7">
        <f>SUMPRODUCT($C$6:$X$6,'batch tool'!$B747:$W747)+$Y$6</f>
        <v>-47.741473633885199</v>
      </c>
      <c r="G753" s="7">
        <f>SUMPRODUCT($C$7:$X$7,'batch tool'!$B747:$W747)+$Y$7</f>
        <v>-19.739516238059196</v>
      </c>
      <c r="H753" s="7">
        <f t="shared" si="22"/>
        <v>-19.739516238059196</v>
      </c>
      <c r="I753">
        <f t="shared" si="23"/>
        <v>6</v>
      </c>
      <c r="J753" t="str" cm="1">
        <f t="array" ref="J753">INDEX($A$2:$A$7,I753)</f>
        <v>Segment 6- Self-Conscious Male</v>
      </c>
    </row>
    <row r="754" spans="1:10" x14ac:dyDescent="0.25">
      <c r="A754" s="1">
        <f>'batch tool'!A748</f>
        <v>0</v>
      </c>
      <c r="B754" s="7">
        <f>SUMPRODUCT($C$2:$X$2,'batch tool'!$B748:$W748)+$Y$2</f>
        <v>-49.12272534143483</v>
      </c>
      <c r="C754" s="7">
        <f>SUMPRODUCT($C$3:$X$3,'batch tool'!$B748:$W748)+$Y$3</f>
        <v>-36.514029388465531</v>
      </c>
      <c r="D754" s="7">
        <f>SUMPRODUCT($C$4:$X$4,'batch tool'!$B748:$W748)+$Y$4</f>
        <v>-44.639843068043824</v>
      </c>
      <c r="E754" s="7">
        <f>SUMPRODUCT($C$5:$X$5,'batch tool'!$B748:$W748)+$Y$5</f>
        <v>-51.578889182477603</v>
      </c>
      <c r="F754" s="7">
        <f>SUMPRODUCT($C$6:$X$6,'batch tool'!$B748:$W748)+$Y$6</f>
        <v>-47.741473633885199</v>
      </c>
      <c r="G754" s="7">
        <f>SUMPRODUCT($C$7:$X$7,'batch tool'!$B748:$W748)+$Y$7</f>
        <v>-19.739516238059196</v>
      </c>
      <c r="H754" s="7">
        <f t="shared" si="22"/>
        <v>-19.739516238059196</v>
      </c>
      <c r="I754">
        <f t="shared" si="23"/>
        <v>6</v>
      </c>
      <c r="J754" t="str" cm="1">
        <f t="array" ref="J754">INDEX($A$2:$A$7,I754)</f>
        <v>Segment 6- Self-Conscious Male</v>
      </c>
    </row>
    <row r="755" spans="1:10" x14ac:dyDescent="0.25">
      <c r="A755" s="1">
        <f>'batch tool'!A749</f>
        <v>0</v>
      </c>
      <c r="B755" s="7">
        <f>SUMPRODUCT($C$2:$X$2,'batch tool'!$B749:$W749)+$Y$2</f>
        <v>-49.12272534143483</v>
      </c>
      <c r="C755" s="7">
        <f>SUMPRODUCT($C$3:$X$3,'batch tool'!$B749:$W749)+$Y$3</f>
        <v>-36.514029388465531</v>
      </c>
      <c r="D755" s="7">
        <f>SUMPRODUCT($C$4:$X$4,'batch tool'!$B749:$W749)+$Y$4</f>
        <v>-44.639843068043824</v>
      </c>
      <c r="E755" s="7">
        <f>SUMPRODUCT($C$5:$X$5,'batch tool'!$B749:$W749)+$Y$5</f>
        <v>-51.578889182477603</v>
      </c>
      <c r="F755" s="7">
        <f>SUMPRODUCT($C$6:$X$6,'batch tool'!$B749:$W749)+$Y$6</f>
        <v>-47.741473633885199</v>
      </c>
      <c r="G755" s="7">
        <f>SUMPRODUCT($C$7:$X$7,'batch tool'!$B749:$W749)+$Y$7</f>
        <v>-19.739516238059196</v>
      </c>
      <c r="H755" s="7">
        <f t="shared" si="22"/>
        <v>-19.739516238059196</v>
      </c>
      <c r="I755">
        <f t="shared" si="23"/>
        <v>6</v>
      </c>
      <c r="J755" t="str" cm="1">
        <f t="array" ref="J755">INDEX($A$2:$A$7,I755)</f>
        <v>Segment 6- Self-Conscious Male</v>
      </c>
    </row>
    <row r="756" spans="1:10" x14ac:dyDescent="0.25">
      <c r="A756" s="1">
        <f>'batch tool'!A750</f>
        <v>0</v>
      </c>
      <c r="B756" s="7">
        <f>SUMPRODUCT($C$2:$X$2,'batch tool'!$B750:$W750)+$Y$2</f>
        <v>-49.12272534143483</v>
      </c>
      <c r="C756" s="7">
        <f>SUMPRODUCT($C$3:$X$3,'batch tool'!$B750:$W750)+$Y$3</f>
        <v>-36.514029388465531</v>
      </c>
      <c r="D756" s="7">
        <f>SUMPRODUCT($C$4:$X$4,'batch tool'!$B750:$W750)+$Y$4</f>
        <v>-44.639843068043824</v>
      </c>
      <c r="E756" s="7">
        <f>SUMPRODUCT($C$5:$X$5,'batch tool'!$B750:$W750)+$Y$5</f>
        <v>-51.578889182477603</v>
      </c>
      <c r="F756" s="7">
        <f>SUMPRODUCT($C$6:$X$6,'batch tool'!$B750:$W750)+$Y$6</f>
        <v>-47.741473633885199</v>
      </c>
      <c r="G756" s="7">
        <f>SUMPRODUCT($C$7:$X$7,'batch tool'!$B750:$W750)+$Y$7</f>
        <v>-19.739516238059196</v>
      </c>
      <c r="H756" s="7">
        <f t="shared" si="22"/>
        <v>-19.739516238059196</v>
      </c>
      <c r="I756">
        <f t="shared" si="23"/>
        <v>6</v>
      </c>
      <c r="J756" t="str" cm="1">
        <f t="array" ref="J756">INDEX($A$2:$A$7,I756)</f>
        <v>Segment 6- Self-Conscious Male</v>
      </c>
    </row>
    <row r="757" spans="1:10" x14ac:dyDescent="0.25">
      <c r="A757" s="1">
        <f>'batch tool'!A751</f>
        <v>0</v>
      </c>
      <c r="B757" s="7">
        <f>SUMPRODUCT($C$2:$X$2,'batch tool'!$B751:$W751)+$Y$2</f>
        <v>-49.12272534143483</v>
      </c>
      <c r="C757" s="7">
        <f>SUMPRODUCT($C$3:$X$3,'batch tool'!$B751:$W751)+$Y$3</f>
        <v>-36.514029388465531</v>
      </c>
      <c r="D757" s="7">
        <f>SUMPRODUCT($C$4:$X$4,'batch tool'!$B751:$W751)+$Y$4</f>
        <v>-44.639843068043824</v>
      </c>
      <c r="E757" s="7">
        <f>SUMPRODUCT($C$5:$X$5,'batch tool'!$B751:$W751)+$Y$5</f>
        <v>-51.578889182477603</v>
      </c>
      <c r="F757" s="7">
        <f>SUMPRODUCT($C$6:$X$6,'batch tool'!$B751:$W751)+$Y$6</f>
        <v>-47.741473633885199</v>
      </c>
      <c r="G757" s="7">
        <f>SUMPRODUCT($C$7:$X$7,'batch tool'!$B751:$W751)+$Y$7</f>
        <v>-19.739516238059196</v>
      </c>
      <c r="H757" s="7">
        <f t="shared" si="22"/>
        <v>-19.739516238059196</v>
      </c>
      <c r="I757">
        <f t="shared" si="23"/>
        <v>6</v>
      </c>
      <c r="J757" t="str" cm="1">
        <f t="array" ref="J757">INDEX($A$2:$A$7,I757)</f>
        <v>Segment 6- Self-Conscious Male</v>
      </c>
    </row>
    <row r="758" spans="1:10" x14ac:dyDescent="0.25">
      <c r="A758" s="1">
        <f>'batch tool'!A752</f>
        <v>0</v>
      </c>
      <c r="B758" s="7">
        <f>SUMPRODUCT($C$2:$X$2,'batch tool'!$B752:$W752)+$Y$2</f>
        <v>-49.12272534143483</v>
      </c>
      <c r="C758" s="7">
        <f>SUMPRODUCT($C$3:$X$3,'batch tool'!$B752:$W752)+$Y$3</f>
        <v>-36.514029388465531</v>
      </c>
      <c r="D758" s="7">
        <f>SUMPRODUCT($C$4:$X$4,'batch tool'!$B752:$W752)+$Y$4</f>
        <v>-44.639843068043824</v>
      </c>
      <c r="E758" s="7">
        <f>SUMPRODUCT($C$5:$X$5,'batch tool'!$B752:$W752)+$Y$5</f>
        <v>-51.578889182477603</v>
      </c>
      <c r="F758" s="7">
        <f>SUMPRODUCT($C$6:$X$6,'batch tool'!$B752:$W752)+$Y$6</f>
        <v>-47.741473633885199</v>
      </c>
      <c r="G758" s="7">
        <f>SUMPRODUCT($C$7:$X$7,'batch tool'!$B752:$W752)+$Y$7</f>
        <v>-19.739516238059196</v>
      </c>
      <c r="H758" s="7">
        <f t="shared" si="22"/>
        <v>-19.739516238059196</v>
      </c>
      <c r="I758">
        <f t="shared" si="23"/>
        <v>6</v>
      </c>
      <c r="J758" t="str" cm="1">
        <f t="array" ref="J758">INDEX($A$2:$A$7,I758)</f>
        <v>Segment 6- Self-Conscious Male</v>
      </c>
    </row>
    <row r="759" spans="1:10" x14ac:dyDescent="0.25">
      <c r="A759" s="1">
        <f>'batch tool'!A753</f>
        <v>0</v>
      </c>
      <c r="B759" s="7">
        <f>SUMPRODUCT($C$2:$X$2,'batch tool'!$B753:$W753)+$Y$2</f>
        <v>-49.12272534143483</v>
      </c>
      <c r="C759" s="7">
        <f>SUMPRODUCT($C$3:$X$3,'batch tool'!$B753:$W753)+$Y$3</f>
        <v>-36.514029388465531</v>
      </c>
      <c r="D759" s="7">
        <f>SUMPRODUCT($C$4:$X$4,'batch tool'!$B753:$W753)+$Y$4</f>
        <v>-44.639843068043824</v>
      </c>
      <c r="E759" s="7">
        <f>SUMPRODUCT($C$5:$X$5,'batch tool'!$B753:$W753)+$Y$5</f>
        <v>-51.578889182477603</v>
      </c>
      <c r="F759" s="7">
        <f>SUMPRODUCT($C$6:$X$6,'batch tool'!$B753:$W753)+$Y$6</f>
        <v>-47.741473633885199</v>
      </c>
      <c r="G759" s="7">
        <f>SUMPRODUCT($C$7:$X$7,'batch tool'!$B753:$W753)+$Y$7</f>
        <v>-19.739516238059196</v>
      </c>
      <c r="H759" s="7">
        <f t="shared" si="22"/>
        <v>-19.739516238059196</v>
      </c>
      <c r="I759">
        <f t="shared" si="23"/>
        <v>6</v>
      </c>
      <c r="J759" t="str" cm="1">
        <f t="array" ref="J759">INDEX($A$2:$A$7,I759)</f>
        <v>Segment 6- Self-Conscious Male</v>
      </c>
    </row>
    <row r="760" spans="1:10" x14ac:dyDescent="0.25">
      <c r="A760" s="1">
        <f>'batch tool'!A754</f>
        <v>0</v>
      </c>
      <c r="B760" s="7">
        <f>SUMPRODUCT($C$2:$X$2,'batch tool'!$B754:$W754)+$Y$2</f>
        <v>-49.12272534143483</v>
      </c>
      <c r="C760" s="7">
        <f>SUMPRODUCT($C$3:$X$3,'batch tool'!$B754:$W754)+$Y$3</f>
        <v>-36.514029388465531</v>
      </c>
      <c r="D760" s="7">
        <f>SUMPRODUCT($C$4:$X$4,'batch tool'!$B754:$W754)+$Y$4</f>
        <v>-44.639843068043824</v>
      </c>
      <c r="E760" s="7">
        <f>SUMPRODUCT($C$5:$X$5,'batch tool'!$B754:$W754)+$Y$5</f>
        <v>-51.578889182477603</v>
      </c>
      <c r="F760" s="7">
        <f>SUMPRODUCT($C$6:$X$6,'batch tool'!$B754:$W754)+$Y$6</f>
        <v>-47.741473633885199</v>
      </c>
      <c r="G760" s="7">
        <f>SUMPRODUCT($C$7:$X$7,'batch tool'!$B754:$W754)+$Y$7</f>
        <v>-19.739516238059196</v>
      </c>
      <c r="H760" s="7">
        <f t="shared" si="22"/>
        <v>-19.739516238059196</v>
      </c>
      <c r="I760">
        <f t="shared" si="23"/>
        <v>6</v>
      </c>
      <c r="J760" t="str" cm="1">
        <f t="array" ref="J760">INDEX($A$2:$A$7,I760)</f>
        <v>Segment 6- Self-Conscious Male</v>
      </c>
    </row>
    <row r="761" spans="1:10" x14ac:dyDescent="0.25">
      <c r="A761" s="1">
        <f>'batch tool'!A755</f>
        <v>0</v>
      </c>
      <c r="B761" s="7">
        <f>SUMPRODUCT($C$2:$X$2,'batch tool'!$B755:$W755)+$Y$2</f>
        <v>-49.12272534143483</v>
      </c>
      <c r="C761" s="7">
        <f>SUMPRODUCT($C$3:$X$3,'batch tool'!$B755:$W755)+$Y$3</f>
        <v>-36.514029388465531</v>
      </c>
      <c r="D761" s="7">
        <f>SUMPRODUCT($C$4:$X$4,'batch tool'!$B755:$W755)+$Y$4</f>
        <v>-44.639843068043824</v>
      </c>
      <c r="E761" s="7">
        <f>SUMPRODUCT($C$5:$X$5,'batch tool'!$B755:$W755)+$Y$5</f>
        <v>-51.578889182477603</v>
      </c>
      <c r="F761" s="7">
        <f>SUMPRODUCT($C$6:$X$6,'batch tool'!$B755:$W755)+$Y$6</f>
        <v>-47.741473633885199</v>
      </c>
      <c r="G761" s="7">
        <f>SUMPRODUCT($C$7:$X$7,'batch tool'!$B755:$W755)+$Y$7</f>
        <v>-19.739516238059196</v>
      </c>
      <c r="H761" s="7">
        <f t="shared" si="22"/>
        <v>-19.739516238059196</v>
      </c>
      <c r="I761">
        <f t="shared" si="23"/>
        <v>6</v>
      </c>
      <c r="J761" t="str" cm="1">
        <f t="array" ref="J761">INDEX($A$2:$A$7,I761)</f>
        <v>Segment 6- Self-Conscious Male</v>
      </c>
    </row>
    <row r="762" spans="1:10" x14ac:dyDescent="0.25">
      <c r="A762" s="1">
        <f>'batch tool'!A756</f>
        <v>0</v>
      </c>
      <c r="B762" s="7">
        <f>SUMPRODUCT($C$2:$X$2,'batch tool'!$B756:$W756)+$Y$2</f>
        <v>-49.12272534143483</v>
      </c>
      <c r="C762" s="7">
        <f>SUMPRODUCT($C$3:$X$3,'batch tool'!$B756:$W756)+$Y$3</f>
        <v>-36.514029388465531</v>
      </c>
      <c r="D762" s="7">
        <f>SUMPRODUCT($C$4:$X$4,'batch tool'!$B756:$W756)+$Y$4</f>
        <v>-44.639843068043824</v>
      </c>
      <c r="E762" s="7">
        <f>SUMPRODUCT($C$5:$X$5,'batch tool'!$B756:$W756)+$Y$5</f>
        <v>-51.578889182477603</v>
      </c>
      <c r="F762" s="7">
        <f>SUMPRODUCT($C$6:$X$6,'batch tool'!$B756:$W756)+$Y$6</f>
        <v>-47.741473633885199</v>
      </c>
      <c r="G762" s="7">
        <f>SUMPRODUCT($C$7:$X$7,'batch tool'!$B756:$W756)+$Y$7</f>
        <v>-19.739516238059196</v>
      </c>
      <c r="H762" s="7">
        <f t="shared" si="22"/>
        <v>-19.739516238059196</v>
      </c>
      <c r="I762">
        <f t="shared" si="23"/>
        <v>6</v>
      </c>
      <c r="J762" t="str" cm="1">
        <f t="array" ref="J762">INDEX($A$2:$A$7,I762)</f>
        <v>Segment 6- Self-Conscious Male</v>
      </c>
    </row>
    <row r="763" spans="1:10" x14ac:dyDescent="0.25">
      <c r="A763" s="1">
        <f>'batch tool'!A757</f>
        <v>0</v>
      </c>
      <c r="B763" s="7">
        <f>SUMPRODUCT($C$2:$X$2,'batch tool'!$B757:$W757)+$Y$2</f>
        <v>-49.12272534143483</v>
      </c>
      <c r="C763" s="7">
        <f>SUMPRODUCT($C$3:$X$3,'batch tool'!$B757:$W757)+$Y$3</f>
        <v>-36.514029388465531</v>
      </c>
      <c r="D763" s="7">
        <f>SUMPRODUCT($C$4:$X$4,'batch tool'!$B757:$W757)+$Y$4</f>
        <v>-44.639843068043824</v>
      </c>
      <c r="E763" s="7">
        <f>SUMPRODUCT($C$5:$X$5,'batch tool'!$B757:$W757)+$Y$5</f>
        <v>-51.578889182477603</v>
      </c>
      <c r="F763" s="7">
        <f>SUMPRODUCT($C$6:$X$6,'batch tool'!$B757:$W757)+$Y$6</f>
        <v>-47.741473633885199</v>
      </c>
      <c r="G763" s="7">
        <f>SUMPRODUCT($C$7:$X$7,'batch tool'!$B757:$W757)+$Y$7</f>
        <v>-19.739516238059196</v>
      </c>
      <c r="H763" s="7">
        <f t="shared" si="22"/>
        <v>-19.739516238059196</v>
      </c>
      <c r="I763">
        <f t="shared" si="23"/>
        <v>6</v>
      </c>
      <c r="J763" t="str" cm="1">
        <f t="array" ref="J763">INDEX($A$2:$A$7,I763)</f>
        <v>Segment 6- Self-Conscious Male</v>
      </c>
    </row>
    <row r="764" spans="1:10" x14ac:dyDescent="0.25">
      <c r="A764" s="1">
        <f>'batch tool'!A758</f>
        <v>0</v>
      </c>
      <c r="B764" s="7">
        <f>SUMPRODUCT($C$2:$X$2,'batch tool'!$B758:$W758)+$Y$2</f>
        <v>-49.12272534143483</v>
      </c>
      <c r="C764" s="7">
        <f>SUMPRODUCT($C$3:$X$3,'batch tool'!$B758:$W758)+$Y$3</f>
        <v>-36.514029388465531</v>
      </c>
      <c r="D764" s="7">
        <f>SUMPRODUCT($C$4:$X$4,'batch tool'!$B758:$W758)+$Y$4</f>
        <v>-44.639843068043824</v>
      </c>
      <c r="E764" s="7">
        <f>SUMPRODUCT($C$5:$X$5,'batch tool'!$B758:$W758)+$Y$5</f>
        <v>-51.578889182477603</v>
      </c>
      <c r="F764" s="7">
        <f>SUMPRODUCT($C$6:$X$6,'batch tool'!$B758:$W758)+$Y$6</f>
        <v>-47.741473633885199</v>
      </c>
      <c r="G764" s="7">
        <f>SUMPRODUCT($C$7:$X$7,'batch tool'!$B758:$W758)+$Y$7</f>
        <v>-19.739516238059196</v>
      </c>
      <c r="H764" s="7">
        <f t="shared" si="22"/>
        <v>-19.739516238059196</v>
      </c>
      <c r="I764">
        <f t="shared" si="23"/>
        <v>6</v>
      </c>
      <c r="J764" t="str" cm="1">
        <f t="array" ref="J764">INDEX($A$2:$A$7,I764)</f>
        <v>Segment 6- Self-Conscious Male</v>
      </c>
    </row>
    <row r="765" spans="1:10" x14ac:dyDescent="0.25">
      <c r="A765" s="1">
        <f>'batch tool'!A759</f>
        <v>0</v>
      </c>
      <c r="B765" s="7">
        <f>SUMPRODUCT($C$2:$X$2,'batch tool'!$B759:$W759)+$Y$2</f>
        <v>-49.12272534143483</v>
      </c>
      <c r="C765" s="7">
        <f>SUMPRODUCT($C$3:$X$3,'batch tool'!$B759:$W759)+$Y$3</f>
        <v>-36.514029388465531</v>
      </c>
      <c r="D765" s="7">
        <f>SUMPRODUCT($C$4:$X$4,'batch tool'!$B759:$W759)+$Y$4</f>
        <v>-44.639843068043824</v>
      </c>
      <c r="E765" s="7">
        <f>SUMPRODUCT($C$5:$X$5,'batch tool'!$B759:$W759)+$Y$5</f>
        <v>-51.578889182477603</v>
      </c>
      <c r="F765" s="7">
        <f>SUMPRODUCT($C$6:$X$6,'batch tool'!$B759:$W759)+$Y$6</f>
        <v>-47.741473633885199</v>
      </c>
      <c r="G765" s="7">
        <f>SUMPRODUCT($C$7:$X$7,'batch tool'!$B759:$W759)+$Y$7</f>
        <v>-19.739516238059196</v>
      </c>
      <c r="H765" s="7">
        <f t="shared" si="22"/>
        <v>-19.739516238059196</v>
      </c>
      <c r="I765">
        <f t="shared" si="23"/>
        <v>6</v>
      </c>
      <c r="J765" t="str" cm="1">
        <f t="array" ref="J765">INDEX($A$2:$A$7,I765)</f>
        <v>Segment 6- Self-Conscious Male</v>
      </c>
    </row>
    <row r="766" spans="1:10" x14ac:dyDescent="0.25">
      <c r="A766" s="1">
        <f>'batch tool'!A760</f>
        <v>0</v>
      </c>
      <c r="B766" s="7">
        <f>SUMPRODUCT($C$2:$X$2,'batch tool'!$B760:$W760)+$Y$2</f>
        <v>-49.12272534143483</v>
      </c>
      <c r="C766" s="7">
        <f>SUMPRODUCT($C$3:$X$3,'batch tool'!$B760:$W760)+$Y$3</f>
        <v>-36.514029388465531</v>
      </c>
      <c r="D766" s="7">
        <f>SUMPRODUCT($C$4:$X$4,'batch tool'!$B760:$W760)+$Y$4</f>
        <v>-44.639843068043824</v>
      </c>
      <c r="E766" s="7">
        <f>SUMPRODUCT($C$5:$X$5,'batch tool'!$B760:$W760)+$Y$5</f>
        <v>-51.578889182477603</v>
      </c>
      <c r="F766" s="7">
        <f>SUMPRODUCT($C$6:$X$6,'batch tool'!$B760:$W760)+$Y$6</f>
        <v>-47.741473633885199</v>
      </c>
      <c r="G766" s="7">
        <f>SUMPRODUCT($C$7:$X$7,'batch tool'!$B760:$W760)+$Y$7</f>
        <v>-19.739516238059196</v>
      </c>
      <c r="H766" s="7">
        <f t="shared" si="22"/>
        <v>-19.739516238059196</v>
      </c>
      <c r="I766">
        <f t="shared" si="23"/>
        <v>6</v>
      </c>
      <c r="J766" t="str" cm="1">
        <f t="array" ref="J766">INDEX($A$2:$A$7,I766)</f>
        <v>Segment 6- Self-Conscious Male</v>
      </c>
    </row>
    <row r="767" spans="1:10" x14ac:dyDescent="0.25">
      <c r="A767" s="1">
        <f>'batch tool'!A761</f>
        <v>0</v>
      </c>
      <c r="B767" s="7">
        <f>SUMPRODUCT($C$2:$X$2,'batch tool'!$B761:$W761)+$Y$2</f>
        <v>-49.12272534143483</v>
      </c>
      <c r="C767" s="7">
        <f>SUMPRODUCT($C$3:$X$3,'batch tool'!$B761:$W761)+$Y$3</f>
        <v>-36.514029388465531</v>
      </c>
      <c r="D767" s="7">
        <f>SUMPRODUCT($C$4:$X$4,'batch tool'!$B761:$W761)+$Y$4</f>
        <v>-44.639843068043824</v>
      </c>
      <c r="E767" s="7">
        <f>SUMPRODUCT($C$5:$X$5,'batch tool'!$B761:$W761)+$Y$5</f>
        <v>-51.578889182477603</v>
      </c>
      <c r="F767" s="7">
        <f>SUMPRODUCT($C$6:$X$6,'batch tool'!$B761:$W761)+$Y$6</f>
        <v>-47.741473633885199</v>
      </c>
      <c r="G767" s="7">
        <f>SUMPRODUCT($C$7:$X$7,'batch tool'!$B761:$W761)+$Y$7</f>
        <v>-19.739516238059196</v>
      </c>
      <c r="H767" s="7">
        <f t="shared" si="22"/>
        <v>-19.739516238059196</v>
      </c>
      <c r="I767">
        <f t="shared" si="23"/>
        <v>6</v>
      </c>
      <c r="J767" t="str" cm="1">
        <f t="array" ref="J767">INDEX($A$2:$A$7,I767)</f>
        <v>Segment 6- Self-Conscious Male</v>
      </c>
    </row>
    <row r="768" spans="1:10" x14ac:dyDescent="0.25">
      <c r="A768" s="1">
        <f>'batch tool'!A762</f>
        <v>0</v>
      </c>
      <c r="B768" s="7">
        <f>SUMPRODUCT($C$2:$X$2,'batch tool'!$B762:$W762)+$Y$2</f>
        <v>-49.12272534143483</v>
      </c>
      <c r="C768" s="7">
        <f>SUMPRODUCT($C$3:$X$3,'batch tool'!$B762:$W762)+$Y$3</f>
        <v>-36.514029388465531</v>
      </c>
      <c r="D768" s="7">
        <f>SUMPRODUCT($C$4:$X$4,'batch tool'!$B762:$W762)+$Y$4</f>
        <v>-44.639843068043824</v>
      </c>
      <c r="E768" s="7">
        <f>SUMPRODUCT($C$5:$X$5,'batch tool'!$B762:$W762)+$Y$5</f>
        <v>-51.578889182477603</v>
      </c>
      <c r="F768" s="7">
        <f>SUMPRODUCT($C$6:$X$6,'batch tool'!$B762:$W762)+$Y$6</f>
        <v>-47.741473633885199</v>
      </c>
      <c r="G768" s="7">
        <f>SUMPRODUCT($C$7:$X$7,'batch tool'!$B762:$W762)+$Y$7</f>
        <v>-19.739516238059196</v>
      </c>
      <c r="H768" s="7">
        <f t="shared" si="22"/>
        <v>-19.739516238059196</v>
      </c>
      <c r="I768">
        <f t="shared" si="23"/>
        <v>6</v>
      </c>
      <c r="J768" t="str" cm="1">
        <f t="array" ref="J768">INDEX($A$2:$A$7,I768)</f>
        <v>Segment 6- Self-Conscious Male</v>
      </c>
    </row>
    <row r="769" spans="1:10" x14ac:dyDescent="0.25">
      <c r="A769" s="1">
        <f>'batch tool'!A763</f>
        <v>0</v>
      </c>
      <c r="B769" s="7">
        <f>SUMPRODUCT($C$2:$X$2,'batch tool'!$B763:$W763)+$Y$2</f>
        <v>-49.12272534143483</v>
      </c>
      <c r="C769" s="7">
        <f>SUMPRODUCT($C$3:$X$3,'batch tool'!$B763:$W763)+$Y$3</f>
        <v>-36.514029388465531</v>
      </c>
      <c r="D769" s="7">
        <f>SUMPRODUCT($C$4:$X$4,'batch tool'!$B763:$W763)+$Y$4</f>
        <v>-44.639843068043824</v>
      </c>
      <c r="E769" s="7">
        <f>SUMPRODUCT($C$5:$X$5,'batch tool'!$B763:$W763)+$Y$5</f>
        <v>-51.578889182477603</v>
      </c>
      <c r="F769" s="7">
        <f>SUMPRODUCT($C$6:$X$6,'batch tool'!$B763:$W763)+$Y$6</f>
        <v>-47.741473633885199</v>
      </c>
      <c r="G769" s="7">
        <f>SUMPRODUCT($C$7:$X$7,'batch tool'!$B763:$W763)+$Y$7</f>
        <v>-19.739516238059196</v>
      </c>
      <c r="H769" s="7">
        <f t="shared" si="22"/>
        <v>-19.739516238059196</v>
      </c>
      <c r="I769">
        <f t="shared" si="23"/>
        <v>6</v>
      </c>
      <c r="J769" t="str" cm="1">
        <f t="array" ref="J769">INDEX($A$2:$A$7,I769)</f>
        <v>Segment 6- Self-Conscious Male</v>
      </c>
    </row>
    <row r="770" spans="1:10" x14ac:dyDescent="0.25">
      <c r="A770" s="1">
        <f>'batch tool'!A764</f>
        <v>0</v>
      </c>
      <c r="B770" s="7">
        <f>SUMPRODUCT($C$2:$X$2,'batch tool'!$B764:$W764)+$Y$2</f>
        <v>-49.12272534143483</v>
      </c>
      <c r="C770" s="7">
        <f>SUMPRODUCT($C$3:$X$3,'batch tool'!$B764:$W764)+$Y$3</f>
        <v>-36.514029388465531</v>
      </c>
      <c r="D770" s="7">
        <f>SUMPRODUCT($C$4:$X$4,'batch tool'!$B764:$W764)+$Y$4</f>
        <v>-44.639843068043824</v>
      </c>
      <c r="E770" s="7">
        <f>SUMPRODUCT($C$5:$X$5,'batch tool'!$B764:$W764)+$Y$5</f>
        <v>-51.578889182477603</v>
      </c>
      <c r="F770" s="7">
        <f>SUMPRODUCT($C$6:$X$6,'batch tool'!$B764:$W764)+$Y$6</f>
        <v>-47.741473633885199</v>
      </c>
      <c r="G770" s="7">
        <f>SUMPRODUCT($C$7:$X$7,'batch tool'!$B764:$W764)+$Y$7</f>
        <v>-19.739516238059196</v>
      </c>
      <c r="H770" s="7">
        <f t="shared" si="22"/>
        <v>-19.739516238059196</v>
      </c>
      <c r="I770">
        <f t="shared" si="23"/>
        <v>6</v>
      </c>
      <c r="J770" t="str" cm="1">
        <f t="array" ref="J770">INDEX($A$2:$A$7,I770)</f>
        <v>Segment 6- Self-Conscious Male</v>
      </c>
    </row>
    <row r="771" spans="1:10" x14ac:dyDescent="0.25">
      <c r="A771" s="1">
        <f>'batch tool'!A765</f>
        <v>0</v>
      </c>
      <c r="B771" s="7">
        <f>SUMPRODUCT($C$2:$X$2,'batch tool'!$B765:$W765)+$Y$2</f>
        <v>-49.12272534143483</v>
      </c>
      <c r="C771" s="7">
        <f>SUMPRODUCT($C$3:$X$3,'batch tool'!$B765:$W765)+$Y$3</f>
        <v>-36.514029388465531</v>
      </c>
      <c r="D771" s="7">
        <f>SUMPRODUCT($C$4:$X$4,'batch tool'!$B765:$W765)+$Y$4</f>
        <v>-44.639843068043824</v>
      </c>
      <c r="E771" s="7">
        <f>SUMPRODUCT($C$5:$X$5,'batch tool'!$B765:$W765)+$Y$5</f>
        <v>-51.578889182477603</v>
      </c>
      <c r="F771" s="7">
        <f>SUMPRODUCT($C$6:$X$6,'batch tool'!$B765:$W765)+$Y$6</f>
        <v>-47.741473633885199</v>
      </c>
      <c r="G771" s="7">
        <f>SUMPRODUCT($C$7:$X$7,'batch tool'!$B765:$W765)+$Y$7</f>
        <v>-19.739516238059196</v>
      </c>
      <c r="H771" s="7">
        <f t="shared" si="22"/>
        <v>-19.739516238059196</v>
      </c>
      <c r="I771">
        <f t="shared" si="23"/>
        <v>6</v>
      </c>
      <c r="J771" t="str" cm="1">
        <f t="array" ref="J771">INDEX($A$2:$A$7,I771)</f>
        <v>Segment 6- Self-Conscious Male</v>
      </c>
    </row>
    <row r="772" spans="1:10" x14ac:dyDescent="0.25">
      <c r="A772" s="1">
        <f>'batch tool'!A766</f>
        <v>0</v>
      </c>
      <c r="B772" s="7">
        <f>SUMPRODUCT($C$2:$X$2,'batch tool'!$B766:$W766)+$Y$2</f>
        <v>-49.12272534143483</v>
      </c>
      <c r="C772" s="7">
        <f>SUMPRODUCT($C$3:$X$3,'batch tool'!$B766:$W766)+$Y$3</f>
        <v>-36.514029388465531</v>
      </c>
      <c r="D772" s="7">
        <f>SUMPRODUCT($C$4:$X$4,'batch tool'!$B766:$W766)+$Y$4</f>
        <v>-44.639843068043824</v>
      </c>
      <c r="E772" s="7">
        <f>SUMPRODUCT($C$5:$X$5,'batch tool'!$B766:$W766)+$Y$5</f>
        <v>-51.578889182477603</v>
      </c>
      <c r="F772" s="7">
        <f>SUMPRODUCT($C$6:$X$6,'batch tool'!$B766:$W766)+$Y$6</f>
        <v>-47.741473633885199</v>
      </c>
      <c r="G772" s="7">
        <f>SUMPRODUCT($C$7:$X$7,'batch tool'!$B766:$W766)+$Y$7</f>
        <v>-19.739516238059196</v>
      </c>
      <c r="H772" s="7">
        <f t="shared" si="22"/>
        <v>-19.739516238059196</v>
      </c>
      <c r="I772">
        <f t="shared" si="23"/>
        <v>6</v>
      </c>
      <c r="J772" t="str" cm="1">
        <f t="array" ref="J772">INDEX($A$2:$A$7,I772)</f>
        <v>Segment 6- Self-Conscious Male</v>
      </c>
    </row>
    <row r="773" spans="1:10" x14ac:dyDescent="0.25">
      <c r="A773" s="1">
        <f>'batch tool'!A767</f>
        <v>0</v>
      </c>
      <c r="B773" s="7">
        <f>SUMPRODUCT($C$2:$X$2,'batch tool'!$B767:$W767)+$Y$2</f>
        <v>-49.12272534143483</v>
      </c>
      <c r="C773" s="7">
        <f>SUMPRODUCT($C$3:$X$3,'batch tool'!$B767:$W767)+$Y$3</f>
        <v>-36.514029388465531</v>
      </c>
      <c r="D773" s="7">
        <f>SUMPRODUCT($C$4:$X$4,'batch tool'!$B767:$W767)+$Y$4</f>
        <v>-44.639843068043824</v>
      </c>
      <c r="E773" s="7">
        <f>SUMPRODUCT($C$5:$X$5,'batch tool'!$B767:$W767)+$Y$5</f>
        <v>-51.578889182477603</v>
      </c>
      <c r="F773" s="7">
        <f>SUMPRODUCT($C$6:$X$6,'batch tool'!$B767:$W767)+$Y$6</f>
        <v>-47.741473633885199</v>
      </c>
      <c r="G773" s="7">
        <f>SUMPRODUCT($C$7:$X$7,'batch tool'!$B767:$W767)+$Y$7</f>
        <v>-19.739516238059196</v>
      </c>
      <c r="H773" s="7">
        <f t="shared" si="22"/>
        <v>-19.739516238059196</v>
      </c>
      <c r="I773">
        <f t="shared" si="23"/>
        <v>6</v>
      </c>
      <c r="J773" t="str" cm="1">
        <f t="array" ref="J773">INDEX($A$2:$A$7,I773)</f>
        <v>Segment 6- Self-Conscious Male</v>
      </c>
    </row>
    <row r="774" spans="1:10" x14ac:dyDescent="0.25">
      <c r="A774" s="1">
        <f>'batch tool'!A768</f>
        <v>0</v>
      </c>
      <c r="B774" s="7">
        <f>SUMPRODUCT($C$2:$X$2,'batch tool'!$B768:$W768)+$Y$2</f>
        <v>-49.12272534143483</v>
      </c>
      <c r="C774" s="7">
        <f>SUMPRODUCT($C$3:$X$3,'batch tool'!$B768:$W768)+$Y$3</f>
        <v>-36.514029388465531</v>
      </c>
      <c r="D774" s="7">
        <f>SUMPRODUCT($C$4:$X$4,'batch tool'!$B768:$W768)+$Y$4</f>
        <v>-44.639843068043824</v>
      </c>
      <c r="E774" s="7">
        <f>SUMPRODUCT($C$5:$X$5,'batch tool'!$B768:$W768)+$Y$5</f>
        <v>-51.578889182477603</v>
      </c>
      <c r="F774" s="7">
        <f>SUMPRODUCT($C$6:$X$6,'batch tool'!$B768:$W768)+$Y$6</f>
        <v>-47.741473633885199</v>
      </c>
      <c r="G774" s="7">
        <f>SUMPRODUCT($C$7:$X$7,'batch tool'!$B768:$W768)+$Y$7</f>
        <v>-19.739516238059196</v>
      </c>
      <c r="H774" s="7">
        <f t="shared" si="22"/>
        <v>-19.739516238059196</v>
      </c>
      <c r="I774">
        <f t="shared" si="23"/>
        <v>6</v>
      </c>
      <c r="J774" t="str" cm="1">
        <f t="array" ref="J774">INDEX($A$2:$A$7,I774)</f>
        <v>Segment 6- Self-Conscious Male</v>
      </c>
    </row>
    <row r="775" spans="1:10" x14ac:dyDescent="0.25">
      <c r="A775" s="1">
        <f>'batch tool'!A769</f>
        <v>0</v>
      </c>
      <c r="B775" s="7">
        <f>SUMPRODUCT($C$2:$X$2,'batch tool'!$B769:$W769)+$Y$2</f>
        <v>-49.12272534143483</v>
      </c>
      <c r="C775" s="7">
        <f>SUMPRODUCT($C$3:$X$3,'batch tool'!$B769:$W769)+$Y$3</f>
        <v>-36.514029388465531</v>
      </c>
      <c r="D775" s="7">
        <f>SUMPRODUCT($C$4:$X$4,'batch tool'!$B769:$W769)+$Y$4</f>
        <v>-44.639843068043824</v>
      </c>
      <c r="E775" s="7">
        <f>SUMPRODUCT($C$5:$X$5,'batch tool'!$B769:$W769)+$Y$5</f>
        <v>-51.578889182477603</v>
      </c>
      <c r="F775" s="7">
        <f>SUMPRODUCT($C$6:$X$6,'batch tool'!$B769:$W769)+$Y$6</f>
        <v>-47.741473633885199</v>
      </c>
      <c r="G775" s="7">
        <f>SUMPRODUCT($C$7:$X$7,'batch tool'!$B769:$W769)+$Y$7</f>
        <v>-19.739516238059196</v>
      </c>
      <c r="H775" s="7">
        <f t="shared" si="22"/>
        <v>-19.739516238059196</v>
      </c>
      <c r="I775">
        <f t="shared" si="23"/>
        <v>6</v>
      </c>
      <c r="J775" t="str" cm="1">
        <f t="array" ref="J775">INDEX($A$2:$A$7,I775)</f>
        <v>Segment 6- Self-Conscious Male</v>
      </c>
    </row>
    <row r="776" spans="1:10" x14ac:dyDescent="0.25">
      <c r="A776" s="1">
        <f>'batch tool'!A770</f>
        <v>0</v>
      </c>
      <c r="B776" s="7">
        <f>SUMPRODUCT($C$2:$X$2,'batch tool'!$B770:$W770)+$Y$2</f>
        <v>-49.12272534143483</v>
      </c>
      <c r="C776" s="7">
        <f>SUMPRODUCT($C$3:$X$3,'batch tool'!$B770:$W770)+$Y$3</f>
        <v>-36.514029388465531</v>
      </c>
      <c r="D776" s="7">
        <f>SUMPRODUCT($C$4:$X$4,'batch tool'!$B770:$W770)+$Y$4</f>
        <v>-44.639843068043824</v>
      </c>
      <c r="E776" s="7">
        <f>SUMPRODUCT($C$5:$X$5,'batch tool'!$B770:$W770)+$Y$5</f>
        <v>-51.578889182477603</v>
      </c>
      <c r="F776" s="7">
        <f>SUMPRODUCT($C$6:$X$6,'batch tool'!$B770:$W770)+$Y$6</f>
        <v>-47.741473633885199</v>
      </c>
      <c r="G776" s="7">
        <f>SUMPRODUCT($C$7:$X$7,'batch tool'!$B770:$W770)+$Y$7</f>
        <v>-19.739516238059196</v>
      </c>
      <c r="H776" s="7">
        <f t="shared" si="22"/>
        <v>-19.739516238059196</v>
      </c>
      <c r="I776">
        <f t="shared" si="23"/>
        <v>6</v>
      </c>
      <c r="J776" t="str" cm="1">
        <f t="array" ref="J776">INDEX($A$2:$A$7,I776)</f>
        <v>Segment 6- Self-Conscious Male</v>
      </c>
    </row>
    <row r="777" spans="1:10" x14ac:dyDescent="0.25">
      <c r="A777" s="1">
        <f>'batch tool'!A771</f>
        <v>0</v>
      </c>
      <c r="B777" s="7">
        <f>SUMPRODUCT($C$2:$X$2,'batch tool'!$B771:$W771)+$Y$2</f>
        <v>-49.12272534143483</v>
      </c>
      <c r="C777" s="7">
        <f>SUMPRODUCT($C$3:$X$3,'batch tool'!$B771:$W771)+$Y$3</f>
        <v>-36.514029388465531</v>
      </c>
      <c r="D777" s="7">
        <f>SUMPRODUCT($C$4:$X$4,'batch tool'!$B771:$W771)+$Y$4</f>
        <v>-44.639843068043824</v>
      </c>
      <c r="E777" s="7">
        <f>SUMPRODUCT($C$5:$X$5,'batch tool'!$B771:$W771)+$Y$5</f>
        <v>-51.578889182477603</v>
      </c>
      <c r="F777" s="7">
        <f>SUMPRODUCT($C$6:$X$6,'batch tool'!$B771:$W771)+$Y$6</f>
        <v>-47.741473633885199</v>
      </c>
      <c r="G777" s="7">
        <f>SUMPRODUCT($C$7:$X$7,'batch tool'!$B771:$W771)+$Y$7</f>
        <v>-19.739516238059196</v>
      </c>
      <c r="H777" s="7">
        <f t="shared" si="22"/>
        <v>-19.739516238059196</v>
      </c>
      <c r="I777">
        <f t="shared" si="23"/>
        <v>6</v>
      </c>
      <c r="J777" t="str" cm="1">
        <f t="array" ref="J777">INDEX($A$2:$A$7,I777)</f>
        <v>Segment 6- Self-Conscious Male</v>
      </c>
    </row>
    <row r="778" spans="1:10" x14ac:dyDescent="0.25">
      <c r="A778" s="1">
        <f>'batch tool'!A772</f>
        <v>0</v>
      </c>
      <c r="B778" s="7">
        <f>SUMPRODUCT($C$2:$X$2,'batch tool'!$B772:$W772)+$Y$2</f>
        <v>-49.12272534143483</v>
      </c>
      <c r="C778" s="7">
        <f>SUMPRODUCT($C$3:$X$3,'batch tool'!$B772:$W772)+$Y$3</f>
        <v>-36.514029388465531</v>
      </c>
      <c r="D778" s="7">
        <f>SUMPRODUCT($C$4:$X$4,'batch tool'!$B772:$W772)+$Y$4</f>
        <v>-44.639843068043824</v>
      </c>
      <c r="E778" s="7">
        <f>SUMPRODUCT($C$5:$X$5,'batch tool'!$B772:$W772)+$Y$5</f>
        <v>-51.578889182477603</v>
      </c>
      <c r="F778" s="7">
        <f>SUMPRODUCT($C$6:$X$6,'batch tool'!$B772:$W772)+$Y$6</f>
        <v>-47.741473633885199</v>
      </c>
      <c r="G778" s="7">
        <f>SUMPRODUCT($C$7:$X$7,'batch tool'!$B772:$W772)+$Y$7</f>
        <v>-19.739516238059196</v>
      </c>
      <c r="H778" s="7">
        <f t="shared" si="22"/>
        <v>-19.739516238059196</v>
      </c>
      <c r="I778">
        <f t="shared" si="23"/>
        <v>6</v>
      </c>
      <c r="J778" t="str" cm="1">
        <f t="array" ref="J778">INDEX($A$2:$A$7,I778)</f>
        <v>Segment 6- Self-Conscious Male</v>
      </c>
    </row>
    <row r="779" spans="1:10" x14ac:dyDescent="0.25">
      <c r="A779" s="1">
        <f>'batch tool'!A773</f>
        <v>0</v>
      </c>
      <c r="B779" s="7">
        <f>SUMPRODUCT($C$2:$X$2,'batch tool'!$B773:$W773)+$Y$2</f>
        <v>-49.12272534143483</v>
      </c>
      <c r="C779" s="7">
        <f>SUMPRODUCT($C$3:$X$3,'batch tool'!$B773:$W773)+$Y$3</f>
        <v>-36.514029388465531</v>
      </c>
      <c r="D779" s="7">
        <f>SUMPRODUCT($C$4:$X$4,'batch tool'!$B773:$W773)+$Y$4</f>
        <v>-44.639843068043824</v>
      </c>
      <c r="E779" s="7">
        <f>SUMPRODUCT($C$5:$X$5,'batch tool'!$B773:$W773)+$Y$5</f>
        <v>-51.578889182477603</v>
      </c>
      <c r="F779" s="7">
        <f>SUMPRODUCT($C$6:$X$6,'batch tool'!$B773:$W773)+$Y$6</f>
        <v>-47.741473633885199</v>
      </c>
      <c r="G779" s="7">
        <f>SUMPRODUCT($C$7:$X$7,'batch tool'!$B773:$W773)+$Y$7</f>
        <v>-19.739516238059196</v>
      </c>
      <c r="H779" s="7">
        <f t="shared" ref="H779:H842" si="24">MAX(B779:G779)</f>
        <v>-19.739516238059196</v>
      </c>
      <c r="I779">
        <f t="shared" ref="I779:I842" si="25">MATCH(H779,B779:G779,0)</f>
        <v>6</v>
      </c>
      <c r="J779" t="str" cm="1">
        <f t="array" ref="J779">INDEX($A$2:$A$7,I779)</f>
        <v>Segment 6- Self-Conscious Male</v>
      </c>
    </row>
    <row r="780" spans="1:10" x14ac:dyDescent="0.25">
      <c r="A780" s="1">
        <f>'batch tool'!A774</f>
        <v>0</v>
      </c>
      <c r="B780" s="7">
        <f>SUMPRODUCT($C$2:$X$2,'batch tool'!$B774:$W774)+$Y$2</f>
        <v>-49.12272534143483</v>
      </c>
      <c r="C780" s="7">
        <f>SUMPRODUCT($C$3:$X$3,'batch tool'!$B774:$W774)+$Y$3</f>
        <v>-36.514029388465531</v>
      </c>
      <c r="D780" s="7">
        <f>SUMPRODUCT($C$4:$X$4,'batch tool'!$B774:$W774)+$Y$4</f>
        <v>-44.639843068043824</v>
      </c>
      <c r="E780" s="7">
        <f>SUMPRODUCT($C$5:$X$5,'batch tool'!$B774:$W774)+$Y$5</f>
        <v>-51.578889182477603</v>
      </c>
      <c r="F780" s="7">
        <f>SUMPRODUCT($C$6:$X$6,'batch tool'!$B774:$W774)+$Y$6</f>
        <v>-47.741473633885199</v>
      </c>
      <c r="G780" s="7">
        <f>SUMPRODUCT($C$7:$X$7,'batch tool'!$B774:$W774)+$Y$7</f>
        <v>-19.739516238059196</v>
      </c>
      <c r="H780" s="7">
        <f t="shared" si="24"/>
        <v>-19.739516238059196</v>
      </c>
      <c r="I780">
        <f t="shared" si="25"/>
        <v>6</v>
      </c>
      <c r="J780" t="str" cm="1">
        <f t="array" ref="J780">INDEX($A$2:$A$7,I780)</f>
        <v>Segment 6- Self-Conscious Male</v>
      </c>
    </row>
    <row r="781" spans="1:10" x14ac:dyDescent="0.25">
      <c r="A781" s="1">
        <f>'batch tool'!A775</f>
        <v>0</v>
      </c>
      <c r="B781" s="7">
        <f>SUMPRODUCT($C$2:$X$2,'batch tool'!$B775:$W775)+$Y$2</f>
        <v>-49.12272534143483</v>
      </c>
      <c r="C781" s="7">
        <f>SUMPRODUCT($C$3:$X$3,'batch tool'!$B775:$W775)+$Y$3</f>
        <v>-36.514029388465531</v>
      </c>
      <c r="D781" s="7">
        <f>SUMPRODUCT($C$4:$X$4,'batch tool'!$B775:$W775)+$Y$4</f>
        <v>-44.639843068043824</v>
      </c>
      <c r="E781" s="7">
        <f>SUMPRODUCT($C$5:$X$5,'batch tool'!$B775:$W775)+$Y$5</f>
        <v>-51.578889182477603</v>
      </c>
      <c r="F781" s="7">
        <f>SUMPRODUCT($C$6:$X$6,'batch tool'!$B775:$W775)+$Y$6</f>
        <v>-47.741473633885199</v>
      </c>
      <c r="G781" s="7">
        <f>SUMPRODUCT($C$7:$X$7,'batch tool'!$B775:$W775)+$Y$7</f>
        <v>-19.739516238059196</v>
      </c>
      <c r="H781" s="7">
        <f t="shared" si="24"/>
        <v>-19.739516238059196</v>
      </c>
      <c r="I781">
        <f t="shared" si="25"/>
        <v>6</v>
      </c>
      <c r="J781" t="str" cm="1">
        <f t="array" ref="J781">INDEX($A$2:$A$7,I781)</f>
        <v>Segment 6- Self-Conscious Male</v>
      </c>
    </row>
    <row r="782" spans="1:10" x14ac:dyDescent="0.25">
      <c r="A782" s="1">
        <f>'batch tool'!A776</f>
        <v>0</v>
      </c>
      <c r="B782" s="7">
        <f>SUMPRODUCT($C$2:$X$2,'batch tool'!$B776:$W776)+$Y$2</f>
        <v>-49.12272534143483</v>
      </c>
      <c r="C782" s="7">
        <f>SUMPRODUCT($C$3:$X$3,'batch tool'!$B776:$W776)+$Y$3</f>
        <v>-36.514029388465531</v>
      </c>
      <c r="D782" s="7">
        <f>SUMPRODUCT($C$4:$X$4,'batch tool'!$B776:$W776)+$Y$4</f>
        <v>-44.639843068043824</v>
      </c>
      <c r="E782" s="7">
        <f>SUMPRODUCT($C$5:$X$5,'batch tool'!$B776:$W776)+$Y$5</f>
        <v>-51.578889182477603</v>
      </c>
      <c r="F782" s="7">
        <f>SUMPRODUCT($C$6:$X$6,'batch tool'!$B776:$W776)+$Y$6</f>
        <v>-47.741473633885199</v>
      </c>
      <c r="G782" s="7">
        <f>SUMPRODUCT($C$7:$X$7,'batch tool'!$B776:$W776)+$Y$7</f>
        <v>-19.739516238059196</v>
      </c>
      <c r="H782" s="7">
        <f t="shared" si="24"/>
        <v>-19.739516238059196</v>
      </c>
      <c r="I782">
        <f t="shared" si="25"/>
        <v>6</v>
      </c>
      <c r="J782" t="str" cm="1">
        <f t="array" ref="J782">INDEX($A$2:$A$7,I782)</f>
        <v>Segment 6- Self-Conscious Male</v>
      </c>
    </row>
    <row r="783" spans="1:10" x14ac:dyDescent="0.25">
      <c r="A783" s="1">
        <f>'batch tool'!A777</f>
        <v>0</v>
      </c>
      <c r="B783" s="7">
        <f>SUMPRODUCT($C$2:$X$2,'batch tool'!$B777:$W777)+$Y$2</f>
        <v>-49.12272534143483</v>
      </c>
      <c r="C783" s="7">
        <f>SUMPRODUCT($C$3:$X$3,'batch tool'!$B777:$W777)+$Y$3</f>
        <v>-36.514029388465531</v>
      </c>
      <c r="D783" s="7">
        <f>SUMPRODUCT($C$4:$X$4,'batch tool'!$B777:$W777)+$Y$4</f>
        <v>-44.639843068043824</v>
      </c>
      <c r="E783" s="7">
        <f>SUMPRODUCT($C$5:$X$5,'batch tool'!$B777:$W777)+$Y$5</f>
        <v>-51.578889182477603</v>
      </c>
      <c r="F783" s="7">
        <f>SUMPRODUCT($C$6:$X$6,'batch tool'!$B777:$W777)+$Y$6</f>
        <v>-47.741473633885199</v>
      </c>
      <c r="G783" s="7">
        <f>SUMPRODUCT($C$7:$X$7,'batch tool'!$B777:$W777)+$Y$7</f>
        <v>-19.739516238059196</v>
      </c>
      <c r="H783" s="7">
        <f t="shared" si="24"/>
        <v>-19.739516238059196</v>
      </c>
      <c r="I783">
        <f t="shared" si="25"/>
        <v>6</v>
      </c>
      <c r="J783" t="str" cm="1">
        <f t="array" ref="J783">INDEX($A$2:$A$7,I783)</f>
        <v>Segment 6- Self-Conscious Male</v>
      </c>
    </row>
    <row r="784" spans="1:10" x14ac:dyDescent="0.25">
      <c r="A784" s="1">
        <f>'batch tool'!A778</f>
        <v>0</v>
      </c>
      <c r="B784" s="7">
        <f>SUMPRODUCT($C$2:$X$2,'batch tool'!$B778:$W778)+$Y$2</f>
        <v>-49.12272534143483</v>
      </c>
      <c r="C784" s="7">
        <f>SUMPRODUCT($C$3:$X$3,'batch tool'!$B778:$W778)+$Y$3</f>
        <v>-36.514029388465531</v>
      </c>
      <c r="D784" s="7">
        <f>SUMPRODUCT($C$4:$X$4,'batch tool'!$B778:$W778)+$Y$4</f>
        <v>-44.639843068043824</v>
      </c>
      <c r="E784" s="7">
        <f>SUMPRODUCT($C$5:$X$5,'batch tool'!$B778:$W778)+$Y$5</f>
        <v>-51.578889182477603</v>
      </c>
      <c r="F784" s="7">
        <f>SUMPRODUCT($C$6:$X$6,'batch tool'!$B778:$W778)+$Y$6</f>
        <v>-47.741473633885199</v>
      </c>
      <c r="G784" s="7">
        <f>SUMPRODUCT($C$7:$X$7,'batch tool'!$B778:$W778)+$Y$7</f>
        <v>-19.739516238059196</v>
      </c>
      <c r="H784" s="7">
        <f t="shared" si="24"/>
        <v>-19.739516238059196</v>
      </c>
      <c r="I784">
        <f t="shared" si="25"/>
        <v>6</v>
      </c>
      <c r="J784" t="str" cm="1">
        <f t="array" ref="J784">INDEX($A$2:$A$7,I784)</f>
        <v>Segment 6- Self-Conscious Male</v>
      </c>
    </row>
    <row r="785" spans="1:10" x14ac:dyDescent="0.25">
      <c r="A785" s="1">
        <f>'batch tool'!A779</f>
        <v>0</v>
      </c>
      <c r="B785" s="7">
        <f>SUMPRODUCT($C$2:$X$2,'batch tool'!$B779:$W779)+$Y$2</f>
        <v>-49.12272534143483</v>
      </c>
      <c r="C785" s="7">
        <f>SUMPRODUCT($C$3:$X$3,'batch tool'!$B779:$W779)+$Y$3</f>
        <v>-36.514029388465531</v>
      </c>
      <c r="D785" s="7">
        <f>SUMPRODUCT($C$4:$X$4,'batch tool'!$B779:$W779)+$Y$4</f>
        <v>-44.639843068043824</v>
      </c>
      <c r="E785" s="7">
        <f>SUMPRODUCT($C$5:$X$5,'batch tool'!$B779:$W779)+$Y$5</f>
        <v>-51.578889182477603</v>
      </c>
      <c r="F785" s="7">
        <f>SUMPRODUCT($C$6:$X$6,'batch tool'!$B779:$W779)+$Y$6</f>
        <v>-47.741473633885199</v>
      </c>
      <c r="G785" s="7">
        <f>SUMPRODUCT($C$7:$X$7,'batch tool'!$B779:$W779)+$Y$7</f>
        <v>-19.739516238059196</v>
      </c>
      <c r="H785" s="7">
        <f t="shared" si="24"/>
        <v>-19.739516238059196</v>
      </c>
      <c r="I785">
        <f t="shared" si="25"/>
        <v>6</v>
      </c>
      <c r="J785" t="str" cm="1">
        <f t="array" ref="J785">INDEX($A$2:$A$7,I785)</f>
        <v>Segment 6- Self-Conscious Male</v>
      </c>
    </row>
    <row r="786" spans="1:10" x14ac:dyDescent="0.25">
      <c r="A786" s="1">
        <f>'batch tool'!A780</f>
        <v>0</v>
      </c>
      <c r="B786" s="7">
        <f>SUMPRODUCT($C$2:$X$2,'batch tool'!$B780:$W780)+$Y$2</f>
        <v>-49.12272534143483</v>
      </c>
      <c r="C786" s="7">
        <f>SUMPRODUCT($C$3:$X$3,'batch tool'!$B780:$W780)+$Y$3</f>
        <v>-36.514029388465531</v>
      </c>
      <c r="D786" s="7">
        <f>SUMPRODUCT($C$4:$X$4,'batch tool'!$B780:$W780)+$Y$4</f>
        <v>-44.639843068043824</v>
      </c>
      <c r="E786" s="7">
        <f>SUMPRODUCT($C$5:$X$5,'batch tool'!$B780:$W780)+$Y$5</f>
        <v>-51.578889182477603</v>
      </c>
      <c r="F786" s="7">
        <f>SUMPRODUCT($C$6:$X$6,'batch tool'!$B780:$W780)+$Y$6</f>
        <v>-47.741473633885199</v>
      </c>
      <c r="G786" s="7">
        <f>SUMPRODUCT($C$7:$X$7,'batch tool'!$B780:$W780)+$Y$7</f>
        <v>-19.739516238059196</v>
      </c>
      <c r="H786" s="7">
        <f t="shared" si="24"/>
        <v>-19.739516238059196</v>
      </c>
      <c r="I786">
        <f t="shared" si="25"/>
        <v>6</v>
      </c>
      <c r="J786" t="str" cm="1">
        <f t="array" ref="J786">INDEX($A$2:$A$7,I786)</f>
        <v>Segment 6- Self-Conscious Male</v>
      </c>
    </row>
    <row r="787" spans="1:10" x14ac:dyDescent="0.25">
      <c r="A787" s="1">
        <f>'batch tool'!A781</f>
        <v>0</v>
      </c>
      <c r="B787" s="7">
        <f>SUMPRODUCT($C$2:$X$2,'batch tool'!$B781:$W781)+$Y$2</f>
        <v>-49.12272534143483</v>
      </c>
      <c r="C787" s="7">
        <f>SUMPRODUCT($C$3:$X$3,'batch tool'!$B781:$W781)+$Y$3</f>
        <v>-36.514029388465531</v>
      </c>
      <c r="D787" s="7">
        <f>SUMPRODUCT($C$4:$X$4,'batch tool'!$B781:$W781)+$Y$4</f>
        <v>-44.639843068043824</v>
      </c>
      <c r="E787" s="7">
        <f>SUMPRODUCT($C$5:$X$5,'batch tool'!$B781:$W781)+$Y$5</f>
        <v>-51.578889182477603</v>
      </c>
      <c r="F787" s="7">
        <f>SUMPRODUCT($C$6:$X$6,'batch tool'!$B781:$W781)+$Y$6</f>
        <v>-47.741473633885199</v>
      </c>
      <c r="G787" s="7">
        <f>SUMPRODUCT($C$7:$X$7,'batch tool'!$B781:$W781)+$Y$7</f>
        <v>-19.739516238059196</v>
      </c>
      <c r="H787" s="7">
        <f t="shared" si="24"/>
        <v>-19.739516238059196</v>
      </c>
      <c r="I787">
        <f t="shared" si="25"/>
        <v>6</v>
      </c>
      <c r="J787" t="str" cm="1">
        <f t="array" ref="J787">INDEX($A$2:$A$7,I787)</f>
        <v>Segment 6- Self-Conscious Male</v>
      </c>
    </row>
    <row r="788" spans="1:10" x14ac:dyDescent="0.25">
      <c r="A788" s="1">
        <f>'batch tool'!A782</f>
        <v>0</v>
      </c>
      <c r="B788" s="7">
        <f>SUMPRODUCT($C$2:$X$2,'batch tool'!$B782:$W782)+$Y$2</f>
        <v>-49.12272534143483</v>
      </c>
      <c r="C788" s="7">
        <f>SUMPRODUCT($C$3:$X$3,'batch tool'!$B782:$W782)+$Y$3</f>
        <v>-36.514029388465531</v>
      </c>
      <c r="D788" s="7">
        <f>SUMPRODUCT($C$4:$X$4,'batch tool'!$B782:$W782)+$Y$4</f>
        <v>-44.639843068043824</v>
      </c>
      <c r="E788" s="7">
        <f>SUMPRODUCT($C$5:$X$5,'batch tool'!$B782:$W782)+$Y$5</f>
        <v>-51.578889182477603</v>
      </c>
      <c r="F788" s="7">
        <f>SUMPRODUCT($C$6:$X$6,'batch tool'!$B782:$W782)+$Y$6</f>
        <v>-47.741473633885199</v>
      </c>
      <c r="G788" s="7">
        <f>SUMPRODUCT($C$7:$X$7,'batch tool'!$B782:$W782)+$Y$7</f>
        <v>-19.739516238059196</v>
      </c>
      <c r="H788" s="7">
        <f t="shared" si="24"/>
        <v>-19.739516238059196</v>
      </c>
      <c r="I788">
        <f t="shared" si="25"/>
        <v>6</v>
      </c>
      <c r="J788" t="str" cm="1">
        <f t="array" ref="J788">INDEX($A$2:$A$7,I788)</f>
        <v>Segment 6- Self-Conscious Male</v>
      </c>
    </row>
    <row r="789" spans="1:10" x14ac:dyDescent="0.25">
      <c r="A789" s="1">
        <f>'batch tool'!A783</f>
        <v>0</v>
      </c>
      <c r="B789" s="7">
        <f>SUMPRODUCT($C$2:$X$2,'batch tool'!$B783:$W783)+$Y$2</f>
        <v>-49.12272534143483</v>
      </c>
      <c r="C789" s="7">
        <f>SUMPRODUCT($C$3:$X$3,'batch tool'!$B783:$W783)+$Y$3</f>
        <v>-36.514029388465531</v>
      </c>
      <c r="D789" s="7">
        <f>SUMPRODUCT($C$4:$X$4,'batch tool'!$B783:$W783)+$Y$4</f>
        <v>-44.639843068043824</v>
      </c>
      <c r="E789" s="7">
        <f>SUMPRODUCT($C$5:$X$5,'batch tool'!$B783:$W783)+$Y$5</f>
        <v>-51.578889182477603</v>
      </c>
      <c r="F789" s="7">
        <f>SUMPRODUCT($C$6:$X$6,'batch tool'!$B783:$W783)+$Y$6</f>
        <v>-47.741473633885199</v>
      </c>
      <c r="G789" s="7">
        <f>SUMPRODUCT($C$7:$X$7,'batch tool'!$B783:$W783)+$Y$7</f>
        <v>-19.739516238059196</v>
      </c>
      <c r="H789" s="7">
        <f t="shared" si="24"/>
        <v>-19.739516238059196</v>
      </c>
      <c r="I789">
        <f t="shared" si="25"/>
        <v>6</v>
      </c>
      <c r="J789" t="str" cm="1">
        <f t="array" ref="J789">INDEX($A$2:$A$7,I789)</f>
        <v>Segment 6- Self-Conscious Male</v>
      </c>
    </row>
    <row r="790" spans="1:10" x14ac:dyDescent="0.25">
      <c r="A790" s="1">
        <f>'batch tool'!A784</f>
        <v>0</v>
      </c>
      <c r="B790" s="7">
        <f>SUMPRODUCT($C$2:$X$2,'batch tool'!$B784:$W784)+$Y$2</f>
        <v>-49.12272534143483</v>
      </c>
      <c r="C790" s="7">
        <f>SUMPRODUCT($C$3:$X$3,'batch tool'!$B784:$W784)+$Y$3</f>
        <v>-36.514029388465531</v>
      </c>
      <c r="D790" s="7">
        <f>SUMPRODUCT($C$4:$X$4,'batch tool'!$B784:$W784)+$Y$4</f>
        <v>-44.639843068043824</v>
      </c>
      <c r="E790" s="7">
        <f>SUMPRODUCT($C$5:$X$5,'batch tool'!$B784:$W784)+$Y$5</f>
        <v>-51.578889182477603</v>
      </c>
      <c r="F790" s="7">
        <f>SUMPRODUCT($C$6:$X$6,'batch tool'!$B784:$W784)+$Y$6</f>
        <v>-47.741473633885199</v>
      </c>
      <c r="G790" s="7">
        <f>SUMPRODUCT($C$7:$X$7,'batch tool'!$B784:$W784)+$Y$7</f>
        <v>-19.739516238059196</v>
      </c>
      <c r="H790" s="7">
        <f t="shared" si="24"/>
        <v>-19.739516238059196</v>
      </c>
      <c r="I790">
        <f t="shared" si="25"/>
        <v>6</v>
      </c>
      <c r="J790" t="str" cm="1">
        <f t="array" ref="J790">INDEX($A$2:$A$7,I790)</f>
        <v>Segment 6- Self-Conscious Male</v>
      </c>
    </row>
    <row r="791" spans="1:10" x14ac:dyDescent="0.25">
      <c r="A791" s="1">
        <f>'batch tool'!A785</f>
        <v>0</v>
      </c>
      <c r="B791" s="7">
        <f>SUMPRODUCT($C$2:$X$2,'batch tool'!$B785:$W785)+$Y$2</f>
        <v>-49.12272534143483</v>
      </c>
      <c r="C791" s="7">
        <f>SUMPRODUCT($C$3:$X$3,'batch tool'!$B785:$W785)+$Y$3</f>
        <v>-36.514029388465531</v>
      </c>
      <c r="D791" s="7">
        <f>SUMPRODUCT($C$4:$X$4,'batch tool'!$B785:$W785)+$Y$4</f>
        <v>-44.639843068043824</v>
      </c>
      <c r="E791" s="7">
        <f>SUMPRODUCT($C$5:$X$5,'batch tool'!$B785:$W785)+$Y$5</f>
        <v>-51.578889182477603</v>
      </c>
      <c r="F791" s="7">
        <f>SUMPRODUCT($C$6:$X$6,'batch tool'!$B785:$W785)+$Y$6</f>
        <v>-47.741473633885199</v>
      </c>
      <c r="G791" s="7">
        <f>SUMPRODUCT($C$7:$X$7,'batch tool'!$B785:$W785)+$Y$7</f>
        <v>-19.739516238059196</v>
      </c>
      <c r="H791" s="7">
        <f t="shared" si="24"/>
        <v>-19.739516238059196</v>
      </c>
      <c r="I791">
        <f t="shared" si="25"/>
        <v>6</v>
      </c>
      <c r="J791" t="str" cm="1">
        <f t="array" ref="J791">INDEX($A$2:$A$7,I791)</f>
        <v>Segment 6- Self-Conscious Male</v>
      </c>
    </row>
    <row r="792" spans="1:10" x14ac:dyDescent="0.25">
      <c r="A792" s="1">
        <f>'batch tool'!A786</f>
        <v>0</v>
      </c>
      <c r="B792" s="7">
        <f>SUMPRODUCT($C$2:$X$2,'batch tool'!$B786:$W786)+$Y$2</f>
        <v>-49.12272534143483</v>
      </c>
      <c r="C792" s="7">
        <f>SUMPRODUCT($C$3:$X$3,'batch tool'!$B786:$W786)+$Y$3</f>
        <v>-36.514029388465531</v>
      </c>
      <c r="D792" s="7">
        <f>SUMPRODUCT($C$4:$X$4,'batch tool'!$B786:$W786)+$Y$4</f>
        <v>-44.639843068043824</v>
      </c>
      <c r="E792" s="7">
        <f>SUMPRODUCT($C$5:$X$5,'batch tool'!$B786:$W786)+$Y$5</f>
        <v>-51.578889182477603</v>
      </c>
      <c r="F792" s="7">
        <f>SUMPRODUCT($C$6:$X$6,'batch tool'!$B786:$W786)+$Y$6</f>
        <v>-47.741473633885199</v>
      </c>
      <c r="G792" s="7">
        <f>SUMPRODUCT($C$7:$X$7,'batch tool'!$B786:$W786)+$Y$7</f>
        <v>-19.739516238059196</v>
      </c>
      <c r="H792" s="7">
        <f t="shared" si="24"/>
        <v>-19.739516238059196</v>
      </c>
      <c r="I792">
        <f t="shared" si="25"/>
        <v>6</v>
      </c>
      <c r="J792" t="str" cm="1">
        <f t="array" ref="J792">INDEX($A$2:$A$7,I792)</f>
        <v>Segment 6- Self-Conscious Male</v>
      </c>
    </row>
    <row r="793" spans="1:10" x14ac:dyDescent="0.25">
      <c r="A793" s="1">
        <f>'batch tool'!A787</f>
        <v>0</v>
      </c>
      <c r="B793" s="7">
        <f>SUMPRODUCT($C$2:$X$2,'batch tool'!$B787:$W787)+$Y$2</f>
        <v>-49.12272534143483</v>
      </c>
      <c r="C793" s="7">
        <f>SUMPRODUCT($C$3:$X$3,'batch tool'!$B787:$W787)+$Y$3</f>
        <v>-36.514029388465531</v>
      </c>
      <c r="D793" s="7">
        <f>SUMPRODUCT($C$4:$X$4,'batch tool'!$B787:$W787)+$Y$4</f>
        <v>-44.639843068043824</v>
      </c>
      <c r="E793" s="7">
        <f>SUMPRODUCT($C$5:$X$5,'batch tool'!$B787:$W787)+$Y$5</f>
        <v>-51.578889182477603</v>
      </c>
      <c r="F793" s="7">
        <f>SUMPRODUCT($C$6:$X$6,'batch tool'!$B787:$W787)+$Y$6</f>
        <v>-47.741473633885199</v>
      </c>
      <c r="G793" s="7">
        <f>SUMPRODUCT($C$7:$X$7,'batch tool'!$B787:$W787)+$Y$7</f>
        <v>-19.739516238059196</v>
      </c>
      <c r="H793" s="7">
        <f t="shared" si="24"/>
        <v>-19.739516238059196</v>
      </c>
      <c r="I793">
        <f t="shared" si="25"/>
        <v>6</v>
      </c>
      <c r="J793" t="str" cm="1">
        <f t="array" ref="J793">INDEX($A$2:$A$7,I793)</f>
        <v>Segment 6- Self-Conscious Male</v>
      </c>
    </row>
    <row r="794" spans="1:10" x14ac:dyDescent="0.25">
      <c r="A794" s="1">
        <f>'batch tool'!A788</f>
        <v>0</v>
      </c>
      <c r="B794" s="7">
        <f>SUMPRODUCT($C$2:$X$2,'batch tool'!$B788:$W788)+$Y$2</f>
        <v>-49.12272534143483</v>
      </c>
      <c r="C794" s="7">
        <f>SUMPRODUCT($C$3:$X$3,'batch tool'!$B788:$W788)+$Y$3</f>
        <v>-36.514029388465531</v>
      </c>
      <c r="D794" s="7">
        <f>SUMPRODUCT($C$4:$X$4,'batch tool'!$B788:$W788)+$Y$4</f>
        <v>-44.639843068043824</v>
      </c>
      <c r="E794" s="7">
        <f>SUMPRODUCT($C$5:$X$5,'batch tool'!$B788:$W788)+$Y$5</f>
        <v>-51.578889182477603</v>
      </c>
      <c r="F794" s="7">
        <f>SUMPRODUCT($C$6:$X$6,'batch tool'!$B788:$W788)+$Y$6</f>
        <v>-47.741473633885199</v>
      </c>
      <c r="G794" s="7">
        <f>SUMPRODUCT($C$7:$X$7,'batch tool'!$B788:$W788)+$Y$7</f>
        <v>-19.739516238059196</v>
      </c>
      <c r="H794" s="7">
        <f t="shared" si="24"/>
        <v>-19.739516238059196</v>
      </c>
      <c r="I794">
        <f t="shared" si="25"/>
        <v>6</v>
      </c>
      <c r="J794" t="str" cm="1">
        <f t="array" ref="J794">INDEX($A$2:$A$7,I794)</f>
        <v>Segment 6- Self-Conscious Male</v>
      </c>
    </row>
    <row r="795" spans="1:10" x14ac:dyDescent="0.25">
      <c r="A795" s="1">
        <f>'batch tool'!A789</f>
        <v>0</v>
      </c>
      <c r="B795" s="7">
        <f>SUMPRODUCT($C$2:$X$2,'batch tool'!$B789:$W789)+$Y$2</f>
        <v>-49.12272534143483</v>
      </c>
      <c r="C795" s="7">
        <f>SUMPRODUCT($C$3:$X$3,'batch tool'!$B789:$W789)+$Y$3</f>
        <v>-36.514029388465531</v>
      </c>
      <c r="D795" s="7">
        <f>SUMPRODUCT($C$4:$X$4,'batch tool'!$B789:$W789)+$Y$4</f>
        <v>-44.639843068043824</v>
      </c>
      <c r="E795" s="7">
        <f>SUMPRODUCT($C$5:$X$5,'batch tool'!$B789:$W789)+$Y$5</f>
        <v>-51.578889182477603</v>
      </c>
      <c r="F795" s="7">
        <f>SUMPRODUCT($C$6:$X$6,'batch tool'!$B789:$W789)+$Y$6</f>
        <v>-47.741473633885199</v>
      </c>
      <c r="G795" s="7">
        <f>SUMPRODUCT($C$7:$X$7,'batch tool'!$B789:$W789)+$Y$7</f>
        <v>-19.739516238059196</v>
      </c>
      <c r="H795" s="7">
        <f t="shared" si="24"/>
        <v>-19.739516238059196</v>
      </c>
      <c r="I795">
        <f t="shared" si="25"/>
        <v>6</v>
      </c>
      <c r="J795" t="str" cm="1">
        <f t="array" ref="J795">INDEX($A$2:$A$7,I795)</f>
        <v>Segment 6- Self-Conscious Male</v>
      </c>
    </row>
    <row r="796" spans="1:10" x14ac:dyDescent="0.25">
      <c r="A796" s="1">
        <f>'batch tool'!A790</f>
        <v>0</v>
      </c>
      <c r="B796" s="7">
        <f>SUMPRODUCT($C$2:$X$2,'batch tool'!$B790:$W790)+$Y$2</f>
        <v>-49.12272534143483</v>
      </c>
      <c r="C796" s="7">
        <f>SUMPRODUCT($C$3:$X$3,'batch tool'!$B790:$W790)+$Y$3</f>
        <v>-36.514029388465531</v>
      </c>
      <c r="D796" s="7">
        <f>SUMPRODUCT($C$4:$X$4,'batch tool'!$B790:$W790)+$Y$4</f>
        <v>-44.639843068043824</v>
      </c>
      <c r="E796" s="7">
        <f>SUMPRODUCT($C$5:$X$5,'batch tool'!$B790:$W790)+$Y$5</f>
        <v>-51.578889182477603</v>
      </c>
      <c r="F796" s="7">
        <f>SUMPRODUCT($C$6:$X$6,'batch tool'!$B790:$W790)+$Y$6</f>
        <v>-47.741473633885199</v>
      </c>
      <c r="G796" s="7">
        <f>SUMPRODUCT($C$7:$X$7,'batch tool'!$B790:$W790)+$Y$7</f>
        <v>-19.739516238059196</v>
      </c>
      <c r="H796" s="7">
        <f t="shared" si="24"/>
        <v>-19.739516238059196</v>
      </c>
      <c r="I796">
        <f t="shared" si="25"/>
        <v>6</v>
      </c>
      <c r="J796" t="str" cm="1">
        <f t="array" ref="J796">INDEX($A$2:$A$7,I796)</f>
        <v>Segment 6- Self-Conscious Male</v>
      </c>
    </row>
    <row r="797" spans="1:10" x14ac:dyDescent="0.25">
      <c r="A797" s="1">
        <f>'batch tool'!A791</f>
        <v>0</v>
      </c>
      <c r="B797" s="7">
        <f>SUMPRODUCT($C$2:$X$2,'batch tool'!$B791:$W791)+$Y$2</f>
        <v>-49.12272534143483</v>
      </c>
      <c r="C797" s="7">
        <f>SUMPRODUCT($C$3:$X$3,'batch tool'!$B791:$W791)+$Y$3</f>
        <v>-36.514029388465531</v>
      </c>
      <c r="D797" s="7">
        <f>SUMPRODUCT($C$4:$X$4,'batch tool'!$B791:$W791)+$Y$4</f>
        <v>-44.639843068043824</v>
      </c>
      <c r="E797" s="7">
        <f>SUMPRODUCT($C$5:$X$5,'batch tool'!$B791:$W791)+$Y$5</f>
        <v>-51.578889182477603</v>
      </c>
      <c r="F797" s="7">
        <f>SUMPRODUCT($C$6:$X$6,'batch tool'!$B791:$W791)+$Y$6</f>
        <v>-47.741473633885199</v>
      </c>
      <c r="G797" s="7">
        <f>SUMPRODUCT($C$7:$X$7,'batch tool'!$B791:$W791)+$Y$7</f>
        <v>-19.739516238059196</v>
      </c>
      <c r="H797" s="7">
        <f t="shared" si="24"/>
        <v>-19.739516238059196</v>
      </c>
      <c r="I797">
        <f t="shared" si="25"/>
        <v>6</v>
      </c>
      <c r="J797" t="str" cm="1">
        <f t="array" ref="J797">INDEX($A$2:$A$7,I797)</f>
        <v>Segment 6- Self-Conscious Male</v>
      </c>
    </row>
    <row r="798" spans="1:10" x14ac:dyDescent="0.25">
      <c r="A798" s="1">
        <f>'batch tool'!A792</f>
        <v>0</v>
      </c>
      <c r="B798" s="7">
        <f>SUMPRODUCT($C$2:$X$2,'batch tool'!$B792:$W792)+$Y$2</f>
        <v>-49.12272534143483</v>
      </c>
      <c r="C798" s="7">
        <f>SUMPRODUCT($C$3:$X$3,'batch tool'!$B792:$W792)+$Y$3</f>
        <v>-36.514029388465531</v>
      </c>
      <c r="D798" s="7">
        <f>SUMPRODUCT($C$4:$X$4,'batch tool'!$B792:$W792)+$Y$4</f>
        <v>-44.639843068043824</v>
      </c>
      <c r="E798" s="7">
        <f>SUMPRODUCT($C$5:$X$5,'batch tool'!$B792:$W792)+$Y$5</f>
        <v>-51.578889182477603</v>
      </c>
      <c r="F798" s="7">
        <f>SUMPRODUCT($C$6:$X$6,'batch tool'!$B792:$W792)+$Y$6</f>
        <v>-47.741473633885199</v>
      </c>
      <c r="G798" s="7">
        <f>SUMPRODUCT($C$7:$X$7,'batch tool'!$B792:$W792)+$Y$7</f>
        <v>-19.739516238059196</v>
      </c>
      <c r="H798" s="7">
        <f t="shared" si="24"/>
        <v>-19.739516238059196</v>
      </c>
      <c r="I798">
        <f t="shared" si="25"/>
        <v>6</v>
      </c>
      <c r="J798" t="str" cm="1">
        <f t="array" ref="J798">INDEX($A$2:$A$7,I798)</f>
        <v>Segment 6- Self-Conscious Male</v>
      </c>
    </row>
    <row r="799" spans="1:10" x14ac:dyDescent="0.25">
      <c r="A799" s="1">
        <f>'batch tool'!A793</f>
        <v>0</v>
      </c>
      <c r="B799" s="7">
        <f>SUMPRODUCT($C$2:$X$2,'batch tool'!$B793:$W793)+$Y$2</f>
        <v>-49.12272534143483</v>
      </c>
      <c r="C799" s="7">
        <f>SUMPRODUCT($C$3:$X$3,'batch tool'!$B793:$W793)+$Y$3</f>
        <v>-36.514029388465531</v>
      </c>
      <c r="D799" s="7">
        <f>SUMPRODUCT($C$4:$X$4,'batch tool'!$B793:$W793)+$Y$4</f>
        <v>-44.639843068043824</v>
      </c>
      <c r="E799" s="7">
        <f>SUMPRODUCT($C$5:$X$5,'batch tool'!$B793:$W793)+$Y$5</f>
        <v>-51.578889182477603</v>
      </c>
      <c r="F799" s="7">
        <f>SUMPRODUCT($C$6:$X$6,'batch tool'!$B793:$W793)+$Y$6</f>
        <v>-47.741473633885199</v>
      </c>
      <c r="G799" s="7">
        <f>SUMPRODUCT($C$7:$X$7,'batch tool'!$B793:$W793)+$Y$7</f>
        <v>-19.739516238059196</v>
      </c>
      <c r="H799" s="7">
        <f t="shared" si="24"/>
        <v>-19.739516238059196</v>
      </c>
      <c r="I799">
        <f t="shared" si="25"/>
        <v>6</v>
      </c>
      <c r="J799" t="str" cm="1">
        <f t="array" ref="J799">INDEX($A$2:$A$7,I799)</f>
        <v>Segment 6- Self-Conscious Male</v>
      </c>
    </row>
    <row r="800" spans="1:10" x14ac:dyDescent="0.25">
      <c r="A800" s="1">
        <f>'batch tool'!A794</f>
        <v>0</v>
      </c>
      <c r="B800" s="7">
        <f>SUMPRODUCT($C$2:$X$2,'batch tool'!$B794:$W794)+$Y$2</f>
        <v>-49.12272534143483</v>
      </c>
      <c r="C800" s="7">
        <f>SUMPRODUCT($C$3:$X$3,'batch tool'!$B794:$W794)+$Y$3</f>
        <v>-36.514029388465531</v>
      </c>
      <c r="D800" s="7">
        <f>SUMPRODUCT($C$4:$X$4,'batch tool'!$B794:$W794)+$Y$4</f>
        <v>-44.639843068043824</v>
      </c>
      <c r="E800" s="7">
        <f>SUMPRODUCT($C$5:$X$5,'batch tool'!$B794:$W794)+$Y$5</f>
        <v>-51.578889182477603</v>
      </c>
      <c r="F800" s="7">
        <f>SUMPRODUCT($C$6:$X$6,'batch tool'!$B794:$W794)+$Y$6</f>
        <v>-47.741473633885199</v>
      </c>
      <c r="G800" s="7">
        <f>SUMPRODUCT($C$7:$X$7,'batch tool'!$B794:$W794)+$Y$7</f>
        <v>-19.739516238059196</v>
      </c>
      <c r="H800" s="7">
        <f t="shared" si="24"/>
        <v>-19.739516238059196</v>
      </c>
      <c r="I800">
        <f t="shared" si="25"/>
        <v>6</v>
      </c>
      <c r="J800" t="str" cm="1">
        <f t="array" ref="J800">INDEX($A$2:$A$7,I800)</f>
        <v>Segment 6- Self-Conscious Male</v>
      </c>
    </row>
    <row r="801" spans="1:10" x14ac:dyDescent="0.25">
      <c r="A801" s="1">
        <f>'batch tool'!A795</f>
        <v>0</v>
      </c>
      <c r="B801" s="7">
        <f>SUMPRODUCT($C$2:$X$2,'batch tool'!$B795:$W795)+$Y$2</f>
        <v>-49.12272534143483</v>
      </c>
      <c r="C801" s="7">
        <f>SUMPRODUCT($C$3:$X$3,'batch tool'!$B795:$W795)+$Y$3</f>
        <v>-36.514029388465531</v>
      </c>
      <c r="D801" s="7">
        <f>SUMPRODUCT($C$4:$X$4,'batch tool'!$B795:$W795)+$Y$4</f>
        <v>-44.639843068043824</v>
      </c>
      <c r="E801" s="7">
        <f>SUMPRODUCT($C$5:$X$5,'batch tool'!$B795:$W795)+$Y$5</f>
        <v>-51.578889182477603</v>
      </c>
      <c r="F801" s="7">
        <f>SUMPRODUCT($C$6:$X$6,'batch tool'!$B795:$W795)+$Y$6</f>
        <v>-47.741473633885199</v>
      </c>
      <c r="G801" s="7">
        <f>SUMPRODUCT($C$7:$X$7,'batch tool'!$B795:$W795)+$Y$7</f>
        <v>-19.739516238059196</v>
      </c>
      <c r="H801" s="7">
        <f t="shared" si="24"/>
        <v>-19.739516238059196</v>
      </c>
      <c r="I801">
        <f t="shared" si="25"/>
        <v>6</v>
      </c>
      <c r="J801" t="str" cm="1">
        <f t="array" ref="J801">INDEX($A$2:$A$7,I801)</f>
        <v>Segment 6- Self-Conscious Male</v>
      </c>
    </row>
    <row r="802" spans="1:10" x14ac:dyDescent="0.25">
      <c r="A802" s="1">
        <f>'batch tool'!A796</f>
        <v>0</v>
      </c>
      <c r="B802" s="7">
        <f>SUMPRODUCT($C$2:$X$2,'batch tool'!$B796:$W796)+$Y$2</f>
        <v>-49.12272534143483</v>
      </c>
      <c r="C802" s="7">
        <f>SUMPRODUCT($C$3:$X$3,'batch tool'!$B796:$W796)+$Y$3</f>
        <v>-36.514029388465531</v>
      </c>
      <c r="D802" s="7">
        <f>SUMPRODUCT($C$4:$X$4,'batch tool'!$B796:$W796)+$Y$4</f>
        <v>-44.639843068043824</v>
      </c>
      <c r="E802" s="7">
        <f>SUMPRODUCT($C$5:$X$5,'batch tool'!$B796:$W796)+$Y$5</f>
        <v>-51.578889182477603</v>
      </c>
      <c r="F802" s="7">
        <f>SUMPRODUCT($C$6:$X$6,'batch tool'!$B796:$W796)+$Y$6</f>
        <v>-47.741473633885199</v>
      </c>
      <c r="G802" s="7">
        <f>SUMPRODUCT($C$7:$X$7,'batch tool'!$B796:$W796)+$Y$7</f>
        <v>-19.739516238059196</v>
      </c>
      <c r="H802" s="7">
        <f t="shared" si="24"/>
        <v>-19.739516238059196</v>
      </c>
      <c r="I802">
        <f t="shared" si="25"/>
        <v>6</v>
      </c>
      <c r="J802" t="str" cm="1">
        <f t="array" ref="J802">INDEX($A$2:$A$7,I802)</f>
        <v>Segment 6- Self-Conscious Male</v>
      </c>
    </row>
    <row r="803" spans="1:10" x14ac:dyDescent="0.25">
      <c r="A803" s="1">
        <f>'batch tool'!A797</f>
        <v>0</v>
      </c>
      <c r="B803" s="7">
        <f>SUMPRODUCT($C$2:$X$2,'batch tool'!$B797:$W797)+$Y$2</f>
        <v>-49.12272534143483</v>
      </c>
      <c r="C803" s="7">
        <f>SUMPRODUCT($C$3:$X$3,'batch tool'!$B797:$W797)+$Y$3</f>
        <v>-36.514029388465531</v>
      </c>
      <c r="D803" s="7">
        <f>SUMPRODUCT($C$4:$X$4,'batch tool'!$B797:$W797)+$Y$4</f>
        <v>-44.639843068043824</v>
      </c>
      <c r="E803" s="7">
        <f>SUMPRODUCT($C$5:$X$5,'batch tool'!$B797:$W797)+$Y$5</f>
        <v>-51.578889182477603</v>
      </c>
      <c r="F803" s="7">
        <f>SUMPRODUCT($C$6:$X$6,'batch tool'!$B797:$W797)+$Y$6</f>
        <v>-47.741473633885199</v>
      </c>
      <c r="G803" s="7">
        <f>SUMPRODUCT($C$7:$X$7,'batch tool'!$B797:$W797)+$Y$7</f>
        <v>-19.739516238059196</v>
      </c>
      <c r="H803" s="7">
        <f t="shared" si="24"/>
        <v>-19.739516238059196</v>
      </c>
      <c r="I803">
        <f t="shared" si="25"/>
        <v>6</v>
      </c>
      <c r="J803" t="str" cm="1">
        <f t="array" ref="J803">INDEX($A$2:$A$7,I803)</f>
        <v>Segment 6- Self-Conscious Male</v>
      </c>
    </row>
    <row r="804" spans="1:10" x14ac:dyDescent="0.25">
      <c r="A804" s="1">
        <f>'batch tool'!A798</f>
        <v>0</v>
      </c>
      <c r="B804" s="7">
        <f>SUMPRODUCT($C$2:$X$2,'batch tool'!$B798:$W798)+$Y$2</f>
        <v>-49.12272534143483</v>
      </c>
      <c r="C804" s="7">
        <f>SUMPRODUCT($C$3:$X$3,'batch tool'!$B798:$W798)+$Y$3</f>
        <v>-36.514029388465531</v>
      </c>
      <c r="D804" s="7">
        <f>SUMPRODUCT($C$4:$X$4,'batch tool'!$B798:$W798)+$Y$4</f>
        <v>-44.639843068043824</v>
      </c>
      <c r="E804" s="7">
        <f>SUMPRODUCT($C$5:$X$5,'batch tool'!$B798:$W798)+$Y$5</f>
        <v>-51.578889182477603</v>
      </c>
      <c r="F804" s="7">
        <f>SUMPRODUCT($C$6:$X$6,'batch tool'!$B798:$W798)+$Y$6</f>
        <v>-47.741473633885199</v>
      </c>
      <c r="G804" s="7">
        <f>SUMPRODUCT($C$7:$X$7,'batch tool'!$B798:$W798)+$Y$7</f>
        <v>-19.739516238059196</v>
      </c>
      <c r="H804" s="7">
        <f t="shared" si="24"/>
        <v>-19.739516238059196</v>
      </c>
      <c r="I804">
        <f t="shared" si="25"/>
        <v>6</v>
      </c>
      <c r="J804" t="str" cm="1">
        <f t="array" ref="J804">INDEX($A$2:$A$7,I804)</f>
        <v>Segment 6- Self-Conscious Male</v>
      </c>
    </row>
    <row r="805" spans="1:10" x14ac:dyDescent="0.25">
      <c r="A805" s="1">
        <f>'batch tool'!A799</f>
        <v>0</v>
      </c>
      <c r="B805" s="7">
        <f>SUMPRODUCT($C$2:$X$2,'batch tool'!$B799:$W799)+$Y$2</f>
        <v>-49.12272534143483</v>
      </c>
      <c r="C805" s="7">
        <f>SUMPRODUCT($C$3:$X$3,'batch tool'!$B799:$W799)+$Y$3</f>
        <v>-36.514029388465531</v>
      </c>
      <c r="D805" s="7">
        <f>SUMPRODUCT($C$4:$X$4,'batch tool'!$B799:$W799)+$Y$4</f>
        <v>-44.639843068043824</v>
      </c>
      <c r="E805" s="7">
        <f>SUMPRODUCT($C$5:$X$5,'batch tool'!$B799:$W799)+$Y$5</f>
        <v>-51.578889182477603</v>
      </c>
      <c r="F805" s="7">
        <f>SUMPRODUCT($C$6:$X$6,'batch tool'!$B799:$W799)+$Y$6</f>
        <v>-47.741473633885199</v>
      </c>
      <c r="G805" s="7">
        <f>SUMPRODUCT($C$7:$X$7,'batch tool'!$B799:$W799)+$Y$7</f>
        <v>-19.739516238059196</v>
      </c>
      <c r="H805" s="7">
        <f t="shared" si="24"/>
        <v>-19.739516238059196</v>
      </c>
      <c r="I805">
        <f t="shared" si="25"/>
        <v>6</v>
      </c>
      <c r="J805" t="str" cm="1">
        <f t="array" ref="J805">INDEX($A$2:$A$7,I805)</f>
        <v>Segment 6- Self-Conscious Male</v>
      </c>
    </row>
    <row r="806" spans="1:10" x14ac:dyDescent="0.25">
      <c r="A806" s="1">
        <f>'batch tool'!A800</f>
        <v>0</v>
      </c>
      <c r="B806" s="7">
        <f>SUMPRODUCT($C$2:$X$2,'batch tool'!$B800:$W800)+$Y$2</f>
        <v>-49.12272534143483</v>
      </c>
      <c r="C806" s="7">
        <f>SUMPRODUCT($C$3:$X$3,'batch tool'!$B800:$W800)+$Y$3</f>
        <v>-36.514029388465531</v>
      </c>
      <c r="D806" s="7">
        <f>SUMPRODUCT($C$4:$X$4,'batch tool'!$B800:$W800)+$Y$4</f>
        <v>-44.639843068043824</v>
      </c>
      <c r="E806" s="7">
        <f>SUMPRODUCT($C$5:$X$5,'batch tool'!$B800:$W800)+$Y$5</f>
        <v>-51.578889182477603</v>
      </c>
      <c r="F806" s="7">
        <f>SUMPRODUCT($C$6:$X$6,'batch tool'!$B800:$W800)+$Y$6</f>
        <v>-47.741473633885199</v>
      </c>
      <c r="G806" s="7">
        <f>SUMPRODUCT($C$7:$X$7,'batch tool'!$B800:$W800)+$Y$7</f>
        <v>-19.739516238059196</v>
      </c>
      <c r="H806" s="7">
        <f t="shared" si="24"/>
        <v>-19.739516238059196</v>
      </c>
      <c r="I806">
        <f t="shared" si="25"/>
        <v>6</v>
      </c>
      <c r="J806" t="str" cm="1">
        <f t="array" ref="J806">INDEX($A$2:$A$7,I806)</f>
        <v>Segment 6- Self-Conscious Male</v>
      </c>
    </row>
    <row r="807" spans="1:10" x14ac:dyDescent="0.25">
      <c r="A807" s="1">
        <f>'batch tool'!A801</f>
        <v>0</v>
      </c>
      <c r="B807" s="7">
        <f>SUMPRODUCT($C$2:$X$2,'batch tool'!$B801:$W801)+$Y$2</f>
        <v>-49.12272534143483</v>
      </c>
      <c r="C807" s="7">
        <f>SUMPRODUCT($C$3:$X$3,'batch tool'!$B801:$W801)+$Y$3</f>
        <v>-36.514029388465531</v>
      </c>
      <c r="D807" s="7">
        <f>SUMPRODUCT($C$4:$X$4,'batch tool'!$B801:$W801)+$Y$4</f>
        <v>-44.639843068043824</v>
      </c>
      <c r="E807" s="7">
        <f>SUMPRODUCT($C$5:$X$5,'batch tool'!$B801:$W801)+$Y$5</f>
        <v>-51.578889182477603</v>
      </c>
      <c r="F807" s="7">
        <f>SUMPRODUCT($C$6:$X$6,'batch tool'!$B801:$W801)+$Y$6</f>
        <v>-47.741473633885199</v>
      </c>
      <c r="G807" s="7">
        <f>SUMPRODUCT($C$7:$X$7,'batch tool'!$B801:$W801)+$Y$7</f>
        <v>-19.739516238059196</v>
      </c>
      <c r="H807" s="7">
        <f t="shared" si="24"/>
        <v>-19.739516238059196</v>
      </c>
      <c r="I807">
        <f t="shared" si="25"/>
        <v>6</v>
      </c>
      <c r="J807" t="str" cm="1">
        <f t="array" ref="J807">INDEX($A$2:$A$7,I807)</f>
        <v>Segment 6- Self-Conscious Male</v>
      </c>
    </row>
    <row r="808" spans="1:10" x14ac:dyDescent="0.25">
      <c r="A808" s="1">
        <f>'batch tool'!A802</f>
        <v>0</v>
      </c>
      <c r="B808" s="7">
        <f>SUMPRODUCT($C$2:$X$2,'batch tool'!$B802:$W802)+$Y$2</f>
        <v>-49.12272534143483</v>
      </c>
      <c r="C808" s="7">
        <f>SUMPRODUCT($C$3:$X$3,'batch tool'!$B802:$W802)+$Y$3</f>
        <v>-36.514029388465531</v>
      </c>
      <c r="D808" s="7">
        <f>SUMPRODUCT($C$4:$X$4,'batch tool'!$B802:$W802)+$Y$4</f>
        <v>-44.639843068043824</v>
      </c>
      <c r="E808" s="7">
        <f>SUMPRODUCT($C$5:$X$5,'batch tool'!$B802:$W802)+$Y$5</f>
        <v>-51.578889182477603</v>
      </c>
      <c r="F808" s="7">
        <f>SUMPRODUCT($C$6:$X$6,'batch tool'!$B802:$W802)+$Y$6</f>
        <v>-47.741473633885199</v>
      </c>
      <c r="G808" s="7">
        <f>SUMPRODUCT($C$7:$X$7,'batch tool'!$B802:$W802)+$Y$7</f>
        <v>-19.739516238059196</v>
      </c>
      <c r="H808" s="7">
        <f t="shared" si="24"/>
        <v>-19.739516238059196</v>
      </c>
      <c r="I808">
        <f t="shared" si="25"/>
        <v>6</v>
      </c>
      <c r="J808" t="str" cm="1">
        <f t="array" ref="J808">INDEX($A$2:$A$7,I808)</f>
        <v>Segment 6- Self-Conscious Male</v>
      </c>
    </row>
    <row r="809" spans="1:10" x14ac:dyDescent="0.25">
      <c r="A809" s="1">
        <f>'batch tool'!A803</f>
        <v>0</v>
      </c>
      <c r="B809" s="7">
        <f>SUMPRODUCT($C$2:$X$2,'batch tool'!$B803:$W803)+$Y$2</f>
        <v>-49.12272534143483</v>
      </c>
      <c r="C809" s="7">
        <f>SUMPRODUCT($C$3:$X$3,'batch tool'!$B803:$W803)+$Y$3</f>
        <v>-36.514029388465531</v>
      </c>
      <c r="D809" s="7">
        <f>SUMPRODUCT($C$4:$X$4,'batch tool'!$B803:$W803)+$Y$4</f>
        <v>-44.639843068043824</v>
      </c>
      <c r="E809" s="7">
        <f>SUMPRODUCT($C$5:$X$5,'batch tool'!$B803:$W803)+$Y$5</f>
        <v>-51.578889182477603</v>
      </c>
      <c r="F809" s="7">
        <f>SUMPRODUCT($C$6:$X$6,'batch tool'!$B803:$W803)+$Y$6</f>
        <v>-47.741473633885199</v>
      </c>
      <c r="G809" s="7">
        <f>SUMPRODUCT($C$7:$X$7,'batch tool'!$B803:$W803)+$Y$7</f>
        <v>-19.739516238059196</v>
      </c>
      <c r="H809" s="7">
        <f t="shared" si="24"/>
        <v>-19.739516238059196</v>
      </c>
      <c r="I809">
        <f t="shared" si="25"/>
        <v>6</v>
      </c>
      <c r="J809" t="str" cm="1">
        <f t="array" ref="J809">INDEX($A$2:$A$7,I809)</f>
        <v>Segment 6- Self-Conscious Male</v>
      </c>
    </row>
    <row r="810" spans="1:10" x14ac:dyDescent="0.25">
      <c r="A810" s="1">
        <f>'batch tool'!A804</f>
        <v>0</v>
      </c>
      <c r="B810" s="7">
        <f>SUMPRODUCT($C$2:$X$2,'batch tool'!$B804:$W804)+$Y$2</f>
        <v>-49.12272534143483</v>
      </c>
      <c r="C810" s="7">
        <f>SUMPRODUCT($C$3:$X$3,'batch tool'!$B804:$W804)+$Y$3</f>
        <v>-36.514029388465531</v>
      </c>
      <c r="D810" s="7">
        <f>SUMPRODUCT($C$4:$X$4,'batch tool'!$B804:$W804)+$Y$4</f>
        <v>-44.639843068043824</v>
      </c>
      <c r="E810" s="7">
        <f>SUMPRODUCT($C$5:$X$5,'batch tool'!$B804:$W804)+$Y$5</f>
        <v>-51.578889182477603</v>
      </c>
      <c r="F810" s="7">
        <f>SUMPRODUCT($C$6:$X$6,'batch tool'!$B804:$W804)+$Y$6</f>
        <v>-47.741473633885199</v>
      </c>
      <c r="G810" s="7">
        <f>SUMPRODUCT($C$7:$X$7,'batch tool'!$B804:$W804)+$Y$7</f>
        <v>-19.739516238059196</v>
      </c>
      <c r="H810" s="7">
        <f t="shared" si="24"/>
        <v>-19.739516238059196</v>
      </c>
      <c r="I810">
        <f t="shared" si="25"/>
        <v>6</v>
      </c>
      <c r="J810" t="str" cm="1">
        <f t="array" ref="J810">INDEX($A$2:$A$7,I810)</f>
        <v>Segment 6- Self-Conscious Male</v>
      </c>
    </row>
    <row r="811" spans="1:10" x14ac:dyDescent="0.25">
      <c r="A811" s="1">
        <f>'batch tool'!A805</f>
        <v>0</v>
      </c>
      <c r="B811" s="7">
        <f>SUMPRODUCT($C$2:$X$2,'batch tool'!$B805:$W805)+$Y$2</f>
        <v>-49.12272534143483</v>
      </c>
      <c r="C811" s="7">
        <f>SUMPRODUCT($C$3:$X$3,'batch tool'!$B805:$W805)+$Y$3</f>
        <v>-36.514029388465531</v>
      </c>
      <c r="D811" s="7">
        <f>SUMPRODUCT($C$4:$X$4,'batch tool'!$B805:$W805)+$Y$4</f>
        <v>-44.639843068043824</v>
      </c>
      <c r="E811" s="7">
        <f>SUMPRODUCT($C$5:$X$5,'batch tool'!$B805:$W805)+$Y$5</f>
        <v>-51.578889182477603</v>
      </c>
      <c r="F811" s="7">
        <f>SUMPRODUCT($C$6:$X$6,'batch tool'!$B805:$W805)+$Y$6</f>
        <v>-47.741473633885199</v>
      </c>
      <c r="G811" s="7">
        <f>SUMPRODUCT($C$7:$X$7,'batch tool'!$B805:$W805)+$Y$7</f>
        <v>-19.739516238059196</v>
      </c>
      <c r="H811" s="7">
        <f t="shared" si="24"/>
        <v>-19.739516238059196</v>
      </c>
      <c r="I811">
        <f t="shared" si="25"/>
        <v>6</v>
      </c>
      <c r="J811" t="str" cm="1">
        <f t="array" ref="J811">INDEX($A$2:$A$7,I811)</f>
        <v>Segment 6- Self-Conscious Male</v>
      </c>
    </row>
    <row r="812" spans="1:10" x14ac:dyDescent="0.25">
      <c r="A812" s="1">
        <f>'batch tool'!A806</f>
        <v>0</v>
      </c>
      <c r="B812" s="7">
        <f>SUMPRODUCT($C$2:$X$2,'batch tool'!$B806:$W806)+$Y$2</f>
        <v>-49.12272534143483</v>
      </c>
      <c r="C812" s="7">
        <f>SUMPRODUCT($C$3:$X$3,'batch tool'!$B806:$W806)+$Y$3</f>
        <v>-36.514029388465531</v>
      </c>
      <c r="D812" s="7">
        <f>SUMPRODUCT($C$4:$X$4,'batch tool'!$B806:$W806)+$Y$4</f>
        <v>-44.639843068043824</v>
      </c>
      <c r="E812" s="7">
        <f>SUMPRODUCT($C$5:$X$5,'batch tool'!$B806:$W806)+$Y$5</f>
        <v>-51.578889182477603</v>
      </c>
      <c r="F812" s="7">
        <f>SUMPRODUCT($C$6:$X$6,'batch tool'!$B806:$W806)+$Y$6</f>
        <v>-47.741473633885199</v>
      </c>
      <c r="G812" s="7">
        <f>SUMPRODUCT($C$7:$X$7,'batch tool'!$B806:$W806)+$Y$7</f>
        <v>-19.739516238059196</v>
      </c>
      <c r="H812" s="7">
        <f t="shared" si="24"/>
        <v>-19.739516238059196</v>
      </c>
      <c r="I812">
        <f t="shared" si="25"/>
        <v>6</v>
      </c>
      <c r="J812" t="str" cm="1">
        <f t="array" ref="J812">INDEX($A$2:$A$7,I812)</f>
        <v>Segment 6- Self-Conscious Male</v>
      </c>
    </row>
    <row r="813" spans="1:10" x14ac:dyDescent="0.25">
      <c r="A813" s="1">
        <f>'batch tool'!A807</f>
        <v>0</v>
      </c>
      <c r="B813" s="7">
        <f>SUMPRODUCT($C$2:$X$2,'batch tool'!$B807:$W807)+$Y$2</f>
        <v>-49.12272534143483</v>
      </c>
      <c r="C813" s="7">
        <f>SUMPRODUCT($C$3:$X$3,'batch tool'!$B807:$W807)+$Y$3</f>
        <v>-36.514029388465531</v>
      </c>
      <c r="D813" s="7">
        <f>SUMPRODUCT($C$4:$X$4,'batch tool'!$B807:$W807)+$Y$4</f>
        <v>-44.639843068043824</v>
      </c>
      <c r="E813" s="7">
        <f>SUMPRODUCT($C$5:$X$5,'batch tool'!$B807:$W807)+$Y$5</f>
        <v>-51.578889182477603</v>
      </c>
      <c r="F813" s="7">
        <f>SUMPRODUCT($C$6:$X$6,'batch tool'!$B807:$W807)+$Y$6</f>
        <v>-47.741473633885199</v>
      </c>
      <c r="G813" s="7">
        <f>SUMPRODUCT($C$7:$X$7,'batch tool'!$B807:$W807)+$Y$7</f>
        <v>-19.739516238059196</v>
      </c>
      <c r="H813" s="7">
        <f t="shared" si="24"/>
        <v>-19.739516238059196</v>
      </c>
      <c r="I813">
        <f t="shared" si="25"/>
        <v>6</v>
      </c>
      <c r="J813" t="str" cm="1">
        <f t="array" ref="J813">INDEX($A$2:$A$7,I813)</f>
        <v>Segment 6- Self-Conscious Male</v>
      </c>
    </row>
    <row r="814" spans="1:10" x14ac:dyDescent="0.25">
      <c r="A814" s="1">
        <f>'batch tool'!A808</f>
        <v>0</v>
      </c>
      <c r="B814" s="7">
        <f>SUMPRODUCT($C$2:$X$2,'batch tool'!$B808:$W808)+$Y$2</f>
        <v>-49.12272534143483</v>
      </c>
      <c r="C814" s="7">
        <f>SUMPRODUCT($C$3:$X$3,'batch tool'!$B808:$W808)+$Y$3</f>
        <v>-36.514029388465531</v>
      </c>
      <c r="D814" s="7">
        <f>SUMPRODUCT($C$4:$X$4,'batch tool'!$B808:$W808)+$Y$4</f>
        <v>-44.639843068043824</v>
      </c>
      <c r="E814" s="7">
        <f>SUMPRODUCT($C$5:$X$5,'batch tool'!$B808:$W808)+$Y$5</f>
        <v>-51.578889182477603</v>
      </c>
      <c r="F814" s="7">
        <f>SUMPRODUCT($C$6:$X$6,'batch tool'!$B808:$W808)+$Y$6</f>
        <v>-47.741473633885199</v>
      </c>
      <c r="G814" s="7">
        <f>SUMPRODUCT($C$7:$X$7,'batch tool'!$B808:$W808)+$Y$7</f>
        <v>-19.739516238059196</v>
      </c>
      <c r="H814" s="7">
        <f t="shared" si="24"/>
        <v>-19.739516238059196</v>
      </c>
      <c r="I814">
        <f t="shared" si="25"/>
        <v>6</v>
      </c>
      <c r="J814" t="str" cm="1">
        <f t="array" ref="J814">INDEX($A$2:$A$7,I814)</f>
        <v>Segment 6- Self-Conscious Male</v>
      </c>
    </row>
    <row r="815" spans="1:10" x14ac:dyDescent="0.25">
      <c r="A815" s="1">
        <f>'batch tool'!A809</f>
        <v>0</v>
      </c>
      <c r="B815" s="7">
        <f>SUMPRODUCT($C$2:$X$2,'batch tool'!$B809:$W809)+$Y$2</f>
        <v>-49.12272534143483</v>
      </c>
      <c r="C815" s="7">
        <f>SUMPRODUCT($C$3:$X$3,'batch tool'!$B809:$W809)+$Y$3</f>
        <v>-36.514029388465531</v>
      </c>
      <c r="D815" s="7">
        <f>SUMPRODUCT($C$4:$X$4,'batch tool'!$B809:$W809)+$Y$4</f>
        <v>-44.639843068043824</v>
      </c>
      <c r="E815" s="7">
        <f>SUMPRODUCT($C$5:$X$5,'batch tool'!$B809:$W809)+$Y$5</f>
        <v>-51.578889182477603</v>
      </c>
      <c r="F815" s="7">
        <f>SUMPRODUCT($C$6:$X$6,'batch tool'!$B809:$W809)+$Y$6</f>
        <v>-47.741473633885199</v>
      </c>
      <c r="G815" s="7">
        <f>SUMPRODUCT($C$7:$X$7,'batch tool'!$B809:$W809)+$Y$7</f>
        <v>-19.739516238059196</v>
      </c>
      <c r="H815" s="7">
        <f t="shared" si="24"/>
        <v>-19.739516238059196</v>
      </c>
      <c r="I815">
        <f t="shared" si="25"/>
        <v>6</v>
      </c>
      <c r="J815" t="str" cm="1">
        <f t="array" ref="J815">INDEX($A$2:$A$7,I815)</f>
        <v>Segment 6- Self-Conscious Male</v>
      </c>
    </row>
    <row r="816" spans="1:10" x14ac:dyDescent="0.25">
      <c r="A816" s="1">
        <f>'batch tool'!A810</f>
        <v>0</v>
      </c>
      <c r="B816" s="7">
        <f>SUMPRODUCT($C$2:$X$2,'batch tool'!$B810:$W810)+$Y$2</f>
        <v>-49.12272534143483</v>
      </c>
      <c r="C816" s="7">
        <f>SUMPRODUCT($C$3:$X$3,'batch tool'!$B810:$W810)+$Y$3</f>
        <v>-36.514029388465531</v>
      </c>
      <c r="D816" s="7">
        <f>SUMPRODUCT($C$4:$X$4,'batch tool'!$B810:$W810)+$Y$4</f>
        <v>-44.639843068043824</v>
      </c>
      <c r="E816" s="7">
        <f>SUMPRODUCT($C$5:$X$5,'batch tool'!$B810:$W810)+$Y$5</f>
        <v>-51.578889182477603</v>
      </c>
      <c r="F816" s="7">
        <f>SUMPRODUCT($C$6:$X$6,'batch tool'!$B810:$W810)+$Y$6</f>
        <v>-47.741473633885199</v>
      </c>
      <c r="G816" s="7">
        <f>SUMPRODUCT($C$7:$X$7,'batch tool'!$B810:$W810)+$Y$7</f>
        <v>-19.739516238059196</v>
      </c>
      <c r="H816" s="7">
        <f t="shared" si="24"/>
        <v>-19.739516238059196</v>
      </c>
      <c r="I816">
        <f t="shared" si="25"/>
        <v>6</v>
      </c>
      <c r="J816" t="str" cm="1">
        <f t="array" ref="J816">INDEX($A$2:$A$7,I816)</f>
        <v>Segment 6- Self-Conscious Male</v>
      </c>
    </row>
    <row r="817" spans="1:10" x14ac:dyDescent="0.25">
      <c r="A817" s="1">
        <f>'batch tool'!A811</f>
        <v>0</v>
      </c>
      <c r="B817" s="7">
        <f>SUMPRODUCT($C$2:$X$2,'batch tool'!$B811:$W811)+$Y$2</f>
        <v>-49.12272534143483</v>
      </c>
      <c r="C817" s="7">
        <f>SUMPRODUCT($C$3:$X$3,'batch tool'!$B811:$W811)+$Y$3</f>
        <v>-36.514029388465531</v>
      </c>
      <c r="D817" s="7">
        <f>SUMPRODUCT($C$4:$X$4,'batch tool'!$B811:$W811)+$Y$4</f>
        <v>-44.639843068043824</v>
      </c>
      <c r="E817" s="7">
        <f>SUMPRODUCT($C$5:$X$5,'batch tool'!$B811:$W811)+$Y$5</f>
        <v>-51.578889182477603</v>
      </c>
      <c r="F817" s="7">
        <f>SUMPRODUCT($C$6:$X$6,'batch tool'!$B811:$W811)+$Y$6</f>
        <v>-47.741473633885199</v>
      </c>
      <c r="G817" s="7">
        <f>SUMPRODUCT($C$7:$X$7,'batch tool'!$B811:$W811)+$Y$7</f>
        <v>-19.739516238059196</v>
      </c>
      <c r="H817" s="7">
        <f t="shared" si="24"/>
        <v>-19.739516238059196</v>
      </c>
      <c r="I817">
        <f t="shared" si="25"/>
        <v>6</v>
      </c>
      <c r="J817" t="str" cm="1">
        <f t="array" ref="J817">INDEX($A$2:$A$7,I817)</f>
        <v>Segment 6- Self-Conscious Male</v>
      </c>
    </row>
    <row r="818" spans="1:10" x14ac:dyDescent="0.25">
      <c r="A818" s="1">
        <f>'batch tool'!A812</f>
        <v>0</v>
      </c>
      <c r="B818" s="7">
        <f>SUMPRODUCT($C$2:$X$2,'batch tool'!$B812:$W812)+$Y$2</f>
        <v>-49.12272534143483</v>
      </c>
      <c r="C818" s="7">
        <f>SUMPRODUCT($C$3:$X$3,'batch tool'!$B812:$W812)+$Y$3</f>
        <v>-36.514029388465531</v>
      </c>
      <c r="D818" s="7">
        <f>SUMPRODUCT($C$4:$X$4,'batch tool'!$B812:$W812)+$Y$4</f>
        <v>-44.639843068043824</v>
      </c>
      <c r="E818" s="7">
        <f>SUMPRODUCT($C$5:$X$5,'batch tool'!$B812:$W812)+$Y$5</f>
        <v>-51.578889182477603</v>
      </c>
      <c r="F818" s="7">
        <f>SUMPRODUCT($C$6:$X$6,'batch tool'!$B812:$W812)+$Y$6</f>
        <v>-47.741473633885199</v>
      </c>
      <c r="G818" s="7">
        <f>SUMPRODUCT($C$7:$X$7,'batch tool'!$B812:$W812)+$Y$7</f>
        <v>-19.739516238059196</v>
      </c>
      <c r="H818" s="7">
        <f t="shared" si="24"/>
        <v>-19.739516238059196</v>
      </c>
      <c r="I818">
        <f t="shared" si="25"/>
        <v>6</v>
      </c>
      <c r="J818" t="str" cm="1">
        <f t="array" ref="J818">INDEX($A$2:$A$7,I818)</f>
        <v>Segment 6- Self-Conscious Male</v>
      </c>
    </row>
    <row r="819" spans="1:10" x14ac:dyDescent="0.25">
      <c r="A819" s="1">
        <f>'batch tool'!A813</f>
        <v>0</v>
      </c>
      <c r="B819" s="7">
        <f>SUMPRODUCT($C$2:$X$2,'batch tool'!$B813:$W813)+$Y$2</f>
        <v>-49.12272534143483</v>
      </c>
      <c r="C819" s="7">
        <f>SUMPRODUCT($C$3:$X$3,'batch tool'!$B813:$W813)+$Y$3</f>
        <v>-36.514029388465531</v>
      </c>
      <c r="D819" s="7">
        <f>SUMPRODUCT($C$4:$X$4,'batch tool'!$B813:$W813)+$Y$4</f>
        <v>-44.639843068043824</v>
      </c>
      <c r="E819" s="7">
        <f>SUMPRODUCT($C$5:$X$5,'batch tool'!$B813:$W813)+$Y$5</f>
        <v>-51.578889182477603</v>
      </c>
      <c r="F819" s="7">
        <f>SUMPRODUCT($C$6:$X$6,'batch tool'!$B813:$W813)+$Y$6</f>
        <v>-47.741473633885199</v>
      </c>
      <c r="G819" s="7">
        <f>SUMPRODUCT($C$7:$X$7,'batch tool'!$B813:$W813)+$Y$7</f>
        <v>-19.739516238059196</v>
      </c>
      <c r="H819" s="7">
        <f t="shared" si="24"/>
        <v>-19.739516238059196</v>
      </c>
      <c r="I819">
        <f t="shared" si="25"/>
        <v>6</v>
      </c>
      <c r="J819" t="str" cm="1">
        <f t="array" ref="J819">INDEX($A$2:$A$7,I819)</f>
        <v>Segment 6- Self-Conscious Male</v>
      </c>
    </row>
    <row r="820" spans="1:10" x14ac:dyDescent="0.25">
      <c r="A820" s="1">
        <f>'batch tool'!A814</f>
        <v>0</v>
      </c>
      <c r="B820" s="7">
        <f>SUMPRODUCT($C$2:$X$2,'batch tool'!$B814:$W814)+$Y$2</f>
        <v>-49.12272534143483</v>
      </c>
      <c r="C820" s="7">
        <f>SUMPRODUCT($C$3:$X$3,'batch tool'!$B814:$W814)+$Y$3</f>
        <v>-36.514029388465531</v>
      </c>
      <c r="D820" s="7">
        <f>SUMPRODUCT($C$4:$X$4,'batch tool'!$B814:$W814)+$Y$4</f>
        <v>-44.639843068043824</v>
      </c>
      <c r="E820" s="7">
        <f>SUMPRODUCT($C$5:$X$5,'batch tool'!$B814:$W814)+$Y$5</f>
        <v>-51.578889182477603</v>
      </c>
      <c r="F820" s="7">
        <f>SUMPRODUCT($C$6:$X$6,'batch tool'!$B814:$W814)+$Y$6</f>
        <v>-47.741473633885199</v>
      </c>
      <c r="G820" s="7">
        <f>SUMPRODUCT($C$7:$X$7,'batch tool'!$B814:$W814)+$Y$7</f>
        <v>-19.739516238059196</v>
      </c>
      <c r="H820" s="7">
        <f t="shared" si="24"/>
        <v>-19.739516238059196</v>
      </c>
      <c r="I820">
        <f t="shared" si="25"/>
        <v>6</v>
      </c>
      <c r="J820" t="str" cm="1">
        <f t="array" ref="J820">INDEX($A$2:$A$7,I820)</f>
        <v>Segment 6- Self-Conscious Male</v>
      </c>
    </row>
    <row r="821" spans="1:10" x14ac:dyDescent="0.25">
      <c r="A821" s="1">
        <f>'batch tool'!A815</f>
        <v>0</v>
      </c>
      <c r="B821" s="7">
        <f>SUMPRODUCT($C$2:$X$2,'batch tool'!$B815:$W815)+$Y$2</f>
        <v>-49.12272534143483</v>
      </c>
      <c r="C821" s="7">
        <f>SUMPRODUCT($C$3:$X$3,'batch tool'!$B815:$W815)+$Y$3</f>
        <v>-36.514029388465531</v>
      </c>
      <c r="D821" s="7">
        <f>SUMPRODUCT($C$4:$X$4,'batch tool'!$B815:$W815)+$Y$4</f>
        <v>-44.639843068043824</v>
      </c>
      <c r="E821" s="7">
        <f>SUMPRODUCT($C$5:$X$5,'batch tool'!$B815:$W815)+$Y$5</f>
        <v>-51.578889182477603</v>
      </c>
      <c r="F821" s="7">
        <f>SUMPRODUCT($C$6:$X$6,'batch tool'!$B815:$W815)+$Y$6</f>
        <v>-47.741473633885199</v>
      </c>
      <c r="G821" s="7">
        <f>SUMPRODUCT($C$7:$X$7,'batch tool'!$B815:$W815)+$Y$7</f>
        <v>-19.739516238059196</v>
      </c>
      <c r="H821" s="7">
        <f t="shared" si="24"/>
        <v>-19.739516238059196</v>
      </c>
      <c r="I821">
        <f t="shared" si="25"/>
        <v>6</v>
      </c>
      <c r="J821" t="str" cm="1">
        <f t="array" ref="J821">INDEX($A$2:$A$7,I821)</f>
        <v>Segment 6- Self-Conscious Male</v>
      </c>
    </row>
    <row r="822" spans="1:10" x14ac:dyDescent="0.25">
      <c r="A822" s="1">
        <f>'batch tool'!A816</f>
        <v>0</v>
      </c>
      <c r="B822" s="7">
        <f>SUMPRODUCT($C$2:$X$2,'batch tool'!$B816:$W816)+$Y$2</f>
        <v>-49.12272534143483</v>
      </c>
      <c r="C822" s="7">
        <f>SUMPRODUCT($C$3:$X$3,'batch tool'!$B816:$W816)+$Y$3</f>
        <v>-36.514029388465531</v>
      </c>
      <c r="D822" s="7">
        <f>SUMPRODUCT($C$4:$X$4,'batch tool'!$B816:$W816)+$Y$4</f>
        <v>-44.639843068043824</v>
      </c>
      <c r="E822" s="7">
        <f>SUMPRODUCT($C$5:$X$5,'batch tool'!$B816:$W816)+$Y$5</f>
        <v>-51.578889182477603</v>
      </c>
      <c r="F822" s="7">
        <f>SUMPRODUCT($C$6:$X$6,'batch tool'!$B816:$W816)+$Y$6</f>
        <v>-47.741473633885199</v>
      </c>
      <c r="G822" s="7">
        <f>SUMPRODUCT($C$7:$X$7,'batch tool'!$B816:$W816)+$Y$7</f>
        <v>-19.739516238059196</v>
      </c>
      <c r="H822" s="7">
        <f t="shared" si="24"/>
        <v>-19.739516238059196</v>
      </c>
      <c r="I822">
        <f t="shared" si="25"/>
        <v>6</v>
      </c>
      <c r="J822" t="str" cm="1">
        <f t="array" ref="J822">INDEX($A$2:$A$7,I822)</f>
        <v>Segment 6- Self-Conscious Male</v>
      </c>
    </row>
    <row r="823" spans="1:10" x14ac:dyDescent="0.25">
      <c r="A823" s="1">
        <f>'batch tool'!A817</f>
        <v>0</v>
      </c>
      <c r="B823" s="7">
        <f>SUMPRODUCT($C$2:$X$2,'batch tool'!$B817:$W817)+$Y$2</f>
        <v>-49.12272534143483</v>
      </c>
      <c r="C823" s="7">
        <f>SUMPRODUCT($C$3:$X$3,'batch tool'!$B817:$W817)+$Y$3</f>
        <v>-36.514029388465531</v>
      </c>
      <c r="D823" s="7">
        <f>SUMPRODUCT($C$4:$X$4,'batch tool'!$B817:$W817)+$Y$4</f>
        <v>-44.639843068043824</v>
      </c>
      <c r="E823" s="7">
        <f>SUMPRODUCT($C$5:$X$5,'batch tool'!$B817:$W817)+$Y$5</f>
        <v>-51.578889182477603</v>
      </c>
      <c r="F823" s="7">
        <f>SUMPRODUCT($C$6:$X$6,'batch tool'!$B817:$W817)+$Y$6</f>
        <v>-47.741473633885199</v>
      </c>
      <c r="G823" s="7">
        <f>SUMPRODUCT($C$7:$X$7,'batch tool'!$B817:$W817)+$Y$7</f>
        <v>-19.739516238059196</v>
      </c>
      <c r="H823" s="7">
        <f t="shared" si="24"/>
        <v>-19.739516238059196</v>
      </c>
      <c r="I823">
        <f t="shared" si="25"/>
        <v>6</v>
      </c>
      <c r="J823" t="str" cm="1">
        <f t="array" ref="J823">INDEX($A$2:$A$7,I823)</f>
        <v>Segment 6- Self-Conscious Male</v>
      </c>
    </row>
    <row r="824" spans="1:10" x14ac:dyDescent="0.25">
      <c r="A824" s="1">
        <f>'batch tool'!A818</f>
        <v>0</v>
      </c>
      <c r="B824" s="7">
        <f>SUMPRODUCT($C$2:$X$2,'batch tool'!$B818:$W818)+$Y$2</f>
        <v>-49.12272534143483</v>
      </c>
      <c r="C824" s="7">
        <f>SUMPRODUCT($C$3:$X$3,'batch tool'!$B818:$W818)+$Y$3</f>
        <v>-36.514029388465531</v>
      </c>
      <c r="D824" s="7">
        <f>SUMPRODUCT($C$4:$X$4,'batch tool'!$B818:$W818)+$Y$4</f>
        <v>-44.639843068043824</v>
      </c>
      <c r="E824" s="7">
        <f>SUMPRODUCT($C$5:$X$5,'batch tool'!$B818:$W818)+$Y$5</f>
        <v>-51.578889182477603</v>
      </c>
      <c r="F824" s="7">
        <f>SUMPRODUCT($C$6:$X$6,'batch tool'!$B818:$W818)+$Y$6</f>
        <v>-47.741473633885199</v>
      </c>
      <c r="G824" s="7">
        <f>SUMPRODUCT($C$7:$X$7,'batch tool'!$B818:$W818)+$Y$7</f>
        <v>-19.739516238059196</v>
      </c>
      <c r="H824" s="7">
        <f t="shared" si="24"/>
        <v>-19.739516238059196</v>
      </c>
      <c r="I824">
        <f t="shared" si="25"/>
        <v>6</v>
      </c>
      <c r="J824" t="str" cm="1">
        <f t="array" ref="J824">INDEX($A$2:$A$7,I824)</f>
        <v>Segment 6- Self-Conscious Male</v>
      </c>
    </row>
    <row r="825" spans="1:10" x14ac:dyDescent="0.25">
      <c r="A825" s="1">
        <f>'batch tool'!A819</f>
        <v>0</v>
      </c>
      <c r="B825" s="7">
        <f>SUMPRODUCT($C$2:$X$2,'batch tool'!$B819:$W819)+$Y$2</f>
        <v>-49.12272534143483</v>
      </c>
      <c r="C825" s="7">
        <f>SUMPRODUCT($C$3:$X$3,'batch tool'!$B819:$W819)+$Y$3</f>
        <v>-36.514029388465531</v>
      </c>
      <c r="D825" s="7">
        <f>SUMPRODUCT($C$4:$X$4,'batch tool'!$B819:$W819)+$Y$4</f>
        <v>-44.639843068043824</v>
      </c>
      <c r="E825" s="7">
        <f>SUMPRODUCT($C$5:$X$5,'batch tool'!$B819:$W819)+$Y$5</f>
        <v>-51.578889182477603</v>
      </c>
      <c r="F825" s="7">
        <f>SUMPRODUCT($C$6:$X$6,'batch tool'!$B819:$W819)+$Y$6</f>
        <v>-47.741473633885199</v>
      </c>
      <c r="G825" s="7">
        <f>SUMPRODUCT($C$7:$X$7,'batch tool'!$B819:$W819)+$Y$7</f>
        <v>-19.739516238059196</v>
      </c>
      <c r="H825" s="7">
        <f t="shared" si="24"/>
        <v>-19.739516238059196</v>
      </c>
      <c r="I825">
        <f t="shared" si="25"/>
        <v>6</v>
      </c>
      <c r="J825" t="str" cm="1">
        <f t="array" ref="J825">INDEX($A$2:$A$7,I825)</f>
        <v>Segment 6- Self-Conscious Male</v>
      </c>
    </row>
    <row r="826" spans="1:10" x14ac:dyDescent="0.25">
      <c r="A826" s="1">
        <f>'batch tool'!A820</f>
        <v>0</v>
      </c>
      <c r="B826" s="7">
        <f>SUMPRODUCT($C$2:$X$2,'batch tool'!$B820:$W820)+$Y$2</f>
        <v>-49.12272534143483</v>
      </c>
      <c r="C826" s="7">
        <f>SUMPRODUCT($C$3:$X$3,'batch tool'!$B820:$W820)+$Y$3</f>
        <v>-36.514029388465531</v>
      </c>
      <c r="D826" s="7">
        <f>SUMPRODUCT($C$4:$X$4,'batch tool'!$B820:$W820)+$Y$4</f>
        <v>-44.639843068043824</v>
      </c>
      <c r="E826" s="7">
        <f>SUMPRODUCT($C$5:$X$5,'batch tool'!$B820:$W820)+$Y$5</f>
        <v>-51.578889182477603</v>
      </c>
      <c r="F826" s="7">
        <f>SUMPRODUCT($C$6:$X$6,'batch tool'!$B820:$W820)+$Y$6</f>
        <v>-47.741473633885199</v>
      </c>
      <c r="G826" s="7">
        <f>SUMPRODUCT($C$7:$X$7,'batch tool'!$B820:$W820)+$Y$7</f>
        <v>-19.739516238059196</v>
      </c>
      <c r="H826" s="7">
        <f t="shared" si="24"/>
        <v>-19.739516238059196</v>
      </c>
      <c r="I826">
        <f t="shared" si="25"/>
        <v>6</v>
      </c>
      <c r="J826" t="str" cm="1">
        <f t="array" ref="J826">INDEX($A$2:$A$7,I826)</f>
        <v>Segment 6- Self-Conscious Male</v>
      </c>
    </row>
    <row r="827" spans="1:10" x14ac:dyDescent="0.25">
      <c r="A827" s="1">
        <f>'batch tool'!A821</f>
        <v>0</v>
      </c>
      <c r="B827" s="7">
        <f>SUMPRODUCT($C$2:$X$2,'batch tool'!$B821:$W821)+$Y$2</f>
        <v>-49.12272534143483</v>
      </c>
      <c r="C827" s="7">
        <f>SUMPRODUCT($C$3:$X$3,'batch tool'!$B821:$W821)+$Y$3</f>
        <v>-36.514029388465531</v>
      </c>
      <c r="D827" s="7">
        <f>SUMPRODUCT($C$4:$X$4,'batch tool'!$B821:$W821)+$Y$4</f>
        <v>-44.639843068043824</v>
      </c>
      <c r="E827" s="7">
        <f>SUMPRODUCT($C$5:$X$5,'batch tool'!$B821:$W821)+$Y$5</f>
        <v>-51.578889182477603</v>
      </c>
      <c r="F827" s="7">
        <f>SUMPRODUCT($C$6:$X$6,'batch tool'!$B821:$W821)+$Y$6</f>
        <v>-47.741473633885199</v>
      </c>
      <c r="G827" s="7">
        <f>SUMPRODUCT($C$7:$X$7,'batch tool'!$B821:$W821)+$Y$7</f>
        <v>-19.739516238059196</v>
      </c>
      <c r="H827" s="7">
        <f t="shared" si="24"/>
        <v>-19.739516238059196</v>
      </c>
      <c r="I827">
        <f t="shared" si="25"/>
        <v>6</v>
      </c>
      <c r="J827" t="str" cm="1">
        <f t="array" ref="J827">INDEX($A$2:$A$7,I827)</f>
        <v>Segment 6- Self-Conscious Male</v>
      </c>
    </row>
    <row r="828" spans="1:10" x14ac:dyDescent="0.25">
      <c r="A828" s="1">
        <f>'batch tool'!A822</f>
        <v>0</v>
      </c>
      <c r="B828" s="7">
        <f>SUMPRODUCT($C$2:$X$2,'batch tool'!$B822:$W822)+$Y$2</f>
        <v>-49.12272534143483</v>
      </c>
      <c r="C828" s="7">
        <f>SUMPRODUCT($C$3:$X$3,'batch tool'!$B822:$W822)+$Y$3</f>
        <v>-36.514029388465531</v>
      </c>
      <c r="D828" s="7">
        <f>SUMPRODUCT($C$4:$X$4,'batch tool'!$B822:$W822)+$Y$4</f>
        <v>-44.639843068043824</v>
      </c>
      <c r="E828" s="7">
        <f>SUMPRODUCT($C$5:$X$5,'batch tool'!$B822:$W822)+$Y$5</f>
        <v>-51.578889182477603</v>
      </c>
      <c r="F828" s="7">
        <f>SUMPRODUCT($C$6:$X$6,'batch tool'!$B822:$W822)+$Y$6</f>
        <v>-47.741473633885199</v>
      </c>
      <c r="G828" s="7">
        <f>SUMPRODUCT($C$7:$X$7,'batch tool'!$B822:$W822)+$Y$7</f>
        <v>-19.739516238059196</v>
      </c>
      <c r="H828" s="7">
        <f t="shared" si="24"/>
        <v>-19.739516238059196</v>
      </c>
      <c r="I828">
        <f t="shared" si="25"/>
        <v>6</v>
      </c>
      <c r="J828" t="str" cm="1">
        <f t="array" ref="J828">INDEX($A$2:$A$7,I828)</f>
        <v>Segment 6- Self-Conscious Male</v>
      </c>
    </row>
    <row r="829" spans="1:10" x14ac:dyDescent="0.25">
      <c r="A829" s="1">
        <f>'batch tool'!A823</f>
        <v>0</v>
      </c>
      <c r="B829" s="7">
        <f>SUMPRODUCT($C$2:$X$2,'batch tool'!$B823:$W823)+$Y$2</f>
        <v>-49.12272534143483</v>
      </c>
      <c r="C829" s="7">
        <f>SUMPRODUCT($C$3:$X$3,'batch tool'!$B823:$W823)+$Y$3</f>
        <v>-36.514029388465531</v>
      </c>
      <c r="D829" s="7">
        <f>SUMPRODUCT($C$4:$X$4,'batch tool'!$B823:$W823)+$Y$4</f>
        <v>-44.639843068043824</v>
      </c>
      <c r="E829" s="7">
        <f>SUMPRODUCT($C$5:$X$5,'batch tool'!$B823:$W823)+$Y$5</f>
        <v>-51.578889182477603</v>
      </c>
      <c r="F829" s="7">
        <f>SUMPRODUCT($C$6:$X$6,'batch tool'!$B823:$W823)+$Y$6</f>
        <v>-47.741473633885199</v>
      </c>
      <c r="G829" s="7">
        <f>SUMPRODUCT($C$7:$X$7,'batch tool'!$B823:$W823)+$Y$7</f>
        <v>-19.739516238059196</v>
      </c>
      <c r="H829" s="7">
        <f t="shared" si="24"/>
        <v>-19.739516238059196</v>
      </c>
      <c r="I829">
        <f t="shared" si="25"/>
        <v>6</v>
      </c>
      <c r="J829" t="str" cm="1">
        <f t="array" ref="J829">INDEX($A$2:$A$7,I829)</f>
        <v>Segment 6- Self-Conscious Male</v>
      </c>
    </row>
    <row r="830" spans="1:10" x14ac:dyDescent="0.25">
      <c r="A830" s="1">
        <f>'batch tool'!A824</f>
        <v>0</v>
      </c>
      <c r="B830" s="7">
        <f>SUMPRODUCT($C$2:$X$2,'batch tool'!$B824:$W824)+$Y$2</f>
        <v>-49.12272534143483</v>
      </c>
      <c r="C830" s="7">
        <f>SUMPRODUCT($C$3:$X$3,'batch tool'!$B824:$W824)+$Y$3</f>
        <v>-36.514029388465531</v>
      </c>
      <c r="D830" s="7">
        <f>SUMPRODUCT($C$4:$X$4,'batch tool'!$B824:$W824)+$Y$4</f>
        <v>-44.639843068043824</v>
      </c>
      <c r="E830" s="7">
        <f>SUMPRODUCT($C$5:$X$5,'batch tool'!$B824:$W824)+$Y$5</f>
        <v>-51.578889182477603</v>
      </c>
      <c r="F830" s="7">
        <f>SUMPRODUCT($C$6:$X$6,'batch tool'!$B824:$W824)+$Y$6</f>
        <v>-47.741473633885199</v>
      </c>
      <c r="G830" s="7">
        <f>SUMPRODUCT($C$7:$X$7,'batch tool'!$B824:$W824)+$Y$7</f>
        <v>-19.739516238059196</v>
      </c>
      <c r="H830" s="7">
        <f t="shared" si="24"/>
        <v>-19.739516238059196</v>
      </c>
      <c r="I830">
        <f t="shared" si="25"/>
        <v>6</v>
      </c>
      <c r="J830" t="str" cm="1">
        <f t="array" ref="J830">INDEX($A$2:$A$7,I830)</f>
        <v>Segment 6- Self-Conscious Male</v>
      </c>
    </row>
    <row r="831" spans="1:10" x14ac:dyDescent="0.25">
      <c r="A831" s="1">
        <f>'batch tool'!A825</f>
        <v>0</v>
      </c>
      <c r="B831" s="7">
        <f>SUMPRODUCT($C$2:$X$2,'batch tool'!$B825:$W825)+$Y$2</f>
        <v>-49.12272534143483</v>
      </c>
      <c r="C831" s="7">
        <f>SUMPRODUCT($C$3:$X$3,'batch tool'!$B825:$W825)+$Y$3</f>
        <v>-36.514029388465531</v>
      </c>
      <c r="D831" s="7">
        <f>SUMPRODUCT($C$4:$X$4,'batch tool'!$B825:$W825)+$Y$4</f>
        <v>-44.639843068043824</v>
      </c>
      <c r="E831" s="7">
        <f>SUMPRODUCT($C$5:$X$5,'batch tool'!$B825:$W825)+$Y$5</f>
        <v>-51.578889182477603</v>
      </c>
      <c r="F831" s="7">
        <f>SUMPRODUCT($C$6:$X$6,'batch tool'!$B825:$W825)+$Y$6</f>
        <v>-47.741473633885199</v>
      </c>
      <c r="G831" s="7">
        <f>SUMPRODUCT($C$7:$X$7,'batch tool'!$B825:$W825)+$Y$7</f>
        <v>-19.739516238059196</v>
      </c>
      <c r="H831" s="7">
        <f t="shared" si="24"/>
        <v>-19.739516238059196</v>
      </c>
      <c r="I831">
        <f t="shared" si="25"/>
        <v>6</v>
      </c>
      <c r="J831" t="str" cm="1">
        <f t="array" ref="J831">INDEX($A$2:$A$7,I831)</f>
        <v>Segment 6- Self-Conscious Male</v>
      </c>
    </row>
    <row r="832" spans="1:10" x14ac:dyDescent="0.25">
      <c r="A832" s="1">
        <f>'batch tool'!A826</f>
        <v>0</v>
      </c>
      <c r="B832" s="7">
        <f>SUMPRODUCT($C$2:$X$2,'batch tool'!$B826:$W826)+$Y$2</f>
        <v>-49.12272534143483</v>
      </c>
      <c r="C832" s="7">
        <f>SUMPRODUCT($C$3:$X$3,'batch tool'!$B826:$W826)+$Y$3</f>
        <v>-36.514029388465531</v>
      </c>
      <c r="D832" s="7">
        <f>SUMPRODUCT($C$4:$X$4,'batch tool'!$B826:$W826)+$Y$4</f>
        <v>-44.639843068043824</v>
      </c>
      <c r="E832" s="7">
        <f>SUMPRODUCT($C$5:$X$5,'batch tool'!$B826:$W826)+$Y$5</f>
        <v>-51.578889182477603</v>
      </c>
      <c r="F832" s="7">
        <f>SUMPRODUCT($C$6:$X$6,'batch tool'!$B826:$W826)+$Y$6</f>
        <v>-47.741473633885199</v>
      </c>
      <c r="G832" s="7">
        <f>SUMPRODUCT($C$7:$X$7,'batch tool'!$B826:$W826)+$Y$7</f>
        <v>-19.739516238059196</v>
      </c>
      <c r="H832" s="7">
        <f t="shared" si="24"/>
        <v>-19.739516238059196</v>
      </c>
      <c r="I832">
        <f t="shared" si="25"/>
        <v>6</v>
      </c>
      <c r="J832" t="str" cm="1">
        <f t="array" ref="J832">INDEX($A$2:$A$7,I832)</f>
        <v>Segment 6- Self-Conscious Male</v>
      </c>
    </row>
    <row r="833" spans="1:10" x14ac:dyDescent="0.25">
      <c r="A833" s="1">
        <f>'batch tool'!A827</f>
        <v>0</v>
      </c>
      <c r="B833" s="7">
        <f>SUMPRODUCT($C$2:$X$2,'batch tool'!$B827:$W827)+$Y$2</f>
        <v>-49.12272534143483</v>
      </c>
      <c r="C833" s="7">
        <f>SUMPRODUCT($C$3:$X$3,'batch tool'!$B827:$W827)+$Y$3</f>
        <v>-36.514029388465531</v>
      </c>
      <c r="D833" s="7">
        <f>SUMPRODUCT($C$4:$X$4,'batch tool'!$B827:$W827)+$Y$4</f>
        <v>-44.639843068043824</v>
      </c>
      <c r="E833" s="7">
        <f>SUMPRODUCT($C$5:$X$5,'batch tool'!$B827:$W827)+$Y$5</f>
        <v>-51.578889182477603</v>
      </c>
      <c r="F833" s="7">
        <f>SUMPRODUCT($C$6:$X$6,'batch tool'!$B827:$W827)+$Y$6</f>
        <v>-47.741473633885199</v>
      </c>
      <c r="G833" s="7">
        <f>SUMPRODUCT($C$7:$X$7,'batch tool'!$B827:$W827)+$Y$7</f>
        <v>-19.739516238059196</v>
      </c>
      <c r="H833" s="7">
        <f t="shared" si="24"/>
        <v>-19.739516238059196</v>
      </c>
      <c r="I833">
        <f t="shared" si="25"/>
        <v>6</v>
      </c>
      <c r="J833" t="str" cm="1">
        <f t="array" ref="J833">INDEX($A$2:$A$7,I833)</f>
        <v>Segment 6- Self-Conscious Male</v>
      </c>
    </row>
    <row r="834" spans="1:10" x14ac:dyDescent="0.25">
      <c r="A834" s="1">
        <f>'batch tool'!A828</f>
        <v>0</v>
      </c>
      <c r="B834" s="7">
        <f>SUMPRODUCT($C$2:$X$2,'batch tool'!$B828:$W828)+$Y$2</f>
        <v>-49.12272534143483</v>
      </c>
      <c r="C834" s="7">
        <f>SUMPRODUCT($C$3:$X$3,'batch tool'!$B828:$W828)+$Y$3</f>
        <v>-36.514029388465531</v>
      </c>
      <c r="D834" s="7">
        <f>SUMPRODUCT($C$4:$X$4,'batch tool'!$B828:$W828)+$Y$4</f>
        <v>-44.639843068043824</v>
      </c>
      <c r="E834" s="7">
        <f>SUMPRODUCT($C$5:$X$5,'batch tool'!$B828:$W828)+$Y$5</f>
        <v>-51.578889182477603</v>
      </c>
      <c r="F834" s="7">
        <f>SUMPRODUCT($C$6:$X$6,'batch tool'!$B828:$W828)+$Y$6</f>
        <v>-47.741473633885199</v>
      </c>
      <c r="G834" s="7">
        <f>SUMPRODUCT($C$7:$X$7,'batch tool'!$B828:$W828)+$Y$7</f>
        <v>-19.739516238059196</v>
      </c>
      <c r="H834" s="7">
        <f t="shared" si="24"/>
        <v>-19.739516238059196</v>
      </c>
      <c r="I834">
        <f t="shared" si="25"/>
        <v>6</v>
      </c>
      <c r="J834" t="str" cm="1">
        <f t="array" ref="J834">INDEX($A$2:$A$7,I834)</f>
        <v>Segment 6- Self-Conscious Male</v>
      </c>
    </row>
    <row r="835" spans="1:10" x14ac:dyDescent="0.25">
      <c r="A835" s="1">
        <f>'batch tool'!A829</f>
        <v>0</v>
      </c>
      <c r="B835" s="7">
        <f>SUMPRODUCT($C$2:$X$2,'batch tool'!$B829:$W829)+$Y$2</f>
        <v>-49.12272534143483</v>
      </c>
      <c r="C835" s="7">
        <f>SUMPRODUCT($C$3:$X$3,'batch tool'!$B829:$W829)+$Y$3</f>
        <v>-36.514029388465531</v>
      </c>
      <c r="D835" s="7">
        <f>SUMPRODUCT($C$4:$X$4,'batch tool'!$B829:$W829)+$Y$4</f>
        <v>-44.639843068043824</v>
      </c>
      <c r="E835" s="7">
        <f>SUMPRODUCT($C$5:$X$5,'batch tool'!$B829:$W829)+$Y$5</f>
        <v>-51.578889182477603</v>
      </c>
      <c r="F835" s="7">
        <f>SUMPRODUCT($C$6:$X$6,'batch tool'!$B829:$W829)+$Y$6</f>
        <v>-47.741473633885199</v>
      </c>
      <c r="G835" s="7">
        <f>SUMPRODUCT($C$7:$X$7,'batch tool'!$B829:$W829)+$Y$7</f>
        <v>-19.739516238059196</v>
      </c>
      <c r="H835" s="7">
        <f t="shared" si="24"/>
        <v>-19.739516238059196</v>
      </c>
      <c r="I835">
        <f t="shared" si="25"/>
        <v>6</v>
      </c>
      <c r="J835" t="str" cm="1">
        <f t="array" ref="J835">INDEX($A$2:$A$7,I835)</f>
        <v>Segment 6- Self-Conscious Male</v>
      </c>
    </row>
    <row r="836" spans="1:10" x14ac:dyDescent="0.25">
      <c r="A836" s="1">
        <f>'batch tool'!A830</f>
        <v>0</v>
      </c>
      <c r="B836" s="7">
        <f>SUMPRODUCT($C$2:$X$2,'batch tool'!$B830:$W830)+$Y$2</f>
        <v>-49.12272534143483</v>
      </c>
      <c r="C836" s="7">
        <f>SUMPRODUCT($C$3:$X$3,'batch tool'!$B830:$W830)+$Y$3</f>
        <v>-36.514029388465531</v>
      </c>
      <c r="D836" s="7">
        <f>SUMPRODUCT($C$4:$X$4,'batch tool'!$B830:$W830)+$Y$4</f>
        <v>-44.639843068043824</v>
      </c>
      <c r="E836" s="7">
        <f>SUMPRODUCT($C$5:$X$5,'batch tool'!$B830:$W830)+$Y$5</f>
        <v>-51.578889182477603</v>
      </c>
      <c r="F836" s="7">
        <f>SUMPRODUCT($C$6:$X$6,'batch tool'!$B830:$W830)+$Y$6</f>
        <v>-47.741473633885199</v>
      </c>
      <c r="G836" s="7">
        <f>SUMPRODUCT($C$7:$X$7,'batch tool'!$B830:$W830)+$Y$7</f>
        <v>-19.739516238059196</v>
      </c>
      <c r="H836" s="7">
        <f t="shared" si="24"/>
        <v>-19.739516238059196</v>
      </c>
      <c r="I836">
        <f t="shared" si="25"/>
        <v>6</v>
      </c>
      <c r="J836" t="str" cm="1">
        <f t="array" ref="J836">INDEX($A$2:$A$7,I836)</f>
        <v>Segment 6- Self-Conscious Male</v>
      </c>
    </row>
    <row r="837" spans="1:10" x14ac:dyDescent="0.25">
      <c r="A837" s="1">
        <f>'batch tool'!A831</f>
        <v>0</v>
      </c>
      <c r="B837" s="7">
        <f>SUMPRODUCT($C$2:$X$2,'batch tool'!$B831:$W831)+$Y$2</f>
        <v>-49.12272534143483</v>
      </c>
      <c r="C837" s="7">
        <f>SUMPRODUCT($C$3:$X$3,'batch tool'!$B831:$W831)+$Y$3</f>
        <v>-36.514029388465531</v>
      </c>
      <c r="D837" s="7">
        <f>SUMPRODUCT($C$4:$X$4,'batch tool'!$B831:$W831)+$Y$4</f>
        <v>-44.639843068043824</v>
      </c>
      <c r="E837" s="7">
        <f>SUMPRODUCT($C$5:$X$5,'batch tool'!$B831:$W831)+$Y$5</f>
        <v>-51.578889182477603</v>
      </c>
      <c r="F837" s="7">
        <f>SUMPRODUCT($C$6:$X$6,'batch tool'!$B831:$W831)+$Y$6</f>
        <v>-47.741473633885199</v>
      </c>
      <c r="G837" s="7">
        <f>SUMPRODUCT($C$7:$X$7,'batch tool'!$B831:$W831)+$Y$7</f>
        <v>-19.739516238059196</v>
      </c>
      <c r="H837" s="7">
        <f t="shared" si="24"/>
        <v>-19.739516238059196</v>
      </c>
      <c r="I837">
        <f t="shared" si="25"/>
        <v>6</v>
      </c>
      <c r="J837" t="str" cm="1">
        <f t="array" ref="J837">INDEX($A$2:$A$7,I837)</f>
        <v>Segment 6- Self-Conscious Male</v>
      </c>
    </row>
    <row r="838" spans="1:10" x14ac:dyDescent="0.25">
      <c r="A838" s="1">
        <f>'batch tool'!A832</f>
        <v>0</v>
      </c>
      <c r="B838" s="7">
        <f>SUMPRODUCT($C$2:$X$2,'batch tool'!$B832:$W832)+$Y$2</f>
        <v>-49.12272534143483</v>
      </c>
      <c r="C838" s="7">
        <f>SUMPRODUCT($C$3:$X$3,'batch tool'!$B832:$W832)+$Y$3</f>
        <v>-36.514029388465531</v>
      </c>
      <c r="D838" s="7">
        <f>SUMPRODUCT($C$4:$X$4,'batch tool'!$B832:$W832)+$Y$4</f>
        <v>-44.639843068043824</v>
      </c>
      <c r="E838" s="7">
        <f>SUMPRODUCT($C$5:$X$5,'batch tool'!$B832:$W832)+$Y$5</f>
        <v>-51.578889182477603</v>
      </c>
      <c r="F838" s="7">
        <f>SUMPRODUCT($C$6:$X$6,'batch tool'!$B832:$W832)+$Y$6</f>
        <v>-47.741473633885199</v>
      </c>
      <c r="G838" s="7">
        <f>SUMPRODUCT($C$7:$X$7,'batch tool'!$B832:$W832)+$Y$7</f>
        <v>-19.739516238059196</v>
      </c>
      <c r="H838" s="7">
        <f t="shared" si="24"/>
        <v>-19.739516238059196</v>
      </c>
      <c r="I838">
        <f t="shared" si="25"/>
        <v>6</v>
      </c>
      <c r="J838" t="str" cm="1">
        <f t="array" ref="J838">INDEX($A$2:$A$7,I838)</f>
        <v>Segment 6- Self-Conscious Male</v>
      </c>
    </row>
    <row r="839" spans="1:10" x14ac:dyDescent="0.25">
      <c r="A839" s="1">
        <f>'batch tool'!A833</f>
        <v>0</v>
      </c>
      <c r="B839" s="7">
        <f>SUMPRODUCT($C$2:$X$2,'batch tool'!$B833:$W833)+$Y$2</f>
        <v>-49.12272534143483</v>
      </c>
      <c r="C839" s="7">
        <f>SUMPRODUCT($C$3:$X$3,'batch tool'!$B833:$W833)+$Y$3</f>
        <v>-36.514029388465531</v>
      </c>
      <c r="D839" s="7">
        <f>SUMPRODUCT($C$4:$X$4,'batch tool'!$B833:$W833)+$Y$4</f>
        <v>-44.639843068043824</v>
      </c>
      <c r="E839" s="7">
        <f>SUMPRODUCT($C$5:$X$5,'batch tool'!$B833:$W833)+$Y$5</f>
        <v>-51.578889182477603</v>
      </c>
      <c r="F839" s="7">
        <f>SUMPRODUCT($C$6:$X$6,'batch tool'!$B833:$W833)+$Y$6</f>
        <v>-47.741473633885199</v>
      </c>
      <c r="G839" s="7">
        <f>SUMPRODUCT($C$7:$X$7,'batch tool'!$B833:$W833)+$Y$7</f>
        <v>-19.739516238059196</v>
      </c>
      <c r="H839" s="7">
        <f t="shared" si="24"/>
        <v>-19.739516238059196</v>
      </c>
      <c r="I839">
        <f t="shared" si="25"/>
        <v>6</v>
      </c>
      <c r="J839" t="str" cm="1">
        <f t="array" ref="J839">INDEX($A$2:$A$7,I839)</f>
        <v>Segment 6- Self-Conscious Male</v>
      </c>
    </row>
    <row r="840" spans="1:10" x14ac:dyDescent="0.25">
      <c r="A840" s="1">
        <f>'batch tool'!A834</f>
        <v>0</v>
      </c>
      <c r="B840" s="7">
        <f>SUMPRODUCT($C$2:$X$2,'batch tool'!$B834:$W834)+$Y$2</f>
        <v>-49.12272534143483</v>
      </c>
      <c r="C840" s="7">
        <f>SUMPRODUCT($C$3:$X$3,'batch tool'!$B834:$W834)+$Y$3</f>
        <v>-36.514029388465531</v>
      </c>
      <c r="D840" s="7">
        <f>SUMPRODUCT($C$4:$X$4,'batch tool'!$B834:$W834)+$Y$4</f>
        <v>-44.639843068043824</v>
      </c>
      <c r="E840" s="7">
        <f>SUMPRODUCT($C$5:$X$5,'batch tool'!$B834:$W834)+$Y$5</f>
        <v>-51.578889182477603</v>
      </c>
      <c r="F840" s="7">
        <f>SUMPRODUCT($C$6:$X$6,'batch tool'!$B834:$W834)+$Y$6</f>
        <v>-47.741473633885199</v>
      </c>
      <c r="G840" s="7">
        <f>SUMPRODUCT($C$7:$X$7,'batch tool'!$B834:$W834)+$Y$7</f>
        <v>-19.739516238059196</v>
      </c>
      <c r="H840" s="7">
        <f t="shared" si="24"/>
        <v>-19.739516238059196</v>
      </c>
      <c r="I840">
        <f t="shared" si="25"/>
        <v>6</v>
      </c>
      <c r="J840" t="str" cm="1">
        <f t="array" ref="J840">INDEX($A$2:$A$7,I840)</f>
        <v>Segment 6- Self-Conscious Male</v>
      </c>
    </row>
    <row r="841" spans="1:10" x14ac:dyDescent="0.25">
      <c r="A841" s="1">
        <f>'batch tool'!A835</f>
        <v>0</v>
      </c>
      <c r="B841" s="7">
        <f>SUMPRODUCT($C$2:$X$2,'batch tool'!$B835:$W835)+$Y$2</f>
        <v>-49.12272534143483</v>
      </c>
      <c r="C841" s="7">
        <f>SUMPRODUCT($C$3:$X$3,'batch tool'!$B835:$W835)+$Y$3</f>
        <v>-36.514029388465531</v>
      </c>
      <c r="D841" s="7">
        <f>SUMPRODUCT($C$4:$X$4,'batch tool'!$B835:$W835)+$Y$4</f>
        <v>-44.639843068043824</v>
      </c>
      <c r="E841" s="7">
        <f>SUMPRODUCT($C$5:$X$5,'batch tool'!$B835:$W835)+$Y$5</f>
        <v>-51.578889182477603</v>
      </c>
      <c r="F841" s="7">
        <f>SUMPRODUCT($C$6:$X$6,'batch tool'!$B835:$W835)+$Y$6</f>
        <v>-47.741473633885199</v>
      </c>
      <c r="G841" s="7">
        <f>SUMPRODUCT($C$7:$X$7,'batch tool'!$B835:$W835)+$Y$7</f>
        <v>-19.739516238059196</v>
      </c>
      <c r="H841" s="7">
        <f t="shared" si="24"/>
        <v>-19.739516238059196</v>
      </c>
      <c r="I841">
        <f t="shared" si="25"/>
        <v>6</v>
      </c>
      <c r="J841" t="str" cm="1">
        <f t="array" ref="J841">INDEX($A$2:$A$7,I841)</f>
        <v>Segment 6- Self-Conscious Male</v>
      </c>
    </row>
    <row r="842" spans="1:10" x14ac:dyDescent="0.25">
      <c r="A842" s="1">
        <f>'batch tool'!A836</f>
        <v>0</v>
      </c>
      <c r="B842" s="7">
        <f>SUMPRODUCT($C$2:$X$2,'batch tool'!$B836:$W836)+$Y$2</f>
        <v>-49.12272534143483</v>
      </c>
      <c r="C842" s="7">
        <f>SUMPRODUCT($C$3:$X$3,'batch tool'!$B836:$W836)+$Y$3</f>
        <v>-36.514029388465531</v>
      </c>
      <c r="D842" s="7">
        <f>SUMPRODUCT($C$4:$X$4,'batch tool'!$B836:$W836)+$Y$4</f>
        <v>-44.639843068043824</v>
      </c>
      <c r="E842" s="7">
        <f>SUMPRODUCT($C$5:$X$5,'batch tool'!$B836:$W836)+$Y$5</f>
        <v>-51.578889182477603</v>
      </c>
      <c r="F842" s="7">
        <f>SUMPRODUCT($C$6:$X$6,'batch tool'!$B836:$W836)+$Y$6</f>
        <v>-47.741473633885199</v>
      </c>
      <c r="G842" s="7">
        <f>SUMPRODUCT($C$7:$X$7,'batch tool'!$B836:$W836)+$Y$7</f>
        <v>-19.739516238059196</v>
      </c>
      <c r="H842" s="7">
        <f t="shared" si="24"/>
        <v>-19.739516238059196</v>
      </c>
      <c r="I842">
        <f t="shared" si="25"/>
        <v>6</v>
      </c>
      <c r="J842" t="str" cm="1">
        <f t="array" ref="J842">INDEX($A$2:$A$7,I842)</f>
        <v>Segment 6- Self-Conscious Male</v>
      </c>
    </row>
    <row r="843" spans="1:10" x14ac:dyDescent="0.25">
      <c r="A843" s="1">
        <f>'batch tool'!A837</f>
        <v>0</v>
      </c>
      <c r="B843" s="7">
        <f>SUMPRODUCT($C$2:$X$2,'batch tool'!$B837:$W837)+$Y$2</f>
        <v>-49.12272534143483</v>
      </c>
      <c r="C843" s="7">
        <f>SUMPRODUCT($C$3:$X$3,'batch tool'!$B837:$W837)+$Y$3</f>
        <v>-36.514029388465531</v>
      </c>
      <c r="D843" s="7">
        <f>SUMPRODUCT($C$4:$X$4,'batch tool'!$B837:$W837)+$Y$4</f>
        <v>-44.639843068043824</v>
      </c>
      <c r="E843" s="7">
        <f>SUMPRODUCT($C$5:$X$5,'batch tool'!$B837:$W837)+$Y$5</f>
        <v>-51.578889182477603</v>
      </c>
      <c r="F843" s="7">
        <f>SUMPRODUCT($C$6:$X$6,'batch tool'!$B837:$W837)+$Y$6</f>
        <v>-47.741473633885199</v>
      </c>
      <c r="G843" s="7">
        <f>SUMPRODUCT($C$7:$X$7,'batch tool'!$B837:$W837)+$Y$7</f>
        <v>-19.739516238059196</v>
      </c>
      <c r="H843" s="7">
        <f t="shared" ref="H843:H906" si="26">MAX(B843:G843)</f>
        <v>-19.739516238059196</v>
      </c>
      <c r="I843">
        <f t="shared" ref="I843:I906" si="27">MATCH(H843,B843:G843,0)</f>
        <v>6</v>
      </c>
      <c r="J843" t="str" cm="1">
        <f t="array" ref="J843">INDEX($A$2:$A$7,I843)</f>
        <v>Segment 6- Self-Conscious Male</v>
      </c>
    </row>
    <row r="844" spans="1:10" x14ac:dyDescent="0.25">
      <c r="A844" s="1">
        <f>'batch tool'!A838</f>
        <v>0</v>
      </c>
      <c r="B844" s="7">
        <f>SUMPRODUCT($C$2:$X$2,'batch tool'!$B838:$W838)+$Y$2</f>
        <v>-49.12272534143483</v>
      </c>
      <c r="C844" s="7">
        <f>SUMPRODUCT($C$3:$X$3,'batch tool'!$B838:$W838)+$Y$3</f>
        <v>-36.514029388465531</v>
      </c>
      <c r="D844" s="7">
        <f>SUMPRODUCT($C$4:$X$4,'batch tool'!$B838:$W838)+$Y$4</f>
        <v>-44.639843068043824</v>
      </c>
      <c r="E844" s="7">
        <f>SUMPRODUCT($C$5:$X$5,'batch tool'!$B838:$W838)+$Y$5</f>
        <v>-51.578889182477603</v>
      </c>
      <c r="F844" s="7">
        <f>SUMPRODUCT($C$6:$X$6,'batch tool'!$B838:$W838)+$Y$6</f>
        <v>-47.741473633885199</v>
      </c>
      <c r="G844" s="7">
        <f>SUMPRODUCT($C$7:$X$7,'batch tool'!$B838:$W838)+$Y$7</f>
        <v>-19.739516238059196</v>
      </c>
      <c r="H844" s="7">
        <f t="shared" si="26"/>
        <v>-19.739516238059196</v>
      </c>
      <c r="I844">
        <f t="shared" si="27"/>
        <v>6</v>
      </c>
      <c r="J844" t="str" cm="1">
        <f t="array" ref="J844">INDEX($A$2:$A$7,I844)</f>
        <v>Segment 6- Self-Conscious Male</v>
      </c>
    </row>
    <row r="845" spans="1:10" x14ac:dyDescent="0.25">
      <c r="A845" s="1">
        <f>'batch tool'!A839</f>
        <v>0</v>
      </c>
      <c r="B845" s="7">
        <f>SUMPRODUCT($C$2:$X$2,'batch tool'!$B839:$W839)+$Y$2</f>
        <v>-49.12272534143483</v>
      </c>
      <c r="C845" s="7">
        <f>SUMPRODUCT($C$3:$X$3,'batch tool'!$B839:$W839)+$Y$3</f>
        <v>-36.514029388465531</v>
      </c>
      <c r="D845" s="7">
        <f>SUMPRODUCT($C$4:$X$4,'batch tool'!$B839:$W839)+$Y$4</f>
        <v>-44.639843068043824</v>
      </c>
      <c r="E845" s="7">
        <f>SUMPRODUCT($C$5:$X$5,'batch tool'!$B839:$W839)+$Y$5</f>
        <v>-51.578889182477603</v>
      </c>
      <c r="F845" s="7">
        <f>SUMPRODUCT($C$6:$X$6,'batch tool'!$B839:$W839)+$Y$6</f>
        <v>-47.741473633885199</v>
      </c>
      <c r="G845" s="7">
        <f>SUMPRODUCT($C$7:$X$7,'batch tool'!$B839:$W839)+$Y$7</f>
        <v>-19.739516238059196</v>
      </c>
      <c r="H845" s="7">
        <f t="shared" si="26"/>
        <v>-19.739516238059196</v>
      </c>
      <c r="I845">
        <f t="shared" si="27"/>
        <v>6</v>
      </c>
      <c r="J845" t="str" cm="1">
        <f t="array" ref="J845">INDEX($A$2:$A$7,I845)</f>
        <v>Segment 6- Self-Conscious Male</v>
      </c>
    </row>
    <row r="846" spans="1:10" x14ac:dyDescent="0.25">
      <c r="A846" s="1">
        <f>'batch tool'!A840</f>
        <v>0</v>
      </c>
      <c r="B846" s="7">
        <f>SUMPRODUCT($C$2:$X$2,'batch tool'!$B840:$W840)+$Y$2</f>
        <v>-49.12272534143483</v>
      </c>
      <c r="C846" s="7">
        <f>SUMPRODUCT($C$3:$X$3,'batch tool'!$B840:$W840)+$Y$3</f>
        <v>-36.514029388465531</v>
      </c>
      <c r="D846" s="7">
        <f>SUMPRODUCT($C$4:$X$4,'batch tool'!$B840:$W840)+$Y$4</f>
        <v>-44.639843068043824</v>
      </c>
      <c r="E846" s="7">
        <f>SUMPRODUCT($C$5:$X$5,'batch tool'!$B840:$W840)+$Y$5</f>
        <v>-51.578889182477603</v>
      </c>
      <c r="F846" s="7">
        <f>SUMPRODUCT($C$6:$X$6,'batch tool'!$B840:$W840)+$Y$6</f>
        <v>-47.741473633885199</v>
      </c>
      <c r="G846" s="7">
        <f>SUMPRODUCT($C$7:$X$7,'batch tool'!$B840:$W840)+$Y$7</f>
        <v>-19.739516238059196</v>
      </c>
      <c r="H846" s="7">
        <f t="shared" si="26"/>
        <v>-19.739516238059196</v>
      </c>
      <c r="I846">
        <f t="shared" si="27"/>
        <v>6</v>
      </c>
      <c r="J846" t="str" cm="1">
        <f t="array" ref="J846">INDEX($A$2:$A$7,I846)</f>
        <v>Segment 6- Self-Conscious Male</v>
      </c>
    </row>
    <row r="847" spans="1:10" x14ac:dyDescent="0.25">
      <c r="A847" s="1">
        <f>'batch tool'!A841</f>
        <v>0</v>
      </c>
      <c r="B847" s="7">
        <f>SUMPRODUCT($C$2:$X$2,'batch tool'!$B841:$W841)+$Y$2</f>
        <v>-49.12272534143483</v>
      </c>
      <c r="C847" s="7">
        <f>SUMPRODUCT($C$3:$X$3,'batch tool'!$B841:$W841)+$Y$3</f>
        <v>-36.514029388465531</v>
      </c>
      <c r="D847" s="7">
        <f>SUMPRODUCT($C$4:$X$4,'batch tool'!$B841:$W841)+$Y$4</f>
        <v>-44.639843068043824</v>
      </c>
      <c r="E847" s="7">
        <f>SUMPRODUCT($C$5:$X$5,'batch tool'!$B841:$W841)+$Y$5</f>
        <v>-51.578889182477603</v>
      </c>
      <c r="F847" s="7">
        <f>SUMPRODUCT($C$6:$X$6,'batch tool'!$B841:$W841)+$Y$6</f>
        <v>-47.741473633885199</v>
      </c>
      <c r="G847" s="7">
        <f>SUMPRODUCT($C$7:$X$7,'batch tool'!$B841:$W841)+$Y$7</f>
        <v>-19.739516238059196</v>
      </c>
      <c r="H847" s="7">
        <f t="shared" si="26"/>
        <v>-19.739516238059196</v>
      </c>
      <c r="I847">
        <f t="shared" si="27"/>
        <v>6</v>
      </c>
      <c r="J847" t="str" cm="1">
        <f t="array" ref="J847">INDEX($A$2:$A$7,I847)</f>
        <v>Segment 6- Self-Conscious Male</v>
      </c>
    </row>
    <row r="848" spans="1:10" x14ac:dyDescent="0.25">
      <c r="A848" s="1">
        <f>'batch tool'!A842</f>
        <v>0</v>
      </c>
      <c r="B848" s="7">
        <f>SUMPRODUCT($C$2:$X$2,'batch tool'!$B842:$W842)+$Y$2</f>
        <v>-49.12272534143483</v>
      </c>
      <c r="C848" s="7">
        <f>SUMPRODUCT($C$3:$X$3,'batch tool'!$B842:$W842)+$Y$3</f>
        <v>-36.514029388465531</v>
      </c>
      <c r="D848" s="7">
        <f>SUMPRODUCT($C$4:$X$4,'batch tool'!$B842:$W842)+$Y$4</f>
        <v>-44.639843068043824</v>
      </c>
      <c r="E848" s="7">
        <f>SUMPRODUCT($C$5:$X$5,'batch tool'!$B842:$W842)+$Y$5</f>
        <v>-51.578889182477603</v>
      </c>
      <c r="F848" s="7">
        <f>SUMPRODUCT($C$6:$X$6,'batch tool'!$B842:$W842)+$Y$6</f>
        <v>-47.741473633885199</v>
      </c>
      <c r="G848" s="7">
        <f>SUMPRODUCT($C$7:$X$7,'batch tool'!$B842:$W842)+$Y$7</f>
        <v>-19.739516238059196</v>
      </c>
      <c r="H848" s="7">
        <f t="shared" si="26"/>
        <v>-19.739516238059196</v>
      </c>
      <c r="I848">
        <f t="shared" si="27"/>
        <v>6</v>
      </c>
      <c r="J848" t="str" cm="1">
        <f t="array" ref="J848">INDEX($A$2:$A$7,I848)</f>
        <v>Segment 6- Self-Conscious Male</v>
      </c>
    </row>
    <row r="849" spans="1:10" x14ac:dyDescent="0.25">
      <c r="A849" s="1">
        <f>'batch tool'!A843</f>
        <v>0</v>
      </c>
      <c r="B849" s="7">
        <f>SUMPRODUCT($C$2:$X$2,'batch tool'!$B843:$W843)+$Y$2</f>
        <v>-49.12272534143483</v>
      </c>
      <c r="C849" s="7">
        <f>SUMPRODUCT($C$3:$X$3,'batch tool'!$B843:$W843)+$Y$3</f>
        <v>-36.514029388465531</v>
      </c>
      <c r="D849" s="7">
        <f>SUMPRODUCT($C$4:$X$4,'batch tool'!$B843:$W843)+$Y$4</f>
        <v>-44.639843068043824</v>
      </c>
      <c r="E849" s="7">
        <f>SUMPRODUCT($C$5:$X$5,'batch tool'!$B843:$W843)+$Y$5</f>
        <v>-51.578889182477603</v>
      </c>
      <c r="F849" s="7">
        <f>SUMPRODUCT($C$6:$X$6,'batch tool'!$B843:$W843)+$Y$6</f>
        <v>-47.741473633885199</v>
      </c>
      <c r="G849" s="7">
        <f>SUMPRODUCT($C$7:$X$7,'batch tool'!$B843:$W843)+$Y$7</f>
        <v>-19.739516238059196</v>
      </c>
      <c r="H849" s="7">
        <f t="shared" si="26"/>
        <v>-19.739516238059196</v>
      </c>
      <c r="I849">
        <f t="shared" si="27"/>
        <v>6</v>
      </c>
      <c r="J849" t="str" cm="1">
        <f t="array" ref="J849">INDEX($A$2:$A$7,I849)</f>
        <v>Segment 6- Self-Conscious Male</v>
      </c>
    </row>
    <row r="850" spans="1:10" x14ac:dyDescent="0.25">
      <c r="A850" s="1">
        <f>'batch tool'!A844</f>
        <v>0</v>
      </c>
      <c r="B850" s="7">
        <f>SUMPRODUCT($C$2:$X$2,'batch tool'!$B844:$W844)+$Y$2</f>
        <v>-49.12272534143483</v>
      </c>
      <c r="C850" s="7">
        <f>SUMPRODUCT($C$3:$X$3,'batch tool'!$B844:$W844)+$Y$3</f>
        <v>-36.514029388465531</v>
      </c>
      <c r="D850" s="7">
        <f>SUMPRODUCT($C$4:$X$4,'batch tool'!$B844:$W844)+$Y$4</f>
        <v>-44.639843068043824</v>
      </c>
      <c r="E850" s="7">
        <f>SUMPRODUCT($C$5:$X$5,'batch tool'!$B844:$W844)+$Y$5</f>
        <v>-51.578889182477603</v>
      </c>
      <c r="F850" s="7">
        <f>SUMPRODUCT($C$6:$X$6,'batch tool'!$B844:$W844)+$Y$6</f>
        <v>-47.741473633885199</v>
      </c>
      <c r="G850" s="7">
        <f>SUMPRODUCT($C$7:$X$7,'batch tool'!$B844:$W844)+$Y$7</f>
        <v>-19.739516238059196</v>
      </c>
      <c r="H850" s="7">
        <f t="shared" si="26"/>
        <v>-19.739516238059196</v>
      </c>
      <c r="I850">
        <f t="shared" si="27"/>
        <v>6</v>
      </c>
      <c r="J850" t="str" cm="1">
        <f t="array" ref="J850">INDEX($A$2:$A$7,I850)</f>
        <v>Segment 6- Self-Conscious Male</v>
      </c>
    </row>
    <row r="851" spans="1:10" x14ac:dyDescent="0.25">
      <c r="A851" s="1">
        <f>'batch tool'!A845</f>
        <v>0</v>
      </c>
      <c r="B851" s="7">
        <f>SUMPRODUCT($C$2:$X$2,'batch tool'!$B845:$W845)+$Y$2</f>
        <v>-49.12272534143483</v>
      </c>
      <c r="C851" s="7">
        <f>SUMPRODUCT($C$3:$X$3,'batch tool'!$B845:$W845)+$Y$3</f>
        <v>-36.514029388465531</v>
      </c>
      <c r="D851" s="7">
        <f>SUMPRODUCT($C$4:$X$4,'batch tool'!$B845:$W845)+$Y$4</f>
        <v>-44.639843068043824</v>
      </c>
      <c r="E851" s="7">
        <f>SUMPRODUCT($C$5:$X$5,'batch tool'!$B845:$W845)+$Y$5</f>
        <v>-51.578889182477603</v>
      </c>
      <c r="F851" s="7">
        <f>SUMPRODUCT($C$6:$X$6,'batch tool'!$B845:$W845)+$Y$6</f>
        <v>-47.741473633885199</v>
      </c>
      <c r="G851" s="7">
        <f>SUMPRODUCT($C$7:$X$7,'batch tool'!$B845:$W845)+$Y$7</f>
        <v>-19.739516238059196</v>
      </c>
      <c r="H851" s="7">
        <f t="shared" si="26"/>
        <v>-19.739516238059196</v>
      </c>
      <c r="I851">
        <f t="shared" si="27"/>
        <v>6</v>
      </c>
      <c r="J851" t="str" cm="1">
        <f t="array" ref="J851">INDEX($A$2:$A$7,I851)</f>
        <v>Segment 6- Self-Conscious Male</v>
      </c>
    </row>
    <row r="852" spans="1:10" x14ac:dyDescent="0.25">
      <c r="A852" s="1">
        <f>'batch tool'!A846</f>
        <v>0</v>
      </c>
      <c r="B852" s="7">
        <f>SUMPRODUCT($C$2:$X$2,'batch tool'!$B846:$W846)+$Y$2</f>
        <v>-49.12272534143483</v>
      </c>
      <c r="C852" s="7">
        <f>SUMPRODUCT($C$3:$X$3,'batch tool'!$B846:$W846)+$Y$3</f>
        <v>-36.514029388465531</v>
      </c>
      <c r="D852" s="7">
        <f>SUMPRODUCT($C$4:$X$4,'batch tool'!$B846:$W846)+$Y$4</f>
        <v>-44.639843068043824</v>
      </c>
      <c r="E852" s="7">
        <f>SUMPRODUCT($C$5:$X$5,'batch tool'!$B846:$W846)+$Y$5</f>
        <v>-51.578889182477603</v>
      </c>
      <c r="F852" s="7">
        <f>SUMPRODUCT($C$6:$X$6,'batch tool'!$B846:$W846)+$Y$6</f>
        <v>-47.741473633885199</v>
      </c>
      <c r="G852" s="7">
        <f>SUMPRODUCT($C$7:$X$7,'batch tool'!$B846:$W846)+$Y$7</f>
        <v>-19.739516238059196</v>
      </c>
      <c r="H852" s="7">
        <f t="shared" si="26"/>
        <v>-19.739516238059196</v>
      </c>
      <c r="I852">
        <f t="shared" si="27"/>
        <v>6</v>
      </c>
      <c r="J852" t="str" cm="1">
        <f t="array" ref="J852">INDEX($A$2:$A$7,I852)</f>
        <v>Segment 6- Self-Conscious Male</v>
      </c>
    </row>
    <row r="853" spans="1:10" x14ac:dyDescent="0.25">
      <c r="A853" s="1">
        <f>'batch tool'!A847</f>
        <v>0</v>
      </c>
      <c r="B853" s="7">
        <f>SUMPRODUCT($C$2:$X$2,'batch tool'!$B847:$W847)+$Y$2</f>
        <v>-49.12272534143483</v>
      </c>
      <c r="C853" s="7">
        <f>SUMPRODUCT($C$3:$X$3,'batch tool'!$B847:$W847)+$Y$3</f>
        <v>-36.514029388465531</v>
      </c>
      <c r="D853" s="7">
        <f>SUMPRODUCT($C$4:$X$4,'batch tool'!$B847:$W847)+$Y$4</f>
        <v>-44.639843068043824</v>
      </c>
      <c r="E853" s="7">
        <f>SUMPRODUCT($C$5:$X$5,'batch tool'!$B847:$W847)+$Y$5</f>
        <v>-51.578889182477603</v>
      </c>
      <c r="F853" s="7">
        <f>SUMPRODUCT($C$6:$X$6,'batch tool'!$B847:$W847)+$Y$6</f>
        <v>-47.741473633885199</v>
      </c>
      <c r="G853" s="7">
        <f>SUMPRODUCT($C$7:$X$7,'batch tool'!$B847:$W847)+$Y$7</f>
        <v>-19.739516238059196</v>
      </c>
      <c r="H853" s="7">
        <f t="shared" si="26"/>
        <v>-19.739516238059196</v>
      </c>
      <c r="I853">
        <f t="shared" si="27"/>
        <v>6</v>
      </c>
      <c r="J853" t="str" cm="1">
        <f t="array" ref="J853">INDEX($A$2:$A$7,I853)</f>
        <v>Segment 6- Self-Conscious Male</v>
      </c>
    </row>
    <row r="854" spans="1:10" x14ac:dyDescent="0.25">
      <c r="A854" s="1">
        <f>'batch tool'!A848</f>
        <v>0</v>
      </c>
      <c r="B854" s="7">
        <f>SUMPRODUCT($C$2:$X$2,'batch tool'!$B848:$W848)+$Y$2</f>
        <v>-49.12272534143483</v>
      </c>
      <c r="C854" s="7">
        <f>SUMPRODUCT($C$3:$X$3,'batch tool'!$B848:$W848)+$Y$3</f>
        <v>-36.514029388465531</v>
      </c>
      <c r="D854" s="7">
        <f>SUMPRODUCT($C$4:$X$4,'batch tool'!$B848:$W848)+$Y$4</f>
        <v>-44.639843068043824</v>
      </c>
      <c r="E854" s="7">
        <f>SUMPRODUCT($C$5:$X$5,'batch tool'!$B848:$W848)+$Y$5</f>
        <v>-51.578889182477603</v>
      </c>
      <c r="F854" s="7">
        <f>SUMPRODUCT($C$6:$X$6,'batch tool'!$B848:$W848)+$Y$6</f>
        <v>-47.741473633885199</v>
      </c>
      <c r="G854" s="7">
        <f>SUMPRODUCT($C$7:$X$7,'batch tool'!$B848:$W848)+$Y$7</f>
        <v>-19.739516238059196</v>
      </c>
      <c r="H854" s="7">
        <f t="shared" si="26"/>
        <v>-19.739516238059196</v>
      </c>
      <c r="I854">
        <f t="shared" si="27"/>
        <v>6</v>
      </c>
      <c r="J854" t="str" cm="1">
        <f t="array" ref="J854">INDEX($A$2:$A$7,I854)</f>
        <v>Segment 6- Self-Conscious Male</v>
      </c>
    </row>
    <row r="855" spans="1:10" x14ac:dyDescent="0.25">
      <c r="A855" s="1">
        <f>'batch tool'!A849</f>
        <v>0</v>
      </c>
      <c r="B855" s="7">
        <f>SUMPRODUCT($C$2:$X$2,'batch tool'!$B849:$W849)+$Y$2</f>
        <v>-49.12272534143483</v>
      </c>
      <c r="C855" s="7">
        <f>SUMPRODUCT($C$3:$X$3,'batch tool'!$B849:$W849)+$Y$3</f>
        <v>-36.514029388465531</v>
      </c>
      <c r="D855" s="7">
        <f>SUMPRODUCT($C$4:$X$4,'batch tool'!$B849:$W849)+$Y$4</f>
        <v>-44.639843068043824</v>
      </c>
      <c r="E855" s="7">
        <f>SUMPRODUCT($C$5:$X$5,'batch tool'!$B849:$W849)+$Y$5</f>
        <v>-51.578889182477603</v>
      </c>
      <c r="F855" s="7">
        <f>SUMPRODUCT($C$6:$X$6,'batch tool'!$B849:$W849)+$Y$6</f>
        <v>-47.741473633885199</v>
      </c>
      <c r="G855" s="7">
        <f>SUMPRODUCT($C$7:$X$7,'batch tool'!$B849:$W849)+$Y$7</f>
        <v>-19.739516238059196</v>
      </c>
      <c r="H855" s="7">
        <f t="shared" si="26"/>
        <v>-19.739516238059196</v>
      </c>
      <c r="I855">
        <f t="shared" si="27"/>
        <v>6</v>
      </c>
      <c r="J855" t="str" cm="1">
        <f t="array" ref="J855">INDEX($A$2:$A$7,I855)</f>
        <v>Segment 6- Self-Conscious Male</v>
      </c>
    </row>
    <row r="856" spans="1:10" x14ac:dyDescent="0.25">
      <c r="A856" s="1">
        <f>'batch tool'!A850</f>
        <v>0</v>
      </c>
      <c r="B856" s="7">
        <f>SUMPRODUCT($C$2:$X$2,'batch tool'!$B850:$W850)+$Y$2</f>
        <v>-49.12272534143483</v>
      </c>
      <c r="C856" s="7">
        <f>SUMPRODUCT($C$3:$X$3,'batch tool'!$B850:$W850)+$Y$3</f>
        <v>-36.514029388465531</v>
      </c>
      <c r="D856" s="7">
        <f>SUMPRODUCT($C$4:$X$4,'batch tool'!$B850:$W850)+$Y$4</f>
        <v>-44.639843068043824</v>
      </c>
      <c r="E856" s="7">
        <f>SUMPRODUCT($C$5:$X$5,'batch tool'!$B850:$W850)+$Y$5</f>
        <v>-51.578889182477603</v>
      </c>
      <c r="F856" s="7">
        <f>SUMPRODUCT($C$6:$X$6,'batch tool'!$B850:$W850)+$Y$6</f>
        <v>-47.741473633885199</v>
      </c>
      <c r="G856" s="7">
        <f>SUMPRODUCT($C$7:$X$7,'batch tool'!$B850:$W850)+$Y$7</f>
        <v>-19.739516238059196</v>
      </c>
      <c r="H856" s="7">
        <f t="shared" si="26"/>
        <v>-19.739516238059196</v>
      </c>
      <c r="I856">
        <f t="shared" si="27"/>
        <v>6</v>
      </c>
      <c r="J856" t="str" cm="1">
        <f t="array" ref="J856">INDEX($A$2:$A$7,I856)</f>
        <v>Segment 6- Self-Conscious Male</v>
      </c>
    </row>
    <row r="857" spans="1:10" x14ac:dyDescent="0.25">
      <c r="A857" s="1">
        <f>'batch tool'!A851</f>
        <v>0</v>
      </c>
      <c r="B857" s="7">
        <f>SUMPRODUCT($C$2:$X$2,'batch tool'!$B851:$W851)+$Y$2</f>
        <v>-49.12272534143483</v>
      </c>
      <c r="C857" s="7">
        <f>SUMPRODUCT($C$3:$X$3,'batch tool'!$B851:$W851)+$Y$3</f>
        <v>-36.514029388465531</v>
      </c>
      <c r="D857" s="7">
        <f>SUMPRODUCT($C$4:$X$4,'batch tool'!$B851:$W851)+$Y$4</f>
        <v>-44.639843068043824</v>
      </c>
      <c r="E857" s="7">
        <f>SUMPRODUCT($C$5:$X$5,'batch tool'!$B851:$W851)+$Y$5</f>
        <v>-51.578889182477603</v>
      </c>
      <c r="F857" s="7">
        <f>SUMPRODUCT($C$6:$X$6,'batch tool'!$B851:$W851)+$Y$6</f>
        <v>-47.741473633885199</v>
      </c>
      <c r="G857" s="7">
        <f>SUMPRODUCT($C$7:$X$7,'batch tool'!$B851:$W851)+$Y$7</f>
        <v>-19.739516238059196</v>
      </c>
      <c r="H857" s="7">
        <f t="shared" si="26"/>
        <v>-19.739516238059196</v>
      </c>
      <c r="I857">
        <f t="shared" si="27"/>
        <v>6</v>
      </c>
      <c r="J857" t="str" cm="1">
        <f t="array" ref="J857">INDEX($A$2:$A$7,I857)</f>
        <v>Segment 6- Self-Conscious Male</v>
      </c>
    </row>
    <row r="858" spans="1:10" x14ac:dyDescent="0.25">
      <c r="A858" s="1">
        <f>'batch tool'!A852</f>
        <v>0</v>
      </c>
      <c r="B858" s="7">
        <f>SUMPRODUCT($C$2:$X$2,'batch tool'!$B852:$W852)+$Y$2</f>
        <v>-49.12272534143483</v>
      </c>
      <c r="C858" s="7">
        <f>SUMPRODUCT($C$3:$X$3,'batch tool'!$B852:$W852)+$Y$3</f>
        <v>-36.514029388465531</v>
      </c>
      <c r="D858" s="7">
        <f>SUMPRODUCT($C$4:$X$4,'batch tool'!$B852:$W852)+$Y$4</f>
        <v>-44.639843068043824</v>
      </c>
      <c r="E858" s="7">
        <f>SUMPRODUCT($C$5:$X$5,'batch tool'!$B852:$W852)+$Y$5</f>
        <v>-51.578889182477603</v>
      </c>
      <c r="F858" s="7">
        <f>SUMPRODUCT($C$6:$X$6,'batch tool'!$B852:$W852)+$Y$6</f>
        <v>-47.741473633885199</v>
      </c>
      <c r="G858" s="7">
        <f>SUMPRODUCT($C$7:$X$7,'batch tool'!$B852:$W852)+$Y$7</f>
        <v>-19.739516238059196</v>
      </c>
      <c r="H858" s="7">
        <f t="shared" si="26"/>
        <v>-19.739516238059196</v>
      </c>
      <c r="I858">
        <f t="shared" si="27"/>
        <v>6</v>
      </c>
      <c r="J858" t="str" cm="1">
        <f t="array" ref="J858">INDEX($A$2:$A$7,I858)</f>
        <v>Segment 6- Self-Conscious Male</v>
      </c>
    </row>
    <row r="859" spans="1:10" x14ac:dyDescent="0.25">
      <c r="A859" s="1">
        <f>'batch tool'!A853</f>
        <v>0</v>
      </c>
      <c r="B859" s="7">
        <f>SUMPRODUCT($C$2:$X$2,'batch tool'!$B853:$W853)+$Y$2</f>
        <v>-49.12272534143483</v>
      </c>
      <c r="C859" s="7">
        <f>SUMPRODUCT($C$3:$X$3,'batch tool'!$B853:$W853)+$Y$3</f>
        <v>-36.514029388465531</v>
      </c>
      <c r="D859" s="7">
        <f>SUMPRODUCT($C$4:$X$4,'batch tool'!$B853:$W853)+$Y$4</f>
        <v>-44.639843068043824</v>
      </c>
      <c r="E859" s="7">
        <f>SUMPRODUCT($C$5:$X$5,'batch tool'!$B853:$W853)+$Y$5</f>
        <v>-51.578889182477603</v>
      </c>
      <c r="F859" s="7">
        <f>SUMPRODUCT($C$6:$X$6,'batch tool'!$B853:$W853)+$Y$6</f>
        <v>-47.741473633885199</v>
      </c>
      <c r="G859" s="7">
        <f>SUMPRODUCT($C$7:$X$7,'batch tool'!$B853:$W853)+$Y$7</f>
        <v>-19.739516238059196</v>
      </c>
      <c r="H859" s="7">
        <f t="shared" si="26"/>
        <v>-19.739516238059196</v>
      </c>
      <c r="I859">
        <f t="shared" si="27"/>
        <v>6</v>
      </c>
      <c r="J859" t="str" cm="1">
        <f t="array" ref="J859">INDEX($A$2:$A$7,I859)</f>
        <v>Segment 6- Self-Conscious Male</v>
      </c>
    </row>
    <row r="860" spans="1:10" x14ac:dyDescent="0.25">
      <c r="A860" s="1">
        <f>'batch tool'!A854</f>
        <v>0</v>
      </c>
      <c r="B860" s="7">
        <f>SUMPRODUCT($C$2:$X$2,'batch tool'!$B854:$W854)+$Y$2</f>
        <v>-49.12272534143483</v>
      </c>
      <c r="C860" s="7">
        <f>SUMPRODUCT($C$3:$X$3,'batch tool'!$B854:$W854)+$Y$3</f>
        <v>-36.514029388465531</v>
      </c>
      <c r="D860" s="7">
        <f>SUMPRODUCT($C$4:$X$4,'batch tool'!$B854:$W854)+$Y$4</f>
        <v>-44.639843068043824</v>
      </c>
      <c r="E860" s="7">
        <f>SUMPRODUCT($C$5:$X$5,'batch tool'!$B854:$W854)+$Y$5</f>
        <v>-51.578889182477603</v>
      </c>
      <c r="F860" s="7">
        <f>SUMPRODUCT($C$6:$X$6,'batch tool'!$B854:$W854)+$Y$6</f>
        <v>-47.741473633885199</v>
      </c>
      <c r="G860" s="7">
        <f>SUMPRODUCT($C$7:$X$7,'batch tool'!$B854:$W854)+$Y$7</f>
        <v>-19.739516238059196</v>
      </c>
      <c r="H860" s="7">
        <f t="shared" si="26"/>
        <v>-19.739516238059196</v>
      </c>
      <c r="I860">
        <f t="shared" si="27"/>
        <v>6</v>
      </c>
      <c r="J860" t="str" cm="1">
        <f t="array" ref="J860">INDEX($A$2:$A$7,I860)</f>
        <v>Segment 6- Self-Conscious Male</v>
      </c>
    </row>
    <row r="861" spans="1:10" x14ac:dyDescent="0.25">
      <c r="A861" s="1">
        <f>'batch tool'!A855</f>
        <v>0</v>
      </c>
      <c r="B861" s="7">
        <f>SUMPRODUCT($C$2:$X$2,'batch tool'!$B855:$W855)+$Y$2</f>
        <v>-49.12272534143483</v>
      </c>
      <c r="C861" s="7">
        <f>SUMPRODUCT($C$3:$X$3,'batch tool'!$B855:$W855)+$Y$3</f>
        <v>-36.514029388465531</v>
      </c>
      <c r="D861" s="7">
        <f>SUMPRODUCT($C$4:$X$4,'batch tool'!$B855:$W855)+$Y$4</f>
        <v>-44.639843068043824</v>
      </c>
      <c r="E861" s="7">
        <f>SUMPRODUCT($C$5:$X$5,'batch tool'!$B855:$W855)+$Y$5</f>
        <v>-51.578889182477603</v>
      </c>
      <c r="F861" s="7">
        <f>SUMPRODUCT($C$6:$X$6,'batch tool'!$B855:$W855)+$Y$6</f>
        <v>-47.741473633885199</v>
      </c>
      <c r="G861" s="7">
        <f>SUMPRODUCT($C$7:$X$7,'batch tool'!$B855:$W855)+$Y$7</f>
        <v>-19.739516238059196</v>
      </c>
      <c r="H861" s="7">
        <f t="shared" si="26"/>
        <v>-19.739516238059196</v>
      </c>
      <c r="I861">
        <f t="shared" si="27"/>
        <v>6</v>
      </c>
      <c r="J861" t="str" cm="1">
        <f t="array" ref="J861">INDEX($A$2:$A$7,I861)</f>
        <v>Segment 6- Self-Conscious Male</v>
      </c>
    </row>
    <row r="862" spans="1:10" x14ac:dyDescent="0.25">
      <c r="A862" s="1">
        <f>'batch tool'!A856</f>
        <v>0</v>
      </c>
      <c r="B862" s="7">
        <f>SUMPRODUCT($C$2:$X$2,'batch tool'!$B856:$W856)+$Y$2</f>
        <v>-49.12272534143483</v>
      </c>
      <c r="C862" s="7">
        <f>SUMPRODUCT($C$3:$X$3,'batch tool'!$B856:$W856)+$Y$3</f>
        <v>-36.514029388465531</v>
      </c>
      <c r="D862" s="7">
        <f>SUMPRODUCT($C$4:$X$4,'batch tool'!$B856:$W856)+$Y$4</f>
        <v>-44.639843068043824</v>
      </c>
      <c r="E862" s="7">
        <f>SUMPRODUCT($C$5:$X$5,'batch tool'!$B856:$W856)+$Y$5</f>
        <v>-51.578889182477603</v>
      </c>
      <c r="F862" s="7">
        <f>SUMPRODUCT($C$6:$X$6,'batch tool'!$B856:$W856)+$Y$6</f>
        <v>-47.741473633885199</v>
      </c>
      <c r="G862" s="7">
        <f>SUMPRODUCT($C$7:$X$7,'batch tool'!$B856:$W856)+$Y$7</f>
        <v>-19.739516238059196</v>
      </c>
      <c r="H862" s="7">
        <f t="shared" si="26"/>
        <v>-19.739516238059196</v>
      </c>
      <c r="I862">
        <f t="shared" si="27"/>
        <v>6</v>
      </c>
      <c r="J862" t="str" cm="1">
        <f t="array" ref="J862">INDEX($A$2:$A$7,I862)</f>
        <v>Segment 6- Self-Conscious Male</v>
      </c>
    </row>
    <row r="863" spans="1:10" x14ac:dyDescent="0.25">
      <c r="A863" s="1">
        <f>'batch tool'!A857</f>
        <v>0</v>
      </c>
      <c r="B863" s="7">
        <f>SUMPRODUCT($C$2:$X$2,'batch tool'!$B857:$W857)+$Y$2</f>
        <v>-49.12272534143483</v>
      </c>
      <c r="C863" s="7">
        <f>SUMPRODUCT($C$3:$X$3,'batch tool'!$B857:$W857)+$Y$3</f>
        <v>-36.514029388465531</v>
      </c>
      <c r="D863" s="7">
        <f>SUMPRODUCT($C$4:$X$4,'batch tool'!$B857:$W857)+$Y$4</f>
        <v>-44.639843068043824</v>
      </c>
      <c r="E863" s="7">
        <f>SUMPRODUCT($C$5:$X$5,'batch tool'!$B857:$W857)+$Y$5</f>
        <v>-51.578889182477603</v>
      </c>
      <c r="F863" s="7">
        <f>SUMPRODUCT($C$6:$X$6,'batch tool'!$B857:$W857)+$Y$6</f>
        <v>-47.741473633885199</v>
      </c>
      <c r="G863" s="7">
        <f>SUMPRODUCT($C$7:$X$7,'batch tool'!$B857:$W857)+$Y$7</f>
        <v>-19.739516238059196</v>
      </c>
      <c r="H863" s="7">
        <f t="shared" si="26"/>
        <v>-19.739516238059196</v>
      </c>
      <c r="I863">
        <f t="shared" si="27"/>
        <v>6</v>
      </c>
      <c r="J863" t="str" cm="1">
        <f t="array" ref="J863">INDEX($A$2:$A$7,I863)</f>
        <v>Segment 6- Self-Conscious Male</v>
      </c>
    </row>
    <row r="864" spans="1:10" x14ac:dyDescent="0.25">
      <c r="A864" s="1">
        <f>'batch tool'!A858</f>
        <v>0</v>
      </c>
      <c r="B864" s="7">
        <f>SUMPRODUCT($C$2:$X$2,'batch tool'!$B858:$W858)+$Y$2</f>
        <v>-49.12272534143483</v>
      </c>
      <c r="C864" s="7">
        <f>SUMPRODUCT($C$3:$X$3,'batch tool'!$B858:$W858)+$Y$3</f>
        <v>-36.514029388465531</v>
      </c>
      <c r="D864" s="7">
        <f>SUMPRODUCT($C$4:$X$4,'batch tool'!$B858:$W858)+$Y$4</f>
        <v>-44.639843068043824</v>
      </c>
      <c r="E864" s="7">
        <f>SUMPRODUCT($C$5:$X$5,'batch tool'!$B858:$W858)+$Y$5</f>
        <v>-51.578889182477603</v>
      </c>
      <c r="F864" s="7">
        <f>SUMPRODUCT($C$6:$X$6,'batch tool'!$B858:$W858)+$Y$6</f>
        <v>-47.741473633885199</v>
      </c>
      <c r="G864" s="7">
        <f>SUMPRODUCT($C$7:$X$7,'batch tool'!$B858:$W858)+$Y$7</f>
        <v>-19.739516238059196</v>
      </c>
      <c r="H864" s="7">
        <f t="shared" si="26"/>
        <v>-19.739516238059196</v>
      </c>
      <c r="I864">
        <f t="shared" si="27"/>
        <v>6</v>
      </c>
      <c r="J864" t="str" cm="1">
        <f t="array" ref="J864">INDEX($A$2:$A$7,I864)</f>
        <v>Segment 6- Self-Conscious Male</v>
      </c>
    </row>
    <row r="865" spans="1:10" x14ac:dyDescent="0.25">
      <c r="A865" s="1">
        <f>'batch tool'!A859</f>
        <v>0</v>
      </c>
      <c r="B865" s="7">
        <f>SUMPRODUCT($C$2:$X$2,'batch tool'!$B859:$W859)+$Y$2</f>
        <v>-49.12272534143483</v>
      </c>
      <c r="C865" s="7">
        <f>SUMPRODUCT($C$3:$X$3,'batch tool'!$B859:$W859)+$Y$3</f>
        <v>-36.514029388465531</v>
      </c>
      <c r="D865" s="7">
        <f>SUMPRODUCT($C$4:$X$4,'batch tool'!$B859:$W859)+$Y$4</f>
        <v>-44.639843068043824</v>
      </c>
      <c r="E865" s="7">
        <f>SUMPRODUCT($C$5:$X$5,'batch tool'!$B859:$W859)+$Y$5</f>
        <v>-51.578889182477603</v>
      </c>
      <c r="F865" s="7">
        <f>SUMPRODUCT($C$6:$X$6,'batch tool'!$B859:$W859)+$Y$6</f>
        <v>-47.741473633885199</v>
      </c>
      <c r="G865" s="7">
        <f>SUMPRODUCT($C$7:$X$7,'batch tool'!$B859:$W859)+$Y$7</f>
        <v>-19.739516238059196</v>
      </c>
      <c r="H865" s="7">
        <f t="shared" si="26"/>
        <v>-19.739516238059196</v>
      </c>
      <c r="I865">
        <f t="shared" si="27"/>
        <v>6</v>
      </c>
      <c r="J865" t="str" cm="1">
        <f t="array" ref="J865">INDEX($A$2:$A$7,I865)</f>
        <v>Segment 6- Self-Conscious Male</v>
      </c>
    </row>
    <row r="866" spans="1:10" x14ac:dyDescent="0.25">
      <c r="A866" s="1">
        <f>'batch tool'!A860</f>
        <v>0</v>
      </c>
      <c r="B866" s="7">
        <f>SUMPRODUCT($C$2:$X$2,'batch tool'!$B860:$W860)+$Y$2</f>
        <v>-49.12272534143483</v>
      </c>
      <c r="C866" s="7">
        <f>SUMPRODUCT($C$3:$X$3,'batch tool'!$B860:$W860)+$Y$3</f>
        <v>-36.514029388465531</v>
      </c>
      <c r="D866" s="7">
        <f>SUMPRODUCT($C$4:$X$4,'batch tool'!$B860:$W860)+$Y$4</f>
        <v>-44.639843068043824</v>
      </c>
      <c r="E866" s="7">
        <f>SUMPRODUCT($C$5:$X$5,'batch tool'!$B860:$W860)+$Y$5</f>
        <v>-51.578889182477603</v>
      </c>
      <c r="F866" s="7">
        <f>SUMPRODUCT($C$6:$X$6,'batch tool'!$B860:$W860)+$Y$6</f>
        <v>-47.741473633885199</v>
      </c>
      <c r="G866" s="7">
        <f>SUMPRODUCT($C$7:$X$7,'batch tool'!$B860:$W860)+$Y$7</f>
        <v>-19.739516238059196</v>
      </c>
      <c r="H866" s="7">
        <f t="shared" si="26"/>
        <v>-19.739516238059196</v>
      </c>
      <c r="I866">
        <f t="shared" si="27"/>
        <v>6</v>
      </c>
      <c r="J866" t="str" cm="1">
        <f t="array" ref="J866">INDEX($A$2:$A$7,I866)</f>
        <v>Segment 6- Self-Conscious Male</v>
      </c>
    </row>
    <row r="867" spans="1:10" x14ac:dyDescent="0.25">
      <c r="A867" s="1">
        <f>'batch tool'!A861</f>
        <v>0</v>
      </c>
      <c r="B867" s="7">
        <f>SUMPRODUCT($C$2:$X$2,'batch tool'!$B861:$W861)+$Y$2</f>
        <v>-49.12272534143483</v>
      </c>
      <c r="C867" s="7">
        <f>SUMPRODUCT($C$3:$X$3,'batch tool'!$B861:$W861)+$Y$3</f>
        <v>-36.514029388465531</v>
      </c>
      <c r="D867" s="7">
        <f>SUMPRODUCT($C$4:$X$4,'batch tool'!$B861:$W861)+$Y$4</f>
        <v>-44.639843068043824</v>
      </c>
      <c r="E867" s="7">
        <f>SUMPRODUCT($C$5:$X$5,'batch tool'!$B861:$W861)+$Y$5</f>
        <v>-51.578889182477603</v>
      </c>
      <c r="F867" s="7">
        <f>SUMPRODUCT($C$6:$X$6,'batch tool'!$B861:$W861)+$Y$6</f>
        <v>-47.741473633885199</v>
      </c>
      <c r="G867" s="7">
        <f>SUMPRODUCT($C$7:$X$7,'batch tool'!$B861:$W861)+$Y$7</f>
        <v>-19.739516238059196</v>
      </c>
      <c r="H867" s="7">
        <f t="shared" si="26"/>
        <v>-19.739516238059196</v>
      </c>
      <c r="I867">
        <f t="shared" si="27"/>
        <v>6</v>
      </c>
      <c r="J867" t="str" cm="1">
        <f t="array" ref="J867">INDEX($A$2:$A$7,I867)</f>
        <v>Segment 6- Self-Conscious Male</v>
      </c>
    </row>
    <row r="868" spans="1:10" x14ac:dyDescent="0.25">
      <c r="A868" s="1">
        <f>'batch tool'!A862</f>
        <v>0</v>
      </c>
      <c r="B868" s="7">
        <f>SUMPRODUCT($C$2:$X$2,'batch tool'!$B862:$W862)+$Y$2</f>
        <v>-49.12272534143483</v>
      </c>
      <c r="C868" s="7">
        <f>SUMPRODUCT($C$3:$X$3,'batch tool'!$B862:$W862)+$Y$3</f>
        <v>-36.514029388465531</v>
      </c>
      <c r="D868" s="7">
        <f>SUMPRODUCT($C$4:$X$4,'batch tool'!$B862:$W862)+$Y$4</f>
        <v>-44.639843068043824</v>
      </c>
      <c r="E868" s="7">
        <f>SUMPRODUCT($C$5:$X$5,'batch tool'!$B862:$W862)+$Y$5</f>
        <v>-51.578889182477603</v>
      </c>
      <c r="F868" s="7">
        <f>SUMPRODUCT($C$6:$X$6,'batch tool'!$B862:$W862)+$Y$6</f>
        <v>-47.741473633885199</v>
      </c>
      <c r="G868" s="7">
        <f>SUMPRODUCT($C$7:$X$7,'batch tool'!$B862:$W862)+$Y$7</f>
        <v>-19.739516238059196</v>
      </c>
      <c r="H868" s="7">
        <f t="shared" si="26"/>
        <v>-19.739516238059196</v>
      </c>
      <c r="I868">
        <f t="shared" si="27"/>
        <v>6</v>
      </c>
      <c r="J868" t="str" cm="1">
        <f t="array" ref="J868">INDEX($A$2:$A$7,I868)</f>
        <v>Segment 6- Self-Conscious Male</v>
      </c>
    </row>
    <row r="869" spans="1:10" x14ac:dyDescent="0.25">
      <c r="A869" s="1">
        <f>'batch tool'!A863</f>
        <v>0</v>
      </c>
      <c r="B869" s="7">
        <f>SUMPRODUCT($C$2:$X$2,'batch tool'!$B863:$W863)+$Y$2</f>
        <v>-49.12272534143483</v>
      </c>
      <c r="C869" s="7">
        <f>SUMPRODUCT($C$3:$X$3,'batch tool'!$B863:$W863)+$Y$3</f>
        <v>-36.514029388465531</v>
      </c>
      <c r="D869" s="7">
        <f>SUMPRODUCT($C$4:$X$4,'batch tool'!$B863:$W863)+$Y$4</f>
        <v>-44.639843068043824</v>
      </c>
      <c r="E869" s="7">
        <f>SUMPRODUCT($C$5:$X$5,'batch tool'!$B863:$W863)+$Y$5</f>
        <v>-51.578889182477603</v>
      </c>
      <c r="F869" s="7">
        <f>SUMPRODUCT($C$6:$X$6,'batch tool'!$B863:$W863)+$Y$6</f>
        <v>-47.741473633885199</v>
      </c>
      <c r="G869" s="7">
        <f>SUMPRODUCT($C$7:$X$7,'batch tool'!$B863:$W863)+$Y$7</f>
        <v>-19.739516238059196</v>
      </c>
      <c r="H869" s="7">
        <f t="shared" si="26"/>
        <v>-19.739516238059196</v>
      </c>
      <c r="I869">
        <f t="shared" si="27"/>
        <v>6</v>
      </c>
      <c r="J869" t="str" cm="1">
        <f t="array" ref="J869">INDEX($A$2:$A$7,I869)</f>
        <v>Segment 6- Self-Conscious Male</v>
      </c>
    </row>
    <row r="870" spans="1:10" x14ac:dyDescent="0.25">
      <c r="A870" s="1">
        <f>'batch tool'!A864</f>
        <v>0</v>
      </c>
      <c r="B870" s="7">
        <f>SUMPRODUCT($C$2:$X$2,'batch tool'!$B864:$W864)+$Y$2</f>
        <v>-49.12272534143483</v>
      </c>
      <c r="C870" s="7">
        <f>SUMPRODUCT($C$3:$X$3,'batch tool'!$B864:$W864)+$Y$3</f>
        <v>-36.514029388465531</v>
      </c>
      <c r="D870" s="7">
        <f>SUMPRODUCT($C$4:$X$4,'batch tool'!$B864:$W864)+$Y$4</f>
        <v>-44.639843068043824</v>
      </c>
      <c r="E870" s="7">
        <f>SUMPRODUCT($C$5:$X$5,'batch tool'!$B864:$W864)+$Y$5</f>
        <v>-51.578889182477603</v>
      </c>
      <c r="F870" s="7">
        <f>SUMPRODUCT($C$6:$X$6,'batch tool'!$B864:$W864)+$Y$6</f>
        <v>-47.741473633885199</v>
      </c>
      <c r="G870" s="7">
        <f>SUMPRODUCT($C$7:$X$7,'batch tool'!$B864:$W864)+$Y$7</f>
        <v>-19.739516238059196</v>
      </c>
      <c r="H870" s="7">
        <f t="shared" si="26"/>
        <v>-19.739516238059196</v>
      </c>
      <c r="I870">
        <f t="shared" si="27"/>
        <v>6</v>
      </c>
      <c r="J870" t="str" cm="1">
        <f t="array" ref="J870">INDEX($A$2:$A$7,I870)</f>
        <v>Segment 6- Self-Conscious Male</v>
      </c>
    </row>
    <row r="871" spans="1:10" x14ac:dyDescent="0.25">
      <c r="A871" s="1">
        <f>'batch tool'!A865</f>
        <v>0</v>
      </c>
      <c r="B871" s="7">
        <f>SUMPRODUCT($C$2:$X$2,'batch tool'!$B865:$W865)+$Y$2</f>
        <v>-49.12272534143483</v>
      </c>
      <c r="C871" s="7">
        <f>SUMPRODUCT($C$3:$X$3,'batch tool'!$B865:$W865)+$Y$3</f>
        <v>-36.514029388465531</v>
      </c>
      <c r="D871" s="7">
        <f>SUMPRODUCT($C$4:$X$4,'batch tool'!$B865:$W865)+$Y$4</f>
        <v>-44.639843068043824</v>
      </c>
      <c r="E871" s="7">
        <f>SUMPRODUCT($C$5:$X$5,'batch tool'!$B865:$W865)+$Y$5</f>
        <v>-51.578889182477603</v>
      </c>
      <c r="F871" s="7">
        <f>SUMPRODUCT($C$6:$X$6,'batch tool'!$B865:$W865)+$Y$6</f>
        <v>-47.741473633885199</v>
      </c>
      <c r="G871" s="7">
        <f>SUMPRODUCT($C$7:$X$7,'batch tool'!$B865:$W865)+$Y$7</f>
        <v>-19.739516238059196</v>
      </c>
      <c r="H871" s="7">
        <f t="shared" si="26"/>
        <v>-19.739516238059196</v>
      </c>
      <c r="I871">
        <f t="shared" si="27"/>
        <v>6</v>
      </c>
      <c r="J871" t="str" cm="1">
        <f t="array" ref="J871">INDEX($A$2:$A$7,I871)</f>
        <v>Segment 6- Self-Conscious Male</v>
      </c>
    </row>
    <row r="872" spans="1:10" x14ac:dyDescent="0.25">
      <c r="A872" s="1">
        <f>'batch tool'!A866</f>
        <v>0</v>
      </c>
      <c r="B872" s="7">
        <f>SUMPRODUCT($C$2:$X$2,'batch tool'!$B866:$W866)+$Y$2</f>
        <v>-49.12272534143483</v>
      </c>
      <c r="C872" s="7">
        <f>SUMPRODUCT($C$3:$X$3,'batch tool'!$B866:$W866)+$Y$3</f>
        <v>-36.514029388465531</v>
      </c>
      <c r="D872" s="7">
        <f>SUMPRODUCT($C$4:$X$4,'batch tool'!$B866:$W866)+$Y$4</f>
        <v>-44.639843068043824</v>
      </c>
      <c r="E872" s="7">
        <f>SUMPRODUCT($C$5:$X$5,'batch tool'!$B866:$W866)+$Y$5</f>
        <v>-51.578889182477603</v>
      </c>
      <c r="F872" s="7">
        <f>SUMPRODUCT($C$6:$X$6,'batch tool'!$B866:$W866)+$Y$6</f>
        <v>-47.741473633885199</v>
      </c>
      <c r="G872" s="7">
        <f>SUMPRODUCT($C$7:$X$7,'batch tool'!$B866:$W866)+$Y$7</f>
        <v>-19.739516238059196</v>
      </c>
      <c r="H872" s="7">
        <f t="shared" si="26"/>
        <v>-19.739516238059196</v>
      </c>
      <c r="I872">
        <f t="shared" si="27"/>
        <v>6</v>
      </c>
      <c r="J872" t="str" cm="1">
        <f t="array" ref="J872">INDEX($A$2:$A$7,I872)</f>
        <v>Segment 6- Self-Conscious Male</v>
      </c>
    </row>
    <row r="873" spans="1:10" x14ac:dyDescent="0.25">
      <c r="A873" s="1">
        <f>'batch tool'!A867</f>
        <v>0</v>
      </c>
      <c r="B873" s="7">
        <f>SUMPRODUCT($C$2:$X$2,'batch tool'!$B867:$W867)+$Y$2</f>
        <v>-49.12272534143483</v>
      </c>
      <c r="C873" s="7">
        <f>SUMPRODUCT($C$3:$X$3,'batch tool'!$B867:$W867)+$Y$3</f>
        <v>-36.514029388465531</v>
      </c>
      <c r="D873" s="7">
        <f>SUMPRODUCT($C$4:$X$4,'batch tool'!$B867:$W867)+$Y$4</f>
        <v>-44.639843068043824</v>
      </c>
      <c r="E873" s="7">
        <f>SUMPRODUCT($C$5:$X$5,'batch tool'!$B867:$W867)+$Y$5</f>
        <v>-51.578889182477603</v>
      </c>
      <c r="F873" s="7">
        <f>SUMPRODUCT($C$6:$X$6,'batch tool'!$B867:$W867)+$Y$6</f>
        <v>-47.741473633885199</v>
      </c>
      <c r="G873" s="7">
        <f>SUMPRODUCT($C$7:$X$7,'batch tool'!$B867:$W867)+$Y$7</f>
        <v>-19.739516238059196</v>
      </c>
      <c r="H873" s="7">
        <f t="shared" si="26"/>
        <v>-19.739516238059196</v>
      </c>
      <c r="I873">
        <f t="shared" si="27"/>
        <v>6</v>
      </c>
      <c r="J873" t="str" cm="1">
        <f t="array" ref="J873">INDEX($A$2:$A$7,I873)</f>
        <v>Segment 6- Self-Conscious Male</v>
      </c>
    </row>
    <row r="874" spans="1:10" x14ac:dyDescent="0.25">
      <c r="A874" s="1">
        <f>'batch tool'!A868</f>
        <v>0</v>
      </c>
      <c r="B874" s="7">
        <f>SUMPRODUCT($C$2:$X$2,'batch tool'!$B868:$W868)+$Y$2</f>
        <v>-49.12272534143483</v>
      </c>
      <c r="C874" s="7">
        <f>SUMPRODUCT($C$3:$X$3,'batch tool'!$B868:$W868)+$Y$3</f>
        <v>-36.514029388465531</v>
      </c>
      <c r="D874" s="7">
        <f>SUMPRODUCT($C$4:$X$4,'batch tool'!$B868:$W868)+$Y$4</f>
        <v>-44.639843068043824</v>
      </c>
      <c r="E874" s="7">
        <f>SUMPRODUCT($C$5:$X$5,'batch tool'!$B868:$W868)+$Y$5</f>
        <v>-51.578889182477603</v>
      </c>
      <c r="F874" s="7">
        <f>SUMPRODUCT($C$6:$X$6,'batch tool'!$B868:$W868)+$Y$6</f>
        <v>-47.741473633885199</v>
      </c>
      <c r="G874" s="7">
        <f>SUMPRODUCT($C$7:$X$7,'batch tool'!$B868:$W868)+$Y$7</f>
        <v>-19.739516238059196</v>
      </c>
      <c r="H874" s="7">
        <f t="shared" si="26"/>
        <v>-19.739516238059196</v>
      </c>
      <c r="I874">
        <f t="shared" si="27"/>
        <v>6</v>
      </c>
      <c r="J874" t="str" cm="1">
        <f t="array" ref="J874">INDEX($A$2:$A$7,I874)</f>
        <v>Segment 6- Self-Conscious Male</v>
      </c>
    </row>
    <row r="875" spans="1:10" x14ac:dyDescent="0.25">
      <c r="A875" s="1">
        <f>'batch tool'!A869</f>
        <v>0</v>
      </c>
      <c r="B875" s="7">
        <f>SUMPRODUCT($C$2:$X$2,'batch tool'!$B869:$W869)+$Y$2</f>
        <v>-49.12272534143483</v>
      </c>
      <c r="C875" s="7">
        <f>SUMPRODUCT($C$3:$X$3,'batch tool'!$B869:$W869)+$Y$3</f>
        <v>-36.514029388465531</v>
      </c>
      <c r="D875" s="7">
        <f>SUMPRODUCT($C$4:$X$4,'batch tool'!$B869:$W869)+$Y$4</f>
        <v>-44.639843068043824</v>
      </c>
      <c r="E875" s="7">
        <f>SUMPRODUCT($C$5:$X$5,'batch tool'!$B869:$W869)+$Y$5</f>
        <v>-51.578889182477603</v>
      </c>
      <c r="F875" s="7">
        <f>SUMPRODUCT($C$6:$X$6,'batch tool'!$B869:$W869)+$Y$6</f>
        <v>-47.741473633885199</v>
      </c>
      <c r="G875" s="7">
        <f>SUMPRODUCT($C$7:$X$7,'batch tool'!$B869:$W869)+$Y$7</f>
        <v>-19.739516238059196</v>
      </c>
      <c r="H875" s="7">
        <f t="shared" si="26"/>
        <v>-19.739516238059196</v>
      </c>
      <c r="I875">
        <f t="shared" si="27"/>
        <v>6</v>
      </c>
      <c r="J875" t="str" cm="1">
        <f t="array" ref="J875">INDEX($A$2:$A$7,I875)</f>
        <v>Segment 6- Self-Conscious Male</v>
      </c>
    </row>
    <row r="876" spans="1:10" x14ac:dyDescent="0.25">
      <c r="A876" s="1">
        <f>'batch tool'!A870</f>
        <v>0</v>
      </c>
      <c r="B876" s="7">
        <f>SUMPRODUCT($C$2:$X$2,'batch tool'!$B870:$W870)+$Y$2</f>
        <v>-49.12272534143483</v>
      </c>
      <c r="C876" s="7">
        <f>SUMPRODUCT($C$3:$X$3,'batch tool'!$B870:$W870)+$Y$3</f>
        <v>-36.514029388465531</v>
      </c>
      <c r="D876" s="7">
        <f>SUMPRODUCT($C$4:$X$4,'batch tool'!$B870:$W870)+$Y$4</f>
        <v>-44.639843068043824</v>
      </c>
      <c r="E876" s="7">
        <f>SUMPRODUCT($C$5:$X$5,'batch tool'!$B870:$W870)+$Y$5</f>
        <v>-51.578889182477603</v>
      </c>
      <c r="F876" s="7">
        <f>SUMPRODUCT($C$6:$X$6,'batch tool'!$B870:$W870)+$Y$6</f>
        <v>-47.741473633885199</v>
      </c>
      <c r="G876" s="7">
        <f>SUMPRODUCT($C$7:$X$7,'batch tool'!$B870:$W870)+$Y$7</f>
        <v>-19.739516238059196</v>
      </c>
      <c r="H876" s="7">
        <f t="shared" si="26"/>
        <v>-19.739516238059196</v>
      </c>
      <c r="I876">
        <f t="shared" si="27"/>
        <v>6</v>
      </c>
      <c r="J876" t="str" cm="1">
        <f t="array" ref="J876">INDEX($A$2:$A$7,I876)</f>
        <v>Segment 6- Self-Conscious Male</v>
      </c>
    </row>
    <row r="877" spans="1:10" x14ac:dyDescent="0.25">
      <c r="A877" s="1">
        <f>'batch tool'!A871</f>
        <v>0</v>
      </c>
      <c r="B877" s="7">
        <f>SUMPRODUCT($C$2:$X$2,'batch tool'!$B871:$W871)+$Y$2</f>
        <v>-49.12272534143483</v>
      </c>
      <c r="C877" s="7">
        <f>SUMPRODUCT($C$3:$X$3,'batch tool'!$B871:$W871)+$Y$3</f>
        <v>-36.514029388465531</v>
      </c>
      <c r="D877" s="7">
        <f>SUMPRODUCT($C$4:$X$4,'batch tool'!$B871:$W871)+$Y$4</f>
        <v>-44.639843068043824</v>
      </c>
      <c r="E877" s="7">
        <f>SUMPRODUCT($C$5:$X$5,'batch tool'!$B871:$W871)+$Y$5</f>
        <v>-51.578889182477603</v>
      </c>
      <c r="F877" s="7">
        <f>SUMPRODUCT($C$6:$X$6,'batch tool'!$B871:$W871)+$Y$6</f>
        <v>-47.741473633885199</v>
      </c>
      <c r="G877" s="7">
        <f>SUMPRODUCT($C$7:$X$7,'batch tool'!$B871:$W871)+$Y$7</f>
        <v>-19.739516238059196</v>
      </c>
      <c r="H877" s="7">
        <f t="shared" si="26"/>
        <v>-19.739516238059196</v>
      </c>
      <c r="I877">
        <f t="shared" si="27"/>
        <v>6</v>
      </c>
      <c r="J877" t="str" cm="1">
        <f t="array" ref="J877">INDEX($A$2:$A$7,I877)</f>
        <v>Segment 6- Self-Conscious Male</v>
      </c>
    </row>
    <row r="878" spans="1:10" x14ac:dyDescent="0.25">
      <c r="A878" s="1">
        <f>'batch tool'!A872</f>
        <v>0</v>
      </c>
      <c r="B878" s="7">
        <f>SUMPRODUCT($C$2:$X$2,'batch tool'!$B872:$W872)+$Y$2</f>
        <v>-49.12272534143483</v>
      </c>
      <c r="C878" s="7">
        <f>SUMPRODUCT($C$3:$X$3,'batch tool'!$B872:$W872)+$Y$3</f>
        <v>-36.514029388465531</v>
      </c>
      <c r="D878" s="7">
        <f>SUMPRODUCT($C$4:$X$4,'batch tool'!$B872:$W872)+$Y$4</f>
        <v>-44.639843068043824</v>
      </c>
      <c r="E878" s="7">
        <f>SUMPRODUCT($C$5:$X$5,'batch tool'!$B872:$W872)+$Y$5</f>
        <v>-51.578889182477603</v>
      </c>
      <c r="F878" s="7">
        <f>SUMPRODUCT($C$6:$X$6,'batch tool'!$B872:$W872)+$Y$6</f>
        <v>-47.741473633885199</v>
      </c>
      <c r="G878" s="7">
        <f>SUMPRODUCT($C$7:$X$7,'batch tool'!$B872:$W872)+$Y$7</f>
        <v>-19.739516238059196</v>
      </c>
      <c r="H878" s="7">
        <f t="shared" si="26"/>
        <v>-19.739516238059196</v>
      </c>
      <c r="I878">
        <f t="shared" si="27"/>
        <v>6</v>
      </c>
      <c r="J878" t="str" cm="1">
        <f t="array" ref="J878">INDEX($A$2:$A$7,I878)</f>
        <v>Segment 6- Self-Conscious Male</v>
      </c>
    </row>
    <row r="879" spans="1:10" x14ac:dyDescent="0.25">
      <c r="A879" s="1">
        <f>'batch tool'!A873</f>
        <v>0</v>
      </c>
      <c r="B879" s="7">
        <f>SUMPRODUCT($C$2:$X$2,'batch tool'!$B873:$W873)+$Y$2</f>
        <v>-49.12272534143483</v>
      </c>
      <c r="C879" s="7">
        <f>SUMPRODUCT($C$3:$X$3,'batch tool'!$B873:$W873)+$Y$3</f>
        <v>-36.514029388465531</v>
      </c>
      <c r="D879" s="7">
        <f>SUMPRODUCT($C$4:$X$4,'batch tool'!$B873:$W873)+$Y$4</f>
        <v>-44.639843068043824</v>
      </c>
      <c r="E879" s="7">
        <f>SUMPRODUCT($C$5:$X$5,'batch tool'!$B873:$W873)+$Y$5</f>
        <v>-51.578889182477603</v>
      </c>
      <c r="F879" s="7">
        <f>SUMPRODUCT($C$6:$X$6,'batch tool'!$B873:$W873)+$Y$6</f>
        <v>-47.741473633885199</v>
      </c>
      <c r="G879" s="7">
        <f>SUMPRODUCT($C$7:$X$7,'batch tool'!$B873:$W873)+$Y$7</f>
        <v>-19.739516238059196</v>
      </c>
      <c r="H879" s="7">
        <f t="shared" si="26"/>
        <v>-19.739516238059196</v>
      </c>
      <c r="I879">
        <f t="shared" si="27"/>
        <v>6</v>
      </c>
      <c r="J879" t="str" cm="1">
        <f t="array" ref="J879">INDEX($A$2:$A$7,I879)</f>
        <v>Segment 6- Self-Conscious Male</v>
      </c>
    </row>
    <row r="880" spans="1:10" x14ac:dyDescent="0.25">
      <c r="A880" s="1">
        <f>'batch tool'!A874</f>
        <v>0</v>
      </c>
      <c r="B880" s="7">
        <f>SUMPRODUCT($C$2:$X$2,'batch tool'!$B874:$W874)+$Y$2</f>
        <v>-49.12272534143483</v>
      </c>
      <c r="C880" s="7">
        <f>SUMPRODUCT($C$3:$X$3,'batch tool'!$B874:$W874)+$Y$3</f>
        <v>-36.514029388465531</v>
      </c>
      <c r="D880" s="7">
        <f>SUMPRODUCT($C$4:$X$4,'batch tool'!$B874:$W874)+$Y$4</f>
        <v>-44.639843068043824</v>
      </c>
      <c r="E880" s="7">
        <f>SUMPRODUCT($C$5:$X$5,'batch tool'!$B874:$W874)+$Y$5</f>
        <v>-51.578889182477603</v>
      </c>
      <c r="F880" s="7">
        <f>SUMPRODUCT($C$6:$X$6,'batch tool'!$B874:$W874)+$Y$6</f>
        <v>-47.741473633885199</v>
      </c>
      <c r="G880" s="7">
        <f>SUMPRODUCT($C$7:$X$7,'batch tool'!$B874:$W874)+$Y$7</f>
        <v>-19.739516238059196</v>
      </c>
      <c r="H880" s="7">
        <f t="shared" si="26"/>
        <v>-19.739516238059196</v>
      </c>
      <c r="I880">
        <f t="shared" si="27"/>
        <v>6</v>
      </c>
      <c r="J880" t="str" cm="1">
        <f t="array" ref="J880">INDEX($A$2:$A$7,I880)</f>
        <v>Segment 6- Self-Conscious Male</v>
      </c>
    </row>
    <row r="881" spans="1:10" x14ac:dyDescent="0.25">
      <c r="A881" s="1">
        <f>'batch tool'!A875</f>
        <v>0</v>
      </c>
      <c r="B881" s="7">
        <f>SUMPRODUCT($C$2:$X$2,'batch tool'!$B875:$W875)+$Y$2</f>
        <v>-49.12272534143483</v>
      </c>
      <c r="C881" s="7">
        <f>SUMPRODUCT($C$3:$X$3,'batch tool'!$B875:$W875)+$Y$3</f>
        <v>-36.514029388465531</v>
      </c>
      <c r="D881" s="7">
        <f>SUMPRODUCT($C$4:$X$4,'batch tool'!$B875:$W875)+$Y$4</f>
        <v>-44.639843068043824</v>
      </c>
      <c r="E881" s="7">
        <f>SUMPRODUCT($C$5:$X$5,'batch tool'!$B875:$W875)+$Y$5</f>
        <v>-51.578889182477603</v>
      </c>
      <c r="F881" s="7">
        <f>SUMPRODUCT($C$6:$X$6,'batch tool'!$B875:$W875)+$Y$6</f>
        <v>-47.741473633885199</v>
      </c>
      <c r="G881" s="7">
        <f>SUMPRODUCT($C$7:$X$7,'batch tool'!$B875:$W875)+$Y$7</f>
        <v>-19.739516238059196</v>
      </c>
      <c r="H881" s="7">
        <f t="shared" si="26"/>
        <v>-19.739516238059196</v>
      </c>
      <c r="I881">
        <f t="shared" si="27"/>
        <v>6</v>
      </c>
      <c r="J881" t="str" cm="1">
        <f t="array" ref="J881">INDEX($A$2:$A$7,I881)</f>
        <v>Segment 6- Self-Conscious Male</v>
      </c>
    </row>
    <row r="882" spans="1:10" x14ac:dyDescent="0.25">
      <c r="A882" s="1">
        <f>'batch tool'!A876</f>
        <v>0</v>
      </c>
      <c r="B882" s="7">
        <f>SUMPRODUCT($C$2:$X$2,'batch tool'!$B876:$W876)+$Y$2</f>
        <v>-49.12272534143483</v>
      </c>
      <c r="C882" s="7">
        <f>SUMPRODUCT($C$3:$X$3,'batch tool'!$B876:$W876)+$Y$3</f>
        <v>-36.514029388465531</v>
      </c>
      <c r="D882" s="7">
        <f>SUMPRODUCT($C$4:$X$4,'batch tool'!$B876:$W876)+$Y$4</f>
        <v>-44.639843068043824</v>
      </c>
      <c r="E882" s="7">
        <f>SUMPRODUCT($C$5:$X$5,'batch tool'!$B876:$W876)+$Y$5</f>
        <v>-51.578889182477603</v>
      </c>
      <c r="F882" s="7">
        <f>SUMPRODUCT($C$6:$X$6,'batch tool'!$B876:$W876)+$Y$6</f>
        <v>-47.741473633885199</v>
      </c>
      <c r="G882" s="7">
        <f>SUMPRODUCT($C$7:$X$7,'batch tool'!$B876:$W876)+$Y$7</f>
        <v>-19.739516238059196</v>
      </c>
      <c r="H882" s="7">
        <f t="shared" si="26"/>
        <v>-19.739516238059196</v>
      </c>
      <c r="I882">
        <f t="shared" si="27"/>
        <v>6</v>
      </c>
      <c r="J882" t="str" cm="1">
        <f t="array" ref="J882">INDEX($A$2:$A$7,I882)</f>
        <v>Segment 6- Self-Conscious Male</v>
      </c>
    </row>
    <row r="883" spans="1:10" x14ac:dyDescent="0.25">
      <c r="A883" s="1">
        <f>'batch tool'!A877</f>
        <v>0</v>
      </c>
      <c r="B883" s="7">
        <f>SUMPRODUCT($C$2:$X$2,'batch tool'!$B877:$W877)+$Y$2</f>
        <v>-49.12272534143483</v>
      </c>
      <c r="C883" s="7">
        <f>SUMPRODUCT($C$3:$X$3,'batch tool'!$B877:$W877)+$Y$3</f>
        <v>-36.514029388465531</v>
      </c>
      <c r="D883" s="7">
        <f>SUMPRODUCT($C$4:$X$4,'batch tool'!$B877:$W877)+$Y$4</f>
        <v>-44.639843068043824</v>
      </c>
      <c r="E883" s="7">
        <f>SUMPRODUCT($C$5:$X$5,'batch tool'!$B877:$W877)+$Y$5</f>
        <v>-51.578889182477603</v>
      </c>
      <c r="F883" s="7">
        <f>SUMPRODUCT($C$6:$X$6,'batch tool'!$B877:$W877)+$Y$6</f>
        <v>-47.741473633885199</v>
      </c>
      <c r="G883" s="7">
        <f>SUMPRODUCT($C$7:$X$7,'batch tool'!$B877:$W877)+$Y$7</f>
        <v>-19.739516238059196</v>
      </c>
      <c r="H883" s="7">
        <f t="shared" si="26"/>
        <v>-19.739516238059196</v>
      </c>
      <c r="I883">
        <f t="shared" si="27"/>
        <v>6</v>
      </c>
      <c r="J883" t="str" cm="1">
        <f t="array" ref="J883">INDEX($A$2:$A$7,I883)</f>
        <v>Segment 6- Self-Conscious Male</v>
      </c>
    </row>
    <row r="884" spans="1:10" x14ac:dyDescent="0.25">
      <c r="A884" s="1">
        <f>'batch tool'!A878</f>
        <v>0</v>
      </c>
      <c r="B884" s="7">
        <f>SUMPRODUCT($C$2:$X$2,'batch tool'!$B878:$W878)+$Y$2</f>
        <v>-49.12272534143483</v>
      </c>
      <c r="C884" s="7">
        <f>SUMPRODUCT($C$3:$X$3,'batch tool'!$B878:$W878)+$Y$3</f>
        <v>-36.514029388465531</v>
      </c>
      <c r="D884" s="7">
        <f>SUMPRODUCT($C$4:$X$4,'batch tool'!$B878:$W878)+$Y$4</f>
        <v>-44.639843068043824</v>
      </c>
      <c r="E884" s="7">
        <f>SUMPRODUCT($C$5:$X$5,'batch tool'!$B878:$W878)+$Y$5</f>
        <v>-51.578889182477603</v>
      </c>
      <c r="F884" s="7">
        <f>SUMPRODUCT($C$6:$X$6,'batch tool'!$B878:$W878)+$Y$6</f>
        <v>-47.741473633885199</v>
      </c>
      <c r="G884" s="7">
        <f>SUMPRODUCT($C$7:$X$7,'batch tool'!$B878:$W878)+$Y$7</f>
        <v>-19.739516238059196</v>
      </c>
      <c r="H884" s="7">
        <f t="shared" si="26"/>
        <v>-19.739516238059196</v>
      </c>
      <c r="I884">
        <f t="shared" si="27"/>
        <v>6</v>
      </c>
      <c r="J884" t="str" cm="1">
        <f t="array" ref="J884">INDEX($A$2:$A$7,I884)</f>
        <v>Segment 6- Self-Conscious Male</v>
      </c>
    </row>
    <row r="885" spans="1:10" x14ac:dyDescent="0.25">
      <c r="A885" s="1">
        <f>'batch tool'!A879</f>
        <v>0</v>
      </c>
      <c r="B885" s="7">
        <f>SUMPRODUCT($C$2:$X$2,'batch tool'!$B879:$W879)+$Y$2</f>
        <v>-49.12272534143483</v>
      </c>
      <c r="C885" s="7">
        <f>SUMPRODUCT($C$3:$X$3,'batch tool'!$B879:$W879)+$Y$3</f>
        <v>-36.514029388465531</v>
      </c>
      <c r="D885" s="7">
        <f>SUMPRODUCT($C$4:$X$4,'batch tool'!$B879:$W879)+$Y$4</f>
        <v>-44.639843068043824</v>
      </c>
      <c r="E885" s="7">
        <f>SUMPRODUCT($C$5:$X$5,'batch tool'!$B879:$W879)+$Y$5</f>
        <v>-51.578889182477603</v>
      </c>
      <c r="F885" s="7">
        <f>SUMPRODUCT($C$6:$X$6,'batch tool'!$B879:$W879)+$Y$6</f>
        <v>-47.741473633885199</v>
      </c>
      <c r="G885" s="7">
        <f>SUMPRODUCT($C$7:$X$7,'batch tool'!$B879:$W879)+$Y$7</f>
        <v>-19.739516238059196</v>
      </c>
      <c r="H885" s="7">
        <f t="shared" si="26"/>
        <v>-19.739516238059196</v>
      </c>
      <c r="I885">
        <f t="shared" si="27"/>
        <v>6</v>
      </c>
      <c r="J885" t="str" cm="1">
        <f t="array" ref="J885">INDEX($A$2:$A$7,I885)</f>
        <v>Segment 6- Self-Conscious Male</v>
      </c>
    </row>
    <row r="886" spans="1:10" x14ac:dyDescent="0.25">
      <c r="A886" s="1">
        <f>'batch tool'!A880</f>
        <v>0</v>
      </c>
      <c r="B886" s="7">
        <f>SUMPRODUCT($C$2:$X$2,'batch tool'!$B880:$W880)+$Y$2</f>
        <v>-49.12272534143483</v>
      </c>
      <c r="C886" s="7">
        <f>SUMPRODUCT($C$3:$X$3,'batch tool'!$B880:$W880)+$Y$3</f>
        <v>-36.514029388465531</v>
      </c>
      <c r="D886" s="7">
        <f>SUMPRODUCT($C$4:$X$4,'batch tool'!$B880:$W880)+$Y$4</f>
        <v>-44.639843068043824</v>
      </c>
      <c r="E886" s="7">
        <f>SUMPRODUCT($C$5:$X$5,'batch tool'!$B880:$W880)+$Y$5</f>
        <v>-51.578889182477603</v>
      </c>
      <c r="F886" s="7">
        <f>SUMPRODUCT($C$6:$X$6,'batch tool'!$B880:$W880)+$Y$6</f>
        <v>-47.741473633885199</v>
      </c>
      <c r="G886" s="7">
        <f>SUMPRODUCT($C$7:$X$7,'batch tool'!$B880:$W880)+$Y$7</f>
        <v>-19.739516238059196</v>
      </c>
      <c r="H886" s="7">
        <f t="shared" si="26"/>
        <v>-19.739516238059196</v>
      </c>
      <c r="I886">
        <f t="shared" si="27"/>
        <v>6</v>
      </c>
      <c r="J886" t="str" cm="1">
        <f t="array" ref="J886">INDEX($A$2:$A$7,I886)</f>
        <v>Segment 6- Self-Conscious Male</v>
      </c>
    </row>
    <row r="887" spans="1:10" x14ac:dyDescent="0.25">
      <c r="A887" s="1">
        <f>'batch tool'!A881</f>
        <v>0</v>
      </c>
      <c r="B887" s="7">
        <f>SUMPRODUCT($C$2:$X$2,'batch tool'!$B881:$W881)+$Y$2</f>
        <v>-49.12272534143483</v>
      </c>
      <c r="C887" s="7">
        <f>SUMPRODUCT($C$3:$X$3,'batch tool'!$B881:$W881)+$Y$3</f>
        <v>-36.514029388465531</v>
      </c>
      <c r="D887" s="7">
        <f>SUMPRODUCT($C$4:$X$4,'batch tool'!$B881:$W881)+$Y$4</f>
        <v>-44.639843068043824</v>
      </c>
      <c r="E887" s="7">
        <f>SUMPRODUCT($C$5:$X$5,'batch tool'!$B881:$W881)+$Y$5</f>
        <v>-51.578889182477603</v>
      </c>
      <c r="F887" s="7">
        <f>SUMPRODUCT($C$6:$X$6,'batch tool'!$B881:$W881)+$Y$6</f>
        <v>-47.741473633885199</v>
      </c>
      <c r="G887" s="7">
        <f>SUMPRODUCT($C$7:$X$7,'batch tool'!$B881:$W881)+$Y$7</f>
        <v>-19.739516238059196</v>
      </c>
      <c r="H887" s="7">
        <f t="shared" si="26"/>
        <v>-19.739516238059196</v>
      </c>
      <c r="I887">
        <f t="shared" si="27"/>
        <v>6</v>
      </c>
      <c r="J887" t="str" cm="1">
        <f t="array" ref="J887">INDEX($A$2:$A$7,I887)</f>
        <v>Segment 6- Self-Conscious Male</v>
      </c>
    </row>
    <row r="888" spans="1:10" x14ac:dyDescent="0.25">
      <c r="A888" s="1">
        <f>'batch tool'!A882</f>
        <v>0</v>
      </c>
      <c r="B888" s="7">
        <f>SUMPRODUCT($C$2:$X$2,'batch tool'!$B882:$W882)+$Y$2</f>
        <v>-49.12272534143483</v>
      </c>
      <c r="C888" s="7">
        <f>SUMPRODUCT($C$3:$X$3,'batch tool'!$B882:$W882)+$Y$3</f>
        <v>-36.514029388465531</v>
      </c>
      <c r="D888" s="7">
        <f>SUMPRODUCT($C$4:$X$4,'batch tool'!$B882:$W882)+$Y$4</f>
        <v>-44.639843068043824</v>
      </c>
      <c r="E888" s="7">
        <f>SUMPRODUCT($C$5:$X$5,'batch tool'!$B882:$W882)+$Y$5</f>
        <v>-51.578889182477603</v>
      </c>
      <c r="F888" s="7">
        <f>SUMPRODUCT($C$6:$X$6,'batch tool'!$B882:$W882)+$Y$6</f>
        <v>-47.741473633885199</v>
      </c>
      <c r="G888" s="7">
        <f>SUMPRODUCT($C$7:$X$7,'batch tool'!$B882:$W882)+$Y$7</f>
        <v>-19.739516238059196</v>
      </c>
      <c r="H888" s="7">
        <f t="shared" si="26"/>
        <v>-19.739516238059196</v>
      </c>
      <c r="I888">
        <f t="shared" si="27"/>
        <v>6</v>
      </c>
      <c r="J888" t="str" cm="1">
        <f t="array" ref="J888">INDEX($A$2:$A$7,I888)</f>
        <v>Segment 6- Self-Conscious Male</v>
      </c>
    </row>
    <row r="889" spans="1:10" x14ac:dyDescent="0.25">
      <c r="A889" s="1">
        <f>'batch tool'!A883</f>
        <v>0</v>
      </c>
      <c r="B889" s="7">
        <f>SUMPRODUCT($C$2:$X$2,'batch tool'!$B883:$W883)+$Y$2</f>
        <v>-49.12272534143483</v>
      </c>
      <c r="C889" s="7">
        <f>SUMPRODUCT($C$3:$X$3,'batch tool'!$B883:$W883)+$Y$3</f>
        <v>-36.514029388465531</v>
      </c>
      <c r="D889" s="7">
        <f>SUMPRODUCT($C$4:$X$4,'batch tool'!$B883:$W883)+$Y$4</f>
        <v>-44.639843068043824</v>
      </c>
      <c r="E889" s="7">
        <f>SUMPRODUCT($C$5:$X$5,'batch tool'!$B883:$W883)+$Y$5</f>
        <v>-51.578889182477603</v>
      </c>
      <c r="F889" s="7">
        <f>SUMPRODUCT($C$6:$X$6,'batch tool'!$B883:$W883)+$Y$6</f>
        <v>-47.741473633885199</v>
      </c>
      <c r="G889" s="7">
        <f>SUMPRODUCT($C$7:$X$7,'batch tool'!$B883:$W883)+$Y$7</f>
        <v>-19.739516238059196</v>
      </c>
      <c r="H889" s="7">
        <f t="shared" si="26"/>
        <v>-19.739516238059196</v>
      </c>
      <c r="I889">
        <f t="shared" si="27"/>
        <v>6</v>
      </c>
      <c r="J889" t="str" cm="1">
        <f t="array" ref="J889">INDEX($A$2:$A$7,I889)</f>
        <v>Segment 6- Self-Conscious Male</v>
      </c>
    </row>
    <row r="890" spans="1:10" x14ac:dyDescent="0.25">
      <c r="A890" s="1">
        <f>'batch tool'!A884</f>
        <v>0</v>
      </c>
      <c r="B890" s="7">
        <f>SUMPRODUCT($C$2:$X$2,'batch tool'!$B884:$W884)+$Y$2</f>
        <v>-49.12272534143483</v>
      </c>
      <c r="C890" s="7">
        <f>SUMPRODUCT($C$3:$X$3,'batch tool'!$B884:$W884)+$Y$3</f>
        <v>-36.514029388465531</v>
      </c>
      <c r="D890" s="7">
        <f>SUMPRODUCT($C$4:$X$4,'batch tool'!$B884:$W884)+$Y$4</f>
        <v>-44.639843068043824</v>
      </c>
      <c r="E890" s="7">
        <f>SUMPRODUCT($C$5:$X$5,'batch tool'!$B884:$W884)+$Y$5</f>
        <v>-51.578889182477603</v>
      </c>
      <c r="F890" s="7">
        <f>SUMPRODUCT($C$6:$X$6,'batch tool'!$B884:$W884)+$Y$6</f>
        <v>-47.741473633885199</v>
      </c>
      <c r="G890" s="7">
        <f>SUMPRODUCT($C$7:$X$7,'batch tool'!$B884:$W884)+$Y$7</f>
        <v>-19.739516238059196</v>
      </c>
      <c r="H890" s="7">
        <f t="shared" si="26"/>
        <v>-19.739516238059196</v>
      </c>
      <c r="I890">
        <f t="shared" si="27"/>
        <v>6</v>
      </c>
      <c r="J890" t="str" cm="1">
        <f t="array" ref="J890">INDEX($A$2:$A$7,I890)</f>
        <v>Segment 6- Self-Conscious Male</v>
      </c>
    </row>
    <row r="891" spans="1:10" x14ac:dyDescent="0.25">
      <c r="A891" s="1">
        <f>'batch tool'!A885</f>
        <v>0</v>
      </c>
      <c r="B891" s="7">
        <f>SUMPRODUCT($C$2:$X$2,'batch tool'!$B885:$W885)+$Y$2</f>
        <v>-49.12272534143483</v>
      </c>
      <c r="C891" s="7">
        <f>SUMPRODUCT($C$3:$X$3,'batch tool'!$B885:$W885)+$Y$3</f>
        <v>-36.514029388465531</v>
      </c>
      <c r="D891" s="7">
        <f>SUMPRODUCT($C$4:$X$4,'batch tool'!$B885:$W885)+$Y$4</f>
        <v>-44.639843068043824</v>
      </c>
      <c r="E891" s="7">
        <f>SUMPRODUCT($C$5:$X$5,'batch tool'!$B885:$W885)+$Y$5</f>
        <v>-51.578889182477603</v>
      </c>
      <c r="F891" s="7">
        <f>SUMPRODUCT($C$6:$X$6,'batch tool'!$B885:$W885)+$Y$6</f>
        <v>-47.741473633885199</v>
      </c>
      <c r="G891" s="7">
        <f>SUMPRODUCT($C$7:$X$7,'batch tool'!$B885:$W885)+$Y$7</f>
        <v>-19.739516238059196</v>
      </c>
      <c r="H891" s="7">
        <f t="shared" si="26"/>
        <v>-19.739516238059196</v>
      </c>
      <c r="I891">
        <f t="shared" si="27"/>
        <v>6</v>
      </c>
      <c r="J891" t="str" cm="1">
        <f t="array" ref="J891">INDEX($A$2:$A$7,I891)</f>
        <v>Segment 6- Self-Conscious Male</v>
      </c>
    </row>
    <row r="892" spans="1:10" x14ac:dyDescent="0.25">
      <c r="A892" s="1">
        <f>'batch tool'!A886</f>
        <v>0</v>
      </c>
      <c r="B892" s="7">
        <f>SUMPRODUCT($C$2:$X$2,'batch tool'!$B886:$W886)+$Y$2</f>
        <v>-49.12272534143483</v>
      </c>
      <c r="C892" s="7">
        <f>SUMPRODUCT($C$3:$X$3,'batch tool'!$B886:$W886)+$Y$3</f>
        <v>-36.514029388465531</v>
      </c>
      <c r="D892" s="7">
        <f>SUMPRODUCT($C$4:$X$4,'batch tool'!$B886:$W886)+$Y$4</f>
        <v>-44.639843068043824</v>
      </c>
      <c r="E892" s="7">
        <f>SUMPRODUCT($C$5:$X$5,'batch tool'!$B886:$W886)+$Y$5</f>
        <v>-51.578889182477603</v>
      </c>
      <c r="F892" s="7">
        <f>SUMPRODUCT($C$6:$X$6,'batch tool'!$B886:$W886)+$Y$6</f>
        <v>-47.741473633885199</v>
      </c>
      <c r="G892" s="7">
        <f>SUMPRODUCT($C$7:$X$7,'batch tool'!$B886:$W886)+$Y$7</f>
        <v>-19.739516238059196</v>
      </c>
      <c r="H892" s="7">
        <f t="shared" si="26"/>
        <v>-19.739516238059196</v>
      </c>
      <c r="I892">
        <f t="shared" si="27"/>
        <v>6</v>
      </c>
      <c r="J892" t="str" cm="1">
        <f t="array" ref="J892">INDEX($A$2:$A$7,I892)</f>
        <v>Segment 6- Self-Conscious Male</v>
      </c>
    </row>
    <row r="893" spans="1:10" x14ac:dyDescent="0.25">
      <c r="A893" s="1">
        <f>'batch tool'!A887</f>
        <v>0</v>
      </c>
      <c r="B893" s="7">
        <f>SUMPRODUCT($C$2:$X$2,'batch tool'!$B887:$W887)+$Y$2</f>
        <v>-49.12272534143483</v>
      </c>
      <c r="C893" s="7">
        <f>SUMPRODUCT($C$3:$X$3,'batch tool'!$B887:$W887)+$Y$3</f>
        <v>-36.514029388465531</v>
      </c>
      <c r="D893" s="7">
        <f>SUMPRODUCT($C$4:$X$4,'batch tool'!$B887:$W887)+$Y$4</f>
        <v>-44.639843068043824</v>
      </c>
      <c r="E893" s="7">
        <f>SUMPRODUCT($C$5:$X$5,'batch tool'!$B887:$W887)+$Y$5</f>
        <v>-51.578889182477603</v>
      </c>
      <c r="F893" s="7">
        <f>SUMPRODUCT($C$6:$X$6,'batch tool'!$B887:$W887)+$Y$6</f>
        <v>-47.741473633885199</v>
      </c>
      <c r="G893" s="7">
        <f>SUMPRODUCT($C$7:$X$7,'batch tool'!$B887:$W887)+$Y$7</f>
        <v>-19.739516238059196</v>
      </c>
      <c r="H893" s="7">
        <f t="shared" si="26"/>
        <v>-19.739516238059196</v>
      </c>
      <c r="I893">
        <f t="shared" si="27"/>
        <v>6</v>
      </c>
      <c r="J893" t="str" cm="1">
        <f t="array" ref="J893">INDEX($A$2:$A$7,I893)</f>
        <v>Segment 6- Self-Conscious Male</v>
      </c>
    </row>
    <row r="894" spans="1:10" x14ac:dyDescent="0.25">
      <c r="A894" s="1">
        <f>'batch tool'!A888</f>
        <v>0</v>
      </c>
      <c r="B894" s="7">
        <f>SUMPRODUCT($C$2:$X$2,'batch tool'!$B888:$W888)+$Y$2</f>
        <v>-49.12272534143483</v>
      </c>
      <c r="C894" s="7">
        <f>SUMPRODUCT($C$3:$X$3,'batch tool'!$B888:$W888)+$Y$3</f>
        <v>-36.514029388465531</v>
      </c>
      <c r="D894" s="7">
        <f>SUMPRODUCT($C$4:$X$4,'batch tool'!$B888:$W888)+$Y$4</f>
        <v>-44.639843068043824</v>
      </c>
      <c r="E894" s="7">
        <f>SUMPRODUCT($C$5:$X$5,'batch tool'!$B888:$W888)+$Y$5</f>
        <v>-51.578889182477603</v>
      </c>
      <c r="F894" s="7">
        <f>SUMPRODUCT($C$6:$X$6,'batch tool'!$B888:$W888)+$Y$6</f>
        <v>-47.741473633885199</v>
      </c>
      <c r="G894" s="7">
        <f>SUMPRODUCT($C$7:$X$7,'batch tool'!$B888:$W888)+$Y$7</f>
        <v>-19.739516238059196</v>
      </c>
      <c r="H894" s="7">
        <f t="shared" si="26"/>
        <v>-19.739516238059196</v>
      </c>
      <c r="I894">
        <f t="shared" si="27"/>
        <v>6</v>
      </c>
      <c r="J894" t="str" cm="1">
        <f t="array" ref="J894">INDEX($A$2:$A$7,I894)</f>
        <v>Segment 6- Self-Conscious Male</v>
      </c>
    </row>
    <row r="895" spans="1:10" x14ac:dyDescent="0.25">
      <c r="A895" s="1">
        <f>'batch tool'!A889</f>
        <v>0</v>
      </c>
      <c r="B895" s="7">
        <f>SUMPRODUCT($C$2:$X$2,'batch tool'!$B889:$W889)+$Y$2</f>
        <v>-49.12272534143483</v>
      </c>
      <c r="C895" s="7">
        <f>SUMPRODUCT($C$3:$X$3,'batch tool'!$B889:$W889)+$Y$3</f>
        <v>-36.514029388465531</v>
      </c>
      <c r="D895" s="7">
        <f>SUMPRODUCT($C$4:$X$4,'batch tool'!$B889:$W889)+$Y$4</f>
        <v>-44.639843068043824</v>
      </c>
      <c r="E895" s="7">
        <f>SUMPRODUCT($C$5:$X$5,'batch tool'!$B889:$W889)+$Y$5</f>
        <v>-51.578889182477603</v>
      </c>
      <c r="F895" s="7">
        <f>SUMPRODUCT($C$6:$X$6,'batch tool'!$B889:$W889)+$Y$6</f>
        <v>-47.741473633885199</v>
      </c>
      <c r="G895" s="7">
        <f>SUMPRODUCT($C$7:$X$7,'batch tool'!$B889:$W889)+$Y$7</f>
        <v>-19.739516238059196</v>
      </c>
      <c r="H895" s="7">
        <f t="shared" si="26"/>
        <v>-19.739516238059196</v>
      </c>
      <c r="I895">
        <f t="shared" si="27"/>
        <v>6</v>
      </c>
      <c r="J895" t="str" cm="1">
        <f t="array" ref="J895">INDEX($A$2:$A$7,I895)</f>
        <v>Segment 6- Self-Conscious Male</v>
      </c>
    </row>
    <row r="896" spans="1:10" x14ac:dyDescent="0.25">
      <c r="A896" s="1">
        <f>'batch tool'!A890</f>
        <v>0</v>
      </c>
      <c r="B896" s="7">
        <f>SUMPRODUCT($C$2:$X$2,'batch tool'!$B890:$W890)+$Y$2</f>
        <v>-49.12272534143483</v>
      </c>
      <c r="C896" s="7">
        <f>SUMPRODUCT($C$3:$X$3,'batch tool'!$B890:$W890)+$Y$3</f>
        <v>-36.514029388465531</v>
      </c>
      <c r="D896" s="7">
        <f>SUMPRODUCT($C$4:$X$4,'batch tool'!$B890:$W890)+$Y$4</f>
        <v>-44.639843068043824</v>
      </c>
      <c r="E896" s="7">
        <f>SUMPRODUCT($C$5:$X$5,'batch tool'!$B890:$W890)+$Y$5</f>
        <v>-51.578889182477603</v>
      </c>
      <c r="F896" s="7">
        <f>SUMPRODUCT($C$6:$X$6,'batch tool'!$B890:$W890)+$Y$6</f>
        <v>-47.741473633885199</v>
      </c>
      <c r="G896" s="7">
        <f>SUMPRODUCT($C$7:$X$7,'batch tool'!$B890:$W890)+$Y$7</f>
        <v>-19.739516238059196</v>
      </c>
      <c r="H896" s="7">
        <f t="shared" si="26"/>
        <v>-19.739516238059196</v>
      </c>
      <c r="I896">
        <f t="shared" si="27"/>
        <v>6</v>
      </c>
      <c r="J896" t="str" cm="1">
        <f t="array" ref="J896">INDEX($A$2:$A$7,I896)</f>
        <v>Segment 6- Self-Conscious Male</v>
      </c>
    </row>
    <row r="897" spans="1:10" x14ac:dyDescent="0.25">
      <c r="A897" s="1">
        <f>'batch tool'!A891</f>
        <v>0</v>
      </c>
      <c r="B897" s="7">
        <f>SUMPRODUCT($C$2:$X$2,'batch tool'!$B891:$W891)+$Y$2</f>
        <v>-49.12272534143483</v>
      </c>
      <c r="C897" s="7">
        <f>SUMPRODUCT($C$3:$X$3,'batch tool'!$B891:$W891)+$Y$3</f>
        <v>-36.514029388465531</v>
      </c>
      <c r="D897" s="7">
        <f>SUMPRODUCT($C$4:$X$4,'batch tool'!$B891:$W891)+$Y$4</f>
        <v>-44.639843068043824</v>
      </c>
      <c r="E897" s="7">
        <f>SUMPRODUCT($C$5:$X$5,'batch tool'!$B891:$W891)+$Y$5</f>
        <v>-51.578889182477603</v>
      </c>
      <c r="F897" s="7">
        <f>SUMPRODUCT($C$6:$X$6,'batch tool'!$B891:$W891)+$Y$6</f>
        <v>-47.741473633885199</v>
      </c>
      <c r="G897" s="7">
        <f>SUMPRODUCT($C$7:$X$7,'batch tool'!$B891:$W891)+$Y$7</f>
        <v>-19.739516238059196</v>
      </c>
      <c r="H897" s="7">
        <f t="shared" si="26"/>
        <v>-19.739516238059196</v>
      </c>
      <c r="I897">
        <f t="shared" si="27"/>
        <v>6</v>
      </c>
      <c r="J897" t="str" cm="1">
        <f t="array" ref="J897">INDEX($A$2:$A$7,I897)</f>
        <v>Segment 6- Self-Conscious Male</v>
      </c>
    </row>
    <row r="898" spans="1:10" x14ac:dyDescent="0.25">
      <c r="A898" s="1">
        <f>'batch tool'!A892</f>
        <v>0</v>
      </c>
      <c r="B898" s="7">
        <f>SUMPRODUCT($C$2:$X$2,'batch tool'!$B892:$W892)+$Y$2</f>
        <v>-49.12272534143483</v>
      </c>
      <c r="C898" s="7">
        <f>SUMPRODUCT($C$3:$X$3,'batch tool'!$B892:$W892)+$Y$3</f>
        <v>-36.514029388465531</v>
      </c>
      <c r="D898" s="7">
        <f>SUMPRODUCT($C$4:$X$4,'batch tool'!$B892:$W892)+$Y$4</f>
        <v>-44.639843068043824</v>
      </c>
      <c r="E898" s="7">
        <f>SUMPRODUCT($C$5:$X$5,'batch tool'!$B892:$W892)+$Y$5</f>
        <v>-51.578889182477603</v>
      </c>
      <c r="F898" s="7">
        <f>SUMPRODUCT($C$6:$X$6,'batch tool'!$B892:$W892)+$Y$6</f>
        <v>-47.741473633885199</v>
      </c>
      <c r="G898" s="7">
        <f>SUMPRODUCT($C$7:$X$7,'batch tool'!$B892:$W892)+$Y$7</f>
        <v>-19.739516238059196</v>
      </c>
      <c r="H898" s="7">
        <f t="shared" si="26"/>
        <v>-19.739516238059196</v>
      </c>
      <c r="I898">
        <f t="shared" si="27"/>
        <v>6</v>
      </c>
      <c r="J898" t="str" cm="1">
        <f t="array" ref="J898">INDEX($A$2:$A$7,I898)</f>
        <v>Segment 6- Self-Conscious Male</v>
      </c>
    </row>
    <row r="899" spans="1:10" x14ac:dyDescent="0.25">
      <c r="A899" s="1">
        <f>'batch tool'!A893</f>
        <v>0</v>
      </c>
      <c r="B899" s="7">
        <f>SUMPRODUCT($C$2:$X$2,'batch tool'!$B893:$W893)+$Y$2</f>
        <v>-49.12272534143483</v>
      </c>
      <c r="C899" s="7">
        <f>SUMPRODUCT($C$3:$X$3,'batch tool'!$B893:$W893)+$Y$3</f>
        <v>-36.514029388465531</v>
      </c>
      <c r="D899" s="7">
        <f>SUMPRODUCT($C$4:$X$4,'batch tool'!$B893:$W893)+$Y$4</f>
        <v>-44.639843068043824</v>
      </c>
      <c r="E899" s="7">
        <f>SUMPRODUCT($C$5:$X$5,'batch tool'!$B893:$W893)+$Y$5</f>
        <v>-51.578889182477603</v>
      </c>
      <c r="F899" s="7">
        <f>SUMPRODUCT($C$6:$X$6,'batch tool'!$B893:$W893)+$Y$6</f>
        <v>-47.741473633885199</v>
      </c>
      <c r="G899" s="7">
        <f>SUMPRODUCT($C$7:$X$7,'batch tool'!$B893:$W893)+$Y$7</f>
        <v>-19.739516238059196</v>
      </c>
      <c r="H899" s="7">
        <f t="shared" si="26"/>
        <v>-19.739516238059196</v>
      </c>
      <c r="I899">
        <f t="shared" si="27"/>
        <v>6</v>
      </c>
      <c r="J899" t="str" cm="1">
        <f t="array" ref="J899">INDEX($A$2:$A$7,I899)</f>
        <v>Segment 6- Self-Conscious Male</v>
      </c>
    </row>
    <row r="900" spans="1:10" x14ac:dyDescent="0.25">
      <c r="A900" s="1">
        <f>'batch tool'!A894</f>
        <v>0</v>
      </c>
      <c r="B900" s="7">
        <f>SUMPRODUCT($C$2:$X$2,'batch tool'!$B894:$W894)+$Y$2</f>
        <v>-49.12272534143483</v>
      </c>
      <c r="C900" s="7">
        <f>SUMPRODUCT($C$3:$X$3,'batch tool'!$B894:$W894)+$Y$3</f>
        <v>-36.514029388465531</v>
      </c>
      <c r="D900" s="7">
        <f>SUMPRODUCT($C$4:$X$4,'batch tool'!$B894:$W894)+$Y$4</f>
        <v>-44.639843068043824</v>
      </c>
      <c r="E900" s="7">
        <f>SUMPRODUCT($C$5:$X$5,'batch tool'!$B894:$W894)+$Y$5</f>
        <v>-51.578889182477603</v>
      </c>
      <c r="F900" s="7">
        <f>SUMPRODUCT($C$6:$X$6,'batch tool'!$B894:$W894)+$Y$6</f>
        <v>-47.741473633885199</v>
      </c>
      <c r="G900" s="7">
        <f>SUMPRODUCT($C$7:$X$7,'batch tool'!$B894:$W894)+$Y$7</f>
        <v>-19.739516238059196</v>
      </c>
      <c r="H900" s="7">
        <f t="shared" si="26"/>
        <v>-19.739516238059196</v>
      </c>
      <c r="I900">
        <f t="shared" si="27"/>
        <v>6</v>
      </c>
      <c r="J900" t="str" cm="1">
        <f t="array" ref="J900">INDEX($A$2:$A$7,I900)</f>
        <v>Segment 6- Self-Conscious Male</v>
      </c>
    </row>
    <row r="901" spans="1:10" x14ac:dyDescent="0.25">
      <c r="A901" s="1">
        <f>'batch tool'!A895</f>
        <v>0</v>
      </c>
      <c r="B901" s="7">
        <f>SUMPRODUCT($C$2:$X$2,'batch tool'!$B895:$W895)+$Y$2</f>
        <v>-49.12272534143483</v>
      </c>
      <c r="C901" s="7">
        <f>SUMPRODUCT($C$3:$X$3,'batch tool'!$B895:$W895)+$Y$3</f>
        <v>-36.514029388465531</v>
      </c>
      <c r="D901" s="7">
        <f>SUMPRODUCT($C$4:$X$4,'batch tool'!$B895:$W895)+$Y$4</f>
        <v>-44.639843068043824</v>
      </c>
      <c r="E901" s="7">
        <f>SUMPRODUCT($C$5:$X$5,'batch tool'!$B895:$W895)+$Y$5</f>
        <v>-51.578889182477603</v>
      </c>
      <c r="F901" s="7">
        <f>SUMPRODUCT($C$6:$X$6,'batch tool'!$B895:$W895)+$Y$6</f>
        <v>-47.741473633885199</v>
      </c>
      <c r="G901" s="7">
        <f>SUMPRODUCT($C$7:$X$7,'batch tool'!$B895:$W895)+$Y$7</f>
        <v>-19.739516238059196</v>
      </c>
      <c r="H901" s="7">
        <f t="shared" si="26"/>
        <v>-19.739516238059196</v>
      </c>
      <c r="I901">
        <f t="shared" si="27"/>
        <v>6</v>
      </c>
      <c r="J901" t="str" cm="1">
        <f t="array" ref="J901">INDEX($A$2:$A$7,I901)</f>
        <v>Segment 6- Self-Conscious Male</v>
      </c>
    </row>
    <row r="902" spans="1:10" x14ac:dyDescent="0.25">
      <c r="A902" s="1">
        <f>'batch tool'!A896</f>
        <v>0</v>
      </c>
      <c r="B902" s="7">
        <f>SUMPRODUCT($C$2:$X$2,'batch tool'!$B896:$W896)+$Y$2</f>
        <v>-49.12272534143483</v>
      </c>
      <c r="C902" s="7">
        <f>SUMPRODUCT($C$3:$X$3,'batch tool'!$B896:$W896)+$Y$3</f>
        <v>-36.514029388465531</v>
      </c>
      <c r="D902" s="7">
        <f>SUMPRODUCT($C$4:$X$4,'batch tool'!$B896:$W896)+$Y$4</f>
        <v>-44.639843068043824</v>
      </c>
      <c r="E902" s="7">
        <f>SUMPRODUCT($C$5:$X$5,'batch tool'!$B896:$W896)+$Y$5</f>
        <v>-51.578889182477603</v>
      </c>
      <c r="F902" s="7">
        <f>SUMPRODUCT($C$6:$X$6,'batch tool'!$B896:$W896)+$Y$6</f>
        <v>-47.741473633885199</v>
      </c>
      <c r="G902" s="7">
        <f>SUMPRODUCT($C$7:$X$7,'batch tool'!$B896:$W896)+$Y$7</f>
        <v>-19.739516238059196</v>
      </c>
      <c r="H902" s="7">
        <f t="shared" si="26"/>
        <v>-19.739516238059196</v>
      </c>
      <c r="I902">
        <f t="shared" si="27"/>
        <v>6</v>
      </c>
      <c r="J902" t="str" cm="1">
        <f t="array" ref="J902">INDEX($A$2:$A$7,I902)</f>
        <v>Segment 6- Self-Conscious Male</v>
      </c>
    </row>
    <row r="903" spans="1:10" x14ac:dyDescent="0.25">
      <c r="A903" s="1">
        <f>'batch tool'!A897</f>
        <v>0</v>
      </c>
      <c r="B903" s="7">
        <f>SUMPRODUCT($C$2:$X$2,'batch tool'!$B897:$W897)+$Y$2</f>
        <v>-49.12272534143483</v>
      </c>
      <c r="C903" s="7">
        <f>SUMPRODUCT($C$3:$X$3,'batch tool'!$B897:$W897)+$Y$3</f>
        <v>-36.514029388465531</v>
      </c>
      <c r="D903" s="7">
        <f>SUMPRODUCT($C$4:$X$4,'batch tool'!$B897:$W897)+$Y$4</f>
        <v>-44.639843068043824</v>
      </c>
      <c r="E903" s="7">
        <f>SUMPRODUCT($C$5:$X$5,'batch tool'!$B897:$W897)+$Y$5</f>
        <v>-51.578889182477603</v>
      </c>
      <c r="F903" s="7">
        <f>SUMPRODUCT($C$6:$X$6,'batch tool'!$B897:$W897)+$Y$6</f>
        <v>-47.741473633885199</v>
      </c>
      <c r="G903" s="7">
        <f>SUMPRODUCT($C$7:$X$7,'batch tool'!$B897:$W897)+$Y$7</f>
        <v>-19.739516238059196</v>
      </c>
      <c r="H903" s="7">
        <f t="shared" si="26"/>
        <v>-19.739516238059196</v>
      </c>
      <c r="I903">
        <f t="shared" si="27"/>
        <v>6</v>
      </c>
      <c r="J903" t="str" cm="1">
        <f t="array" ref="J903">INDEX($A$2:$A$7,I903)</f>
        <v>Segment 6- Self-Conscious Male</v>
      </c>
    </row>
    <row r="904" spans="1:10" x14ac:dyDescent="0.25">
      <c r="A904" s="1">
        <f>'batch tool'!A898</f>
        <v>0</v>
      </c>
      <c r="B904" s="7">
        <f>SUMPRODUCT($C$2:$X$2,'batch tool'!$B898:$W898)+$Y$2</f>
        <v>-49.12272534143483</v>
      </c>
      <c r="C904" s="7">
        <f>SUMPRODUCT($C$3:$X$3,'batch tool'!$B898:$W898)+$Y$3</f>
        <v>-36.514029388465531</v>
      </c>
      <c r="D904" s="7">
        <f>SUMPRODUCT($C$4:$X$4,'batch tool'!$B898:$W898)+$Y$4</f>
        <v>-44.639843068043824</v>
      </c>
      <c r="E904" s="7">
        <f>SUMPRODUCT($C$5:$X$5,'batch tool'!$B898:$W898)+$Y$5</f>
        <v>-51.578889182477603</v>
      </c>
      <c r="F904" s="7">
        <f>SUMPRODUCT($C$6:$X$6,'batch tool'!$B898:$W898)+$Y$6</f>
        <v>-47.741473633885199</v>
      </c>
      <c r="G904" s="7">
        <f>SUMPRODUCT($C$7:$X$7,'batch tool'!$B898:$W898)+$Y$7</f>
        <v>-19.739516238059196</v>
      </c>
      <c r="H904" s="7">
        <f t="shared" si="26"/>
        <v>-19.739516238059196</v>
      </c>
      <c r="I904">
        <f t="shared" si="27"/>
        <v>6</v>
      </c>
      <c r="J904" t="str" cm="1">
        <f t="array" ref="J904">INDEX($A$2:$A$7,I904)</f>
        <v>Segment 6- Self-Conscious Male</v>
      </c>
    </row>
    <row r="905" spans="1:10" x14ac:dyDescent="0.25">
      <c r="A905" s="1">
        <f>'batch tool'!A899</f>
        <v>0</v>
      </c>
      <c r="B905" s="7">
        <f>SUMPRODUCT($C$2:$X$2,'batch tool'!$B899:$W899)+$Y$2</f>
        <v>-49.12272534143483</v>
      </c>
      <c r="C905" s="7">
        <f>SUMPRODUCT($C$3:$X$3,'batch tool'!$B899:$W899)+$Y$3</f>
        <v>-36.514029388465531</v>
      </c>
      <c r="D905" s="7">
        <f>SUMPRODUCT($C$4:$X$4,'batch tool'!$B899:$W899)+$Y$4</f>
        <v>-44.639843068043824</v>
      </c>
      <c r="E905" s="7">
        <f>SUMPRODUCT($C$5:$X$5,'batch tool'!$B899:$W899)+$Y$5</f>
        <v>-51.578889182477603</v>
      </c>
      <c r="F905" s="7">
        <f>SUMPRODUCT($C$6:$X$6,'batch tool'!$B899:$W899)+$Y$6</f>
        <v>-47.741473633885199</v>
      </c>
      <c r="G905" s="7">
        <f>SUMPRODUCT($C$7:$X$7,'batch tool'!$B899:$W899)+$Y$7</f>
        <v>-19.739516238059196</v>
      </c>
      <c r="H905" s="7">
        <f t="shared" si="26"/>
        <v>-19.739516238059196</v>
      </c>
      <c r="I905">
        <f t="shared" si="27"/>
        <v>6</v>
      </c>
      <c r="J905" t="str" cm="1">
        <f t="array" ref="J905">INDEX($A$2:$A$7,I905)</f>
        <v>Segment 6- Self-Conscious Male</v>
      </c>
    </row>
    <row r="906" spans="1:10" x14ac:dyDescent="0.25">
      <c r="A906" s="1">
        <f>'batch tool'!A900</f>
        <v>0</v>
      </c>
      <c r="B906" s="7">
        <f>SUMPRODUCT($C$2:$X$2,'batch tool'!$B900:$W900)+$Y$2</f>
        <v>-49.12272534143483</v>
      </c>
      <c r="C906" s="7">
        <f>SUMPRODUCT($C$3:$X$3,'batch tool'!$B900:$W900)+$Y$3</f>
        <v>-36.514029388465531</v>
      </c>
      <c r="D906" s="7">
        <f>SUMPRODUCT($C$4:$X$4,'batch tool'!$B900:$W900)+$Y$4</f>
        <v>-44.639843068043824</v>
      </c>
      <c r="E906" s="7">
        <f>SUMPRODUCT($C$5:$X$5,'batch tool'!$B900:$W900)+$Y$5</f>
        <v>-51.578889182477603</v>
      </c>
      <c r="F906" s="7">
        <f>SUMPRODUCT($C$6:$X$6,'batch tool'!$B900:$W900)+$Y$6</f>
        <v>-47.741473633885199</v>
      </c>
      <c r="G906" s="7">
        <f>SUMPRODUCT($C$7:$X$7,'batch tool'!$B900:$W900)+$Y$7</f>
        <v>-19.739516238059196</v>
      </c>
      <c r="H906" s="7">
        <f t="shared" si="26"/>
        <v>-19.739516238059196</v>
      </c>
      <c r="I906">
        <f t="shared" si="27"/>
        <v>6</v>
      </c>
      <c r="J906" t="str" cm="1">
        <f t="array" ref="J906">INDEX($A$2:$A$7,I906)</f>
        <v>Segment 6- Self-Conscious Male</v>
      </c>
    </row>
    <row r="907" spans="1:10" x14ac:dyDescent="0.25">
      <c r="A907" s="1">
        <f>'batch tool'!A901</f>
        <v>0</v>
      </c>
      <c r="B907" s="7">
        <f>SUMPRODUCT($C$2:$X$2,'batch tool'!$B901:$W901)+$Y$2</f>
        <v>-49.12272534143483</v>
      </c>
      <c r="C907" s="7">
        <f>SUMPRODUCT($C$3:$X$3,'batch tool'!$B901:$W901)+$Y$3</f>
        <v>-36.514029388465531</v>
      </c>
      <c r="D907" s="7">
        <f>SUMPRODUCT($C$4:$X$4,'batch tool'!$B901:$W901)+$Y$4</f>
        <v>-44.639843068043824</v>
      </c>
      <c r="E907" s="7">
        <f>SUMPRODUCT($C$5:$X$5,'batch tool'!$B901:$W901)+$Y$5</f>
        <v>-51.578889182477603</v>
      </c>
      <c r="F907" s="7">
        <f>SUMPRODUCT($C$6:$X$6,'batch tool'!$B901:$W901)+$Y$6</f>
        <v>-47.741473633885199</v>
      </c>
      <c r="G907" s="7">
        <f>SUMPRODUCT($C$7:$X$7,'batch tool'!$B901:$W901)+$Y$7</f>
        <v>-19.739516238059196</v>
      </c>
      <c r="H907" s="7">
        <f t="shared" ref="H907:H970" si="28">MAX(B907:G907)</f>
        <v>-19.739516238059196</v>
      </c>
      <c r="I907">
        <f t="shared" ref="I907:I970" si="29">MATCH(H907,B907:G907,0)</f>
        <v>6</v>
      </c>
      <c r="J907" t="str" cm="1">
        <f t="array" ref="J907">INDEX($A$2:$A$7,I907)</f>
        <v>Segment 6- Self-Conscious Male</v>
      </c>
    </row>
    <row r="908" spans="1:10" x14ac:dyDescent="0.25">
      <c r="A908" s="1">
        <f>'batch tool'!A902</f>
        <v>0</v>
      </c>
      <c r="B908" s="7">
        <f>SUMPRODUCT($C$2:$X$2,'batch tool'!$B902:$W902)+$Y$2</f>
        <v>-49.12272534143483</v>
      </c>
      <c r="C908" s="7">
        <f>SUMPRODUCT($C$3:$X$3,'batch tool'!$B902:$W902)+$Y$3</f>
        <v>-36.514029388465531</v>
      </c>
      <c r="D908" s="7">
        <f>SUMPRODUCT($C$4:$X$4,'batch tool'!$B902:$W902)+$Y$4</f>
        <v>-44.639843068043824</v>
      </c>
      <c r="E908" s="7">
        <f>SUMPRODUCT($C$5:$X$5,'batch tool'!$B902:$W902)+$Y$5</f>
        <v>-51.578889182477603</v>
      </c>
      <c r="F908" s="7">
        <f>SUMPRODUCT($C$6:$X$6,'batch tool'!$B902:$W902)+$Y$6</f>
        <v>-47.741473633885199</v>
      </c>
      <c r="G908" s="7">
        <f>SUMPRODUCT($C$7:$X$7,'batch tool'!$B902:$W902)+$Y$7</f>
        <v>-19.739516238059196</v>
      </c>
      <c r="H908" s="7">
        <f t="shared" si="28"/>
        <v>-19.739516238059196</v>
      </c>
      <c r="I908">
        <f t="shared" si="29"/>
        <v>6</v>
      </c>
      <c r="J908" t="str" cm="1">
        <f t="array" ref="J908">INDEX($A$2:$A$7,I908)</f>
        <v>Segment 6- Self-Conscious Male</v>
      </c>
    </row>
    <row r="909" spans="1:10" x14ac:dyDescent="0.25">
      <c r="A909" s="1">
        <f>'batch tool'!A903</f>
        <v>0</v>
      </c>
      <c r="B909" s="7">
        <f>SUMPRODUCT($C$2:$X$2,'batch tool'!$B903:$W903)+$Y$2</f>
        <v>-49.12272534143483</v>
      </c>
      <c r="C909" s="7">
        <f>SUMPRODUCT($C$3:$X$3,'batch tool'!$B903:$W903)+$Y$3</f>
        <v>-36.514029388465531</v>
      </c>
      <c r="D909" s="7">
        <f>SUMPRODUCT($C$4:$X$4,'batch tool'!$B903:$W903)+$Y$4</f>
        <v>-44.639843068043824</v>
      </c>
      <c r="E909" s="7">
        <f>SUMPRODUCT($C$5:$X$5,'batch tool'!$B903:$W903)+$Y$5</f>
        <v>-51.578889182477603</v>
      </c>
      <c r="F909" s="7">
        <f>SUMPRODUCT($C$6:$X$6,'batch tool'!$B903:$W903)+$Y$6</f>
        <v>-47.741473633885199</v>
      </c>
      <c r="G909" s="7">
        <f>SUMPRODUCT($C$7:$X$7,'batch tool'!$B903:$W903)+$Y$7</f>
        <v>-19.739516238059196</v>
      </c>
      <c r="H909" s="7">
        <f t="shared" si="28"/>
        <v>-19.739516238059196</v>
      </c>
      <c r="I909">
        <f t="shared" si="29"/>
        <v>6</v>
      </c>
      <c r="J909" t="str" cm="1">
        <f t="array" ref="J909">INDEX($A$2:$A$7,I909)</f>
        <v>Segment 6- Self-Conscious Male</v>
      </c>
    </row>
    <row r="910" spans="1:10" x14ac:dyDescent="0.25">
      <c r="A910" s="1">
        <f>'batch tool'!A904</f>
        <v>0</v>
      </c>
      <c r="B910" s="7">
        <f>SUMPRODUCT($C$2:$X$2,'batch tool'!$B904:$W904)+$Y$2</f>
        <v>-49.12272534143483</v>
      </c>
      <c r="C910" s="7">
        <f>SUMPRODUCT($C$3:$X$3,'batch tool'!$B904:$W904)+$Y$3</f>
        <v>-36.514029388465531</v>
      </c>
      <c r="D910" s="7">
        <f>SUMPRODUCT($C$4:$X$4,'batch tool'!$B904:$W904)+$Y$4</f>
        <v>-44.639843068043824</v>
      </c>
      <c r="E910" s="7">
        <f>SUMPRODUCT($C$5:$X$5,'batch tool'!$B904:$W904)+$Y$5</f>
        <v>-51.578889182477603</v>
      </c>
      <c r="F910" s="7">
        <f>SUMPRODUCT($C$6:$X$6,'batch tool'!$B904:$W904)+$Y$6</f>
        <v>-47.741473633885199</v>
      </c>
      <c r="G910" s="7">
        <f>SUMPRODUCT($C$7:$X$7,'batch tool'!$B904:$W904)+$Y$7</f>
        <v>-19.739516238059196</v>
      </c>
      <c r="H910" s="7">
        <f t="shared" si="28"/>
        <v>-19.739516238059196</v>
      </c>
      <c r="I910">
        <f t="shared" si="29"/>
        <v>6</v>
      </c>
      <c r="J910" t="str" cm="1">
        <f t="array" ref="J910">INDEX($A$2:$A$7,I910)</f>
        <v>Segment 6- Self-Conscious Male</v>
      </c>
    </row>
    <row r="911" spans="1:10" x14ac:dyDescent="0.25">
      <c r="A911" s="1">
        <f>'batch tool'!A905</f>
        <v>0</v>
      </c>
      <c r="B911" s="7">
        <f>SUMPRODUCT($C$2:$X$2,'batch tool'!$B905:$W905)+$Y$2</f>
        <v>-49.12272534143483</v>
      </c>
      <c r="C911" s="7">
        <f>SUMPRODUCT($C$3:$X$3,'batch tool'!$B905:$W905)+$Y$3</f>
        <v>-36.514029388465531</v>
      </c>
      <c r="D911" s="7">
        <f>SUMPRODUCT($C$4:$X$4,'batch tool'!$B905:$W905)+$Y$4</f>
        <v>-44.639843068043824</v>
      </c>
      <c r="E911" s="7">
        <f>SUMPRODUCT($C$5:$X$5,'batch tool'!$B905:$W905)+$Y$5</f>
        <v>-51.578889182477603</v>
      </c>
      <c r="F911" s="7">
        <f>SUMPRODUCT($C$6:$X$6,'batch tool'!$B905:$W905)+$Y$6</f>
        <v>-47.741473633885199</v>
      </c>
      <c r="G911" s="7">
        <f>SUMPRODUCT($C$7:$X$7,'batch tool'!$B905:$W905)+$Y$7</f>
        <v>-19.739516238059196</v>
      </c>
      <c r="H911" s="7">
        <f t="shared" si="28"/>
        <v>-19.739516238059196</v>
      </c>
      <c r="I911">
        <f t="shared" si="29"/>
        <v>6</v>
      </c>
      <c r="J911" t="str" cm="1">
        <f t="array" ref="J911">INDEX($A$2:$A$7,I911)</f>
        <v>Segment 6- Self-Conscious Male</v>
      </c>
    </row>
    <row r="912" spans="1:10" x14ac:dyDescent="0.25">
      <c r="A912" s="1">
        <f>'batch tool'!A906</f>
        <v>0</v>
      </c>
      <c r="B912" s="7">
        <f>SUMPRODUCT($C$2:$X$2,'batch tool'!$B906:$W906)+$Y$2</f>
        <v>-49.12272534143483</v>
      </c>
      <c r="C912" s="7">
        <f>SUMPRODUCT($C$3:$X$3,'batch tool'!$B906:$W906)+$Y$3</f>
        <v>-36.514029388465531</v>
      </c>
      <c r="D912" s="7">
        <f>SUMPRODUCT($C$4:$X$4,'batch tool'!$B906:$W906)+$Y$4</f>
        <v>-44.639843068043824</v>
      </c>
      <c r="E912" s="7">
        <f>SUMPRODUCT($C$5:$X$5,'batch tool'!$B906:$W906)+$Y$5</f>
        <v>-51.578889182477603</v>
      </c>
      <c r="F912" s="7">
        <f>SUMPRODUCT($C$6:$X$6,'batch tool'!$B906:$W906)+$Y$6</f>
        <v>-47.741473633885199</v>
      </c>
      <c r="G912" s="7">
        <f>SUMPRODUCT($C$7:$X$7,'batch tool'!$B906:$W906)+$Y$7</f>
        <v>-19.739516238059196</v>
      </c>
      <c r="H912" s="7">
        <f t="shared" si="28"/>
        <v>-19.739516238059196</v>
      </c>
      <c r="I912">
        <f t="shared" si="29"/>
        <v>6</v>
      </c>
      <c r="J912" t="str" cm="1">
        <f t="array" ref="J912">INDEX($A$2:$A$7,I912)</f>
        <v>Segment 6- Self-Conscious Male</v>
      </c>
    </row>
    <row r="913" spans="1:10" x14ac:dyDescent="0.25">
      <c r="A913" s="1">
        <f>'batch tool'!A907</f>
        <v>0</v>
      </c>
      <c r="B913" s="7">
        <f>SUMPRODUCT($C$2:$X$2,'batch tool'!$B907:$W907)+$Y$2</f>
        <v>-49.12272534143483</v>
      </c>
      <c r="C913" s="7">
        <f>SUMPRODUCT($C$3:$X$3,'batch tool'!$B907:$W907)+$Y$3</f>
        <v>-36.514029388465531</v>
      </c>
      <c r="D913" s="7">
        <f>SUMPRODUCT($C$4:$X$4,'batch tool'!$B907:$W907)+$Y$4</f>
        <v>-44.639843068043824</v>
      </c>
      <c r="E913" s="7">
        <f>SUMPRODUCT($C$5:$X$5,'batch tool'!$B907:$W907)+$Y$5</f>
        <v>-51.578889182477603</v>
      </c>
      <c r="F913" s="7">
        <f>SUMPRODUCT($C$6:$X$6,'batch tool'!$B907:$W907)+$Y$6</f>
        <v>-47.741473633885199</v>
      </c>
      <c r="G913" s="7">
        <f>SUMPRODUCT($C$7:$X$7,'batch tool'!$B907:$W907)+$Y$7</f>
        <v>-19.739516238059196</v>
      </c>
      <c r="H913" s="7">
        <f t="shared" si="28"/>
        <v>-19.739516238059196</v>
      </c>
      <c r="I913">
        <f t="shared" si="29"/>
        <v>6</v>
      </c>
      <c r="J913" t="str" cm="1">
        <f t="array" ref="J913">INDEX($A$2:$A$7,I913)</f>
        <v>Segment 6- Self-Conscious Male</v>
      </c>
    </row>
    <row r="914" spans="1:10" x14ac:dyDescent="0.25">
      <c r="A914" s="1">
        <f>'batch tool'!A908</f>
        <v>0</v>
      </c>
      <c r="B914" s="7">
        <f>SUMPRODUCT($C$2:$X$2,'batch tool'!$B908:$W908)+$Y$2</f>
        <v>-49.12272534143483</v>
      </c>
      <c r="C914" s="7">
        <f>SUMPRODUCT($C$3:$X$3,'batch tool'!$B908:$W908)+$Y$3</f>
        <v>-36.514029388465531</v>
      </c>
      <c r="D914" s="7">
        <f>SUMPRODUCT($C$4:$X$4,'batch tool'!$B908:$W908)+$Y$4</f>
        <v>-44.639843068043824</v>
      </c>
      <c r="E914" s="7">
        <f>SUMPRODUCT($C$5:$X$5,'batch tool'!$B908:$W908)+$Y$5</f>
        <v>-51.578889182477603</v>
      </c>
      <c r="F914" s="7">
        <f>SUMPRODUCT($C$6:$X$6,'batch tool'!$B908:$W908)+$Y$6</f>
        <v>-47.741473633885199</v>
      </c>
      <c r="G914" s="7">
        <f>SUMPRODUCT($C$7:$X$7,'batch tool'!$B908:$W908)+$Y$7</f>
        <v>-19.739516238059196</v>
      </c>
      <c r="H914" s="7">
        <f t="shared" si="28"/>
        <v>-19.739516238059196</v>
      </c>
      <c r="I914">
        <f t="shared" si="29"/>
        <v>6</v>
      </c>
      <c r="J914" t="str" cm="1">
        <f t="array" ref="J914">INDEX($A$2:$A$7,I914)</f>
        <v>Segment 6- Self-Conscious Male</v>
      </c>
    </row>
    <row r="915" spans="1:10" x14ac:dyDescent="0.25">
      <c r="A915" s="1">
        <f>'batch tool'!A909</f>
        <v>0</v>
      </c>
      <c r="B915" s="7">
        <f>SUMPRODUCT($C$2:$X$2,'batch tool'!$B909:$W909)+$Y$2</f>
        <v>-49.12272534143483</v>
      </c>
      <c r="C915" s="7">
        <f>SUMPRODUCT($C$3:$X$3,'batch tool'!$B909:$W909)+$Y$3</f>
        <v>-36.514029388465531</v>
      </c>
      <c r="D915" s="7">
        <f>SUMPRODUCT($C$4:$X$4,'batch tool'!$B909:$W909)+$Y$4</f>
        <v>-44.639843068043824</v>
      </c>
      <c r="E915" s="7">
        <f>SUMPRODUCT($C$5:$X$5,'batch tool'!$B909:$W909)+$Y$5</f>
        <v>-51.578889182477603</v>
      </c>
      <c r="F915" s="7">
        <f>SUMPRODUCT($C$6:$X$6,'batch tool'!$B909:$W909)+$Y$6</f>
        <v>-47.741473633885199</v>
      </c>
      <c r="G915" s="7">
        <f>SUMPRODUCT($C$7:$X$7,'batch tool'!$B909:$W909)+$Y$7</f>
        <v>-19.739516238059196</v>
      </c>
      <c r="H915" s="7">
        <f t="shared" si="28"/>
        <v>-19.739516238059196</v>
      </c>
      <c r="I915">
        <f t="shared" si="29"/>
        <v>6</v>
      </c>
      <c r="J915" t="str" cm="1">
        <f t="array" ref="J915">INDEX($A$2:$A$7,I915)</f>
        <v>Segment 6- Self-Conscious Male</v>
      </c>
    </row>
    <row r="916" spans="1:10" x14ac:dyDescent="0.25">
      <c r="A916" s="1">
        <f>'batch tool'!A910</f>
        <v>0</v>
      </c>
      <c r="B916" s="7">
        <f>SUMPRODUCT($C$2:$X$2,'batch tool'!$B910:$W910)+$Y$2</f>
        <v>-49.12272534143483</v>
      </c>
      <c r="C916" s="7">
        <f>SUMPRODUCT($C$3:$X$3,'batch tool'!$B910:$W910)+$Y$3</f>
        <v>-36.514029388465531</v>
      </c>
      <c r="D916" s="7">
        <f>SUMPRODUCT($C$4:$X$4,'batch tool'!$B910:$W910)+$Y$4</f>
        <v>-44.639843068043824</v>
      </c>
      <c r="E916" s="7">
        <f>SUMPRODUCT($C$5:$X$5,'batch tool'!$B910:$W910)+$Y$5</f>
        <v>-51.578889182477603</v>
      </c>
      <c r="F916" s="7">
        <f>SUMPRODUCT($C$6:$X$6,'batch tool'!$B910:$W910)+$Y$6</f>
        <v>-47.741473633885199</v>
      </c>
      <c r="G916" s="7">
        <f>SUMPRODUCT($C$7:$X$7,'batch tool'!$B910:$W910)+$Y$7</f>
        <v>-19.739516238059196</v>
      </c>
      <c r="H916" s="7">
        <f t="shared" si="28"/>
        <v>-19.739516238059196</v>
      </c>
      <c r="I916">
        <f t="shared" si="29"/>
        <v>6</v>
      </c>
      <c r="J916" t="str" cm="1">
        <f t="array" ref="J916">INDEX($A$2:$A$7,I916)</f>
        <v>Segment 6- Self-Conscious Male</v>
      </c>
    </row>
    <row r="917" spans="1:10" x14ac:dyDescent="0.25">
      <c r="A917" s="1">
        <f>'batch tool'!A911</f>
        <v>0</v>
      </c>
      <c r="B917" s="7">
        <f>SUMPRODUCT($C$2:$X$2,'batch tool'!$B911:$W911)+$Y$2</f>
        <v>-49.12272534143483</v>
      </c>
      <c r="C917" s="7">
        <f>SUMPRODUCT($C$3:$X$3,'batch tool'!$B911:$W911)+$Y$3</f>
        <v>-36.514029388465531</v>
      </c>
      <c r="D917" s="7">
        <f>SUMPRODUCT($C$4:$X$4,'batch tool'!$B911:$W911)+$Y$4</f>
        <v>-44.639843068043824</v>
      </c>
      <c r="E917" s="7">
        <f>SUMPRODUCT($C$5:$X$5,'batch tool'!$B911:$W911)+$Y$5</f>
        <v>-51.578889182477603</v>
      </c>
      <c r="F917" s="7">
        <f>SUMPRODUCT($C$6:$X$6,'batch tool'!$B911:$W911)+$Y$6</f>
        <v>-47.741473633885199</v>
      </c>
      <c r="G917" s="7">
        <f>SUMPRODUCT($C$7:$X$7,'batch tool'!$B911:$W911)+$Y$7</f>
        <v>-19.739516238059196</v>
      </c>
      <c r="H917" s="7">
        <f t="shared" si="28"/>
        <v>-19.739516238059196</v>
      </c>
      <c r="I917">
        <f t="shared" si="29"/>
        <v>6</v>
      </c>
      <c r="J917" t="str" cm="1">
        <f t="array" ref="J917">INDEX($A$2:$A$7,I917)</f>
        <v>Segment 6- Self-Conscious Male</v>
      </c>
    </row>
    <row r="918" spans="1:10" x14ac:dyDescent="0.25">
      <c r="A918" s="1">
        <f>'batch tool'!A912</f>
        <v>0</v>
      </c>
      <c r="B918" s="7">
        <f>SUMPRODUCT($C$2:$X$2,'batch tool'!$B912:$W912)+$Y$2</f>
        <v>-49.12272534143483</v>
      </c>
      <c r="C918" s="7">
        <f>SUMPRODUCT($C$3:$X$3,'batch tool'!$B912:$W912)+$Y$3</f>
        <v>-36.514029388465531</v>
      </c>
      <c r="D918" s="7">
        <f>SUMPRODUCT($C$4:$X$4,'batch tool'!$B912:$W912)+$Y$4</f>
        <v>-44.639843068043824</v>
      </c>
      <c r="E918" s="7">
        <f>SUMPRODUCT($C$5:$X$5,'batch tool'!$B912:$W912)+$Y$5</f>
        <v>-51.578889182477603</v>
      </c>
      <c r="F918" s="7">
        <f>SUMPRODUCT($C$6:$X$6,'batch tool'!$B912:$W912)+$Y$6</f>
        <v>-47.741473633885199</v>
      </c>
      <c r="G918" s="7">
        <f>SUMPRODUCT($C$7:$X$7,'batch tool'!$B912:$W912)+$Y$7</f>
        <v>-19.739516238059196</v>
      </c>
      <c r="H918" s="7">
        <f t="shared" si="28"/>
        <v>-19.739516238059196</v>
      </c>
      <c r="I918">
        <f t="shared" si="29"/>
        <v>6</v>
      </c>
      <c r="J918" t="str" cm="1">
        <f t="array" ref="J918">INDEX($A$2:$A$7,I918)</f>
        <v>Segment 6- Self-Conscious Male</v>
      </c>
    </row>
    <row r="919" spans="1:10" x14ac:dyDescent="0.25">
      <c r="A919" s="1">
        <f>'batch tool'!A913</f>
        <v>0</v>
      </c>
      <c r="B919" s="7">
        <f>SUMPRODUCT($C$2:$X$2,'batch tool'!$B913:$W913)+$Y$2</f>
        <v>-49.12272534143483</v>
      </c>
      <c r="C919" s="7">
        <f>SUMPRODUCT($C$3:$X$3,'batch tool'!$B913:$W913)+$Y$3</f>
        <v>-36.514029388465531</v>
      </c>
      <c r="D919" s="7">
        <f>SUMPRODUCT($C$4:$X$4,'batch tool'!$B913:$W913)+$Y$4</f>
        <v>-44.639843068043824</v>
      </c>
      <c r="E919" s="7">
        <f>SUMPRODUCT($C$5:$X$5,'batch tool'!$B913:$W913)+$Y$5</f>
        <v>-51.578889182477603</v>
      </c>
      <c r="F919" s="7">
        <f>SUMPRODUCT($C$6:$X$6,'batch tool'!$B913:$W913)+$Y$6</f>
        <v>-47.741473633885199</v>
      </c>
      <c r="G919" s="7">
        <f>SUMPRODUCT($C$7:$X$7,'batch tool'!$B913:$W913)+$Y$7</f>
        <v>-19.739516238059196</v>
      </c>
      <c r="H919" s="7">
        <f t="shared" si="28"/>
        <v>-19.739516238059196</v>
      </c>
      <c r="I919">
        <f t="shared" si="29"/>
        <v>6</v>
      </c>
      <c r="J919" t="str" cm="1">
        <f t="array" ref="J919">INDEX($A$2:$A$7,I919)</f>
        <v>Segment 6- Self-Conscious Male</v>
      </c>
    </row>
    <row r="920" spans="1:10" x14ac:dyDescent="0.25">
      <c r="A920" s="1">
        <f>'batch tool'!A914</f>
        <v>0</v>
      </c>
      <c r="B920" s="7">
        <f>SUMPRODUCT($C$2:$X$2,'batch tool'!$B914:$W914)+$Y$2</f>
        <v>-49.12272534143483</v>
      </c>
      <c r="C920" s="7">
        <f>SUMPRODUCT($C$3:$X$3,'batch tool'!$B914:$W914)+$Y$3</f>
        <v>-36.514029388465531</v>
      </c>
      <c r="D920" s="7">
        <f>SUMPRODUCT($C$4:$X$4,'batch tool'!$B914:$W914)+$Y$4</f>
        <v>-44.639843068043824</v>
      </c>
      <c r="E920" s="7">
        <f>SUMPRODUCT($C$5:$X$5,'batch tool'!$B914:$W914)+$Y$5</f>
        <v>-51.578889182477603</v>
      </c>
      <c r="F920" s="7">
        <f>SUMPRODUCT($C$6:$X$6,'batch tool'!$B914:$W914)+$Y$6</f>
        <v>-47.741473633885199</v>
      </c>
      <c r="G920" s="7">
        <f>SUMPRODUCT($C$7:$X$7,'batch tool'!$B914:$W914)+$Y$7</f>
        <v>-19.739516238059196</v>
      </c>
      <c r="H920" s="7">
        <f t="shared" si="28"/>
        <v>-19.739516238059196</v>
      </c>
      <c r="I920">
        <f t="shared" si="29"/>
        <v>6</v>
      </c>
      <c r="J920" t="str" cm="1">
        <f t="array" ref="J920">INDEX($A$2:$A$7,I920)</f>
        <v>Segment 6- Self-Conscious Male</v>
      </c>
    </row>
    <row r="921" spans="1:10" x14ac:dyDescent="0.25">
      <c r="A921" s="1">
        <f>'batch tool'!A915</f>
        <v>0</v>
      </c>
      <c r="B921" s="7">
        <f>SUMPRODUCT($C$2:$X$2,'batch tool'!$B915:$W915)+$Y$2</f>
        <v>-49.12272534143483</v>
      </c>
      <c r="C921" s="7">
        <f>SUMPRODUCT($C$3:$X$3,'batch tool'!$B915:$W915)+$Y$3</f>
        <v>-36.514029388465531</v>
      </c>
      <c r="D921" s="7">
        <f>SUMPRODUCT($C$4:$X$4,'batch tool'!$B915:$W915)+$Y$4</f>
        <v>-44.639843068043824</v>
      </c>
      <c r="E921" s="7">
        <f>SUMPRODUCT($C$5:$X$5,'batch tool'!$B915:$W915)+$Y$5</f>
        <v>-51.578889182477603</v>
      </c>
      <c r="F921" s="7">
        <f>SUMPRODUCT($C$6:$X$6,'batch tool'!$B915:$W915)+$Y$6</f>
        <v>-47.741473633885199</v>
      </c>
      <c r="G921" s="7">
        <f>SUMPRODUCT($C$7:$X$7,'batch tool'!$B915:$W915)+$Y$7</f>
        <v>-19.739516238059196</v>
      </c>
      <c r="H921" s="7">
        <f t="shared" si="28"/>
        <v>-19.739516238059196</v>
      </c>
      <c r="I921">
        <f t="shared" si="29"/>
        <v>6</v>
      </c>
      <c r="J921" t="str" cm="1">
        <f t="array" ref="J921">INDEX($A$2:$A$7,I921)</f>
        <v>Segment 6- Self-Conscious Male</v>
      </c>
    </row>
    <row r="922" spans="1:10" x14ac:dyDescent="0.25">
      <c r="A922" s="1">
        <f>'batch tool'!A916</f>
        <v>0</v>
      </c>
      <c r="B922" s="7">
        <f>SUMPRODUCT($C$2:$X$2,'batch tool'!$B916:$W916)+$Y$2</f>
        <v>-49.12272534143483</v>
      </c>
      <c r="C922" s="7">
        <f>SUMPRODUCT($C$3:$X$3,'batch tool'!$B916:$W916)+$Y$3</f>
        <v>-36.514029388465531</v>
      </c>
      <c r="D922" s="7">
        <f>SUMPRODUCT($C$4:$X$4,'batch tool'!$B916:$W916)+$Y$4</f>
        <v>-44.639843068043824</v>
      </c>
      <c r="E922" s="7">
        <f>SUMPRODUCT($C$5:$X$5,'batch tool'!$B916:$W916)+$Y$5</f>
        <v>-51.578889182477603</v>
      </c>
      <c r="F922" s="7">
        <f>SUMPRODUCT($C$6:$X$6,'batch tool'!$B916:$W916)+$Y$6</f>
        <v>-47.741473633885199</v>
      </c>
      <c r="G922" s="7">
        <f>SUMPRODUCT($C$7:$X$7,'batch tool'!$B916:$W916)+$Y$7</f>
        <v>-19.739516238059196</v>
      </c>
      <c r="H922" s="7">
        <f t="shared" si="28"/>
        <v>-19.739516238059196</v>
      </c>
      <c r="I922">
        <f t="shared" si="29"/>
        <v>6</v>
      </c>
      <c r="J922" t="str" cm="1">
        <f t="array" ref="J922">INDEX($A$2:$A$7,I922)</f>
        <v>Segment 6- Self-Conscious Male</v>
      </c>
    </row>
    <row r="923" spans="1:10" x14ac:dyDescent="0.25">
      <c r="A923" s="1">
        <f>'batch tool'!A917</f>
        <v>0</v>
      </c>
      <c r="B923" s="7">
        <f>SUMPRODUCT($C$2:$X$2,'batch tool'!$B917:$W917)+$Y$2</f>
        <v>-49.12272534143483</v>
      </c>
      <c r="C923" s="7">
        <f>SUMPRODUCT($C$3:$X$3,'batch tool'!$B917:$W917)+$Y$3</f>
        <v>-36.514029388465531</v>
      </c>
      <c r="D923" s="7">
        <f>SUMPRODUCT($C$4:$X$4,'batch tool'!$B917:$W917)+$Y$4</f>
        <v>-44.639843068043824</v>
      </c>
      <c r="E923" s="7">
        <f>SUMPRODUCT($C$5:$X$5,'batch tool'!$B917:$W917)+$Y$5</f>
        <v>-51.578889182477603</v>
      </c>
      <c r="F923" s="7">
        <f>SUMPRODUCT($C$6:$X$6,'batch tool'!$B917:$W917)+$Y$6</f>
        <v>-47.741473633885199</v>
      </c>
      <c r="G923" s="7">
        <f>SUMPRODUCT($C$7:$X$7,'batch tool'!$B917:$W917)+$Y$7</f>
        <v>-19.739516238059196</v>
      </c>
      <c r="H923" s="7">
        <f t="shared" si="28"/>
        <v>-19.739516238059196</v>
      </c>
      <c r="I923">
        <f t="shared" si="29"/>
        <v>6</v>
      </c>
      <c r="J923" t="str" cm="1">
        <f t="array" ref="J923">INDEX($A$2:$A$7,I923)</f>
        <v>Segment 6- Self-Conscious Male</v>
      </c>
    </row>
    <row r="924" spans="1:10" x14ac:dyDescent="0.25">
      <c r="A924" s="1">
        <f>'batch tool'!A918</f>
        <v>0</v>
      </c>
      <c r="B924" s="7">
        <f>SUMPRODUCT($C$2:$X$2,'batch tool'!$B918:$W918)+$Y$2</f>
        <v>-49.12272534143483</v>
      </c>
      <c r="C924" s="7">
        <f>SUMPRODUCT($C$3:$X$3,'batch tool'!$B918:$W918)+$Y$3</f>
        <v>-36.514029388465531</v>
      </c>
      <c r="D924" s="7">
        <f>SUMPRODUCT($C$4:$X$4,'batch tool'!$B918:$W918)+$Y$4</f>
        <v>-44.639843068043824</v>
      </c>
      <c r="E924" s="7">
        <f>SUMPRODUCT($C$5:$X$5,'batch tool'!$B918:$W918)+$Y$5</f>
        <v>-51.578889182477603</v>
      </c>
      <c r="F924" s="7">
        <f>SUMPRODUCT($C$6:$X$6,'batch tool'!$B918:$W918)+$Y$6</f>
        <v>-47.741473633885199</v>
      </c>
      <c r="G924" s="7">
        <f>SUMPRODUCT($C$7:$X$7,'batch tool'!$B918:$W918)+$Y$7</f>
        <v>-19.739516238059196</v>
      </c>
      <c r="H924" s="7">
        <f t="shared" si="28"/>
        <v>-19.739516238059196</v>
      </c>
      <c r="I924">
        <f t="shared" si="29"/>
        <v>6</v>
      </c>
      <c r="J924" t="str" cm="1">
        <f t="array" ref="J924">INDEX($A$2:$A$7,I924)</f>
        <v>Segment 6- Self-Conscious Male</v>
      </c>
    </row>
    <row r="925" spans="1:10" x14ac:dyDescent="0.25">
      <c r="A925" s="1">
        <f>'batch tool'!A919</f>
        <v>0</v>
      </c>
      <c r="B925" s="7">
        <f>SUMPRODUCT($C$2:$X$2,'batch tool'!$B919:$W919)+$Y$2</f>
        <v>-49.12272534143483</v>
      </c>
      <c r="C925" s="7">
        <f>SUMPRODUCT($C$3:$X$3,'batch tool'!$B919:$W919)+$Y$3</f>
        <v>-36.514029388465531</v>
      </c>
      <c r="D925" s="7">
        <f>SUMPRODUCT($C$4:$X$4,'batch tool'!$B919:$W919)+$Y$4</f>
        <v>-44.639843068043824</v>
      </c>
      <c r="E925" s="7">
        <f>SUMPRODUCT($C$5:$X$5,'batch tool'!$B919:$W919)+$Y$5</f>
        <v>-51.578889182477603</v>
      </c>
      <c r="F925" s="7">
        <f>SUMPRODUCT($C$6:$X$6,'batch tool'!$B919:$W919)+$Y$6</f>
        <v>-47.741473633885199</v>
      </c>
      <c r="G925" s="7">
        <f>SUMPRODUCT($C$7:$X$7,'batch tool'!$B919:$W919)+$Y$7</f>
        <v>-19.739516238059196</v>
      </c>
      <c r="H925" s="7">
        <f t="shared" si="28"/>
        <v>-19.739516238059196</v>
      </c>
      <c r="I925">
        <f t="shared" si="29"/>
        <v>6</v>
      </c>
      <c r="J925" t="str" cm="1">
        <f t="array" ref="J925">INDEX($A$2:$A$7,I925)</f>
        <v>Segment 6- Self-Conscious Male</v>
      </c>
    </row>
    <row r="926" spans="1:10" x14ac:dyDescent="0.25">
      <c r="A926" s="1">
        <f>'batch tool'!A920</f>
        <v>0</v>
      </c>
      <c r="B926" s="7">
        <f>SUMPRODUCT($C$2:$X$2,'batch tool'!$B920:$W920)+$Y$2</f>
        <v>-49.12272534143483</v>
      </c>
      <c r="C926" s="7">
        <f>SUMPRODUCT($C$3:$X$3,'batch tool'!$B920:$W920)+$Y$3</f>
        <v>-36.514029388465531</v>
      </c>
      <c r="D926" s="7">
        <f>SUMPRODUCT($C$4:$X$4,'batch tool'!$B920:$W920)+$Y$4</f>
        <v>-44.639843068043824</v>
      </c>
      <c r="E926" s="7">
        <f>SUMPRODUCT($C$5:$X$5,'batch tool'!$B920:$W920)+$Y$5</f>
        <v>-51.578889182477603</v>
      </c>
      <c r="F926" s="7">
        <f>SUMPRODUCT($C$6:$X$6,'batch tool'!$B920:$W920)+$Y$6</f>
        <v>-47.741473633885199</v>
      </c>
      <c r="G926" s="7">
        <f>SUMPRODUCT($C$7:$X$7,'batch tool'!$B920:$W920)+$Y$7</f>
        <v>-19.739516238059196</v>
      </c>
      <c r="H926" s="7">
        <f t="shared" si="28"/>
        <v>-19.739516238059196</v>
      </c>
      <c r="I926">
        <f t="shared" si="29"/>
        <v>6</v>
      </c>
      <c r="J926" t="str" cm="1">
        <f t="array" ref="J926">INDEX($A$2:$A$7,I926)</f>
        <v>Segment 6- Self-Conscious Male</v>
      </c>
    </row>
    <row r="927" spans="1:10" x14ac:dyDescent="0.25">
      <c r="A927" s="1">
        <f>'batch tool'!A921</f>
        <v>0</v>
      </c>
      <c r="B927" s="7">
        <f>SUMPRODUCT($C$2:$X$2,'batch tool'!$B921:$W921)+$Y$2</f>
        <v>-49.12272534143483</v>
      </c>
      <c r="C927" s="7">
        <f>SUMPRODUCT($C$3:$X$3,'batch tool'!$B921:$W921)+$Y$3</f>
        <v>-36.514029388465531</v>
      </c>
      <c r="D927" s="7">
        <f>SUMPRODUCT($C$4:$X$4,'batch tool'!$B921:$W921)+$Y$4</f>
        <v>-44.639843068043824</v>
      </c>
      <c r="E927" s="7">
        <f>SUMPRODUCT($C$5:$X$5,'batch tool'!$B921:$W921)+$Y$5</f>
        <v>-51.578889182477603</v>
      </c>
      <c r="F927" s="7">
        <f>SUMPRODUCT($C$6:$X$6,'batch tool'!$B921:$W921)+$Y$6</f>
        <v>-47.741473633885199</v>
      </c>
      <c r="G927" s="7">
        <f>SUMPRODUCT($C$7:$X$7,'batch tool'!$B921:$W921)+$Y$7</f>
        <v>-19.739516238059196</v>
      </c>
      <c r="H927" s="7">
        <f t="shared" si="28"/>
        <v>-19.739516238059196</v>
      </c>
      <c r="I927">
        <f t="shared" si="29"/>
        <v>6</v>
      </c>
      <c r="J927" t="str" cm="1">
        <f t="array" ref="J927">INDEX($A$2:$A$7,I927)</f>
        <v>Segment 6- Self-Conscious Male</v>
      </c>
    </row>
    <row r="928" spans="1:10" x14ac:dyDescent="0.25">
      <c r="A928" s="1">
        <f>'batch tool'!A922</f>
        <v>0</v>
      </c>
      <c r="B928" s="7">
        <f>SUMPRODUCT($C$2:$X$2,'batch tool'!$B922:$W922)+$Y$2</f>
        <v>-49.12272534143483</v>
      </c>
      <c r="C928" s="7">
        <f>SUMPRODUCT($C$3:$X$3,'batch tool'!$B922:$W922)+$Y$3</f>
        <v>-36.514029388465531</v>
      </c>
      <c r="D928" s="7">
        <f>SUMPRODUCT($C$4:$X$4,'batch tool'!$B922:$W922)+$Y$4</f>
        <v>-44.639843068043824</v>
      </c>
      <c r="E928" s="7">
        <f>SUMPRODUCT($C$5:$X$5,'batch tool'!$B922:$W922)+$Y$5</f>
        <v>-51.578889182477603</v>
      </c>
      <c r="F928" s="7">
        <f>SUMPRODUCT($C$6:$X$6,'batch tool'!$B922:$W922)+$Y$6</f>
        <v>-47.741473633885199</v>
      </c>
      <c r="G928" s="7">
        <f>SUMPRODUCT($C$7:$X$7,'batch tool'!$B922:$W922)+$Y$7</f>
        <v>-19.739516238059196</v>
      </c>
      <c r="H928" s="7">
        <f t="shared" si="28"/>
        <v>-19.739516238059196</v>
      </c>
      <c r="I928">
        <f t="shared" si="29"/>
        <v>6</v>
      </c>
      <c r="J928" t="str" cm="1">
        <f t="array" ref="J928">INDEX($A$2:$A$7,I928)</f>
        <v>Segment 6- Self-Conscious Male</v>
      </c>
    </row>
    <row r="929" spans="1:10" x14ac:dyDescent="0.25">
      <c r="A929" s="1">
        <f>'batch tool'!A923</f>
        <v>0</v>
      </c>
      <c r="B929" s="7">
        <f>SUMPRODUCT($C$2:$X$2,'batch tool'!$B923:$W923)+$Y$2</f>
        <v>-49.12272534143483</v>
      </c>
      <c r="C929" s="7">
        <f>SUMPRODUCT($C$3:$X$3,'batch tool'!$B923:$W923)+$Y$3</f>
        <v>-36.514029388465531</v>
      </c>
      <c r="D929" s="7">
        <f>SUMPRODUCT($C$4:$X$4,'batch tool'!$B923:$W923)+$Y$4</f>
        <v>-44.639843068043824</v>
      </c>
      <c r="E929" s="7">
        <f>SUMPRODUCT($C$5:$X$5,'batch tool'!$B923:$W923)+$Y$5</f>
        <v>-51.578889182477603</v>
      </c>
      <c r="F929" s="7">
        <f>SUMPRODUCT($C$6:$X$6,'batch tool'!$B923:$W923)+$Y$6</f>
        <v>-47.741473633885199</v>
      </c>
      <c r="G929" s="7">
        <f>SUMPRODUCT($C$7:$X$7,'batch tool'!$B923:$W923)+$Y$7</f>
        <v>-19.739516238059196</v>
      </c>
      <c r="H929" s="7">
        <f t="shared" si="28"/>
        <v>-19.739516238059196</v>
      </c>
      <c r="I929">
        <f t="shared" si="29"/>
        <v>6</v>
      </c>
      <c r="J929" t="str" cm="1">
        <f t="array" ref="J929">INDEX($A$2:$A$7,I929)</f>
        <v>Segment 6- Self-Conscious Male</v>
      </c>
    </row>
    <row r="930" spans="1:10" x14ac:dyDescent="0.25">
      <c r="A930" s="1">
        <f>'batch tool'!A924</f>
        <v>0</v>
      </c>
      <c r="B930" s="7">
        <f>SUMPRODUCT($C$2:$X$2,'batch tool'!$B924:$W924)+$Y$2</f>
        <v>-49.12272534143483</v>
      </c>
      <c r="C930" s="7">
        <f>SUMPRODUCT($C$3:$X$3,'batch tool'!$B924:$W924)+$Y$3</f>
        <v>-36.514029388465531</v>
      </c>
      <c r="D930" s="7">
        <f>SUMPRODUCT($C$4:$X$4,'batch tool'!$B924:$W924)+$Y$4</f>
        <v>-44.639843068043824</v>
      </c>
      <c r="E930" s="7">
        <f>SUMPRODUCT($C$5:$X$5,'batch tool'!$B924:$W924)+$Y$5</f>
        <v>-51.578889182477603</v>
      </c>
      <c r="F930" s="7">
        <f>SUMPRODUCT($C$6:$X$6,'batch tool'!$B924:$W924)+$Y$6</f>
        <v>-47.741473633885199</v>
      </c>
      <c r="G930" s="7">
        <f>SUMPRODUCT($C$7:$X$7,'batch tool'!$B924:$W924)+$Y$7</f>
        <v>-19.739516238059196</v>
      </c>
      <c r="H930" s="7">
        <f t="shared" si="28"/>
        <v>-19.739516238059196</v>
      </c>
      <c r="I930">
        <f t="shared" si="29"/>
        <v>6</v>
      </c>
      <c r="J930" t="str" cm="1">
        <f t="array" ref="J930">INDEX($A$2:$A$7,I930)</f>
        <v>Segment 6- Self-Conscious Male</v>
      </c>
    </row>
    <row r="931" spans="1:10" x14ac:dyDescent="0.25">
      <c r="A931" s="1">
        <f>'batch tool'!A925</f>
        <v>0</v>
      </c>
      <c r="B931" s="7">
        <f>SUMPRODUCT($C$2:$X$2,'batch tool'!$B925:$W925)+$Y$2</f>
        <v>-49.12272534143483</v>
      </c>
      <c r="C931" s="7">
        <f>SUMPRODUCT($C$3:$X$3,'batch tool'!$B925:$W925)+$Y$3</f>
        <v>-36.514029388465531</v>
      </c>
      <c r="D931" s="7">
        <f>SUMPRODUCT($C$4:$X$4,'batch tool'!$B925:$W925)+$Y$4</f>
        <v>-44.639843068043824</v>
      </c>
      <c r="E931" s="7">
        <f>SUMPRODUCT($C$5:$X$5,'batch tool'!$B925:$W925)+$Y$5</f>
        <v>-51.578889182477603</v>
      </c>
      <c r="F931" s="7">
        <f>SUMPRODUCT($C$6:$X$6,'batch tool'!$B925:$W925)+$Y$6</f>
        <v>-47.741473633885199</v>
      </c>
      <c r="G931" s="7">
        <f>SUMPRODUCT($C$7:$X$7,'batch tool'!$B925:$W925)+$Y$7</f>
        <v>-19.739516238059196</v>
      </c>
      <c r="H931" s="7">
        <f t="shared" si="28"/>
        <v>-19.739516238059196</v>
      </c>
      <c r="I931">
        <f t="shared" si="29"/>
        <v>6</v>
      </c>
      <c r="J931" t="str" cm="1">
        <f t="array" ref="J931">INDEX($A$2:$A$7,I931)</f>
        <v>Segment 6- Self-Conscious Male</v>
      </c>
    </row>
    <row r="932" spans="1:10" x14ac:dyDescent="0.25">
      <c r="A932" s="1">
        <f>'batch tool'!A926</f>
        <v>0</v>
      </c>
      <c r="B932" s="7">
        <f>SUMPRODUCT($C$2:$X$2,'batch tool'!$B926:$W926)+$Y$2</f>
        <v>-49.12272534143483</v>
      </c>
      <c r="C932" s="7">
        <f>SUMPRODUCT($C$3:$X$3,'batch tool'!$B926:$W926)+$Y$3</f>
        <v>-36.514029388465531</v>
      </c>
      <c r="D932" s="7">
        <f>SUMPRODUCT($C$4:$X$4,'batch tool'!$B926:$W926)+$Y$4</f>
        <v>-44.639843068043824</v>
      </c>
      <c r="E932" s="7">
        <f>SUMPRODUCT($C$5:$X$5,'batch tool'!$B926:$W926)+$Y$5</f>
        <v>-51.578889182477603</v>
      </c>
      <c r="F932" s="7">
        <f>SUMPRODUCT($C$6:$X$6,'batch tool'!$B926:$W926)+$Y$6</f>
        <v>-47.741473633885199</v>
      </c>
      <c r="G932" s="7">
        <f>SUMPRODUCT($C$7:$X$7,'batch tool'!$B926:$W926)+$Y$7</f>
        <v>-19.739516238059196</v>
      </c>
      <c r="H932" s="7">
        <f t="shared" si="28"/>
        <v>-19.739516238059196</v>
      </c>
      <c r="I932">
        <f t="shared" si="29"/>
        <v>6</v>
      </c>
      <c r="J932" t="str" cm="1">
        <f t="array" ref="J932">INDEX($A$2:$A$7,I932)</f>
        <v>Segment 6- Self-Conscious Male</v>
      </c>
    </row>
    <row r="933" spans="1:10" x14ac:dyDescent="0.25">
      <c r="A933" s="1">
        <f>'batch tool'!A927</f>
        <v>0</v>
      </c>
      <c r="B933" s="7">
        <f>SUMPRODUCT($C$2:$X$2,'batch tool'!$B927:$W927)+$Y$2</f>
        <v>-49.12272534143483</v>
      </c>
      <c r="C933" s="7">
        <f>SUMPRODUCT($C$3:$X$3,'batch tool'!$B927:$W927)+$Y$3</f>
        <v>-36.514029388465531</v>
      </c>
      <c r="D933" s="7">
        <f>SUMPRODUCT($C$4:$X$4,'batch tool'!$B927:$W927)+$Y$4</f>
        <v>-44.639843068043824</v>
      </c>
      <c r="E933" s="7">
        <f>SUMPRODUCT($C$5:$X$5,'batch tool'!$B927:$W927)+$Y$5</f>
        <v>-51.578889182477603</v>
      </c>
      <c r="F933" s="7">
        <f>SUMPRODUCT($C$6:$X$6,'batch tool'!$B927:$W927)+$Y$6</f>
        <v>-47.741473633885199</v>
      </c>
      <c r="G933" s="7">
        <f>SUMPRODUCT($C$7:$X$7,'batch tool'!$B927:$W927)+$Y$7</f>
        <v>-19.739516238059196</v>
      </c>
      <c r="H933" s="7">
        <f t="shared" si="28"/>
        <v>-19.739516238059196</v>
      </c>
      <c r="I933">
        <f t="shared" si="29"/>
        <v>6</v>
      </c>
      <c r="J933" t="str" cm="1">
        <f t="array" ref="J933">INDEX($A$2:$A$7,I933)</f>
        <v>Segment 6- Self-Conscious Male</v>
      </c>
    </row>
    <row r="934" spans="1:10" x14ac:dyDescent="0.25">
      <c r="A934" s="1">
        <f>'batch tool'!A928</f>
        <v>0</v>
      </c>
      <c r="B934" s="7">
        <f>SUMPRODUCT($C$2:$X$2,'batch tool'!$B928:$W928)+$Y$2</f>
        <v>-49.12272534143483</v>
      </c>
      <c r="C934" s="7">
        <f>SUMPRODUCT($C$3:$X$3,'batch tool'!$B928:$W928)+$Y$3</f>
        <v>-36.514029388465531</v>
      </c>
      <c r="D934" s="7">
        <f>SUMPRODUCT($C$4:$X$4,'batch tool'!$B928:$W928)+$Y$4</f>
        <v>-44.639843068043824</v>
      </c>
      <c r="E934" s="7">
        <f>SUMPRODUCT($C$5:$X$5,'batch tool'!$B928:$W928)+$Y$5</f>
        <v>-51.578889182477603</v>
      </c>
      <c r="F934" s="7">
        <f>SUMPRODUCT($C$6:$X$6,'batch tool'!$B928:$W928)+$Y$6</f>
        <v>-47.741473633885199</v>
      </c>
      <c r="G934" s="7">
        <f>SUMPRODUCT($C$7:$X$7,'batch tool'!$B928:$W928)+$Y$7</f>
        <v>-19.739516238059196</v>
      </c>
      <c r="H934" s="7">
        <f t="shared" si="28"/>
        <v>-19.739516238059196</v>
      </c>
      <c r="I934">
        <f t="shared" si="29"/>
        <v>6</v>
      </c>
      <c r="J934" t="str" cm="1">
        <f t="array" ref="J934">INDEX($A$2:$A$7,I934)</f>
        <v>Segment 6- Self-Conscious Male</v>
      </c>
    </row>
    <row r="935" spans="1:10" x14ac:dyDescent="0.25">
      <c r="A935" s="1">
        <f>'batch tool'!A929</f>
        <v>0</v>
      </c>
      <c r="B935" s="7">
        <f>SUMPRODUCT($C$2:$X$2,'batch tool'!$B929:$W929)+$Y$2</f>
        <v>-49.12272534143483</v>
      </c>
      <c r="C935" s="7">
        <f>SUMPRODUCT($C$3:$X$3,'batch tool'!$B929:$W929)+$Y$3</f>
        <v>-36.514029388465531</v>
      </c>
      <c r="D935" s="7">
        <f>SUMPRODUCT($C$4:$X$4,'batch tool'!$B929:$W929)+$Y$4</f>
        <v>-44.639843068043824</v>
      </c>
      <c r="E935" s="7">
        <f>SUMPRODUCT($C$5:$X$5,'batch tool'!$B929:$W929)+$Y$5</f>
        <v>-51.578889182477603</v>
      </c>
      <c r="F935" s="7">
        <f>SUMPRODUCT($C$6:$X$6,'batch tool'!$B929:$W929)+$Y$6</f>
        <v>-47.741473633885199</v>
      </c>
      <c r="G935" s="7">
        <f>SUMPRODUCT($C$7:$X$7,'batch tool'!$B929:$W929)+$Y$7</f>
        <v>-19.739516238059196</v>
      </c>
      <c r="H935" s="7">
        <f t="shared" si="28"/>
        <v>-19.739516238059196</v>
      </c>
      <c r="I935">
        <f t="shared" si="29"/>
        <v>6</v>
      </c>
      <c r="J935" t="str" cm="1">
        <f t="array" ref="J935">INDEX($A$2:$A$7,I935)</f>
        <v>Segment 6- Self-Conscious Male</v>
      </c>
    </row>
    <row r="936" spans="1:10" x14ac:dyDescent="0.25">
      <c r="A936" s="1">
        <f>'batch tool'!A930</f>
        <v>0</v>
      </c>
      <c r="B936" s="7">
        <f>SUMPRODUCT($C$2:$X$2,'batch tool'!$B930:$W930)+$Y$2</f>
        <v>-49.12272534143483</v>
      </c>
      <c r="C936" s="7">
        <f>SUMPRODUCT($C$3:$X$3,'batch tool'!$B930:$W930)+$Y$3</f>
        <v>-36.514029388465531</v>
      </c>
      <c r="D936" s="7">
        <f>SUMPRODUCT($C$4:$X$4,'batch tool'!$B930:$W930)+$Y$4</f>
        <v>-44.639843068043824</v>
      </c>
      <c r="E936" s="7">
        <f>SUMPRODUCT($C$5:$X$5,'batch tool'!$B930:$W930)+$Y$5</f>
        <v>-51.578889182477603</v>
      </c>
      <c r="F936" s="7">
        <f>SUMPRODUCT($C$6:$X$6,'batch tool'!$B930:$W930)+$Y$6</f>
        <v>-47.741473633885199</v>
      </c>
      <c r="G936" s="7">
        <f>SUMPRODUCT($C$7:$X$7,'batch tool'!$B930:$W930)+$Y$7</f>
        <v>-19.739516238059196</v>
      </c>
      <c r="H936" s="7">
        <f t="shared" si="28"/>
        <v>-19.739516238059196</v>
      </c>
      <c r="I936">
        <f t="shared" si="29"/>
        <v>6</v>
      </c>
      <c r="J936" t="str" cm="1">
        <f t="array" ref="J936">INDEX($A$2:$A$7,I936)</f>
        <v>Segment 6- Self-Conscious Male</v>
      </c>
    </row>
    <row r="937" spans="1:10" x14ac:dyDescent="0.25">
      <c r="A937" s="1">
        <f>'batch tool'!A931</f>
        <v>0</v>
      </c>
      <c r="B937" s="7">
        <f>SUMPRODUCT($C$2:$X$2,'batch tool'!$B931:$W931)+$Y$2</f>
        <v>-49.12272534143483</v>
      </c>
      <c r="C937" s="7">
        <f>SUMPRODUCT($C$3:$X$3,'batch tool'!$B931:$W931)+$Y$3</f>
        <v>-36.514029388465531</v>
      </c>
      <c r="D937" s="7">
        <f>SUMPRODUCT($C$4:$X$4,'batch tool'!$B931:$W931)+$Y$4</f>
        <v>-44.639843068043824</v>
      </c>
      <c r="E937" s="7">
        <f>SUMPRODUCT($C$5:$X$5,'batch tool'!$B931:$W931)+$Y$5</f>
        <v>-51.578889182477603</v>
      </c>
      <c r="F937" s="7">
        <f>SUMPRODUCT($C$6:$X$6,'batch tool'!$B931:$W931)+$Y$6</f>
        <v>-47.741473633885199</v>
      </c>
      <c r="G937" s="7">
        <f>SUMPRODUCT($C$7:$X$7,'batch tool'!$B931:$W931)+$Y$7</f>
        <v>-19.739516238059196</v>
      </c>
      <c r="H937" s="7">
        <f t="shared" si="28"/>
        <v>-19.739516238059196</v>
      </c>
      <c r="I937">
        <f t="shared" si="29"/>
        <v>6</v>
      </c>
      <c r="J937" t="str" cm="1">
        <f t="array" ref="J937">INDEX($A$2:$A$7,I937)</f>
        <v>Segment 6- Self-Conscious Male</v>
      </c>
    </row>
    <row r="938" spans="1:10" x14ac:dyDescent="0.25">
      <c r="A938" s="1">
        <f>'batch tool'!A932</f>
        <v>0</v>
      </c>
      <c r="B938" s="7">
        <f>SUMPRODUCT($C$2:$X$2,'batch tool'!$B932:$W932)+$Y$2</f>
        <v>-49.12272534143483</v>
      </c>
      <c r="C938" s="7">
        <f>SUMPRODUCT($C$3:$X$3,'batch tool'!$B932:$W932)+$Y$3</f>
        <v>-36.514029388465531</v>
      </c>
      <c r="D938" s="7">
        <f>SUMPRODUCT($C$4:$X$4,'batch tool'!$B932:$W932)+$Y$4</f>
        <v>-44.639843068043824</v>
      </c>
      <c r="E938" s="7">
        <f>SUMPRODUCT($C$5:$X$5,'batch tool'!$B932:$W932)+$Y$5</f>
        <v>-51.578889182477603</v>
      </c>
      <c r="F938" s="7">
        <f>SUMPRODUCT($C$6:$X$6,'batch tool'!$B932:$W932)+$Y$6</f>
        <v>-47.741473633885199</v>
      </c>
      <c r="G938" s="7">
        <f>SUMPRODUCT($C$7:$X$7,'batch tool'!$B932:$W932)+$Y$7</f>
        <v>-19.739516238059196</v>
      </c>
      <c r="H938" s="7">
        <f t="shared" si="28"/>
        <v>-19.739516238059196</v>
      </c>
      <c r="I938">
        <f t="shared" si="29"/>
        <v>6</v>
      </c>
      <c r="J938" t="str" cm="1">
        <f t="array" ref="J938">INDEX($A$2:$A$7,I938)</f>
        <v>Segment 6- Self-Conscious Male</v>
      </c>
    </row>
    <row r="939" spans="1:10" x14ac:dyDescent="0.25">
      <c r="A939" s="1">
        <f>'batch tool'!A933</f>
        <v>0</v>
      </c>
      <c r="B939" s="7">
        <f>SUMPRODUCT($C$2:$X$2,'batch tool'!$B933:$W933)+$Y$2</f>
        <v>-49.12272534143483</v>
      </c>
      <c r="C939" s="7">
        <f>SUMPRODUCT($C$3:$X$3,'batch tool'!$B933:$W933)+$Y$3</f>
        <v>-36.514029388465531</v>
      </c>
      <c r="D939" s="7">
        <f>SUMPRODUCT($C$4:$X$4,'batch tool'!$B933:$W933)+$Y$4</f>
        <v>-44.639843068043824</v>
      </c>
      <c r="E939" s="7">
        <f>SUMPRODUCT($C$5:$X$5,'batch tool'!$B933:$W933)+$Y$5</f>
        <v>-51.578889182477603</v>
      </c>
      <c r="F939" s="7">
        <f>SUMPRODUCT($C$6:$X$6,'batch tool'!$B933:$W933)+$Y$6</f>
        <v>-47.741473633885199</v>
      </c>
      <c r="G939" s="7">
        <f>SUMPRODUCT($C$7:$X$7,'batch tool'!$B933:$W933)+$Y$7</f>
        <v>-19.739516238059196</v>
      </c>
      <c r="H939" s="7">
        <f t="shared" si="28"/>
        <v>-19.739516238059196</v>
      </c>
      <c r="I939">
        <f t="shared" si="29"/>
        <v>6</v>
      </c>
      <c r="J939" t="str" cm="1">
        <f t="array" ref="J939">INDEX($A$2:$A$7,I939)</f>
        <v>Segment 6- Self-Conscious Male</v>
      </c>
    </row>
    <row r="940" spans="1:10" x14ac:dyDescent="0.25">
      <c r="A940" s="1">
        <f>'batch tool'!A934</f>
        <v>0</v>
      </c>
      <c r="B940" s="7">
        <f>SUMPRODUCT($C$2:$X$2,'batch tool'!$B934:$W934)+$Y$2</f>
        <v>-49.12272534143483</v>
      </c>
      <c r="C940" s="7">
        <f>SUMPRODUCT($C$3:$X$3,'batch tool'!$B934:$W934)+$Y$3</f>
        <v>-36.514029388465531</v>
      </c>
      <c r="D940" s="7">
        <f>SUMPRODUCT($C$4:$X$4,'batch tool'!$B934:$W934)+$Y$4</f>
        <v>-44.639843068043824</v>
      </c>
      <c r="E940" s="7">
        <f>SUMPRODUCT($C$5:$X$5,'batch tool'!$B934:$W934)+$Y$5</f>
        <v>-51.578889182477603</v>
      </c>
      <c r="F940" s="7">
        <f>SUMPRODUCT($C$6:$X$6,'batch tool'!$B934:$W934)+$Y$6</f>
        <v>-47.741473633885199</v>
      </c>
      <c r="G940" s="7">
        <f>SUMPRODUCT($C$7:$X$7,'batch tool'!$B934:$W934)+$Y$7</f>
        <v>-19.739516238059196</v>
      </c>
      <c r="H940" s="7">
        <f t="shared" si="28"/>
        <v>-19.739516238059196</v>
      </c>
      <c r="I940">
        <f t="shared" si="29"/>
        <v>6</v>
      </c>
      <c r="J940" t="str" cm="1">
        <f t="array" ref="J940">INDEX($A$2:$A$7,I940)</f>
        <v>Segment 6- Self-Conscious Male</v>
      </c>
    </row>
    <row r="941" spans="1:10" x14ac:dyDescent="0.25">
      <c r="A941" s="1">
        <f>'batch tool'!A935</f>
        <v>0</v>
      </c>
      <c r="B941" s="7">
        <f>SUMPRODUCT($C$2:$X$2,'batch tool'!$B935:$W935)+$Y$2</f>
        <v>-49.12272534143483</v>
      </c>
      <c r="C941" s="7">
        <f>SUMPRODUCT($C$3:$X$3,'batch tool'!$B935:$W935)+$Y$3</f>
        <v>-36.514029388465531</v>
      </c>
      <c r="D941" s="7">
        <f>SUMPRODUCT($C$4:$X$4,'batch tool'!$B935:$W935)+$Y$4</f>
        <v>-44.639843068043824</v>
      </c>
      <c r="E941" s="7">
        <f>SUMPRODUCT($C$5:$X$5,'batch tool'!$B935:$W935)+$Y$5</f>
        <v>-51.578889182477603</v>
      </c>
      <c r="F941" s="7">
        <f>SUMPRODUCT($C$6:$X$6,'batch tool'!$B935:$W935)+$Y$6</f>
        <v>-47.741473633885199</v>
      </c>
      <c r="G941" s="7">
        <f>SUMPRODUCT($C$7:$X$7,'batch tool'!$B935:$W935)+$Y$7</f>
        <v>-19.739516238059196</v>
      </c>
      <c r="H941" s="7">
        <f t="shared" si="28"/>
        <v>-19.739516238059196</v>
      </c>
      <c r="I941">
        <f t="shared" si="29"/>
        <v>6</v>
      </c>
      <c r="J941" t="str" cm="1">
        <f t="array" ref="J941">INDEX($A$2:$A$7,I941)</f>
        <v>Segment 6- Self-Conscious Male</v>
      </c>
    </row>
    <row r="942" spans="1:10" x14ac:dyDescent="0.25">
      <c r="A942" s="1">
        <f>'batch tool'!A936</f>
        <v>0</v>
      </c>
      <c r="B942" s="7">
        <f>SUMPRODUCT($C$2:$X$2,'batch tool'!$B936:$W936)+$Y$2</f>
        <v>-49.12272534143483</v>
      </c>
      <c r="C942" s="7">
        <f>SUMPRODUCT($C$3:$X$3,'batch tool'!$B936:$W936)+$Y$3</f>
        <v>-36.514029388465531</v>
      </c>
      <c r="D942" s="7">
        <f>SUMPRODUCT($C$4:$X$4,'batch tool'!$B936:$W936)+$Y$4</f>
        <v>-44.639843068043824</v>
      </c>
      <c r="E942" s="7">
        <f>SUMPRODUCT($C$5:$X$5,'batch tool'!$B936:$W936)+$Y$5</f>
        <v>-51.578889182477603</v>
      </c>
      <c r="F942" s="7">
        <f>SUMPRODUCT($C$6:$X$6,'batch tool'!$B936:$W936)+$Y$6</f>
        <v>-47.741473633885199</v>
      </c>
      <c r="G942" s="7">
        <f>SUMPRODUCT($C$7:$X$7,'batch tool'!$B936:$W936)+$Y$7</f>
        <v>-19.739516238059196</v>
      </c>
      <c r="H942" s="7">
        <f t="shared" si="28"/>
        <v>-19.739516238059196</v>
      </c>
      <c r="I942">
        <f t="shared" si="29"/>
        <v>6</v>
      </c>
      <c r="J942" t="str" cm="1">
        <f t="array" ref="J942">INDEX($A$2:$A$7,I942)</f>
        <v>Segment 6- Self-Conscious Male</v>
      </c>
    </row>
    <row r="943" spans="1:10" x14ac:dyDescent="0.25">
      <c r="A943" s="1">
        <f>'batch tool'!A937</f>
        <v>0</v>
      </c>
      <c r="B943" s="7">
        <f>SUMPRODUCT($C$2:$X$2,'batch tool'!$B937:$W937)+$Y$2</f>
        <v>-49.12272534143483</v>
      </c>
      <c r="C943" s="7">
        <f>SUMPRODUCT($C$3:$X$3,'batch tool'!$B937:$W937)+$Y$3</f>
        <v>-36.514029388465531</v>
      </c>
      <c r="D943" s="7">
        <f>SUMPRODUCT($C$4:$X$4,'batch tool'!$B937:$W937)+$Y$4</f>
        <v>-44.639843068043824</v>
      </c>
      <c r="E943" s="7">
        <f>SUMPRODUCT($C$5:$X$5,'batch tool'!$B937:$W937)+$Y$5</f>
        <v>-51.578889182477603</v>
      </c>
      <c r="F943" s="7">
        <f>SUMPRODUCT($C$6:$X$6,'batch tool'!$B937:$W937)+$Y$6</f>
        <v>-47.741473633885199</v>
      </c>
      <c r="G943" s="7">
        <f>SUMPRODUCT($C$7:$X$7,'batch tool'!$B937:$W937)+$Y$7</f>
        <v>-19.739516238059196</v>
      </c>
      <c r="H943" s="7">
        <f t="shared" si="28"/>
        <v>-19.739516238059196</v>
      </c>
      <c r="I943">
        <f t="shared" si="29"/>
        <v>6</v>
      </c>
      <c r="J943" t="str" cm="1">
        <f t="array" ref="J943">INDEX($A$2:$A$7,I943)</f>
        <v>Segment 6- Self-Conscious Male</v>
      </c>
    </row>
    <row r="944" spans="1:10" x14ac:dyDescent="0.25">
      <c r="A944" s="1">
        <f>'batch tool'!A938</f>
        <v>0</v>
      </c>
      <c r="B944" s="7">
        <f>SUMPRODUCT($C$2:$X$2,'batch tool'!$B938:$W938)+$Y$2</f>
        <v>-49.12272534143483</v>
      </c>
      <c r="C944" s="7">
        <f>SUMPRODUCT($C$3:$X$3,'batch tool'!$B938:$W938)+$Y$3</f>
        <v>-36.514029388465531</v>
      </c>
      <c r="D944" s="7">
        <f>SUMPRODUCT($C$4:$X$4,'batch tool'!$B938:$W938)+$Y$4</f>
        <v>-44.639843068043824</v>
      </c>
      <c r="E944" s="7">
        <f>SUMPRODUCT($C$5:$X$5,'batch tool'!$B938:$W938)+$Y$5</f>
        <v>-51.578889182477603</v>
      </c>
      <c r="F944" s="7">
        <f>SUMPRODUCT($C$6:$X$6,'batch tool'!$B938:$W938)+$Y$6</f>
        <v>-47.741473633885199</v>
      </c>
      <c r="G944" s="7">
        <f>SUMPRODUCT($C$7:$X$7,'batch tool'!$B938:$W938)+$Y$7</f>
        <v>-19.739516238059196</v>
      </c>
      <c r="H944" s="7">
        <f t="shared" si="28"/>
        <v>-19.739516238059196</v>
      </c>
      <c r="I944">
        <f t="shared" si="29"/>
        <v>6</v>
      </c>
      <c r="J944" t="str" cm="1">
        <f t="array" ref="J944">INDEX($A$2:$A$7,I944)</f>
        <v>Segment 6- Self-Conscious Male</v>
      </c>
    </row>
    <row r="945" spans="1:10" x14ac:dyDescent="0.25">
      <c r="A945" s="1">
        <f>'batch tool'!A939</f>
        <v>0</v>
      </c>
      <c r="B945" s="7">
        <f>SUMPRODUCT($C$2:$X$2,'batch tool'!$B939:$W939)+$Y$2</f>
        <v>-49.12272534143483</v>
      </c>
      <c r="C945" s="7">
        <f>SUMPRODUCT($C$3:$X$3,'batch tool'!$B939:$W939)+$Y$3</f>
        <v>-36.514029388465531</v>
      </c>
      <c r="D945" s="7">
        <f>SUMPRODUCT($C$4:$X$4,'batch tool'!$B939:$W939)+$Y$4</f>
        <v>-44.639843068043824</v>
      </c>
      <c r="E945" s="7">
        <f>SUMPRODUCT($C$5:$X$5,'batch tool'!$B939:$W939)+$Y$5</f>
        <v>-51.578889182477603</v>
      </c>
      <c r="F945" s="7">
        <f>SUMPRODUCT($C$6:$X$6,'batch tool'!$B939:$W939)+$Y$6</f>
        <v>-47.741473633885199</v>
      </c>
      <c r="G945" s="7">
        <f>SUMPRODUCT($C$7:$X$7,'batch tool'!$B939:$W939)+$Y$7</f>
        <v>-19.739516238059196</v>
      </c>
      <c r="H945" s="7">
        <f t="shared" si="28"/>
        <v>-19.739516238059196</v>
      </c>
      <c r="I945">
        <f t="shared" si="29"/>
        <v>6</v>
      </c>
      <c r="J945" t="str" cm="1">
        <f t="array" ref="J945">INDEX($A$2:$A$7,I945)</f>
        <v>Segment 6- Self-Conscious Male</v>
      </c>
    </row>
    <row r="946" spans="1:10" x14ac:dyDescent="0.25">
      <c r="A946" s="1">
        <f>'batch tool'!A940</f>
        <v>0</v>
      </c>
      <c r="B946" s="7">
        <f>SUMPRODUCT($C$2:$X$2,'batch tool'!$B940:$W940)+$Y$2</f>
        <v>-49.12272534143483</v>
      </c>
      <c r="C946" s="7">
        <f>SUMPRODUCT($C$3:$X$3,'batch tool'!$B940:$W940)+$Y$3</f>
        <v>-36.514029388465531</v>
      </c>
      <c r="D946" s="7">
        <f>SUMPRODUCT($C$4:$X$4,'batch tool'!$B940:$W940)+$Y$4</f>
        <v>-44.639843068043824</v>
      </c>
      <c r="E946" s="7">
        <f>SUMPRODUCT($C$5:$X$5,'batch tool'!$B940:$W940)+$Y$5</f>
        <v>-51.578889182477603</v>
      </c>
      <c r="F946" s="7">
        <f>SUMPRODUCT($C$6:$X$6,'batch tool'!$B940:$W940)+$Y$6</f>
        <v>-47.741473633885199</v>
      </c>
      <c r="G946" s="7">
        <f>SUMPRODUCT($C$7:$X$7,'batch tool'!$B940:$W940)+$Y$7</f>
        <v>-19.739516238059196</v>
      </c>
      <c r="H946" s="7">
        <f t="shared" si="28"/>
        <v>-19.739516238059196</v>
      </c>
      <c r="I946">
        <f t="shared" si="29"/>
        <v>6</v>
      </c>
      <c r="J946" t="str" cm="1">
        <f t="array" ref="J946">INDEX($A$2:$A$7,I946)</f>
        <v>Segment 6- Self-Conscious Male</v>
      </c>
    </row>
    <row r="947" spans="1:10" x14ac:dyDescent="0.25">
      <c r="A947" s="1">
        <f>'batch tool'!A941</f>
        <v>0</v>
      </c>
      <c r="B947" s="7">
        <f>SUMPRODUCT($C$2:$X$2,'batch tool'!$B941:$W941)+$Y$2</f>
        <v>-49.12272534143483</v>
      </c>
      <c r="C947" s="7">
        <f>SUMPRODUCT($C$3:$X$3,'batch tool'!$B941:$W941)+$Y$3</f>
        <v>-36.514029388465531</v>
      </c>
      <c r="D947" s="7">
        <f>SUMPRODUCT($C$4:$X$4,'batch tool'!$B941:$W941)+$Y$4</f>
        <v>-44.639843068043824</v>
      </c>
      <c r="E947" s="7">
        <f>SUMPRODUCT($C$5:$X$5,'batch tool'!$B941:$W941)+$Y$5</f>
        <v>-51.578889182477603</v>
      </c>
      <c r="F947" s="7">
        <f>SUMPRODUCT($C$6:$X$6,'batch tool'!$B941:$W941)+$Y$6</f>
        <v>-47.741473633885199</v>
      </c>
      <c r="G947" s="7">
        <f>SUMPRODUCT($C$7:$X$7,'batch tool'!$B941:$W941)+$Y$7</f>
        <v>-19.739516238059196</v>
      </c>
      <c r="H947" s="7">
        <f t="shared" si="28"/>
        <v>-19.739516238059196</v>
      </c>
      <c r="I947">
        <f t="shared" si="29"/>
        <v>6</v>
      </c>
      <c r="J947" t="str" cm="1">
        <f t="array" ref="J947">INDEX($A$2:$A$7,I947)</f>
        <v>Segment 6- Self-Conscious Male</v>
      </c>
    </row>
    <row r="948" spans="1:10" x14ac:dyDescent="0.25">
      <c r="A948" s="1">
        <f>'batch tool'!A942</f>
        <v>0</v>
      </c>
      <c r="B948" s="7">
        <f>SUMPRODUCT($C$2:$X$2,'batch tool'!$B942:$W942)+$Y$2</f>
        <v>-49.12272534143483</v>
      </c>
      <c r="C948" s="7">
        <f>SUMPRODUCT($C$3:$X$3,'batch tool'!$B942:$W942)+$Y$3</f>
        <v>-36.514029388465531</v>
      </c>
      <c r="D948" s="7">
        <f>SUMPRODUCT($C$4:$X$4,'batch tool'!$B942:$W942)+$Y$4</f>
        <v>-44.639843068043824</v>
      </c>
      <c r="E948" s="7">
        <f>SUMPRODUCT($C$5:$X$5,'batch tool'!$B942:$W942)+$Y$5</f>
        <v>-51.578889182477603</v>
      </c>
      <c r="F948" s="7">
        <f>SUMPRODUCT($C$6:$X$6,'batch tool'!$B942:$W942)+$Y$6</f>
        <v>-47.741473633885199</v>
      </c>
      <c r="G948" s="7">
        <f>SUMPRODUCT($C$7:$X$7,'batch tool'!$B942:$W942)+$Y$7</f>
        <v>-19.739516238059196</v>
      </c>
      <c r="H948" s="7">
        <f t="shared" si="28"/>
        <v>-19.739516238059196</v>
      </c>
      <c r="I948">
        <f t="shared" si="29"/>
        <v>6</v>
      </c>
      <c r="J948" t="str" cm="1">
        <f t="array" ref="J948">INDEX($A$2:$A$7,I948)</f>
        <v>Segment 6- Self-Conscious Male</v>
      </c>
    </row>
    <row r="949" spans="1:10" x14ac:dyDescent="0.25">
      <c r="A949" s="1">
        <f>'batch tool'!A943</f>
        <v>0</v>
      </c>
      <c r="B949" s="7">
        <f>SUMPRODUCT($C$2:$X$2,'batch tool'!$B943:$W943)+$Y$2</f>
        <v>-49.12272534143483</v>
      </c>
      <c r="C949" s="7">
        <f>SUMPRODUCT($C$3:$X$3,'batch tool'!$B943:$W943)+$Y$3</f>
        <v>-36.514029388465531</v>
      </c>
      <c r="D949" s="7">
        <f>SUMPRODUCT($C$4:$X$4,'batch tool'!$B943:$W943)+$Y$4</f>
        <v>-44.639843068043824</v>
      </c>
      <c r="E949" s="7">
        <f>SUMPRODUCT($C$5:$X$5,'batch tool'!$B943:$W943)+$Y$5</f>
        <v>-51.578889182477603</v>
      </c>
      <c r="F949" s="7">
        <f>SUMPRODUCT($C$6:$X$6,'batch tool'!$B943:$W943)+$Y$6</f>
        <v>-47.741473633885199</v>
      </c>
      <c r="G949" s="7">
        <f>SUMPRODUCT($C$7:$X$7,'batch tool'!$B943:$W943)+$Y$7</f>
        <v>-19.739516238059196</v>
      </c>
      <c r="H949" s="7">
        <f t="shared" si="28"/>
        <v>-19.739516238059196</v>
      </c>
      <c r="I949">
        <f t="shared" si="29"/>
        <v>6</v>
      </c>
      <c r="J949" t="str" cm="1">
        <f t="array" ref="J949">INDEX($A$2:$A$7,I949)</f>
        <v>Segment 6- Self-Conscious Male</v>
      </c>
    </row>
    <row r="950" spans="1:10" x14ac:dyDescent="0.25">
      <c r="A950" s="1">
        <f>'batch tool'!A944</f>
        <v>0</v>
      </c>
      <c r="B950" s="7">
        <f>SUMPRODUCT($C$2:$X$2,'batch tool'!$B944:$W944)+$Y$2</f>
        <v>-49.12272534143483</v>
      </c>
      <c r="C950" s="7">
        <f>SUMPRODUCT($C$3:$X$3,'batch tool'!$B944:$W944)+$Y$3</f>
        <v>-36.514029388465531</v>
      </c>
      <c r="D950" s="7">
        <f>SUMPRODUCT($C$4:$X$4,'batch tool'!$B944:$W944)+$Y$4</f>
        <v>-44.639843068043824</v>
      </c>
      <c r="E950" s="7">
        <f>SUMPRODUCT($C$5:$X$5,'batch tool'!$B944:$W944)+$Y$5</f>
        <v>-51.578889182477603</v>
      </c>
      <c r="F950" s="7">
        <f>SUMPRODUCT($C$6:$X$6,'batch tool'!$B944:$W944)+$Y$6</f>
        <v>-47.741473633885199</v>
      </c>
      <c r="G950" s="7">
        <f>SUMPRODUCT($C$7:$X$7,'batch tool'!$B944:$W944)+$Y$7</f>
        <v>-19.739516238059196</v>
      </c>
      <c r="H950" s="7">
        <f t="shared" si="28"/>
        <v>-19.739516238059196</v>
      </c>
      <c r="I950">
        <f t="shared" si="29"/>
        <v>6</v>
      </c>
      <c r="J950" t="str" cm="1">
        <f t="array" ref="J950">INDEX($A$2:$A$7,I950)</f>
        <v>Segment 6- Self-Conscious Male</v>
      </c>
    </row>
    <row r="951" spans="1:10" x14ac:dyDescent="0.25">
      <c r="A951" s="1">
        <f>'batch tool'!A945</f>
        <v>0</v>
      </c>
      <c r="B951" s="7">
        <f>SUMPRODUCT($C$2:$X$2,'batch tool'!$B945:$W945)+$Y$2</f>
        <v>-49.12272534143483</v>
      </c>
      <c r="C951" s="7">
        <f>SUMPRODUCT($C$3:$X$3,'batch tool'!$B945:$W945)+$Y$3</f>
        <v>-36.514029388465531</v>
      </c>
      <c r="D951" s="7">
        <f>SUMPRODUCT($C$4:$X$4,'batch tool'!$B945:$W945)+$Y$4</f>
        <v>-44.639843068043824</v>
      </c>
      <c r="E951" s="7">
        <f>SUMPRODUCT($C$5:$X$5,'batch tool'!$B945:$W945)+$Y$5</f>
        <v>-51.578889182477603</v>
      </c>
      <c r="F951" s="7">
        <f>SUMPRODUCT($C$6:$X$6,'batch tool'!$B945:$W945)+$Y$6</f>
        <v>-47.741473633885199</v>
      </c>
      <c r="G951" s="7">
        <f>SUMPRODUCT($C$7:$X$7,'batch tool'!$B945:$W945)+$Y$7</f>
        <v>-19.739516238059196</v>
      </c>
      <c r="H951" s="7">
        <f t="shared" si="28"/>
        <v>-19.739516238059196</v>
      </c>
      <c r="I951">
        <f t="shared" si="29"/>
        <v>6</v>
      </c>
      <c r="J951" t="str" cm="1">
        <f t="array" ref="J951">INDEX($A$2:$A$7,I951)</f>
        <v>Segment 6- Self-Conscious Male</v>
      </c>
    </row>
    <row r="952" spans="1:10" x14ac:dyDescent="0.25">
      <c r="A952" s="1">
        <f>'batch tool'!A946</f>
        <v>0</v>
      </c>
      <c r="B952" s="7">
        <f>SUMPRODUCT($C$2:$X$2,'batch tool'!$B946:$W946)+$Y$2</f>
        <v>-49.12272534143483</v>
      </c>
      <c r="C952" s="7">
        <f>SUMPRODUCT($C$3:$X$3,'batch tool'!$B946:$W946)+$Y$3</f>
        <v>-36.514029388465531</v>
      </c>
      <c r="D952" s="7">
        <f>SUMPRODUCT($C$4:$X$4,'batch tool'!$B946:$W946)+$Y$4</f>
        <v>-44.639843068043824</v>
      </c>
      <c r="E952" s="7">
        <f>SUMPRODUCT($C$5:$X$5,'batch tool'!$B946:$W946)+$Y$5</f>
        <v>-51.578889182477603</v>
      </c>
      <c r="F952" s="7">
        <f>SUMPRODUCT($C$6:$X$6,'batch tool'!$B946:$W946)+$Y$6</f>
        <v>-47.741473633885199</v>
      </c>
      <c r="G952" s="7">
        <f>SUMPRODUCT($C$7:$X$7,'batch tool'!$B946:$W946)+$Y$7</f>
        <v>-19.739516238059196</v>
      </c>
      <c r="H952" s="7">
        <f t="shared" si="28"/>
        <v>-19.739516238059196</v>
      </c>
      <c r="I952">
        <f t="shared" si="29"/>
        <v>6</v>
      </c>
      <c r="J952" t="str" cm="1">
        <f t="array" ref="J952">INDEX($A$2:$A$7,I952)</f>
        <v>Segment 6- Self-Conscious Male</v>
      </c>
    </row>
    <row r="953" spans="1:10" x14ac:dyDescent="0.25">
      <c r="A953" s="1">
        <f>'batch tool'!A947</f>
        <v>0</v>
      </c>
      <c r="B953" s="7">
        <f>SUMPRODUCT($C$2:$X$2,'batch tool'!$B947:$W947)+$Y$2</f>
        <v>-49.12272534143483</v>
      </c>
      <c r="C953" s="7">
        <f>SUMPRODUCT($C$3:$X$3,'batch tool'!$B947:$W947)+$Y$3</f>
        <v>-36.514029388465531</v>
      </c>
      <c r="D953" s="7">
        <f>SUMPRODUCT($C$4:$X$4,'batch tool'!$B947:$W947)+$Y$4</f>
        <v>-44.639843068043824</v>
      </c>
      <c r="E953" s="7">
        <f>SUMPRODUCT($C$5:$X$5,'batch tool'!$B947:$W947)+$Y$5</f>
        <v>-51.578889182477603</v>
      </c>
      <c r="F953" s="7">
        <f>SUMPRODUCT($C$6:$X$6,'batch tool'!$B947:$W947)+$Y$6</f>
        <v>-47.741473633885199</v>
      </c>
      <c r="G953" s="7">
        <f>SUMPRODUCT($C$7:$X$7,'batch tool'!$B947:$W947)+$Y$7</f>
        <v>-19.739516238059196</v>
      </c>
      <c r="H953" s="7">
        <f t="shared" si="28"/>
        <v>-19.739516238059196</v>
      </c>
      <c r="I953">
        <f t="shared" si="29"/>
        <v>6</v>
      </c>
      <c r="J953" t="str" cm="1">
        <f t="array" ref="J953">INDEX($A$2:$A$7,I953)</f>
        <v>Segment 6- Self-Conscious Male</v>
      </c>
    </row>
    <row r="954" spans="1:10" x14ac:dyDescent="0.25">
      <c r="A954" s="1">
        <f>'batch tool'!A948</f>
        <v>0</v>
      </c>
      <c r="B954" s="7">
        <f>SUMPRODUCT($C$2:$X$2,'batch tool'!$B948:$W948)+$Y$2</f>
        <v>-49.12272534143483</v>
      </c>
      <c r="C954" s="7">
        <f>SUMPRODUCT($C$3:$X$3,'batch tool'!$B948:$W948)+$Y$3</f>
        <v>-36.514029388465531</v>
      </c>
      <c r="D954" s="7">
        <f>SUMPRODUCT($C$4:$X$4,'batch tool'!$B948:$W948)+$Y$4</f>
        <v>-44.639843068043824</v>
      </c>
      <c r="E954" s="7">
        <f>SUMPRODUCT($C$5:$X$5,'batch tool'!$B948:$W948)+$Y$5</f>
        <v>-51.578889182477603</v>
      </c>
      <c r="F954" s="7">
        <f>SUMPRODUCT($C$6:$X$6,'batch tool'!$B948:$W948)+$Y$6</f>
        <v>-47.741473633885199</v>
      </c>
      <c r="G954" s="7">
        <f>SUMPRODUCT($C$7:$X$7,'batch tool'!$B948:$W948)+$Y$7</f>
        <v>-19.739516238059196</v>
      </c>
      <c r="H954" s="7">
        <f t="shared" si="28"/>
        <v>-19.739516238059196</v>
      </c>
      <c r="I954">
        <f t="shared" si="29"/>
        <v>6</v>
      </c>
      <c r="J954" t="str" cm="1">
        <f t="array" ref="J954">INDEX($A$2:$A$7,I954)</f>
        <v>Segment 6- Self-Conscious Male</v>
      </c>
    </row>
    <row r="955" spans="1:10" x14ac:dyDescent="0.25">
      <c r="A955" s="1">
        <f>'batch tool'!A949</f>
        <v>0</v>
      </c>
      <c r="B955" s="7">
        <f>SUMPRODUCT($C$2:$X$2,'batch tool'!$B949:$W949)+$Y$2</f>
        <v>-49.12272534143483</v>
      </c>
      <c r="C955" s="7">
        <f>SUMPRODUCT($C$3:$X$3,'batch tool'!$B949:$W949)+$Y$3</f>
        <v>-36.514029388465531</v>
      </c>
      <c r="D955" s="7">
        <f>SUMPRODUCT($C$4:$X$4,'batch tool'!$B949:$W949)+$Y$4</f>
        <v>-44.639843068043824</v>
      </c>
      <c r="E955" s="7">
        <f>SUMPRODUCT($C$5:$X$5,'batch tool'!$B949:$W949)+$Y$5</f>
        <v>-51.578889182477603</v>
      </c>
      <c r="F955" s="7">
        <f>SUMPRODUCT($C$6:$X$6,'batch tool'!$B949:$W949)+$Y$6</f>
        <v>-47.741473633885199</v>
      </c>
      <c r="G955" s="7">
        <f>SUMPRODUCT($C$7:$X$7,'batch tool'!$B949:$W949)+$Y$7</f>
        <v>-19.739516238059196</v>
      </c>
      <c r="H955" s="7">
        <f t="shared" si="28"/>
        <v>-19.739516238059196</v>
      </c>
      <c r="I955">
        <f t="shared" si="29"/>
        <v>6</v>
      </c>
      <c r="J955" t="str" cm="1">
        <f t="array" ref="J955">INDEX($A$2:$A$7,I955)</f>
        <v>Segment 6- Self-Conscious Male</v>
      </c>
    </row>
    <row r="956" spans="1:10" x14ac:dyDescent="0.25">
      <c r="A956" s="1">
        <f>'batch tool'!A950</f>
        <v>0</v>
      </c>
      <c r="B956" s="7">
        <f>SUMPRODUCT($C$2:$X$2,'batch tool'!$B950:$W950)+$Y$2</f>
        <v>-49.12272534143483</v>
      </c>
      <c r="C956" s="7">
        <f>SUMPRODUCT($C$3:$X$3,'batch tool'!$B950:$W950)+$Y$3</f>
        <v>-36.514029388465531</v>
      </c>
      <c r="D956" s="7">
        <f>SUMPRODUCT($C$4:$X$4,'batch tool'!$B950:$W950)+$Y$4</f>
        <v>-44.639843068043824</v>
      </c>
      <c r="E956" s="7">
        <f>SUMPRODUCT($C$5:$X$5,'batch tool'!$B950:$W950)+$Y$5</f>
        <v>-51.578889182477603</v>
      </c>
      <c r="F956" s="7">
        <f>SUMPRODUCT($C$6:$X$6,'batch tool'!$B950:$W950)+$Y$6</f>
        <v>-47.741473633885199</v>
      </c>
      <c r="G956" s="7">
        <f>SUMPRODUCT($C$7:$X$7,'batch tool'!$B950:$W950)+$Y$7</f>
        <v>-19.739516238059196</v>
      </c>
      <c r="H956" s="7">
        <f t="shared" si="28"/>
        <v>-19.739516238059196</v>
      </c>
      <c r="I956">
        <f t="shared" si="29"/>
        <v>6</v>
      </c>
      <c r="J956" t="str" cm="1">
        <f t="array" ref="J956">INDEX($A$2:$A$7,I956)</f>
        <v>Segment 6- Self-Conscious Male</v>
      </c>
    </row>
    <row r="957" spans="1:10" x14ac:dyDescent="0.25">
      <c r="A957" s="1">
        <f>'batch tool'!A951</f>
        <v>0</v>
      </c>
      <c r="B957" s="7">
        <f>SUMPRODUCT($C$2:$X$2,'batch tool'!$B951:$W951)+$Y$2</f>
        <v>-49.12272534143483</v>
      </c>
      <c r="C957" s="7">
        <f>SUMPRODUCT($C$3:$X$3,'batch tool'!$B951:$W951)+$Y$3</f>
        <v>-36.514029388465531</v>
      </c>
      <c r="D957" s="7">
        <f>SUMPRODUCT($C$4:$X$4,'batch tool'!$B951:$W951)+$Y$4</f>
        <v>-44.639843068043824</v>
      </c>
      <c r="E957" s="7">
        <f>SUMPRODUCT($C$5:$X$5,'batch tool'!$B951:$W951)+$Y$5</f>
        <v>-51.578889182477603</v>
      </c>
      <c r="F957" s="7">
        <f>SUMPRODUCT($C$6:$X$6,'batch tool'!$B951:$W951)+$Y$6</f>
        <v>-47.741473633885199</v>
      </c>
      <c r="G957" s="7">
        <f>SUMPRODUCT($C$7:$X$7,'batch tool'!$B951:$W951)+$Y$7</f>
        <v>-19.739516238059196</v>
      </c>
      <c r="H957" s="7">
        <f t="shared" si="28"/>
        <v>-19.739516238059196</v>
      </c>
      <c r="I957">
        <f t="shared" si="29"/>
        <v>6</v>
      </c>
      <c r="J957" t="str" cm="1">
        <f t="array" ref="J957">INDEX($A$2:$A$7,I957)</f>
        <v>Segment 6- Self-Conscious Male</v>
      </c>
    </row>
    <row r="958" spans="1:10" x14ac:dyDescent="0.25">
      <c r="A958" s="1">
        <f>'batch tool'!A952</f>
        <v>0</v>
      </c>
      <c r="B958" s="7">
        <f>SUMPRODUCT($C$2:$X$2,'batch tool'!$B952:$W952)+$Y$2</f>
        <v>-49.12272534143483</v>
      </c>
      <c r="C958" s="7">
        <f>SUMPRODUCT($C$3:$X$3,'batch tool'!$B952:$W952)+$Y$3</f>
        <v>-36.514029388465531</v>
      </c>
      <c r="D958" s="7">
        <f>SUMPRODUCT($C$4:$X$4,'batch tool'!$B952:$W952)+$Y$4</f>
        <v>-44.639843068043824</v>
      </c>
      <c r="E958" s="7">
        <f>SUMPRODUCT($C$5:$X$5,'batch tool'!$B952:$W952)+$Y$5</f>
        <v>-51.578889182477603</v>
      </c>
      <c r="F958" s="7">
        <f>SUMPRODUCT($C$6:$X$6,'batch tool'!$B952:$W952)+$Y$6</f>
        <v>-47.741473633885199</v>
      </c>
      <c r="G958" s="7">
        <f>SUMPRODUCT($C$7:$X$7,'batch tool'!$B952:$W952)+$Y$7</f>
        <v>-19.739516238059196</v>
      </c>
      <c r="H958" s="7">
        <f t="shared" si="28"/>
        <v>-19.739516238059196</v>
      </c>
      <c r="I958">
        <f t="shared" si="29"/>
        <v>6</v>
      </c>
      <c r="J958" t="str" cm="1">
        <f t="array" ref="J958">INDEX($A$2:$A$7,I958)</f>
        <v>Segment 6- Self-Conscious Male</v>
      </c>
    </row>
    <row r="959" spans="1:10" x14ac:dyDescent="0.25">
      <c r="A959" s="1">
        <f>'batch tool'!A953</f>
        <v>0</v>
      </c>
      <c r="B959" s="7">
        <f>SUMPRODUCT($C$2:$X$2,'batch tool'!$B953:$W953)+$Y$2</f>
        <v>-49.12272534143483</v>
      </c>
      <c r="C959" s="7">
        <f>SUMPRODUCT($C$3:$X$3,'batch tool'!$B953:$W953)+$Y$3</f>
        <v>-36.514029388465531</v>
      </c>
      <c r="D959" s="7">
        <f>SUMPRODUCT($C$4:$X$4,'batch tool'!$B953:$W953)+$Y$4</f>
        <v>-44.639843068043824</v>
      </c>
      <c r="E959" s="7">
        <f>SUMPRODUCT($C$5:$X$5,'batch tool'!$B953:$W953)+$Y$5</f>
        <v>-51.578889182477603</v>
      </c>
      <c r="F959" s="7">
        <f>SUMPRODUCT($C$6:$X$6,'batch tool'!$B953:$W953)+$Y$6</f>
        <v>-47.741473633885199</v>
      </c>
      <c r="G959" s="7">
        <f>SUMPRODUCT($C$7:$X$7,'batch tool'!$B953:$W953)+$Y$7</f>
        <v>-19.739516238059196</v>
      </c>
      <c r="H959" s="7">
        <f t="shared" si="28"/>
        <v>-19.739516238059196</v>
      </c>
      <c r="I959">
        <f t="shared" si="29"/>
        <v>6</v>
      </c>
      <c r="J959" t="str" cm="1">
        <f t="array" ref="J959">INDEX($A$2:$A$7,I959)</f>
        <v>Segment 6- Self-Conscious Male</v>
      </c>
    </row>
    <row r="960" spans="1:10" x14ac:dyDescent="0.25">
      <c r="A960" s="1">
        <f>'batch tool'!A954</f>
        <v>0</v>
      </c>
      <c r="B960" s="7">
        <f>SUMPRODUCT($C$2:$X$2,'batch tool'!$B954:$W954)+$Y$2</f>
        <v>-49.12272534143483</v>
      </c>
      <c r="C960" s="7">
        <f>SUMPRODUCT($C$3:$X$3,'batch tool'!$B954:$W954)+$Y$3</f>
        <v>-36.514029388465531</v>
      </c>
      <c r="D960" s="7">
        <f>SUMPRODUCT($C$4:$X$4,'batch tool'!$B954:$W954)+$Y$4</f>
        <v>-44.639843068043824</v>
      </c>
      <c r="E960" s="7">
        <f>SUMPRODUCT($C$5:$X$5,'batch tool'!$B954:$W954)+$Y$5</f>
        <v>-51.578889182477603</v>
      </c>
      <c r="F960" s="7">
        <f>SUMPRODUCT($C$6:$X$6,'batch tool'!$B954:$W954)+$Y$6</f>
        <v>-47.741473633885199</v>
      </c>
      <c r="G960" s="7">
        <f>SUMPRODUCT($C$7:$X$7,'batch tool'!$B954:$W954)+$Y$7</f>
        <v>-19.739516238059196</v>
      </c>
      <c r="H960" s="7">
        <f t="shared" si="28"/>
        <v>-19.739516238059196</v>
      </c>
      <c r="I960">
        <f t="shared" si="29"/>
        <v>6</v>
      </c>
      <c r="J960" t="str" cm="1">
        <f t="array" ref="J960">INDEX($A$2:$A$7,I960)</f>
        <v>Segment 6- Self-Conscious Male</v>
      </c>
    </row>
    <row r="961" spans="1:10" x14ac:dyDescent="0.25">
      <c r="A961" s="1">
        <f>'batch tool'!A955</f>
        <v>0</v>
      </c>
      <c r="B961" s="7">
        <f>SUMPRODUCT($C$2:$X$2,'batch tool'!$B955:$W955)+$Y$2</f>
        <v>-49.12272534143483</v>
      </c>
      <c r="C961" s="7">
        <f>SUMPRODUCT($C$3:$X$3,'batch tool'!$B955:$W955)+$Y$3</f>
        <v>-36.514029388465531</v>
      </c>
      <c r="D961" s="7">
        <f>SUMPRODUCT($C$4:$X$4,'batch tool'!$B955:$W955)+$Y$4</f>
        <v>-44.639843068043824</v>
      </c>
      <c r="E961" s="7">
        <f>SUMPRODUCT($C$5:$X$5,'batch tool'!$B955:$W955)+$Y$5</f>
        <v>-51.578889182477603</v>
      </c>
      <c r="F961" s="7">
        <f>SUMPRODUCT($C$6:$X$6,'batch tool'!$B955:$W955)+$Y$6</f>
        <v>-47.741473633885199</v>
      </c>
      <c r="G961" s="7">
        <f>SUMPRODUCT($C$7:$X$7,'batch tool'!$B955:$W955)+$Y$7</f>
        <v>-19.739516238059196</v>
      </c>
      <c r="H961" s="7">
        <f t="shared" si="28"/>
        <v>-19.739516238059196</v>
      </c>
      <c r="I961">
        <f t="shared" si="29"/>
        <v>6</v>
      </c>
      <c r="J961" t="str" cm="1">
        <f t="array" ref="J961">INDEX($A$2:$A$7,I961)</f>
        <v>Segment 6- Self-Conscious Male</v>
      </c>
    </row>
    <row r="962" spans="1:10" x14ac:dyDescent="0.25">
      <c r="A962" s="1">
        <f>'batch tool'!A956</f>
        <v>0</v>
      </c>
      <c r="B962" s="7">
        <f>SUMPRODUCT($C$2:$X$2,'batch tool'!$B956:$W956)+$Y$2</f>
        <v>-49.12272534143483</v>
      </c>
      <c r="C962" s="7">
        <f>SUMPRODUCT($C$3:$X$3,'batch tool'!$B956:$W956)+$Y$3</f>
        <v>-36.514029388465531</v>
      </c>
      <c r="D962" s="7">
        <f>SUMPRODUCT($C$4:$X$4,'batch tool'!$B956:$W956)+$Y$4</f>
        <v>-44.639843068043824</v>
      </c>
      <c r="E962" s="7">
        <f>SUMPRODUCT($C$5:$X$5,'batch tool'!$B956:$W956)+$Y$5</f>
        <v>-51.578889182477603</v>
      </c>
      <c r="F962" s="7">
        <f>SUMPRODUCT($C$6:$X$6,'batch tool'!$B956:$W956)+$Y$6</f>
        <v>-47.741473633885199</v>
      </c>
      <c r="G962" s="7">
        <f>SUMPRODUCT($C$7:$X$7,'batch tool'!$B956:$W956)+$Y$7</f>
        <v>-19.739516238059196</v>
      </c>
      <c r="H962" s="7">
        <f t="shared" si="28"/>
        <v>-19.739516238059196</v>
      </c>
      <c r="I962">
        <f t="shared" si="29"/>
        <v>6</v>
      </c>
      <c r="J962" t="str" cm="1">
        <f t="array" ref="J962">INDEX($A$2:$A$7,I962)</f>
        <v>Segment 6- Self-Conscious Male</v>
      </c>
    </row>
    <row r="963" spans="1:10" x14ac:dyDescent="0.25">
      <c r="A963" s="1">
        <f>'batch tool'!A957</f>
        <v>0</v>
      </c>
      <c r="B963" s="7">
        <f>SUMPRODUCT($C$2:$X$2,'batch tool'!$B957:$W957)+$Y$2</f>
        <v>-49.12272534143483</v>
      </c>
      <c r="C963" s="7">
        <f>SUMPRODUCT($C$3:$X$3,'batch tool'!$B957:$W957)+$Y$3</f>
        <v>-36.514029388465531</v>
      </c>
      <c r="D963" s="7">
        <f>SUMPRODUCT($C$4:$X$4,'batch tool'!$B957:$W957)+$Y$4</f>
        <v>-44.639843068043824</v>
      </c>
      <c r="E963" s="7">
        <f>SUMPRODUCT($C$5:$X$5,'batch tool'!$B957:$W957)+$Y$5</f>
        <v>-51.578889182477603</v>
      </c>
      <c r="F963" s="7">
        <f>SUMPRODUCT($C$6:$X$6,'batch tool'!$B957:$W957)+$Y$6</f>
        <v>-47.741473633885199</v>
      </c>
      <c r="G963" s="7">
        <f>SUMPRODUCT($C$7:$X$7,'batch tool'!$B957:$W957)+$Y$7</f>
        <v>-19.739516238059196</v>
      </c>
      <c r="H963" s="7">
        <f t="shared" si="28"/>
        <v>-19.739516238059196</v>
      </c>
      <c r="I963">
        <f t="shared" si="29"/>
        <v>6</v>
      </c>
      <c r="J963" t="str" cm="1">
        <f t="array" ref="J963">INDEX($A$2:$A$7,I963)</f>
        <v>Segment 6- Self-Conscious Male</v>
      </c>
    </row>
    <row r="964" spans="1:10" x14ac:dyDescent="0.25">
      <c r="A964" s="1">
        <f>'batch tool'!A958</f>
        <v>0</v>
      </c>
      <c r="B964" s="7">
        <f>SUMPRODUCT($C$2:$X$2,'batch tool'!$B958:$W958)+$Y$2</f>
        <v>-49.12272534143483</v>
      </c>
      <c r="C964" s="7">
        <f>SUMPRODUCT($C$3:$X$3,'batch tool'!$B958:$W958)+$Y$3</f>
        <v>-36.514029388465531</v>
      </c>
      <c r="D964" s="7">
        <f>SUMPRODUCT($C$4:$X$4,'batch tool'!$B958:$W958)+$Y$4</f>
        <v>-44.639843068043824</v>
      </c>
      <c r="E964" s="7">
        <f>SUMPRODUCT($C$5:$X$5,'batch tool'!$B958:$W958)+$Y$5</f>
        <v>-51.578889182477603</v>
      </c>
      <c r="F964" s="7">
        <f>SUMPRODUCT($C$6:$X$6,'batch tool'!$B958:$W958)+$Y$6</f>
        <v>-47.741473633885199</v>
      </c>
      <c r="G964" s="7">
        <f>SUMPRODUCT($C$7:$X$7,'batch tool'!$B958:$W958)+$Y$7</f>
        <v>-19.739516238059196</v>
      </c>
      <c r="H964" s="7">
        <f t="shared" si="28"/>
        <v>-19.739516238059196</v>
      </c>
      <c r="I964">
        <f t="shared" si="29"/>
        <v>6</v>
      </c>
      <c r="J964" t="str" cm="1">
        <f t="array" ref="J964">INDEX($A$2:$A$7,I964)</f>
        <v>Segment 6- Self-Conscious Male</v>
      </c>
    </row>
    <row r="965" spans="1:10" x14ac:dyDescent="0.25">
      <c r="A965" s="1">
        <f>'batch tool'!A959</f>
        <v>0</v>
      </c>
      <c r="B965" s="7">
        <f>SUMPRODUCT($C$2:$X$2,'batch tool'!$B959:$W959)+$Y$2</f>
        <v>-49.12272534143483</v>
      </c>
      <c r="C965" s="7">
        <f>SUMPRODUCT($C$3:$X$3,'batch tool'!$B959:$W959)+$Y$3</f>
        <v>-36.514029388465531</v>
      </c>
      <c r="D965" s="7">
        <f>SUMPRODUCT($C$4:$X$4,'batch tool'!$B959:$W959)+$Y$4</f>
        <v>-44.639843068043824</v>
      </c>
      <c r="E965" s="7">
        <f>SUMPRODUCT($C$5:$X$5,'batch tool'!$B959:$W959)+$Y$5</f>
        <v>-51.578889182477603</v>
      </c>
      <c r="F965" s="7">
        <f>SUMPRODUCT($C$6:$X$6,'batch tool'!$B959:$W959)+$Y$6</f>
        <v>-47.741473633885199</v>
      </c>
      <c r="G965" s="7">
        <f>SUMPRODUCT($C$7:$X$7,'batch tool'!$B959:$W959)+$Y$7</f>
        <v>-19.739516238059196</v>
      </c>
      <c r="H965" s="7">
        <f t="shared" si="28"/>
        <v>-19.739516238059196</v>
      </c>
      <c r="I965">
        <f t="shared" si="29"/>
        <v>6</v>
      </c>
      <c r="J965" t="str" cm="1">
        <f t="array" ref="J965">INDEX($A$2:$A$7,I965)</f>
        <v>Segment 6- Self-Conscious Male</v>
      </c>
    </row>
    <row r="966" spans="1:10" x14ac:dyDescent="0.25">
      <c r="A966" s="1">
        <f>'batch tool'!A960</f>
        <v>0</v>
      </c>
      <c r="B966" s="7">
        <f>SUMPRODUCT($C$2:$X$2,'batch tool'!$B960:$W960)+$Y$2</f>
        <v>-49.12272534143483</v>
      </c>
      <c r="C966" s="7">
        <f>SUMPRODUCT($C$3:$X$3,'batch tool'!$B960:$W960)+$Y$3</f>
        <v>-36.514029388465531</v>
      </c>
      <c r="D966" s="7">
        <f>SUMPRODUCT($C$4:$X$4,'batch tool'!$B960:$W960)+$Y$4</f>
        <v>-44.639843068043824</v>
      </c>
      <c r="E966" s="7">
        <f>SUMPRODUCT($C$5:$X$5,'batch tool'!$B960:$W960)+$Y$5</f>
        <v>-51.578889182477603</v>
      </c>
      <c r="F966" s="7">
        <f>SUMPRODUCT($C$6:$X$6,'batch tool'!$B960:$W960)+$Y$6</f>
        <v>-47.741473633885199</v>
      </c>
      <c r="G966" s="7">
        <f>SUMPRODUCT($C$7:$X$7,'batch tool'!$B960:$W960)+$Y$7</f>
        <v>-19.739516238059196</v>
      </c>
      <c r="H966" s="7">
        <f t="shared" si="28"/>
        <v>-19.739516238059196</v>
      </c>
      <c r="I966">
        <f t="shared" si="29"/>
        <v>6</v>
      </c>
      <c r="J966" t="str" cm="1">
        <f t="array" ref="J966">INDEX($A$2:$A$7,I966)</f>
        <v>Segment 6- Self-Conscious Male</v>
      </c>
    </row>
    <row r="967" spans="1:10" x14ac:dyDescent="0.25">
      <c r="A967" s="1">
        <f>'batch tool'!A961</f>
        <v>0</v>
      </c>
      <c r="B967" s="7">
        <f>SUMPRODUCT($C$2:$X$2,'batch tool'!$B961:$W961)+$Y$2</f>
        <v>-49.12272534143483</v>
      </c>
      <c r="C967" s="7">
        <f>SUMPRODUCT($C$3:$X$3,'batch tool'!$B961:$W961)+$Y$3</f>
        <v>-36.514029388465531</v>
      </c>
      <c r="D967" s="7">
        <f>SUMPRODUCT($C$4:$X$4,'batch tool'!$B961:$W961)+$Y$4</f>
        <v>-44.639843068043824</v>
      </c>
      <c r="E967" s="7">
        <f>SUMPRODUCT($C$5:$X$5,'batch tool'!$B961:$W961)+$Y$5</f>
        <v>-51.578889182477603</v>
      </c>
      <c r="F967" s="7">
        <f>SUMPRODUCT($C$6:$X$6,'batch tool'!$B961:$W961)+$Y$6</f>
        <v>-47.741473633885199</v>
      </c>
      <c r="G967" s="7">
        <f>SUMPRODUCT($C$7:$X$7,'batch tool'!$B961:$W961)+$Y$7</f>
        <v>-19.739516238059196</v>
      </c>
      <c r="H967" s="7">
        <f t="shared" si="28"/>
        <v>-19.739516238059196</v>
      </c>
      <c r="I967">
        <f t="shared" si="29"/>
        <v>6</v>
      </c>
      <c r="J967" t="str" cm="1">
        <f t="array" ref="J967">INDEX($A$2:$A$7,I967)</f>
        <v>Segment 6- Self-Conscious Male</v>
      </c>
    </row>
    <row r="968" spans="1:10" x14ac:dyDescent="0.25">
      <c r="A968" s="1">
        <f>'batch tool'!A962</f>
        <v>0</v>
      </c>
      <c r="B968" s="7">
        <f>SUMPRODUCT($C$2:$X$2,'batch tool'!$B962:$W962)+$Y$2</f>
        <v>-49.12272534143483</v>
      </c>
      <c r="C968" s="7">
        <f>SUMPRODUCT($C$3:$X$3,'batch tool'!$B962:$W962)+$Y$3</f>
        <v>-36.514029388465531</v>
      </c>
      <c r="D968" s="7">
        <f>SUMPRODUCT($C$4:$X$4,'batch tool'!$B962:$W962)+$Y$4</f>
        <v>-44.639843068043824</v>
      </c>
      <c r="E968" s="7">
        <f>SUMPRODUCT($C$5:$X$5,'batch tool'!$B962:$W962)+$Y$5</f>
        <v>-51.578889182477603</v>
      </c>
      <c r="F968" s="7">
        <f>SUMPRODUCT($C$6:$X$6,'batch tool'!$B962:$W962)+$Y$6</f>
        <v>-47.741473633885199</v>
      </c>
      <c r="G968" s="7">
        <f>SUMPRODUCT($C$7:$X$7,'batch tool'!$B962:$W962)+$Y$7</f>
        <v>-19.739516238059196</v>
      </c>
      <c r="H968" s="7">
        <f t="shared" si="28"/>
        <v>-19.739516238059196</v>
      </c>
      <c r="I968">
        <f t="shared" si="29"/>
        <v>6</v>
      </c>
      <c r="J968" t="str" cm="1">
        <f t="array" ref="J968">INDEX($A$2:$A$7,I968)</f>
        <v>Segment 6- Self-Conscious Male</v>
      </c>
    </row>
    <row r="969" spans="1:10" x14ac:dyDescent="0.25">
      <c r="A969" s="1">
        <f>'batch tool'!A963</f>
        <v>0</v>
      </c>
      <c r="B969" s="7">
        <f>SUMPRODUCT($C$2:$X$2,'batch tool'!$B963:$W963)+$Y$2</f>
        <v>-49.12272534143483</v>
      </c>
      <c r="C969" s="7">
        <f>SUMPRODUCT($C$3:$X$3,'batch tool'!$B963:$W963)+$Y$3</f>
        <v>-36.514029388465531</v>
      </c>
      <c r="D969" s="7">
        <f>SUMPRODUCT($C$4:$X$4,'batch tool'!$B963:$W963)+$Y$4</f>
        <v>-44.639843068043824</v>
      </c>
      <c r="E969" s="7">
        <f>SUMPRODUCT($C$5:$X$5,'batch tool'!$B963:$W963)+$Y$5</f>
        <v>-51.578889182477603</v>
      </c>
      <c r="F969" s="7">
        <f>SUMPRODUCT($C$6:$X$6,'batch tool'!$B963:$W963)+$Y$6</f>
        <v>-47.741473633885199</v>
      </c>
      <c r="G969" s="7">
        <f>SUMPRODUCT($C$7:$X$7,'batch tool'!$B963:$W963)+$Y$7</f>
        <v>-19.739516238059196</v>
      </c>
      <c r="H969" s="7">
        <f t="shared" si="28"/>
        <v>-19.739516238059196</v>
      </c>
      <c r="I969">
        <f t="shared" si="29"/>
        <v>6</v>
      </c>
      <c r="J969" t="str" cm="1">
        <f t="array" ref="J969">INDEX($A$2:$A$7,I969)</f>
        <v>Segment 6- Self-Conscious Male</v>
      </c>
    </row>
    <row r="970" spans="1:10" x14ac:dyDescent="0.25">
      <c r="A970" s="1">
        <f>'batch tool'!A964</f>
        <v>0</v>
      </c>
      <c r="B970" s="7">
        <f>SUMPRODUCT($C$2:$X$2,'batch tool'!$B964:$W964)+$Y$2</f>
        <v>-49.12272534143483</v>
      </c>
      <c r="C970" s="7">
        <f>SUMPRODUCT($C$3:$X$3,'batch tool'!$B964:$W964)+$Y$3</f>
        <v>-36.514029388465531</v>
      </c>
      <c r="D970" s="7">
        <f>SUMPRODUCT($C$4:$X$4,'batch tool'!$B964:$W964)+$Y$4</f>
        <v>-44.639843068043824</v>
      </c>
      <c r="E970" s="7">
        <f>SUMPRODUCT($C$5:$X$5,'batch tool'!$B964:$W964)+$Y$5</f>
        <v>-51.578889182477603</v>
      </c>
      <c r="F970" s="7">
        <f>SUMPRODUCT($C$6:$X$6,'batch tool'!$B964:$W964)+$Y$6</f>
        <v>-47.741473633885199</v>
      </c>
      <c r="G970" s="7">
        <f>SUMPRODUCT($C$7:$X$7,'batch tool'!$B964:$W964)+$Y$7</f>
        <v>-19.739516238059196</v>
      </c>
      <c r="H970" s="7">
        <f t="shared" si="28"/>
        <v>-19.739516238059196</v>
      </c>
      <c r="I970">
        <f t="shared" si="29"/>
        <v>6</v>
      </c>
      <c r="J970" t="str" cm="1">
        <f t="array" ref="J970">INDEX($A$2:$A$7,I970)</f>
        <v>Segment 6- Self-Conscious Male</v>
      </c>
    </row>
    <row r="971" spans="1:10" x14ac:dyDescent="0.25">
      <c r="A971" s="1">
        <f>'batch tool'!A965</f>
        <v>0</v>
      </c>
      <c r="B971" s="7">
        <f>SUMPRODUCT($C$2:$X$2,'batch tool'!$B965:$W965)+$Y$2</f>
        <v>-49.12272534143483</v>
      </c>
      <c r="C971" s="7">
        <f>SUMPRODUCT($C$3:$X$3,'batch tool'!$B965:$W965)+$Y$3</f>
        <v>-36.514029388465531</v>
      </c>
      <c r="D971" s="7">
        <f>SUMPRODUCT($C$4:$X$4,'batch tool'!$B965:$W965)+$Y$4</f>
        <v>-44.639843068043824</v>
      </c>
      <c r="E971" s="7">
        <f>SUMPRODUCT($C$5:$X$5,'batch tool'!$B965:$W965)+$Y$5</f>
        <v>-51.578889182477603</v>
      </c>
      <c r="F971" s="7">
        <f>SUMPRODUCT($C$6:$X$6,'batch tool'!$B965:$W965)+$Y$6</f>
        <v>-47.741473633885199</v>
      </c>
      <c r="G971" s="7">
        <f>SUMPRODUCT($C$7:$X$7,'batch tool'!$B965:$W965)+$Y$7</f>
        <v>-19.739516238059196</v>
      </c>
      <c r="H971" s="7">
        <f t="shared" ref="H971:H1034" si="30">MAX(B971:G971)</f>
        <v>-19.739516238059196</v>
      </c>
      <c r="I971">
        <f t="shared" ref="I971:I1034" si="31">MATCH(H971,B971:G971,0)</f>
        <v>6</v>
      </c>
      <c r="J971" t="str" cm="1">
        <f t="array" ref="J971">INDEX($A$2:$A$7,I971)</f>
        <v>Segment 6- Self-Conscious Male</v>
      </c>
    </row>
    <row r="972" spans="1:10" x14ac:dyDescent="0.25">
      <c r="A972" s="1">
        <f>'batch tool'!A966</f>
        <v>0</v>
      </c>
      <c r="B972" s="7">
        <f>SUMPRODUCT($C$2:$X$2,'batch tool'!$B966:$W966)+$Y$2</f>
        <v>-49.12272534143483</v>
      </c>
      <c r="C972" s="7">
        <f>SUMPRODUCT($C$3:$X$3,'batch tool'!$B966:$W966)+$Y$3</f>
        <v>-36.514029388465531</v>
      </c>
      <c r="D972" s="7">
        <f>SUMPRODUCT($C$4:$X$4,'batch tool'!$B966:$W966)+$Y$4</f>
        <v>-44.639843068043824</v>
      </c>
      <c r="E972" s="7">
        <f>SUMPRODUCT($C$5:$X$5,'batch tool'!$B966:$W966)+$Y$5</f>
        <v>-51.578889182477603</v>
      </c>
      <c r="F972" s="7">
        <f>SUMPRODUCT($C$6:$X$6,'batch tool'!$B966:$W966)+$Y$6</f>
        <v>-47.741473633885199</v>
      </c>
      <c r="G972" s="7">
        <f>SUMPRODUCT($C$7:$X$7,'batch tool'!$B966:$W966)+$Y$7</f>
        <v>-19.739516238059196</v>
      </c>
      <c r="H972" s="7">
        <f t="shared" si="30"/>
        <v>-19.739516238059196</v>
      </c>
      <c r="I972">
        <f t="shared" si="31"/>
        <v>6</v>
      </c>
      <c r="J972" t="str" cm="1">
        <f t="array" ref="J972">INDEX($A$2:$A$7,I972)</f>
        <v>Segment 6- Self-Conscious Male</v>
      </c>
    </row>
    <row r="973" spans="1:10" x14ac:dyDescent="0.25">
      <c r="A973" s="1">
        <f>'batch tool'!A967</f>
        <v>0</v>
      </c>
      <c r="B973" s="7">
        <f>SUMPRODUCT($C$2:$X$2,'batch tool'!$B967:$W967)+$Y$2</f>
        <v>-49.12272534143483</v>
      </c>
      <c r="C973" s="7">
        <f>SUMPRODUCT($C$3:$X$3,'batch tool'!$B967:$W967)+$Y$3</f>
        <v>-36.514029388465531</v>
      </c>
      <c r="D973" s="7">
        <f>SUMPRODUCT($C$4:$X$4,'batch tool'!$B967:$W967)+$Y$4</f>
        <v>-44.639843068043824</v>
      </c>
      <c r="E973" s="7">
        <f>SUMPRODUCT($C$5:$X$5,'batch tool'!$B967:$W967)+$Y$5</f>
        <v>-51.578889182477603</v>
      </c>
      <c r="F973" s="7">
        <f>SUMPRODUCT($C$6:$X$6,'batch tool'!$B967:$W967)+$Y$6</f>
        <v>-47.741473633885199</v>
      </c>
      <c r="G973" s="7">
        <f>SUMPRODUCT($C$7:$X$7,'batch tool'!$B967:$W967)+$Y$7</f>
        <v>-19.739516238059196</v>
      </c>
      <c r="H973" s="7">
        <f t="shared" si="30"/>
        <v>-19.739516238059196</v>
      </c>
      <c r="I973">
        <f t="shared" si="31"/>
        <v>6</v>
      </c>
      <c r="J973" t="str" cm="1">
        <f t="array" ref="J973">INDEX($A$2:$A$7,I973)</f>
        <v>Segment 6- Self-Conscious Male</v>
      </c>
    </row>
    <row r="974" spans="1:10" x14ac:dyDescent="0.25">
      <c r="A974" s="1">
        <f>'batch tool'!A968</f>
        <v>0</v>
      </c>
      <c r="B974" s="7">
        <f>SUMPRODUCT($C$2:$X$2,'batch tool'!$B968:$W968)+$Y$2</f>
        <v>-49.12272534143483</v>
      </c>
      <c r="C974" s="7">
        <f>SUMPRODUCT($C$3:$X$3,'batch tool'!$B968:$W968)+$Y$3</f>
        <v>-36.514029388465531</v>
      </c>
      <c r="D974" s="7">
        <f>SUMPRODUCT($C$4:$X$4,'batch tool'!$B968:$W968)+$Y$4</f>
        <v>-44.639843068043824</v>
      </c>
      <c r="E974" s="7">
        <f>SUMPRODUCT($C$5:$X$5,'batch tool'!$B968:$W968)+$Y$5</f>
        <v>-51.578889182477603</v>
      </c>
      <c r="F974" s="7">
        <f>SUMPRODUCT($C$6:$X$6,'batch tool'!$B968:$W968)+$Y$6</f>
        <v>-47.741473633885199</v>
      </c>
      <c r="G974" s="7">
        <f>SUMPRODUCT($C$7:$X$7,'batch tool'!$B968:$W968)+$Y$7</f>
        <v>-19.739516238059196</v>
      </c>
      <c r="H974" s="7">
        <f t="shared" si="30"/>
        <v>-19.739516238059196</v>
      </c>
      <c r="I974">
        <f t="shared" si="31"/>
        <v>6</v>
      </c>
      <c r="J974" t="str" cm="1">
        <f t="array" ref="J974">INDEX($A$2:$A$7,I974)</f>
        <v>Segment 6- Self-Conscious Male</v>
      </c>
    </row>
    <row r="975" spans="1:10" x14ac:dyDescent="0.25">
      <c r="A975" s="1">
        <f>'batch tool'!A969</f>
        <v>0</v>
      </c>
      <c r="B975" s="7">
        <f>SUMPRODUCT($C$2:$X$2,'batch tool'!$B969:$W969)+$Y$2</f>
        <v>-49.12272534143483</v>
      </c>
      <c r="C975" s="7">
        <f>SUMPRODUCT($C$3:$X$3,'batch tool'!$B969:$W969)+$Y$3</f>
        <v>-36.514029388465531</v>
      </c>
      <c r="D975" s="7">
        <f>SUMPRODUCT($C$4:$X$4,'batch tool'!$B969:$W969)+$Y$4</f>
        <v>-44.639843068043824</v>
      </c>
      <c r="E975" s="7">
        <f>SUMPRODUCT($C$5:$X$5,'batch tool'!$B969:$W969)+$Y$5</f>
        <v>-51.578889182477603</v>
      </c>
      <c r="F975" s="7">
        <f>SUMPRODUCT($C$6:$X$6,'batch tool'!$B969:$W969)+$Y$6</f>
        <v>-47.741473633885199</v>
      </c>
      <c r="G975" s="7">
        <f>SUMPRODUCT($C$7:$X$7,'batch tool'!$B969:$W969)+$Y$7</f>
        <v>-19.739516238059196</v>
      </c>
      <c r="H975" s="7">
        <f t="shared" si="30"/>
        <v>-19.739516238059196</v>
      </c>
      <c r="I975">
        <f t="shared" si="31"/>
        <v>6</v>
      </c>
      <c r="J975" t="str" cm="1">
        <f t="array" ref="J975">INDEX($A$2:$A$7,I975)</f>
        <v>Segment 6- Self-Conscious Male</v>
      </c>
    </row>
    <row r="976" spans="1:10" x14ac:dyDescent="0.25">
      <c r="A976" s="1">
        <f>'batch tool'!A970</f>
        <v>0</v>
      </c>
      <c r="B976" s="7">
        <f>SUMPRODUCT($C$2:$X$2,'batch tool'!$B970:$W970)+$Y$2</f>
        <v>-49.12272534143483</v>
      </c>
      <c r="C976" s="7">
        <f>SUMPRODUCT($C$3:$X$3,'batch tool'!$B970:$W970)+$Y$3</f>
        <v>-36.514029388465531</v>
      </c>
      <c r="D976" s="7">
        <f>SUMPRODUCT($C$4:$X$4,'batch tool'!$B970:$W970)+$Y$4</f>
        <v>-44.639843068043824</v>
      </c>
      <c r="E976" s="7">
        <f>SUMPRODUCT($C$5:$X$5,'batch tool'!$B970:$W970)+$Y$5</f>
        <v>-51.578889182477603</v>
      </c>
      <c r="F976" s="7">
        <f>SUMPRODUCT($C$6:$X$6,'batch tool'!$B970:$W970)+$Y$6</f>
        <v>-47.741473633885199</v>
      </c>
      <c r="G976" s="7">
        <f>SUMPRODUCT($C$7:$X$7,'batch tool'!$B970:$W970)+$Y$7</f>
        <v>-19.739516238059196</v>
      </c>
      <c r="H976" s="7">
        <f t="shared" si="30"/>
        <v>-19.739516238059196</v>
      </c>
      <c r="I976">
        <f t="shared" si="31"/>
        <v>6</v>
      </c>
      <c r="J976" t="str" cm="1">
        <f t="array" ref="J976">INDEX($A$2:$A$7,I976)</f>
        <v>Segment 6- Self-Conscious Male</v>
      </c>
    </row>
    <row r="977" spans="1:10" x14ac:dyDescent="0.25">
      <c r="A977" s="1">
        <f>'batch tool'!A971</f>
        <v>0</v>
      </c>
      <c r="B977" s="7">
        <f>SUMPRODUCT($C$2:$X$2,'batch tool'!$B971:$W971)+$Y$2</f>
        <v>-49.12272534143483</v>
      </c>
      <c r="C977" s="7">
        <f>SUMPRODUCT($C$3:$X$3,'batch tool'!$B971:$W971)+$Y$3</f>
        <v>-36.514029388465531</v>
      </c>
      <c r="D977" s="7">
        <f>SUMPRODUCT($C$4:$X$4,'batch tool'!$B971:$W971)+$Y$4</f>
        <v>-44.639843068043824</v>
      </c>
      <c r="E977" s="7">
        <f>SUMPRODUCT($C$5:$X$5,'batch tool'!$B971:$W971)+$Y$5</f>
        <v>-51.578889182477603</v>
      </c>
      <c r="F977" s="7">
        <f>SUMPRODUCT($C$6:$X$6,'batch tool'!$B971:$W971)+$Y$6</f>
        <v>-47.741473633885199</v>
      </c>
      <c r="G977" s="7">
        <f>SUMPRODUCT($C$7:$X$7,'batch tool'!$B971:$W971)+$Y$7</f>
        <v>-19.739516238059196</v>
      </c>
      <c r="H977" s="7">
        <f t="shared" si="30"/>
        <v>-19.739516238059196</v>
      </c>
      <c r="I977">
        <f t="shared" si="31"/>
        <v>6</v>
      </c>
      <c r="J977" t="str" cm="1">
        <f t="array" ref="J977">INDEX($A$2:$A$7,I977)</f>
        <v>Segment 6- Self-Conscious Male</v>
      </c>
    </row>
    <row r="978" spans="1:10" x14ac:dyDescent="0.25">
      <c r="A978" s="1">
        <f>'batch tool'!A972</f>
        <v>0</v>
      </c>
      <c r="B978" s="7">
        <f>SUMPRODUCT($C$2:$X$2,'batch tool'!$B972:$W972)+$Y$2</f>
        <v>-49.12272534143483</v>
      </c>
      <c r="C978" s="7">
        <f>SUMPRODUCT($C$3:$X$3,'batch tool'!$B972:$W972)+$Y$3</f>
        <v>-36.514029388465531</v>
      </c>
      <c r="D978" s="7">
        <f>SUMPRODUCT($C$4:$X$4,'batch tool'!$B972:$W972)+$Y$4</f>
        <v>-44.639843068043824</v>
      </c>
      <c r="E978" s="7">
        <f>SUMPRODUCT($C$5:$X$5,'batch tool'!$B972:$W972)+$Y$5</f>
        <v>-51.578889182477603</v>
      </c>
      <c r="F978" s="7">
        <f>SUMPRODUCT($C$6:$X$6,'batch tool'!$B972:$W972)+$Y$6</f>
        <v>-47.741473633885199</v>
      </c>
      <c r="G978" s="7">
        <f>SUMPRODUCT($C$7:$X$7,'batch tool'!$B972:$W972)+$Y$7</f>
        <v>-19.739516238059196</v>
      </c>
      <c r="H978" s="7">
        <f t="shared" si="30"/>
        <v>-19.739516238059196</v>
      </c>
      <c r="I978">
        <f t="shared" si="31"/>
        <v>6</v>
      </c>
      <c r="J978" t="str" cm="1">
        <f t="array" ref="J978">INDEX($A$2:$A$7,I978)</f>
        <v>Segment 6- Self-Conscious Male</v>
      </c>
    </row>
    <row r="979" spans="1:10" x14ac:dyDescent="0.25">
      <c r="A979" s="1">
        <f>'batch tool'!A973</f>
        <v>0</v>
      </c>
      <c r="B979" s="7">
        <f>SUMPRODUCT($C$2:$X$2,'batch tool'!$B973:$W973)+$Y$2</f>
        <v>-49.12272534143483</v>
      </c>
      <c r="C979" s="7">
        <f>SUMPRODUCT($C$3:$X$3,'batch tool'!$B973:$W973)+$Y$3</f>
        <v>-36.514029388465531</v>
      </c>
      <c r="D979" s="7">
        <f>SUMPRODUCT($C$4:$X$4,'batch tool'!$B973:$W973)+$Y$4</f>
        <v>-44.639843068043824</v>
      </c>
      <c r="E979" s="7">
        <f>SUMPRODUCT($C$5:$X$5,'batch tool'!$B973:$W973)+$Y$5</f>
        <v>-51.578889182477603</v>
      </c>
      <c r="F979" s="7">
        <f>SUMPRODUCT($C$6:$X$6,'batch tool'!$B973:$W973)+$Y$6</f>
        <v>-47.741473633885199</v>
      </c>
      <c r="G979" s="7">
        <f>SUMPRODUCT($C$7:$X$7,'batch tool'!$B973:$W973)+$Y$7</f>
        <v>-19.739516238059196</v>
      </c>
      <c r="H979" s="7">
        <f t="shared" si="30"/>
        <v>-19.739516238059196</v>
      </c>
      <c r="I979">
        <f t="shared" si="31"/>
        <v>6</v>
      </c>
      <c r="J979" t="str" cm="1">
        <f t="array" ref="J979">INDEX($A$2:$A$7,I979)</f>
        <v>Segment 6- Self-Conscious Male</v>
      </c>
    </row>
    <row r="980" spans="1:10" x14ac:dyDescent="0.25">
      <c r="A980" s="1">
        <f>'batch tool'!A974</f>
        <v>0</v>
      </c>
      <c r="B980" s="7">
        <f>SUMPRODUCT($C$2:$X$2,'batch tool'!$B974:$W974)+$Y$2</f>
        <v>-49.12272534143483</v>
      </c>
      <c r="C980" s="7">
        <f>SUMPRODUCT($C$3:$X$3,'batch tool'!$B974:$W974)+$Y$3</f>
        <v>-36.514029388465531</v>
      </c>
      <c r="D980" s="7">
        <f>SUMPRODUCT($C$4:$X$4,'batch tool'!$B974:$W974)+$Y$4</f>
        <v>-44.639843068043824</v>
      </c>
      <c r="E980" s="7">
        <f>SUMPRODUCT($C$5:$X$5,'batch tool'!$B974:$W974)+$Y$5</f>
        <v>-51.578889182477603</v>
      </c>
      <c r="F980" s="7">
        <f>SUMPRODUCT($C$6:$X$6,'batch tool'!$B974:$W974)+$Y$6</f>
        <v>-47.741473633885199</v>
      </c>
      <c r="G980" s="7">
        <f>SUMPRODUCT($C$7:$X$7,'batch tool'!$B974:$W974)+$Y$7</f>
        <v>-19.739516238059196</v>
      </c>
      <c r="H980" s="7">
        <f t="shared" si="30"/>
        <v>-19.739516238059196</v>
      </c>
      <c r="I980">
        <f t="shared" si="31"/>
        <v>6</v>
      </c>
      <c r="J980" t="str" cm="1">
        <f t="array" ref="J980">INDEX($A$2:$A$7,I980)</f>
        <v>Segment 6- Self-Conscious Male</v>
      </c>
    </row>
    <row r="981" spans="1:10" x14ac:dyDescent="0.25">
      <c r="A981" s="1">
        <f>'batch tool'!A975</f>
        <v>0</v>
      </c>
      <c r="B981" s="7">
        <f>SUMPRODUCT($C$2:$X$2,'batch tool'!$B975:$W975)+$Y$2</f>
        <v>-49.12272534143483</v>
      </c>
      <c r="C981" s="7">
        <f>SUMPRODUCT($C$3:$X$3,'batch tool'!$B975:$W975)+$Y$3</f>
        <v>-36.514029388465531</v>
      </c>
      <c r="D981" s="7">
        <f>SUMPRODUCT($C$4:$X$4,'batch tool'!$B975:$W975)+$Y$4</f>
        <v>-44.639843068043824</v>
      </c>
      <c r="E981" s="7">
        <f>SUMPRODUCT($C$5:$X$5,'batch tool'!$B975:$W975)+$Y$5</f>
        <v>-51.578889182477603</v>
      </c>
      <c r="F981" s="7">
        <f>SUMPRODUCT($C$6:$X$6,'batch tool'!$B975:$W975)+$Y$6</f>
        <v>-47.741473633885199</v>
      </c>
      <c r="G981" s="7">
        <f>SUMPRODUCT($C$7:$X$7,'batch tool'!$B975:$W975)+$Y$7</f>
        <v>-19.739516238059196</v>
      </c>
      <c r="H981" s="7">
        <f t="shared" si="30"/>
        <v>-19.739516238059196</v>
      </c>
      <c r="I981">
        <f t="shared" si="31"/>
        <v>6</v>
      </c>
      <c r="J981" t="str" cm="1">
        <f t="array" ref="J981">INDEX($A$2:$A$7,I981)</f>
        <v>Segment 6- Self-Conscious Male</v>
      </c>
    </row>
    <row r="982" spans="1:10" x14ac:dyDescent="0.25">
      <c r="A982" s="1">
        <f>'batch tool'!A976</f>
        <v>0</v>
      </c>
      <c r="B982" s="7">
        <f>SUMPRODUCT($C$2:$X$2,'batch tool'!$B976:$W976)+$Y$2</f>
        <v>-49.12272534143483</v>
      </c>
      <c r="C982" s="7">
        <f>SUMPRODUCT($C$3:$X$3,'batch tool'!$B976:$W976)+$Y$3</f>
        <v>-36.514029388465531</v>
      </c>
      <c r="D982" s="7">
        <f>SUMPRODUCT($C$4:$X$4,'batch tool'!$B976:$W976)+$Y$4</f>
        <v>-44.639843068043824</v>
      </c>
      <c r="E982" s="7">
        <f>SUMPRODUCT($C$5:$X$5,'batch tool'!$B976:$W976)+$Y$5</f>
        <v>-51.578889182477603</v>
      </c>
      <c r="F982" s="7">
        <f>SUMPRODUCT($C$6:$X$6,'batch tool'!$B976:$W976)+$Y$6</f>
        <v>-47.741473633885199</v>
      </c>
      <c r="G982" s="7">
        <f>SUMPRODUCT($C$7:$X$7,'batch tool'!$B976:$W976)+$Y$7</f>
        <v>-19.739516238059196</v>
      </c>
      <c r="H982" s="7">
        <f t="shared" si="30"/>
        <v>-19.739516238059196</v>
      </c>
      <c r="I982">
        <f t="shared" si="31"/>
        <v>6</v>
      </c>
      <c r="J982" t="str" cm="1">
        <f t="array" ref="J982">INDEX($A$2:$A$7,I982)</f>
        <v>Segment 6- Self-Conscious Male</v>
      </c>
    </row>
    <row r="983" spans="1:10" x14ac:dyDescent="0.25">
      <c r="A983" s="1">
        <f>'batch tool'!A977</f>
        <v>0</v>
      </c>
      <c r="B983" s="7">
        <f>SUMPRODUCT($C$2:$X$2,'batch tool'!$B977:$W977)+$Y$2</f>
        <v>-49.12272534143483</v>
      </c>
      <c r="C983" s="7">
        <f>SUMPRODUCT($C$3:$X$3,'batch tool'!$B977:$W977)+$Y$3</f>
        <v>-36.514029388465531</v>
      </c>
      <c r="D983" s="7">
        <f>SUMPRODUCT($C$4:$X$4,'batch tool'!$B977:$W977)+$Y$4</f>
        <v>-44.639843068043824</v>
      </c>
      <c r="E983" s="7">
        <f>SUMPRODUCT($C$5:$X$5,'batch tool'!$B977:$W977)+$Y$5</f>
        <v>-51.578889182477603</v>
      </c>
      <c r="F983" s="7">
        <f>SUMPRODUCT($C$6:$X$6,'batch tool'!$B977:$W977)+$Y$6</f>
        <v>-47.741473633885199</v>
      </c>
      <c r="G983" s="7">
        <f>SUMPRODUCT($C$7:$X$7,'batch tool'!$B977:$W977)+$Y$7</f>
        <v>-19.739516238059196</v>
      </c>
      <c r="H983" s="7">
        <f t="shared" si="30"/>
        <v>-19.739516238059196</v>
      </c>
      <c r="I983">
        <f t="shared" si="31"/>
        <v>6</v>
      </c>
      <c r="J983" t="str" cm="1">
        <f t="array" ref="J983">INDEX($A$2:$A$7,I983)</f>
        <v>Segment 6- Self-Conscious Male</v>
      </c>
    </row>
    <row r="984" spans="1:10" x14ac:dyDescent="0.25">
      <c r="A984" s="1">
        <f>'batch tool'!A978</f>
        <v>0</v>
      </c>
      <c r="B984" s="7">
        <f>SUMPRODUCT($C$2:$X$2,'batch tool'!$B978:$W978)+$Y$2</f>
        <v>-49.12272534143483</v>
      </c>
      <c r="C984" s="7">
        <f>SUMPRODUCT($C$3:$X$3,'batch tool'!$B978:$W978)+$Y$3</f>
        <v>-36.514029388465531</v>
      </c>
      <c r="D984" s="7">
        <f>SUMPRODUCT($C$4:$X$4,'batch tool'!$B978:$W978)+$Y$4</f>
        <v>-44.639843068043824</v>
      </c>
      <c r="E984" s="7">
        <f>SUMPRODUCT($C$5:$X$5,'batch tool'!$B978:$W978)+$Y$5</f>
        <v>-51.578889182477603</v>
      </c>
      <c r="F984" s="7">
        <f>SUMPRODUCT($C$6:$X$6,'batch tool'!$B978:$W978)+$Y$6</f>
        <v>-47.741473633885199</v>
      </c>
      <c r="G984" s="7">
        <f>SUMPRODUCT($C$7:$X$7,'batch tool'!$B978:$W978)+$Y$7</f>
        <v>-19.739516238059196</v>
      </c>
      <c r="H984" s="7">
        <f t="shared" si="30"/>
        <v>-19.739516238059196</v>
      </c>
      <c r="I984">
        <f t="shared" si="31"/>
        <v>6</v>
      </c>
      <c r="J984" t="str" cm="1">
        <f t="array" ref="J984">INDEX($A$2:$A$7,I984)</f>
        <v>Segment 6- Self-Conscious Male</v>
      </c>
    </row>
    <row r="985" spans="1:10" x14ac:dyDescent="0.25">
      <c r="A985" s="1">
        <f>'batch tool'!A979</f>
        <v>0</v>
      </c>
      <c r="B985" s="7">
        <f>SUMPRODUCT($C$2:$X$2,'batch tool'!$B979:$W979)+$Y$2</f>
        <v>-49.12272534143483</v>
      </c>
      <c r="C985" s="7">
        <f>SUMPRODUCT($C$3:$X$3,'batch tool'!$B979:$W979)+$Y$3</f>
        <v>-36.514029388465531</v>
      </c>
      <c r="D985" s="7">
        <f>SUMPRODUCT($C$4:$X$4,'batch tool'!$B979:$W979)+$Y$4</f>
        <v>-44.639843068043824</v>
      </c>
      <c r="E985" s="7">
        <f>SUMPRODUCT($C$5:$X$5,'batch tool'!$B979:$W979)+$Y$5</f>
        <v>-51.578889182477603</v>
      </c>
      <c r="F985" s="7">
        <f>SUMPRODUCT($C$6:$X$6,'batch tool'!$B979:$W979)+$Y$6</f>
        <v>-47.741473633885199</v>
      </c>
      <c r="G985" s="7">
        <f>SUMPRODUCT($C$7:$X$7,'batch tool'!$B979:$W979)+$Y$7</f>
        <v>-19.739516238059196</v>
      </c>
      <c r="H985" s="7">
        <f t="shared" si="30"/>
        <v>-19.739516238059196</v>
      </c>
      <c r="I985">
        <f t="shared" si="31"/>
        <v>6</v>
      </c>
      <c r="J985" t="str" cm="1">
        <f t="array" ref="J985">INDEX($A$2:$A$7,I985)</f>
        <v>Segment 6- Self-Conscious Male</v>
      </c>
    </row>
    <row r="986" spans="1:10" x14ac:dyDescent="0.25">
      <c r="A986" s="1">
        <f>'batch tool'!A980</f>
        <v>0</v>
      </c>
      <c r="B986" s="7">
        <f>SUMPRODUCT($C$2:$X$2,'batch tool'!$B980:$W980)+$Y$2</f>
        <v>-49.12272534143483</v>
      </c>
      <c r="C986" s="7">
        <f>SUMPRODUCT($C$3:$X$3,'batch tool'!$B980:$W980)+$Y$3</f>
        <v>-36.514029388465531</v>
      </c>
      <c r="D986" s="7">
        <f>SUMPRODUCT($C$4:$X$4,'batch tool'!$B980:$W980)+$Y$4</f>
        <v>-44.639843068043824</v>
      </c>
      <c r="E986" s="7">
        <f>SUMPRODUCT($C$5:$X$5,'batch tool'!$B980:$W980)+$Y$5</f>
        <v>-51.578889182477603</v>
      </c>
      <c r="F986" s="7">
        <f>SUMPRODUCT($C$6:$X$6,'batch tool'!$B980:$W980)+$Y$6</f>
        <v>-47.741473633885199</v>
      </c>
      <c r="G986" s="7">
        <f>SUMPRODUCT($C$7:$X$7,'batch tool'!$B980:$W980)+$Y$7</f>
        <v>-19.739516238059196</v>
      </c>
      <c r="H986" s="7">
        <f t="shared" si="30"/>
        <v>-19.739516238059196</v>
      </c>
      <c r="I986">
        <f t="shared" si="31"/>
        <v>6</v>
      </c>
      <c r="J986" t="str" cm="1">
        <f t="array" ref="J986">INDEX($A$2:$A$7,I986)</f>
        <v>Segment 6- Self-Conscious Male</v>
      </c>
    </row>
    <row r="987" spans="1:10" x14ac:dyDescent="0.25">
      <c r="A987" s="1">
        <f>'batch tool'!A981</f>
        <v>0</v>
      </c>
      <c r="B987" s="7">
        <f>SUMPRODUCT($C$2:$X$2,'batch tool'!$B981:$W981)+$Y$2</f>
        <v>-49.12272534143483</v>
      </c>
      <c r="C987" s="7">
        <f>SUMPRODUCT($C$3:$X$3,'batch tool'!$B981:$W981)+$Y$3</f>
        <v>-36.514029388465531</v>
      </c>
      <c r="D987" s="7">
        <f>SUMPRODUCT($C$4:$X$4,'batch tool'!$B981:$W981)+$Y$4</f>
        <v>-44.639843068043824</v>
      </c>
      <c r="E987" s="7">
        <f>SUMPRODUCT($C$5:$X$5,'batch tool'!$B981:$W981)+$Y$5</f>
        <v>-51.578889182477603</v>
      </c>
      <c r="F987" s="7">
        <f>SUMPRODUCT($C$6:$X$6,'batch tool'!$B981:$W981)+$Y$6</f>
        <v>-47.741473633885199</v>
      </c>
      <c r="G987" s="7">
        <f>SUMPRODUCT($C$7:$X$7,'batch tool'!$B981:$W981)+$Y$7</f>
        <v>-19.739516238059196</v>
      </c>
      <c r="H987" s="7">
        <f t="shared" si="30"/>
        <v>-19.739516238059196</v>
      </c>
      <c r="I987">
        <f t="shared" si="31"/>
        <v>6</v>
      </c>
      <c r="J987" t="str" cm="1">
        <f t="array" ref="J987">INDEX($A$2:$A$7,I987)</f>
        <v>Segment 6- Self-Conscious Male</v>
      </c>
    </row>
    <row r="988" spans="1:10" x14ac:dyDescent="0.25">
      <c r="A988" s="1">
        <f>'batch tool'!A982</f>
        <v>0</v>
      </c>
      <c r="B988" s="7">
        <f>SUMPRODUCT($C$2:$X$2,'batch tool'!$B982:$W982)+$Y$2</f>
        <v>-49.12272534143483</v>
      </c>
      <c r="C988" s="7">
        <f>SUMPRODUCT($C$3:$X$3,'batch tool'!$B982:$W982)+$Y$3</f>
        <v>-36.514029388465531</v>
      </c>
      <c r="D988" s="7">
        <f>SUMPRODUCT($C$4:$X$4,'batch tool'!$B982:$W982)+$Y$4</f>
        <v>-44.639843068043824</v>
      </c>
      <c r="E988" s="7">
        <f>SUMPRODUCT($C$5:$X$5,'batch tool'!$B982:$W982)+$Y$5</f>
        <v>-51.578889182477603</v>
      </c>
      <c r="F988" s="7">
        <f>SUMPRODUCT($C$6:$X$6,'batch tool'!$B982:$W982)+$Y$6</f>
        <v>-47.741473633885199</v>
      </c>
      <c r="G988" s="7">
        <f>SUMPRODUCT($C$7:$X$7,'batch tool'!$B982:$W982)+$Y$7</f>
        <v>-19.739516238059196</v>
      </c>
      <c r="H988" s="7">
        <f t="shared" si="30"/>
        <v>-19.739516238059196</v>
      </c>
      <c r="I988">
        <f t="shared" si="31"/>
        <v>6</v>
      </c>
      <c r="J988" t="str" cm="1">
        <f t="array" ref="J988">INDEX($A$2:$A$7,I988)</f>
        <v>Segment 6- Self-Conscious Male</v>
      </c>
    </row>
    <row r="989" spans="1:10" x14ac:dyDescent="0.25">
      <c r="A989" s="1">
        <f>'batch tool'!A983</f>
        <v>0</v>
      </c>
      <c r="B989" s="7">
        <f>SUMPRODUCT($C$2:$X$2,'batch tool'!$B983:$W983)+$Y$2</f>
        <v>-49.12272534143483</v>
      </c>
      <c r="C989" s="7">
        <f>SUMPRODUCT($C$3:$X$3,'batch tool'!$B983:$W983)+$Y$3</f>
        <v>-36.514029388465531</v>
      </c>
      <c r="D989" s="7">
        <f>SUMPRODUCT($C$4:$X$4,'batch tool'!$B983:$W983)+$Y$4</f>
        <v>-44.639843068043824</v>
      </c>
      <c r="E989" s="7">
        <f>SUMPRODUCT($C$5:$X$5,'batch tool'!$B983:$W983)+$Y$5</f>
        <v>-51.578889182477603</v>
      </c>
      <c r="F989" s="7">
        <f>SUMPRODUCT($C$6:$X$6,'batch tool'!$B983:$W983)+$Y$6</f>
        <v>-47.741473633885199</v>
      </c>
      <c r="G989" s="7">
        <f>SUMPRODUCT($C$7:$X$7,'batch tool'!$B983:$W983)+$Y$7</f>
        <v>-19.739516238059196</v>
      </c>
      <c r="H989" s="7">
        <f t="shared" si="30"/>
        <v>-19.739516238059196</v>
      </c>
      <c r="I989">
        <f t="shared" si="31"/>
        <v>6</v>
      </c>
      <c r="J989" t="str" cm="1">
        <f t="array" ref="J989">INDEX($A$2:$A$7,I989)</f>
        <v>Segment 6- Self-Conscious Male</v>
      </c>
    </row>
    <row r="990" spans="1:10" x14ac:dyDescent="0.25">
      <c r="A990" s="1">
        <f>'batch tool'!A984</f>
        <v>0</v>
      </c>
      <c r="B990" s="7">
        <f>SUMPRODUCT($C$2:$X$2,'batch tool'!$B984:$W984)+$Y$2</f>
        <v>-49.12272534143483</v>
      </c>
      <c r="C990" s="7">
        <f>SUMPRODUCT($C$3:$X$3,'batch tool'!$B984:$W984)+$Y$3</f>
        <v>-36.514029388465531</v>
      </c>
      <c r="D990" s="7">
        <f>SUMPRODUCT($C$4:$X$4,'batch tool'!$B984:$W984)+$Y$4</f>
        <v>-44.639843068043824</v>
      </c>
      <c r="E990" s="7">
        <f>SUMPRODUCT($C$5:$X$5,'batch tool'!$B984:$W984)+$Y$5</f>
        <v>-51.578889182477603</v>
      </c>
      <c r="F990" s="7">
        <f>SUMPRODUCT($C$6:$X$6,'batch tool'!$B984:$W984)+$Y$6</f>
        <v>-47.741473633885199</v>
      </c>
      <c r="G990" s="7">
        <f>SUMPRODUCT($C$7:$X$7,'batch tool'!$B984:$W984)+$Y$7</f>
        <v>-19.739516238059196</v>
      </c>
      <c r="H990" s="7">
        <f t="shared" si="30"/>
        <v>-19.739516238059196</v>
      </c>
      <c r="I990">
        <f t="shared" si="31"/>
        <v>6</v>
      </c>
      <c r="J990" t="str" cm="1">
        <f t="array" ref="J990">INDEX($A$2:$A$7,I990)</f>
        <v>Segment 6- Self-Conscious Male</v>
      </c>
    </row>
    <row r="991" spans="1:10" x14ac:dyDescent="0.25">
      <c r="A991" s="1">
        <f>'batch tool'!A985</f>
        <v>0</v>
      </c>
      <c r="B991" s="7">
        <f>SUMPRODUCT($C$2:$X$2,'batch tool'!$B985:$W985)+$Y$2</f>
        <v>-49.12272534143483</v>
      </c>
      <c r="C991" s="7">
        <f>SUMPRODUCT($C$3:$X$3,'batch tool'!$B985:$W985)+$Y$3</f>
        <v>-36.514029388465531</v>
      </c>
      <c r="D991" s="7">
        <f>SUMPRODUCT($C$4:$X$4,'batch tool'!$B985:$W985)+$Y$4</f>
        <v>-44.639843068043824</v>
      </c>
      <c r="E991" s="7">
        <f>SUMPRODUCT($C$5:$X$5,'batch tool'!$B985:$W985)+$Y$5</f>
        <v>-51.578889182477603</v>
      </c>
      <c r="F991" s="7">
        <f>SUMPRODUCT($C$6:$X$6,'batch tool'!$B985:$W985)+$Y$6</f>
        <v>-47.741473633885199</v>
      </c>
      <c r="G991" s="7">
        <f>SUMPRODUCT($C$7:$X$7,'batch tool'!$B985:$W985)+$Y$7</f>
        <v>-19.739516238059196</v>
      </c>
      <c r="H991" s="7">
        <f t="shared" si="30"/>
        <v>-19.739516238059196</v>
      </c>
      <c r="I991">
        <f t="shared" si="31"/>
        <v>6</v>
      </c>
      <c r="J991" t="str" cm="1">
        <f t="array" ref="J991">INDEX($A$2:$A$7,I991)</f>
        <v>Segment 6- Self-Conscious Male</v>
      </c>
    </row>
    <row r="992" spans="1:10" x14ac:dyDescent="0.25">
      <c r="A992" s="1">
        <f>'batch tool'!A986</f>
        <v>0</v>
      </c>
      <c r="B992" s="7">
        <f>SUMPRODUCT($C$2:$X$2,'batch tool'!$B986:$W986)+$Y$2</f>
        <v>-49.12272534143483</v>
      </c>
      <c r="C992" s="7">
        <f>SUMPRODUCT($C$3:$X$3,'batch tool'!$B986:$W986)+$Y$3</f>
        <v>-36.514029388465531</v>
      </c>
      <c r="D992" s="7">
        <f>SUMPRODUCT($C$4:$X$4,'batch tool'!$B986:$W986)+$Y$4</f>
        <v>-44.639843068043824</v>
      </c>
      <c r="E992" s="7">
        <f>SUMPRODUCT($C$5:$X$5,'batch tool'!$B986:$W986)+$Y$5</f>
        <v>-51.578889182477603</v>
      </c>
      <c r="F992" s="7">
        <f>SUMPRODUCT($C$6:$X$6,'batch tool'!$B986:$W986)+$Y$6</f>
        <v>-47.741473633885199</v>
      </c>
      <c r="G992" s="7">
        <f>SUMPRODUCT($C$7:$X$7,'batch tool'!$B986:$W986)+$Y$7</f>
        <v>-19.739516238059196</v>
      </c>
      <c r="H992" s="7">
        <f t="shared" si="30"/>
        <v>-19.739516238059196</v>
      </c>
      <c r="I992">
        <f t="shared" si="31"/>
        <v>6</v>
      </c>
      <c r="J992" t="str" cm="1">
        <f t="array" ref="J992">INDEX($A$2:$A$7,I992)</f>
        <v>Segment 6- Self-Conscious Male</v>
      </c>
    </row>
    <row r="993" spans="1:10" x14ac:dyDescent="0.25">
      <c r="A993" s="1">
        <f>'batch tool'!A987</f>
        <v>0</v>
      </c>
      <c r="B993" s="7">
        <f>SUMPRODUCT($C$2:$X$2,'batch tool'!$B987:$W987)+$Y$2</f>
        <v>-49.12272534143483</v>
      </c>
      <c r="C993" s="7">
        <f>SUMPRODUCT($C$3:$X$3,'batch tool'!$B987:$W987)+$Y$3</f>
        <v>-36.514029388465531</v>
      </c>
      <c r="D993" s="7">
        <f>SUMPRODUCT($C$4:$X$4,'batch tool'!$B987:$W987)+$Y$4</f>
        <v>-44.639843068043824</v>
      </c>
      <c r="E993" s="7">
        <f>SUMPRODUCT($C$5:$X$5,'batch tool'!$B987:$W987)+$Y$5</f>
        <v>-51.578889182477603</v>
      </c>
      <c r="F993" s="7">
        <f>SUMPRODUCT($C$6:$X$6,'batch tool'!$B987:$W987)+$Y$6</f>
        <v>-47.741473633885199</v>
      </c>
      <c r="G993" s="7">
        <f>SUMPRODUCT($C$7:$X$7,'batch tool'!$B987:$W987)+$Y$7</f>
        <v>-19.739516238059196</v>
      </c>
      <c r="H993" s="7">
        <f t="shared" si="30"/>
        <v>-19.739516238059196</v>
      </c>
      <c r="I993">
        <f t="shared" si="31"/>
        <v>6</v>
      </c>
      <c r="J993" t="str" cm="1">
        <f t="array" ref="J993">INDEX($A$2:$A$7,I993)</f>
        <v>Segment 6- Self-Conscious Male</v>
      </c>
    </row>
    <row r="994" spans="1:10" x14ac:dyDescent="0.25">
      <c r="A994" s="1">
        <f>'batch tool'!A988</f>
        <v>0</v>
      </c>
      <c r="B994" s="7">
        <f>SUMPRODUCT($C$2:$X$2,'batch tool'!$B988:$W988)+$Y$2</f>
        <v>-49.12272534143483</v>
      </c>
      <c r="C994" s="7">
        <f>SUMPRODUCT($C$3:$X$3,'batch tool'!$B988:$W988)+$Y$3</f>
        <v>-36.514029388465531</v>
      </c>
      <c r="D994" s="7">
        <f>SUMPRODUCT($C$4:$X$4,'batch tool'!$B988:$W988)+$Y$4</f>
        <v>-44.639843068043824</v>
      </c>
      <c r="E994" s="7">
        <f>SUMPRODUCT($C$5:$X$5,'batch tool'!$B988:$W988)+$Y$5</f>
        <v>-51.578889182477603</v>
      </c>
      <c r="F994" s="7">
        <f>SUMPRODUCT($C$6:$X$6,'batch tool'!$B988:$W988)+$Y$6</f>
        <v>-47.741473633885199</v>
      </c>
      <c r="G994" s="7">
        <f>SUMPRODUCT($C$7:$X$7,'batch tool'!$B988:$W988)+$Y$7</f>
        <v>-19.739516238059196</v>
      </c>
      <c r="H994" s="7">
        <f t="shared" si="30"/>
        <v>-19.739516238059196</v>
      </c>
      <c r="I994">
        <f t="shared" si="31"/>
        <v>6</v>
      </c>
      <c r="J994" t="str" cm="1">
        <f t="array" ref="J994">INDEX($A$2:$A$7,I994)</f>
        <v>Segment 6- Self-Conscious Male</v>
      </c>
    </row>
    <row r="995" spans="1:10" x14ac:dyDescent="0.25">
      <c r="A995" s="1">
        <f>'batch tool'!A989</f>
        <v>0</v>
      </c>
      <c r="B995" s="7">
        <f>SUMPRODUCT($C$2:$X$2,'batch tool'!$B989:$W989)+$Y$2</f>
        <v>-49.12272534143483</v>
      </c>
      <c r="C995" s="7">
        <f>SUMPRODUCT($C$3:$X$3,'batch tool'!$B989:$W989)+$Y$3</f>
        <v>-36.514029388465531</v>
      </c>
      <c r="D995" s="7">
        <f>SUMPRODUCT($C$4:$X$4,'batch tool'!$B989:$W989)+$Y$4</f>
        <v>-44.639843068043824</v>
      </c>
      <c r="E995" s="7">
        <f>SUMPRODUCT($C$5:$X$5,'batch tool'!$B989:$W989)+$Y$5</f>
        <v>-51.578889182477603</v>
      </c>
      <c r="F995" s="7">
        <f>SUMPRODUCT($C$6:$X$6,'batch tool'!$B989:$W989)+$Y$6</f>
        <v>-47.741473633885199</v>
      </c>
      <c r="G995" s="7">
        <f>SUMPRODUCT($C$7:$X$7,'batch tool'!$B989:$W989)+$Y$7</f>
        <v>-19.739516238059196</v>
      </c>
      <c r="H995" s="7">
        <f t="shared" si="30"/>
        <v>-19.739516238059196</v>
      </c>
      <c r="I995">
        <f t="shared" si="31"/>
        <v>6</v>
      </c>
      <c r="J995" t="str" cm="1">
        <f t="array" ref="J995">INDEX($A$2:$A$7,I995)</f>
        <v>Segment 6- Self-Conscious Male</v>
      </c>
    </row>
    <row r="996" spans="1:10" x14ac:dyDescent="0.25">
      <c r="A996" s="1">
        <f>'batch tool'!A990</f>
        <v>0</v>
      </c>
      <c r="B996" s="7">
        <f>SUMPRODUCT($C$2:$X$2,'batch tool'!$B990:$W990)+$Y$2</f>
        <v>-49.12272534143483</v>
      </c>
      <c r="C996" s="7">
        <f>SUMPRODUCT($C$3:$X$3,'batch tool'!$B990:$W990)+$Y$3</f>
        <v>-36.514029388465531</v>
      </c>
      <c r="D996" s="7">
        <f>SUMPRODUCT($C$4:$X$4,'batch tool'!$B990:$W990)+$Y$4</f>
        <v>-44.639843068043824</v>
      </c>
      <c r="E996" s="7">
        <f>SUMPRODUCT($C$5:$X$5,'batch tool'!$B990:$W990)+$Y$5</f>
        <v>-51.578889182477603</v>
      </c>
      <c r="F996" s="7">
        <f>SUMPRODUCT($C$6:$X$6,'batch tool'!$B990:$W990)+$Y$6</f>
        <v>-47.741473633885199</v>
      </c>
      <c r="G996" s="7">
        <f>SUMPRODUCT($C$7:$X$7,'batch tool'!$B990:$W990)+$Y$7</f>
        <v>-19.739516238059196</v>
      </c>
      <c r="H996" s="7">
        <f t="shared" si="30"/>
        <v>-19.739516238059196</v>
      </c>
      <c r="I996">
        <f t="shared" si="31"/>
        <v>6</v>
      </c>
      <c r="J996" t="str" cm="1">
        <f t="array" ref="J996">INDEX($A$2:$A$7,I996)</f>
        <v>Segment 6- Self-Conscious Male</v>
      </c>
    </row>
    <row r="997" spans="1:10" x14ac:dyDescent="0.25">
      <c r="A997" s="1">
        <f>'batch tool'!A991</f>
        <v>0</v>
      </c>
      <c r="B997" s="7">
        <f>SUMPRODUCT($C$2:$X$2,'batch tool'!$B991:$W991)+$Y$2</f>
        <v>-49.12272534143483</v>
      </c>
      <c r="C997" s="7">
        <f>SUMPRODUCT($C$3:$X$3,'batch tool'!$B991:$W991)+$Y$3</f>
        <v>-36.514029388465531</v>
      </c>
      <c r="D997" s="7">
        <f>SUMPRODUCT($C$4:$X$4,'batch tool'!$B991:$W991)+$Y$4</f>
        <v>-44.639843068043824</v>
      </c>
      <c r="E997" s="7">
        <f>SUMPRODUCT($C$5:$X$5,'batch tool'!$B991:$W991)+$Y$5</f>
        <v>-51.578889182477603</v>
      </c>
      <c r="F997" s="7">
        <f>SUMPRODUCT($C$6:$X$6,'batch tool'!$B991:$W991)+$Y$6</f>
        <v>-47.741473633885199</v>
      </c>
      <c r="G997" s="7">
        <f>SUMPRODUCT($C$7:$X$7,'batch tool'!$B991:$W991)+$Y$7</f>
        <v>-19.739516238059196</v>
      </c>
      <c r="H997" s="7">
        <f t="shared" si="30"/>
        <v>-19.739516238059196</v>
      </c>
      <c r="I997">
        <f t="shared" si="31"/>
        <v>6</v>
      </c>
      <c r="J997" t="str" cm="1">
        <f t="array" ref="J997">INDEX($A$2:$A$7,I997)</f>
        <v>Segment 6- Self-Conscious Male</v>
      </c>
    </row>
    <row r="998" spans="1:10" x14ac:dyDescent="0.25">
      <c r="A998" s="1">
        <f>'batch tool'!A992</f>
        <v>0</v>
      </c>
      <c r="B998" s="7">
        <f>SUMPRODUCT($C$2:$X$2,'batch tool'!$B992:$W992)+$Y$2</f>
        <v>-49.12272534143483</v>
      </c>
      <c r="C998" s="7">
        <f>SUMPRODUCT($C$3:$X$3,'batch tool'!$B992:$W992)+$Y$3</f>
        <v>-36.514029388465531</v>
      </c>
      <c r="D998" s="7">
        <f>SUMPRODUCT($C$4:$X$4,'batch tool'!$B992:$W992)+$Y$4</f>
        <v>-44.639843068043824</v>
      </c>
      <c r="E998" s="7">
        <f>SUMPRODUCT($C$5:$X$5,'batch tool'!$B992:$W992)+$Y$5</f>
        <v>-51.578889182477603</v>
      </c>
      <c r="F998" s="7">
        <f>SUMPRODUCT($C$6:$X$6,'batch tool'!$B992:$W992)+$Y$6</f>
        <v>-47.741473633885199</v>
      </c>
      <c r="G998" s="7">
        <f>SUMPRODUCT($C$7:$X$7,'batch tool'!$B992:$W992)+$Y$7</f>
        <v>-19.739516238059196</v>
      </c>
      <c r="H998" s="7">
        <f t="shared" si="30"/>
        <v>-19.739516238059196</v>
      </c>
      <c r="I998">
        <f t="shared" si="31"/>
        <v>6</v>
      </c>
      <c r="J998" t="str" cm="1">
        <f t="array" ref="J998">INDEX($A$2:$A$7,I998)</f>
        <v>Segment 6- Self-Conscious Male</v>
      </c>
    </row>
    <row r="999" spans="1:10" x14ac:dyDescent="0.25">
      <c r="A999" s="1">
        <f>'batch tool'!A993</f>
        <v>0</v>
      </c>
      <c r="B999" s="7">
        <f>SUMPRODUCT($C$2:$X$2,'batch tool'!$B993:$W993)+$Y$2</f>
        <v>-49.12272534143483</v>
      </c>
      <c r="C999" s="7">
        <f>SUMPRODUCT($C$3:$X$3,'batch tool'!$B993:$W993)+$Y$3</f>
        <v>-36.514029388465531</v>
      </c>
      <c r="D999" s="7">
        <f>SUMPRODUCT($C$4:$X$4,'batch tool'!$B993:$W993)+$Y$4</f>
        <v>-44.639843068043824</v>
      </c>
      <c r="E999" s="7">
        <f>SUMPRODUCT($C$5:$X$5,'batch tool'!$B993:$W993)+$Y$5</f>
        <v>-51.578889182477603</v>
      </c>
      <c r="F999" s="7">
        <f>SUMPRODUCT($C$6:$X$6,'batch tool'!$B993:$W993)+$Y$6</f>
        <v>-47.741473633885199</v>
      </c>
      <c r="G999" s="7">
        <f>SUMPRODUCT($C$7:$X$7,'batch tool'!$B993:$W993)+$Y$7</f>
        <v>-19.739516238059196</v>
      </c>
      <c r="H999" s="7">
        <f t="shared" si="30"/>
        <v>-19.739516238059196</v>
      </c>
      <c r="I999">
        <f t="shared" si="31"/>
        <v>6</v>
      </c>
      <c r="J999" t="str" cm="1">
        <f t="array" ref="J999">INDEX($A$2:$A$7,I999)</f>
        <v>Segment 6- Self-Conscious Male</v>
      </c>
    </row>
    <row r="1000" spans="1:10" x14ac:dyDescent="0.25">
      <c r="A1000" s="1">
        <f>'batch tool'!A994</f>
        <v>0</v>
      </c>
      <c r="B1000" s="7">
        <f>SUMPRODUCT($C$2:$X$2,'batch tool'!$B994:$W994)+$Y$2</f>
        <v>-49.12272534143483</v>
      </c>
      <c r="C1000" s="7">
        <f>SUMPRODUCT($C$3:$X$3,'batch tool'!$B994:$W994)+$Y$3</f>
        <v>-36.514029388465531</v>
      </c>
      <c r="D1000" s="7">
        <f>SUMPRODUCT($C$4:$X$4,'batch tool'!$B994:$W994)+$Y$4</f>
        <v>-44.639843068043824</v>
      </c>
      <c r="E1000" s="7">
        <f>SUMPRODUCT($C$5:$X$5,'batch tool'!$B994:$W994)+$Y$5</f>
        <v>-51.578889182477603</v>
      </c>
      <c r="F1000" s="7">
        <f>SUMPRODUCT($C$6:$X$6,'batch tool'!$B994:$W994)+$Y$6</f>
        <v>-47.741473633885199</v>
      </c>
      <c r="G1000" s="7">
        <f>SUMPRODUCT($C$7:$X$7,'batch tool'!$B994:$W994)+$Y$7</f>
        <v>-19.739516238059196</v>
      </c>
      <c r="H1000" s="7">
        <f t="shared" si="30"/>
        <v>-19.739516238059196</v>
      </c>
      <c r="I1000">
        <f t="shared" si="31"/>
        <v>6</v>
      </c>
      <c r="J1000" t="str" cm="1">
        <f t="array" ref="J1000">INDEX($A$2:$A$7,I1000)</f>
        <v>Segment 6- Self-Conscious Male</v>
      </c>
    </row>
    <row r="1001" spans="1:10" x14ac:dyDescent="0.25">
      <c r="A1001" s="1">
        <f>'batch tool'!A995</f>
        <v>0</v>
      </c>
      <c r="B1001" s="7">
        <f>SUMPRODUCT($C$2:$X$2,'batch tool'!$B995:$W995)+$Y$2</f>
        <v>-49.12272534143483</v>
      </c>
      <c r="C1001" s="7">
        <f>SUMPRODUCT($C$3:$X$3,'batch tool'!$B995:$W995)+$Y$3</f>
        <v>-36.514029388465531</v>
      </c>
      <c r="D1001" s="7">
        <f>SUMPRODUCT($C$4:$X$4,'batch tool'!$B995:$W995)+$Y$4</f>
        <v>-44.639843068043824</v>
      </c>
      <c r="E1001" s="7">
        <f>SUMPRODUCT($C$5:$X$5,'batch tool'!$B995:$W995)+$Y$5</f>
        <v>-51.578889182477603</v>
      </c>
      <c r="F1001" s="7">
        <f>SUMPRODUCT($C$6:$X$6,'batch tool'!$B995:$W995)+$Y$6</f>
        <v>-47.741473633885199</v>
      </c>
      <c r="G1001" s="7">
        <f>SUMPRODUCT($C$7:$X$7,'batch tool'!$B995:$W995)+$Y$7</f>
        <v>-19.739516238059196</v>
      </c>
      <c r="H1001" s="7">
        <f t="shared" si="30"/>
        <v>-19.739516238059196</v>
      </c>
      <c r="I1001">
        <f t="shared" si="31"/>
        <v>6</v>
      </c>
      <c r="J1001" t="str" cm="1">
        <f t="array" ref="J1001">INDEX($A$2:$A$7,I1001)</f>
        <v>Segment 6- Self-Conscious Male</v>
      </c>
    </row>
    <row r="1002" spans="1:10" x14ac:dyDescent="0.25">
      <c r="A1002" s="1">
        <f>'batch tool'!A996</f>
        <v>0</v>
      </c>
      <c r="B1002" s="7">
        <f>SUMPRODUCT($C$2:$X$2,'batch tool'!$B996:$W996)+$Y$2</f>
        <v>-49.12272534143483</v>
      </c>
      <c r="C1002" s="7">
        <f>SUMPRODUCT($C$3:$X$3,'batch tool'!$B996:$W996)+$Y$3</f>
        <v>-36.514029388465531</v>
      </c>
      <c r="D1002" s="7">
        <f>SUMPRODUCT($C$4:$X$4,'batch tool'!$B996:$W996)+$Y$4</f>
        <v>-44.639843068043824</v>
      </c>
      <c r="E1002" s="7">
        <f>SUMPRODUCT($C$5:$X$5,'batch tool'!$B996:$W996)+$Y$5</f>
        <v>-51.578889182477603</v>
      </c>
      <c r="F1002" s="7">
        <f>SUMPRODUCT($C$6:$X$6,'batch tool'!$B996:$W996)+$Y$6</f>
        <v>-47.741473633885199</v>
      </c>
      <c r="G1002" s="7">
        <f>SUMPRODUCT($C$7:$X$7,'batch tool'!$B996:$W996)+$Y$7</f>
        <v>-19.739516238059196</v>
      </c>
      <c r="H1002" s="7">
        <f t="shared" si="30"/>
        <v>-19.739516238059196</v>
      </c>
      <c r="I1002">
        <f t="shared" si="31"/>
        <v>6</v>
      </c>
      <c r="J1002" t="str" cm="1">
        <f t="array" ref="J1002">INDEX($A$2:$A$7,I1002)</f>
        <v>Segment 6- Self-Conscious Male</v>
      </c>
    </row>
    <row r="1003" spans="1:10" x14ac:dyDescent="0.25">
      <c r="A1003" s="1">
        <f>'batch tool'!A997</f>
        <v>0</v>
      </c>
      <c r="B1003" s="7">
        <f>SUMPRODUCT($C$2:$X$2,'batch tool'!$B997:$W997)+$Y$2</f>
        <v>-49.12272534143483</v>
      </c>
      <c r="C1003" s="7">
        <f>SUMPRODUCT($C$3:$X$3,'batch tool'!$B997:$W997)+$Y$3</f>
        <v>-36.514029388465531</v>
      </c>
      <c r="D1003" s="7">
        <f>SUMPRODUCT($C$4:$X$4,'batch tool'!$B997:$W997)+$Y$4</f>
        <v>-44.639843068043824</v>
      </c>
      <c r="E1003" s="7">
        <f>SUMPRODUCT($C$5:$X$5,'batch tool'!$B997:$W997)+$Y$5</f>
        <v>-51.578889182477603</v>
      </c>
      <c r="F1003" s="7">
        <f>SUMPRODUCT($C$6:$X$6,'batch tool'!$B997:$W997)+$Y$6</f>
        <v>-47.741473633885199</v>
      </c>
      <c r="G1003" s="7">
        <f>SUMPRODUCT($C$7:$X$7,'batch tool'!$B997:$W997)+$Y$7</f>
        <v>-19.739516238059196</v>
      </c>
      <c r="H1003" s="7">
        <f t="shared" si="30"/>
        <v>-19.739516238059196</v>
      </c>
      <c r="I1003">
        <f t="shared" si="31"/>
        <v>6</v>
      </c>
      <c r="J1003" t="str" cm="1">
        <f t="array" ref="J1003">INDEX($A$2:$A$7,I1003)</f>
        <v>Segment 6- Self-Conscious Male</v>
      </c>
    </row>
    <row r="1004" spans="1:10" x14ac:dyDescent="0.25">
      <c r="A1004" s="1">
        <f>'batch tool'!A998</f>
        <v>0</v>
      </c>
      <c r="B1004" s="7">
        <f>SUMPRODUCT($C$2:$X$2,'batch tool'!$B998:$W998)+$Y$2</f>
        <v>-49.12272534143483</v>
      </c>
      <c r="C1004" s="7">
        <f>SUMPRODUCT($C$3:$X$3,'batch tool'!$B998:$W998)+$Y$3</f>
        <v>-36.514029388465531</v>
      </c>
      <c r="D1004" s="7">
        <f>SUMPRODUCT($C$4:$X$4,'batch tool'!$B998:$W998)+$Y$4</f>
        <v>-44.639843068043824</v>
      </c>
      <c r="E1004" s="7">
        <f>SUMPRODUCT($C$5:$X$5,'batch tool'!$B998:$W998)+$Y$5</f>
        <v>-51.578889182477603</v>
      </c>
      <c r="F1004" s="7">
        <f>SUMPRODUCT($C$6:$X$6,'batch tool'!$B998:$W998)+$Y$6</f>
        <v>-47.741473633885199</v>
      </c>
      <c r="G1004" s="7">
        <f>SUMPRODUCT($C$7:$X$7,'batch tool'!$B998:$W998)+$Y$7</f>
        <v>-19.739516238059196</v>
      </c>
      <c r="H1004" s="7">
        <f t="shared" si="30"/>
        <v>-19.739516238059196</v>
      </c>
      <c r="I1004">
        <f t="shared" si="31"/>
        <v>6</v>
      </c>
      <c r="J1004" t="str" cm="1">
        <f t="array" ref="J1004">INDEX($A$2:$A$7,I1004)</f>
        <v>Segment 6- Self-Conscious Male</v>
      </c>
    </row>
    <row r="1005" spans="1:10" x14ac:dyDescent="0.25">
      <c r="A1005" s="1">
        <f>'batch tool'!A999</f>
        <v>0</v>
      </c>
      <c r="B1005" s="7">
        <f>SUMPRODUCT($C$2:$X$2,'batch tool'!$B999:$W999)+$Y$2</f>
        <v>-49.12272534143483</v>
      </c>
      <c r="C1005" s="7">
        <f>SUMPRODUCT($C$3:$X$3,'batch tool'!$B999:$W999)+$Y$3</f>
        <v>-36.514029388465531</v>
      </c>
      <c r="D1005" s="7">
        <f>SUMPRODUCT($C$4:$X$4,'batch tool'!$B999:$W999)+$Y$4</f>
        <v>-44.639843068043824</v>
      </c>
      <c r="E1005" s="7">
        <f>SUMPRODUCT($C$5:$X$5,'batch tool'!$B999:$W999)+$Y$5</f>
        <v>-51.578889182477603</v>
      </c>
      <c r="F1005" s="7">
        <f>SUMPRODUCT($C$6:$X$6,'batch tool'!$B999:$W999)+$Y$6</f>
        <v>-47.741473633885199</v>
      </c>
      <c r="G1005" s="7">
        <f>SUMPRODUCT($C$7:$X$7,'batch tool'!$B999:$W999)+$Y$7</f>
        <v>-19.739516238059196</v>
      </c>
      <c r="H1005" s="7">
        <f t="shared" si="30"/>
        <v>-19.739516238059196</v>
      </c>
      <c r="I1005">
        <f t="shared" si="31"/>
        <v>6</v>
      </c>
      <c r="J1005" t="str" cm="1">
        <f t="array" ref="J1005">INDEX($A$2:$A$7,I1005)</f>
        <v>Segment 6- Self-Conscious Male</v>
      </c>
    </row>
    <row r="1006" spans="1:10" x14ac:dyDescent="0.25">
      <c r="A1006" s="1">
        <f>'batch tool'!A1000</f>
        <v>0</v>
      </c>
      <c r="B1006" s="7">
        <f>SUMPRODUCT($C$2:$X$2,'batch tool'!$B1000:$W1000)+$Y$2</f>
        <v>-49.12272534143483</v>
      </c>
      <c r="C1006" s="7">
        <f>SUMPRODUCT($C$3:$X$3,'batch tool'!$B1000:$W1000)+$Y$3</f>
        <v>-36.514029388465531</v>
      </c>
      <c r="D1006" s="7">
        <f>SUMPRODUCT($C$4:$X$4,'batch tool'!$B1000:$W1000)+$Y$4</f>
        <v>-44.639843068043824</v>
      </c>
      <c r="E1006" s="7">
        <f>SUMPRODUCT($C$5:$X$5,'batch tool'!$B1000:$W1000)+$Y$5</f>
        <v>-51.578889182477603</v>
      </c>
      <c r="F1006" s="7">
        <f>SUMPRODUCT($C$6:$X$6,'batch tool'!$B1000:$W1000)+$Y$6</f>
        <v>-47.741473633885199</v>
      </c>
      <c r="G1006" s="7">
        <f>SUMPRODUCT($C$7:$X$7,'batch tool'!$B1000:$W1000)+$Y$7</f>
        <v>-19.739516238059196</v>
      </c>
      <c r="H1006" s="7">
        <f t="shared" si="30"/>
        <v>-19.739516238059196</v>
      </c>
      <c r="I1006">
        <f t="shared" si="31"/>
        <v>6</v>
      </c>
      <c r="J1006" t="str" cm="1">
        <f t="array" ref="J1006">INDEX($A$2:$A$7,I1006)</f>
        <v>Segment 6- Self-Conscious Male</v>
      </c>
    </row>
    <row r="1007" spans="1:10" x14ac:dyDescent="0.25">
      <c r="A1007" s="1">
        <f>'batch tool'!A1001</f>
        <v>0</v>
      </c>
      <c r="B1007" s="7">
        <f>SUMPRODUCT($C$2:$X$2,'batch tool'!$B1001:$W1001)+$Y$2</f>
        <v>-49.12272534143483</v>
      </c>
      <c r="C1007" s="7">
        <f>SUMPRODUCT($C$3:$X$3,'batch tool'!$B1001:$W1001)+$Y$3</f>
        <v>-36.514029388465531</v>
      </c>
      <c r="D1007" s="7">
        <f>SUMPRODUCT($C$4:$X$4,'batch tool'!$B1001:$W1001)+$Y$4</f>
        <v>-44.639843068043824</v>
      </c>
      <c r="E1007" s="7">
        <f>SUMPRODUCT($C$5:$X$5,'batch tool'!$B1001:$W1001)+$Y$5</f>
        <v>-51.578889182477603</v>
      </c>
      <c r="F1007" s="7">
        <f>SUMPRODUCT($C$6:$X$6,'batch tool'!$B1001:$W1001)+$Y$6</f>
        <v>-47.741473633885199</v>
      </c>
      <c r="G1007" s="7">
        <f>SUMPRODUCT($C$7:$X$7,'batch tool'!$B1001:$W1001)+$Y$7</f>
        <v>-19.739516238059196</v>
      </c>
      <c r="H1007" s="7">
        <f t="shared" si="30"/>
        <v>-19.739516238059196</v>
      </c>
      <c r="I1007">
        <f t="shared" si="31"/>
        <v>6</v>
      </c>
      <c r="J1007" t="str" cm="1">
        <f t="array" ref="J1007">INDEX($A$2:$A$7,I1007)</f>
        <v>Segment 6- Self-Conscious Male</v>
      </c>
    </row>
    <row r="1008" spans="1:10" x14ac:dyDescent="0.25">
      <c r="A1008" s="1">
        <f>'batch tool'!A1002</f>
        <v>0</v>
      </c>
      <c r="B1008" s="7">
        <f>SUMPRODUCT($C$2:$X$2,'batch tool'!$B1002:$W1002)+$Y$2</f>
        <v>-49.12272534143483</v>
      </c>
      <c r="C1008" s="7">
        <f>SUMPRODUCT($C$3:$X$3,'batch tool'!$B1002:$W1002)+$Y$3</f>
        <v>-36.514029388465531</v>
      </c>
      <c r="D1008" s="7">
        <f>SUMPRODUCT($C$4:$X$4,'batch tool'!$B1002:$W1002)+$Y$4</f>
        <v>-44.639843068043824</v>
      </c>
      <c r="E1008" s="7">
        <f>SUMPRODUCT($C$5:$X$5,'batch tool'!$B1002:$W1002)+$Y$5</f>
        <v>-51.578889182477603</v>
      </c>
      <c r="F1008" s="7">
        <f>SUMPRODUCT($C$6:$X$6,'batch tool'!$B1002:$W1002)+$Y$6</f>
        <v>-47.741473633885199</v>
      </c>
      <c r="G1008" s="7">
        <f>SUMPRODUCT($C$7:$X$7,'batch tool'!$B1002:$W1002)+$Y$7</f>
        <v>-19.739516238059196</v>
      </c>
      <c r="H1008" s="7">
        <f t="shared" si="30"/>
        <v>-19.739516238059196</v>
      </c>
      <c r="I1008">
        <f t="shared" si="31"/>
        <v>6</v>
      </c>
      <c r="J1008" t="str" cm="1">
        <f t="array" ref="J1008">INDEX($A$2:$A$7,I1008)</f>
        <v>Segment 6- Self-Conscious Male</v>
      </c>
    </row>
    <row r="1009" spans="1:10" x14ac:dyDescent="0.25">
      <c r="A1009" s="1">
        <f>'batch tool'!A1003</f>
        <v>0</v>
      </c>
      <c r="B1009" s="7">
        <f>SUMPRODUCT($C$2:$X$2,'batch tool'!$B1003:$W1003)+$Y$2</f>
        <v>-49.12272534143483</v>
      </c>
      <c r="C1009" s="7">
        <f>SUMPRODUCT($C$3:$X$3,'batch tool'!$B1003:$W1003)+$Y$3</f>
        <v>-36.514029388465531</v>
      </c>
      <c r="D1009" s="7">
        <f>SUMPRODUCT($C$4:$X$4,'batch tool'!$B1003:$W1003)+$Y$4</f>
        <v>-44.639843068043824</v>
      </c>
      <c r="E1009" s="7">
        <f>SUMPRODUCT($C$5:$X$5,'batch tool'!$B1003:$W1003)+$Y$5</f>
        <v>-51.578889182477603</v>
      </c>
      <c r="F1009" s="7">
        <f>SUMPRODUCT($C$6:$X$6,'batch tool'!$B1003:$W1003)+$Y$6</f>
        <v>-47.741473633885199</v>
      </c>
      <c r="G1009" s="7">
        <f>SUMPRODUCT($C$7:$X$7,'batch tool'!$B1003:$W1003)+$Y$7</f>
        <v>-19.739516238059196</v>
      </c>
      <c r="H1009" s="7">
        <f t="shared" si="30"/>
        <v>-19.739516238059196</v>
      </c>
      <c r="I1009">
        <f t="shared" si="31"/>
        <v>6</v>
      </c>
      <c r="J1009" t="str" cm="1">
        <f t="array" ref="J1009">INDEX($A$2:$A$7,I1009)</f>
        <v>Segment 6- Self-Conscious Male</v>
      </c>
    </row>
    <row r="1010" spans="1:10" x14ac:dyDescent="0.25">
      <c r="A1010" s="1">
        <f>'batch tool'!A1004</f>
        <v>0</v>
      </c>
      <c r="B1010" s="7">
        <f>SUMPRODUCT($C$2:$X$2,'batch tool'!$B1004:$W1004)+$Y$2</f>
        <v>-49.12272534143483</v>
      </c>
      <c r="C1010" s="7">
        <f>SUMPRODUCT($C$3:$X$3,'batch tool'!$B1004:$W1004)+$Y$3</f>
        <v>-36.514029388465531</v>
      </c>
      <c r="D1010" s="7">
        <f>SUMPRODUCT($C$4:$X$4,'batch tool'!$B1004:$W1004)+$Y$4</f>
        <v>-44.639843068043824</v>
      </c>
      <c r="E1010" s="7">
        <f>SUMPRODUCT($C$5:$X$5,'batch tool'!$B1004:$W1004)+$Y$5</f>
        <v>-51.578889182477603</v>
      </c>
      <c r="F1010" s="7">
        <f>SUMPRODUCT($C$6:$X$6,'batch tool'!$B1004:$W1004)+$Y$6</f>
        <v>-47.741473633885199</v>
      </c>
      <c r="G1010" s="7">
        <f>SUMPRODUCT($C$7:$X$7,'batch tool'!$B1004:$W1004)+$Y$7</f>
        <v>-19.739516238059196</v>
      </c>
      <c r="H1010" s="7">
        <f t="shared" si="30"/>
        <v>-19.739516238059196</v>
      </c>
      <c r="I1010">
        <f t="shared" si="31"/>
        <v>6</v>
      </c>
      <c r="J1010" t="str" cm="1">
        <f t="array" ref="J1010">INDEX($A$2:$A$7,I1010)</f>
        <v>Segment 6- Self-Conscious Male</v>
      </c>
    </row>
    <row r="1011" spans="1:10" x14ac:dyDescent="0.25">
      <c r="A1011" s="1">
        <f>'batch tool'!A1005</f>
        <v>0</v>
      </c>
      <c r="B1011" s="7">
        <f>SUMPRODUCT($C$2:$X$2,'batch tool'!$B1005:$W1005)+$Y$2</f>
        <v>-49.12272534143483</v>
      </c>
      <c r="C1011" s="7">
        <f>SUMPRODUCT($C$3:$X$3,'batch tool'!$B1005:$W1005)+$Y$3</f>
        <v>-36.514029388465531</v>
      </c>
      <c r="D1011" s="7">
        <f>SUMPRODUCT($C$4:$X$4,'batch tool'!$B1005:$W1005)+$Y$4</f>
        <v>-44.639843068043824</v>
      </c>
      <c r="E1011" s="7">
        <f>SUMPRODUCT($C$5:$X$5,'batch tool'!$B1005:$W1005)+$Y$5</f>
        <v>-51.578889182477603</v>
      </c>
      <c r="F1011" s="7">
        <f>SUMPRODUCT($C$6:$X$6,'batch tool'!$B1005:$W1005)+$Y$6</f>
        <v>-47.741473633885199</v>
      </c>
      <c r="G1011" s="7">
        <f>SUMPRODUCT($C$7:$X$7,'batch tool'!$B1005:$W1005)+$Y$7</f>
        <v>-19.739516238059196</v>
      </c>
      <c r="H1011" s="7">
        <f t="shared" si="30"/>
        <v>-19.739516238059196</v>
      </c>
      <c r="I1011">
        <f t="shared" si="31"/>
        <v>6</v>
      </c>
      <c r="J1011" t="str" cm="1">
        <f t="array" ref="J1011">INDEX($A$2:$A$7,I1011)</f>
        <v>Segment 6- Self-Conscious Male</v>
      </c>
    </row>
    <row r="1012" spans="1:10" x14ac:dyDescent="0.25">
      <c r="A1012" s="1">
        <f>'batch tool'!A1006</f>
        <v>0</v>
      </c>
      <c r="B1012" s="7">
        <f>SUMPRODUCT($C$2:$X$2,'batch tool'!$B1006:$W1006)+$Y$2</f>
        <v>-49.12272534143483</v>
      </c>
      <c r="C1012" s="7">
        <f>SUMPRODUCT($C$3:$X$3,'batch tool'!$B1006:$W1006)+$Y$3</f>
        <v>-36.514029388465531</v>
      </c>
      <c r="D1012" s="7">
        <f>SUMPRODUCT($C$4:$X$4,'batch tool'!$B1006:$W1006)+$Y$4</f>
        <v>-44.639843068043824</v>
      </c>
      <c r="E1012" s="7">
        <f>SUMPRODUCT($C$5:$X$5,'batch tool'!$B1006:$W1006)+$Y$5</f>
        <v>-51.578889182477603</v>
      </c>
      <c r="F1012" s="7">
        <f>SUMPRODUCT($C$6:$X$6,'batch tool'!$B1006:$W1006)+$Y$6</f>
        <v>-47.741473633885199</v>
      </c>
      <c r="G1012" s="7">
        <f>SUMPRODUCT($C$7:$X$7,'batch tool'!$B1006:$W1006)+$Y$7</f>
        <v>-19.739516238059196</v>
      </c>
      <c r="H1012" s="7">
        <f t="shared" si="30"/>
        <v>-19.739516238059196</v>
      </c>
      <c r="I1012">
        <f t="shared" si="31"/>
        <v>6</v>
      </c>
      <c r="J1012" t="str" cm="1">
        <f t="array" ref="J1012">INDEX($A$2:$A$7,I1012)</f>
        <v>Segment 6- Self-Conscious Male</v>
      </c>
    </row>
    <row r="1013" spans="1:10" x14ac:dyDescent="0.25">
      <c r="A1013" s="1">
        <f>'batch tool'!A1007</f>
        <v>0</v>
      </c>
      <c r="B1013" s="7">
        <f>SUMPRODUCT($C$2:$X$2,'batch tool'!$B1007:$W1007)+$Y$2</f>
        <v>-49.12272534143483</v>
      </c>
      <c r="C1013" s="7">
        <f>SUMPRODUCT($C$3:$X$3,'batch tool'!$B1007:$W1007)+$Y$3</f>
        <v>-36.514029388465531</v>
      </c>
      <c r="D1013" s="7">
        <f>SUMPRODUCT($C$4:$X$4,'batch tool'!$B1007:$W1007)+$Y$4</f>
        <v>-44.639843068043824</v>
      </c>
      <c r="E1013" s="7">
        <f>SUMPRODUCT($C$5:$X$5,'batch tool'!$B1007:$W1007)+$Y$5</f>
        <v>-51.578889182477603</v>
      </c>
      <c r="F1013" s="7">
        <f>SUMPRODUCT($C$6:$X$6,'batch tool'!$B1007:$W1007)+$Y$6</f>
        <v>-47.741473633885199</v>
      </c>
      <c r="G1013" s="7">
        <f>SUMPRODUCT($C$7:$X$7,'batch tool'!$B1007:$W1007)+$Y$7</f>
        <v>-19.739516238059196</v>
      </c>
      <c r="H1013" s="7">
        <f t="shared" si="30"/>
        <v>-19.739516238059196</v>
      </c>
      <c r="I1013">
        <f t="shared" si="31"/>
        <v>6</v>
      </c>
      <c r="J1013" t="str" cm="1">
        <f t="array" ref="J1013">INDEX($A$2:$A$7,I1013)</f>
        <v>Segment 6- Self-Conscious Male</v>
      </c>
    </row>
    <row r="1014" spans="1:10" x14ac:dyDescent="0.25">
      <c r="A1014" s="1">
        <f>'batch tool'!A1008</f>
        <v>0</v>
      </c>
      <c r="B1014" s="7">
        <f>SUMPRODUCT($C$2:$X$2,'batch tool'!$B1008:$W1008)+$Y$2</f>
        <v>-49.12272534143483</v>
      </c>
      <c r="C1014" s="7">
        <f>SUMPRODUCT($C$3:$X$3,'batch tool'!$B1008:$W1008)+$Y$3</f>
        <v>-36.514029388465531</v>
      </c>
      <c r="D1014" s="7">
        <f>SUMPRODUCT($C$4:$X$4,'batch tool'!$B1008:$W1008)+$Y$4</f>
        <v>-44.639843068043824</v>
      </c>
      <c r="E1014" s="7">
        <f>SUMPRODUCT($C$5:$X$5,'batch tool'!$B1008:$W1008)+$Y$5</f>
        <v>-51.578889182477603</v>
      </c>
      <c r="F1014" s="7">
        <f>SUMPRODUCT($C$6:$X$6,'batch tool'!$B1008:$W1008)+$Y$6</f>
        <v>-47.741473633885199</v>
      </c>
      <c r="G1014" s="7">
        <f>SUMPRODUCT($C$7:$X$7,'batch tool'!$B1008:$W1008)+$Y$7</f>
        <v>-19.739516238059196</v>
      </c>
      <c r="H1014" s="7">
        <f t="shared" si="30"/>
        <v>-19.739516238059196</v>
      </c>
      <c r="I1014">
        <f t="shared" si="31"/>
        <v>6</v>
      </c>
      <c r="J1014" t="str" cm="1">
        <f t="array" ref="J1014">INDEX($A$2:$A$7,I1014)</f>
        <v>Segment 6- Self-Conscious Male</v>
      </c>
    </row>
    <row r="1015" spans="1:10" x14ac:dyDescent="0.25">
      <c r="A1015" s="1">
        <f>'batch tool'!A1009</f>
        <v>0</v>
      </c>
      <c r="B1015" s="7">
        <f>SUMPRODUCT($C$2:$X$2,'batch tool'!$B1009:$W1009)+$Y$2</f>
        <v>-49.12272534143483</v>
      </c>
      <c r="C1015" s="7">
        <f>SUMPRODUCT($C$3:$X$3,'batch tool'!$B1009:$W1009)+$Y$3</f>
        <v>-36.514029388465531</v>
      </c>
      <c r="D1015" s="7">
        <f>SUMPRODUCT($C$4:$X$4,'batch tool'!$B1009:$W1009)+$Y$4</f>
        <v>-44.639843068043824</v>
      </c>
      <c r="E1015" s="7">
        <f>SUMPRODUCT($C$5:$X$5,'batch tool'!$B1009:$W1009)+$Y$5</f>
        <v>-51.578889182477603</v>
      </c>
      <c r="F1015" s="7">
        <f>SUMPRODUCT($C$6:$X$6,'batch tool'!$B1009:$W1009)+$Y$6</f>
        <v>-47.741473633885199</v>
      </c>
      <c r="G1015" s="7">
        <f>SUMPRODUCT($C$7:$X$7,'batch tool'!$B1009:$W1009)+$Y$7</f>
        <v>-19.739516238059196</v>
      </c>
      <c r="H1015" s="7">
        <f t="shared" si="30"/>
        <v>-19.739516238059196</v>
      </c>
      <c r="I1015">
        <f t="shared" si="31"/>
        <v>6</v>
      </c>
      <c r="J1015" t="str" cm="1">
        <f t="array" ref="J1015">INDEX($A$2:$A$7,I1015)</f>
        <v>Segment 6- Self-Conscious Male</v>
      </c>
    </row>
    <row r="1016" spans="1:10" x14ac:dyDescent="0.25">
      <c r="A1016" s="1">
        <f>'batch tool'!A1010</f>
        <v>0</v>
      </c>
      <c r="B1016" s="7">
        <f>SUMPRODUCT($C$2:$X$2,'batch tool'!$B1010:$W1010)+$Y$2</f>
        <v>-49.12272534143483</v>
      </c>
      <c r="C1016" s="7">
        <f>SUMPRODUCT($C$3:$X$3,'batch tool'!$B1010:$W1010)+$Y$3</f>
        <v>-36.514029388465531</v>
      </c>
      <c r="D1016" s="7">
        <f>SUMPRODUCT($C$4:$X$4,'batch tool'!$B1010:$W1010)+$Y$4</f>
        <v>-44.639843068043824</v>
      </c>
      <c r="E1016" s="7">
        <f>SUMPRODUCT($C$5:$X$5,'batch tool'!$B1010:$W1010)+$Y$5</f>
        <v>-51.578889182477603</v>
      </c>
      <c r="F1016" s="7">
        <f>SUMPRODUCT($C$6:$X$6,'batch tool'!$B1010:$W1010)+$Y$6</f>
        <v>-47.741473633885199</v>
      </c>
      <c r="G1016" s="7">
        <f>SUMPRODUCT($C$7:$X$7,'batch tool'!$B1010:$W1010)+$Y$7</f>
        <v>-19.739516238059196</v>
      </c>
      <c r="H1016" s="7">
        <f t="shared" si="30"/>
        <v>-19.739516238059196</v>
      </c>
      <c r="I1016">
        <f t="shared" si="31"/>
        <v>6</v>
      </c>
      <c r="J1016" t="str" cm="1">
        <f t="array" ref="J1016">INDEX($A$2:$A$7,I1016)</f>
        <v>Segment 6- Self-Conscious Male</v>
      </c>
    </row>
    <row r="1017" spans="1:10" x14ac:dyDescent="0.25">
      <c r="A1017" s="1">
        <f>'batch tool'!A1011</f>
        <v>0</v>
      </c>
      <c r="B1017" s="7">
        <f>SUMPRODUCT($C$2:$X$2,'batch tool'!$B1011:$W1011)+$Y$2</f>
        <v>-49.12272534143483</v>
      </c>
      <c r="C1017" s="7">
        <f>SUMPRODUCT($C$3:$X$3,'batch tool'!$B1011:$W1011)+$Y$3</f>
        <v>-36.514029388465531</v>
      </c>
      <c r="D1017" s="7">
        <f>SUMPRODUCT($C$4:$X$4,'batch tool'!$B1011:$W1011)+$Y$4</f>
        <v>-44.639843068043824</v>
      </c>
      <c r="E1017" s="7">
        <f>SUMPRODUCT($C$5:$X$5,'batch tool'!$B1011:$W1011)+$Y$5</f>
        <v>-51.578889182477603</v>
      </c>
      <c r="F1017" s="7">
        <f>SUMPRODUCT($C$6:$X$6,'batch tool'!$B1011:$W1011)+$Y$6</f>
        <v>-47.741473633885199</v>
      </c>
      <c r="G1017" s="7">
        <f>SUMPRODUCT($C$7:$X$7,'batch tool'!$B1011:$W1011)+$Y$7</f>
        <v>-19.739516238059196</v>
      </c>
      <c r="H1017" s="7">
        <f t="shared" si="30"/>
        <v>-19.739516238059196</v>
      </c>
      <c r="I1017">
        <f t="shared" si="31"/>
        <v>6</v>
      </c>
      <c r="J1017" t="str" cm="1">
        <f t="array" ref="J1017">INDEX($A$2:$A$7,I1017)</f>
        <v>Segment 6- Self-Conscious Male</v>
      </c>
    </row>
    <row r="1018" spans="1:10" x14ac:dyDescent="0.25">
      <c r="A1018" s="1">
        <f>'batch tool'!A1012</f>
        <v>0</v>
      </c>
      <c r="B1018" s="7">
        <f>SUMPRODUCT($C$2:$X$2,'batch tool'!$B1012:$W1012)+$Y$2</f>
        <v>-49.12272534143483</v>
      </c>
      <c r="C1018" s="7">
        <f>SUMPRODUCT($C$3:$X$3,'batch tool'!$B1012:$W1012)+$Y$3</f>
        <v>-36.514029388465531</v>
      </c>
      <c r="D1018" s="7">
        <f>SUMPRODUCT($C$4:$X$4,'batch tool'!$B1012:$W1012)+$Y$4</f>
        <v>-44.639843068043824</v>
      </c>
      <c r="E1018" s="7">
        <f>SUMPRODUCT($C$5:$X$5,'batch tool'!$B1012:$W1012)+$Y$5</f>
        <v>-51.578889182477603</v>
      </c>
      <c r="F1018" s="7">
        <f>SUMPRODUCT($C$6:$X$6,'batch tool'!$B1012:$W1012)+$Y$6</f>
        <v>-47.741473633885199</v>
      </c>
      <c r="G1018" s="7">
        <f>SUMPRODUCT($C$7:$X$7,'batch tool'!$B1012:$W1012)+$Y$7</f>
        <v>-19.739516238059196</v>
      </c>
      <c r="H1018" s="7">
        <f t="shared" si="30"/>
        <v>-19.739516238059196</v>
      </c>
      <c r="I1018">
        <f t="shared" si="31"/>
        <v>6</v>
      </c>
      <c r="J1018" t="str" cm="1">
        <f t="array" ref="J1018">INDEX($A$2:$A$7,I1018)</f>
        <v>Segment 6- Self-Conscious Male</v>
      </c>
    </row>
    <row r="1019" spans="1:10" x14ac:dyDescent="0.25">
      <c r="A1019" s="1">
        <f>'batch tool'!A1013</f>
        <v>0</v>
      </c>
      <c r="B1019" s="7">
        <f>SUMPRODUCT($C$2:$X$2,'batch tool'!$B1013:$W1013)+$Y$2</f>
        <v>-49.12272534143483</v>
      </c>
      <c r="C1019" s="7">
        <f>SUMPRODUCT($C$3:$X$3,'batch tool'!$B1013:$W1013)+$Y$3</f>
        <v>-36.514029388465531</v>
      </c>
      <c r="D1019" s="7">
        <f>SUMPRODUCT($C$4:$X$4,'batch tool'!$B1013:$W1013)+$Y$4</f>
        <v>-44.639843068043824</v>
      </c>
      <c r="E1019" s="7">
        <f>SUMPRODUCT($C$5:$X$5,'batch tool'!$B1013:$W1013)+$Y$5</f>
        <v>-51.578889182477603</v>
      </c>
      <c r="F1019" s="7">
        <f>SUMPRODUCT($C$6:$X$6,'batch tool'!$B1013:$W1013)+$Y$6</f>
        <v>-47.741473633885199</v>
      </c>
      <c r="G1019" s="7">
        <f>SUMPRODUCT($C$7:$X$7,'batch tool'!$B1013:$W1013)+$Y$7</f>
        <v>-19.739516238059196</v>
      </c>
      <c r="H1019" s="7">
        <f t="shared" si="30"/>
        <v>-19.739516238059196</v>
      </c>
      <c r="I1019">
        <f t="shared" si="31"/>
        <v>6</v>
      </c>
      <c r="J1019" t="str" cm="1">
        <f t="array" ref="J1019">INDEX($A$2:$A$7,I1019)</f>
        <v>Segment 6- Self-Conscious Male</v>
      </c>
    </row>
    <row r="1020" spans="1:10" x14ac:dyDescent="0.25">
      <c r="A1020" s="1">
        <f>'batch tool'!A1014</f>
        <v>0</v>
      </c>
      <c r="B1020" s="7">
        <f>SUMPRODUCT($C$2:$X$2,'batch tool'!$B1014:$W1014)+$Y$2</f>
        <v>-49.12272534143483</v>
      </c>
      <c r="C1020" s="7">
        <f>SUMPRODUCT($C$3:$X$3,'batch tool'!$B1014:$W1014)+$Y$3</f>
        <v>-36.514029388465531</v>
      </c>
      <c r="D1020" s="7">
        <f>SUMPRODUCT($C$4:$X$4,'batch tool'!$B1014:$W1014)+$Y$4</f>
        <v>-44.639843068043824</v>
      </c>
      <c r="E1020" s="7">
        <f>SUMPRODUCT($C$5:$X$5,'batch tool'!$B1014:$W1014)+$Y$5</f>
        <v>-51.578889182477603</v>
      </c>
      <c r="F1020" s="7">
        <f>SUMPRODUCT($C$6:$X$6,'batch tool'!$B1014:$W1014)+$Y$6</f>
        <v>-47.741473633885199</v>
      </c>
      <c r="G1020" s="7">
        <f>SUMPRODUCT($C$7:$X$7,'batch tool'!$B1014:$W1014)+$Y$7</f>
        <v>-19.739516238059196</v>
      </c>
      <c r="H1020" s="7">
        <f t="shared" si="30"/>
        <v>-19.739516238059196</v>
      </c>
      <c r="I1020">
        <f t="shared" si="31"/>
        <v>6</v>
      </c>
      <c r="J1020" t="str" cm="1">
        <f t="array" ref="J1020">INDEX($A$2:$A$7,I1020)</f>
        <v>Segment 6- Self-Conscious Male</v>
      </c>
    </row>
    <row r="1021" spans="1:10" x14ac:dyDescent="0.25">
      <c r="A1021" s="1">
        <f>'batch tool'!A1015</f>
        <v>0</v>
      </c>
      <c r="B1021" s="7">
        <f>SUMPRODUCT($C$2:$X$2,'batch tool'!$B1015:$W1015)+$Y$2</f>
        <v>-49.12272534143483</v>
      </c>
      <c r="C1021" s="7">
        <f>SUMPRODUCT($C$3:$X$3,'batch tool'!$B1015:$W1015)+$Y$3</f>
        <v>-36.514029388465531</v>
      </c>
      <c r="D1021" s="7">
        <f>SUMPRODUCT($C$4:$X$4,'batch tool'!$B1015:$W1015)+$Y$4</f>
        <v>-44.639843068043824</v>
      </c>
      <c r="E1021" s="7">
        <f>SUMPRODUCT($C$5:$X$5,'batch tool'!$B1015:$W1015)+$Y$5</f>
        <v>-51.578889182477603</v>
      </c>
      <c r="F1021" s="7">
        <f>SUMPRODUCT($C$6:$X$6,'batch tool'!$B1015:$W1015)+$Y$6</f>
        <v>-47.741473633885199</v>
      </c>
      <c r="G1021" s="7">
        <f>SUMPRODUCT($C$7:$X$7,'batch tool'!$B1015:$W1015)+$Y$7</f>
        <v>-19.739516238059196</v>
      </c>
      <c r="H1021" s="7">
        <f t="shared" si="30"/>
        <v>-19.739516238059196</v>
      </c>
      <c r="I1021">
        <f t="shared" si="31"/>
        <v>6</v>
      </c>
      <c r="J1021" t="str" cm="1">
        <f t="array" ref="J1021">INDEX($A$2:$A$7,I1021)</f>
        <v>Segment 6- Self-Conscious Male</v>
      </c>
    </row>
    <row r="1022" spans="1:10" x14ac:dyDescent="0.25">
      <c r="A1022" s="1">
        <f>'batch tool'!A1016</f>
        <v>0</v>
      </c>
      <c r="B1022" s="7">
        <f>SUMPRODUCT($C$2:$X$2,'batch tool'!$B1016:$W1016)+$Y$2</f>
        <v>-49.12272534143483</v>
      </c>
      <c r="C1022" s="7">
        <f>SUMPRODUCT($C$3:$X$3,'batch tool'!$B1016:$W1016)+$Y$3</f>
        <v>-36.514029388465531</v>
      </c>
      <c r="D1022" s="7">
        <f>SUMPRODUCT($C$4:$X$4,'batch tool'!$B1016:$W1016)+$Y$4</f>
        <v>-44.639843068043824</v>
      </c>
      <c r="E1022" s="7">
        <f>SUMPRODUCT($C$5:$X$5,'batch tool'!$B1016:$W1016)+$Y$5</f>
        <v>-51.578889182477603</v>
      </c>
      <c r="F1022" s="7">
        <f>SUMPRODUCT($C$6:$X$6,'batch tool'!$B1016:$W1016)+$Y$6</f>
        <v>-47.741473633885199</v>
      </c>
      <c r="G1022" s="7">
        <f>SUMPRODUCT($C$7:$X$7,'batch tool'!$B1016:$W1016)+$Y$7</f>
        <v>-19.739516238059196</v>
      </c>
      <c r="H1022" s="7">
        <f t="shared" si="30"/>
        <v>-19.739516238059196</v>
      </c>
      <c r="I1022">
        <f t="shared" si="31"/>
        <v>6</v>
      </c>
      <c r="J1022" t="str" cm="1">
        <f t="array" ref="J1022">INDEX($A$2:$A$7,I1022)</f>
        <v>Segment 6- Self-Conscious Male</v>
      </c>
    </row>
    <row r="1023" spans="1:10" x14ac:dyDescent="0.25">
      <c r="A1023" s="1">
        <f>'batch tool'!A1017</f>
        <v>0</v>
      </c>
      <c r="B1023" s="7">
        <f>SUMPRODUCT($C$2:$X$2,'batch tool'!$B1017:$W1017)+$Y$2</f>
        <v>-49.12272534143483</v>
      </c>
      <c r="C1023" s="7">
        <f>SUMPRODUCT($C$3:$X$3,'batch tool'!$B1017:$W1017)+$Y$3</f>
        <v>-36.514029388465531</v>
      </c>
      <c r="D1023" s="7">
        <f>SUMPRODUCT($C$4:$X$4,'batch tool'!$B1017:$W1017)+$Y$4</f>
        <v>-44.639843068043824</v>
      </c>
      <c r="E1023" s="7">
        <f>SUMPRODUCT($C$5:$X$5,'batch tool'!$B1017:$W1017)+$Y$5</f>
        <v>-51.578889182477603</v>
      </c>
      <c r="F1023" s="7">
        <f>SUMPRODUCT($C$6:$X$6,'batch tool'!$B1017:$W1017)+$Y$6</f>
        <v>-47.741473633885199</v>
      </c>
      <c r="G1023" s="7">
        <f>SUMPRODUCT($C$7:$X$7,'batch tool'!$B1017:$W1017)+$Y$7</f>
        <v>-19.739516238059196</v>
      </c>
      <c r="H1023" s="7">
        <f t="shared" si="30"/>
        <v>-19.739516238059196</v>
      </c>
      <c r="I1023">
        <f t="shared" si="31"/>
        <v>6</v>
      </c>
      <c r="J1023" t="str" cm="1">
        <f t="array" ref="J1023">INDEX($A$2:$A$7,I1023)</f>
        <v>Segment 6- Self-Conscious Male</v>
      </c>
    </row>
    <row r="1024" spans="1:10" x14ac:dyDescent="0.25">
      <c r="A1024" s="1">
        <f>'batch tool'!A1018</f>
        <v>0</v>
      </c>
      <c r="B1024" s="7">
        <f>SUMPRODUCT($C$2:$X$2,'batch tool'!$B1018:$W1018)+$Y$2</f>
        <v>-49.12272534143483</v>
      </c>
      <c r="C1024" s="7">
        <f>SUMPRODUCT($C$3:$X$3,'batch tool'!$B1018:$W1018)+$Y$3</f>
        <v>-36.514029388465531</v>
      </c>
      <c r="D1024" s="7">
        <f>SUMPRODUCT($C$4:$X$4,'batch tool'!$B1018:$W1018)+$Y$4</f>
        <v>-44.639843068043824</v>
      </c>
      <c r="E1024" s="7">
        <f>SUMPRODUCT($C$5:$X$5,'batch tool'!$B1018:$W1018)+$Y$5</f>
        <v>-51.578889182477603</v>
      </c>
      <c r="F1024" s="7">
        <f>SUMPRODUCT($C$6:$X$6,'batch tool'!$B1018:$W1018)+$Y$6</f>
        <v>-47.741473633885199</v>
      </c>
      <c r="G1024" s="7">
        <f>SUMPRODUCT($C$7:$X$7,'batch tool'!$B1018:$W1018)+$Y$7</f>
        <v>-19.739516238059196</v>
      </c>
      <c r="H1024" s="7">
        <f t="shared" si="30"/>
        <v>-19.739516238059196</v>
      </c>
      <c r="I1024">
        <f t="shared" si="31"/>
        <v>6</v>
      </c>
      <c r="J1024" t="str" cm="1">
        <f t="array" ref="J1024">INDEX($A$2:$A$7,I1024)</f>
        <v>Segment 6- Self-Conscious Male</v>
      </c>
    </row>
    <row r="1025" spans="1:10" x14ac:dyDescent="0.25">
      <c r="A1025" s="1">
        <f>'batch tool'!A1019</f>
        <v>0</v>
      </c>
      <c r="B1025" s="7">
        <f>SUMPRODUCT($C$2:$X$2,'batch tool'!$B1019:$W1019)+$Y$2</f>
        <v>-49.12272534143483</v>
      </c>
      <c r="C1025" s="7">
        <f>SUMPRODUCT($C$3:$X$3,'batch tool'!$B1019:$W1019)+$Y$3</f>
        <v>-36.514029388465531</v>
      </c>
      <c r="D1025" s="7">
        <f>SUMPRODUCT($C$4:$X$4,'batch tool'!$B1019:$W1019)+$Y$4</f>
        <v>-44.639843068043824</v>
      </c>
      <c r="E1025" s="7">
        <f>SUMPRODUCT($C$5:$X$5,'batch tool'!$B1019:$W1019)+$Y$5</f>
        <v>-51.578889182477603</v>
      </c>
      <c r="F1025" s="7">
        <f>SUMPRODUCT($C$6:$X$6,'batch tool'!$B1019:$W1019)+$Y$6</f>
        <v>-47.741473633885199</v>
      </c>
      <c r="G1025" s="7">
        <f>SUMPRODUCT($C$7:$X$7,'batch tool'!$B1019:$W1019)+$Y$7</f>
        <v>-19.739516238059196</v>
      </c>
      <c r="H1025" s="7">
        <f t="shared" si="30"/>
        <v>-19.739516238059196</v>
      </c>
      <c r="I1025">
        <f t="shared" si="31"/>
        <v>6</v>
      </c>
      <c r="J1025" t="str" cm="1">
        <f t="array" ref="J1025">INDEX($A$2:$A$7,I1025)</f>
        <v>Segment 6- Self-Conscious Male</v>
      </c>
    </row>
    <row r="1026" spans="1:10" x14ac:dyDescent="0.25">
      <c r="A1026" s="1">
        <f>'batch tool'!A1020</f>
        <v>0</v>
      </c>
      <c r="B1026" s="7">
        <f>SUMPRODUCT($C$2:$X$2,'batch tool'!$B1020:$W1020)+$Y$2</f>
        <v>-49.12272534143483</v>
      </c>
      <c r="C1026" s="7">
        <f>SUMPRODUCT($C$3:$X$3,'batch tool'!$B1020:$W1020)+$Y$3</f>
        <v>-36.514029388465531</v>
      </c>
      <c r="D1026" s="7">
        <f>SUMPRODUCT($C$4:$X$4,'batch tool'!$B1020:$W1020)+$Y$4</f>
        <v>-44.639843068043824</v>
      </c>
      <c r="E1026" s="7">
        <f>SUMPRODUCT($C$5:$X$5,'batch tool'!$B1020:$W1020)+$Y$5</f>
        <v>-51.578889182477603</v>
      </c>
      <c r="F1026" s="7">
        <f>SUMPRODUCT($C$6:$X$6,'batch tool'!$B1020:$W1020)+$Y$6</f>
        <v>-47.741473633885199</v>
      </c>
      <c r="G1026" s="7">
        <f>SUMPRODUCT($C$7:$X$7,'batch tool'!$B1020:$W1020)+$Y$7</f>
        <v>-19.739516238059196</v>
      </c>
      <c r="H1026" s="7">
        <f t="shared" si="30"/>
        <v>-19.739516238059196</v>
      </c>
      <c r="I1026">
        <f t="shared" si="31"/>
        <v>6</v>
      </c>
      <c r="J1026" t="str" cm="1">
        <f t="array" ref="J1026">INDEX($A$2:$A$7,I1026)</f>
        <v>Segment 6- Self-Conscious Male</v>
      </c>
    </row>
    <row r="1027" spans="1:10" x14ac:dyDescent="0.25">
      <c r="A1027" s="1">
        <f>'batch tool'!A1021</f>
        <v>0</v>
      </c>
      <c r="B1027" s="7">
        <f>SUMPRODUCT($C$2:$X$2,'batch tool'!$B1021:$W1021)+$Y$2</f>
        <v>-49.12272534143483</v>
      </c>
      <c r="C1027" s="7">
        <f>SUMPRODUCT($C$3:$X$3,'batch tool'!$B1021:$W1021)+$Y$3</f>
        <v>-36.514029388465531</v>
      </c>
      <c r="D1027" s="7">
        <f>SUMPRODUCT($C$4:$X$4,'batch tool'!$B1021:$W1021)+$Y$4</f>
        <v>-44.639843068043824</v>
      </c>
      <c r="E1027" s="7">
        <f>SUMPRODUCT($C$5:$X$5,'batch tool'!$B1021:$W1021)+$Y$5</f>
        <v>-51.578889182477603</v>
      </c>
      <c r="F1027" s="7">
        <f>SUMPRODUCT($C$6:$X$6,'batch tool'!$B1021:$W1021)+$Y$6</f>
        <v>-47.741473633885199</v>
      </c>
      <c r="G1027" s="7">
        <f>SUMPRODUCT($C$7:$X$7,'batch tool'!$B1021:$W1021)+$Y$7</f>
        <v>-19.739516238059196</v>
      </c>
      <c r="H1027" s="7">
        <f t="shared" si="30"/>
        <v>-19.739516238059196</v>
      </c>
      <c r="I1027">
        <f t="shared" si="31"/>
        <v>6</v>
      </c>
      <c r="J1027" t="str" cm="1">
        <f t="array" ref="J1027">INDEX($A$2:$A$7,I1027)</f>
        <v>Segment 6- Self-Conscious Male</v>
      </c>
    </row>
    <row r="1028" spans="1:10" x14ac:dyDescent="0.25">
      <c r="A1028" s="1">
        <f>'batch tool'!A1022</f>
        <v>0</v>
      </c>
      <c r="B1028" s="7">
        <f>SUMPRODUCT($C$2:$X$2,'batch tool'!$B1022:$W1022)+$Y$2</f>
        <v>-49.12272534143483</v>
      </c>
      <c r="C1028" s="7">
        <f>SUMPRODUCT($C$3:$X$3,'batch tool'!$B1022:$W1022)+$Y$3</f>
        <v>-36.514029388465531</v>
      </c>
      <c r="D1028" s="7">
        <f>SUMPRODUCT($C$4:$X$4,'batch tool'!$B1022:$W1022)+$Y$4</f>
        <v>-44.639843068043824</v>
      </c>
      <c r="E1028" s="7">
        <f>SUMPRODUCT($C$5:$X$5,'batch tool'!$B1022:$W1022)+$Y$5</f>
        <v>-51.578889182477603</v>
      </c>
      <c r="F1028" s="7">
        <f>SUMPRODUCT($C$6:$X$6,'batch tool'!$B1022:$W1022)+$Y$6</f>
        <v>-47.741473633885199</v>
      </c>
      <c r="G1028" s="7">
        <f>SUMPRODUCT($C$7:$X$7,'batch tool'!$B1022:$W1022)+$Y$7</f>
        <v>-19.739516238059196</v>
      </c>
      <c r="H1028" s="7">
        <f t="shared" si="30"/>
        <v>-19.739516238059196</v>
      </c>
      <c r="I1028">
        <f t="shared" si="31"/>
        <v>6</v>
      </c>
      <c r="J1028" t="str" cm="1">
        <f t="array" ref="J1028">INDEX($A$2:$A$7,I1028)</f>
        <v>Segment 6- Self-Conscious Male</v>
      </c>
    </row>
    <row r="1029" spans="1:10" x14ac:dyDescent="0.25">
      <c r="A1029" s="1">
        <f>'batch tool'!A1023</f>
        <v>0</v>
      </c>
      <c r="B1029" s="7">
        <f>SUMPRODUCT($C$2:$X$2,'batch tool'!$B1023:$W1023)+$Y$2</f>
        <v>-49.12272534143483</v>
      </c>
      <c r="C1029" s="7">
        <f>SUMPRODUCT($C$3:$X$3,'batch tool'!$B1023:$W1023)+$Y$3</f>
        <v>-36.514029388465531</v>
      </c>
      <c r="D1029" s="7">
        <f>SUMPRODUCT($C$4:$X$4,'batch tool'!$B1023:$W1023)+$Y$4</f>
        <v>-44.639843068043824</v>
      </c>
      <c r="E1029" s="7">
        <f>SUMPRODUCT($C$5:$X$5,'batch tool'!$B1023:$W1023)+$Y$5</f>
        <v>-51.578889182477603</v>
      </c>
      <c r="F1029" s="7">
        <f>SUMPRODUCT($C$6:$X$6,'batch tool'!$B1023:$W1023)+$Y$6</f>
        <v>-47.741473633885199</v>
      </c>
      <c r="G1029" s="7">
        <f>SUMPRODUCT($C$7:$X$7,'batch tool'!$B1023:$W1023)+$Y$7</f>
        <v>-19.739516238059196</v>
      </c>
      <c r="H1029" s="7">
        <f t="shared" si="30"/>
        <v>-19.739516238059196</v>
      </c>
      <c r="I1029">
        <f t="shared" si="31"/>
        <v>6</v>
      </c>
      <c r="J1029" t="str" cm="1">
        <f t="array" ref="J1029">INDEX($A$2:$A$7,I1029)</f>
        <v>Segment 6- Self-Conscious Male</v>
      </c>
    </row>
    <row r="1030" spans="1:10" x14ac:dyDescent="0.25">
      <c r="A1030" s="1">
        <f>'batch tool'!A1024</f>
        <v>0</v>
      </c>
      <c r="B1030" s="7">
        <f>SUMPRODUCT($C$2:$X$2,'batch tool'!$B1024:$W1024)+$Y$2</f>
        <v>-49.12272534143483</v>
      </c>
      <c r="C1030" s="7">
        <f>SUMPRODUCT($C$3:$X$3,'batch tool'!$B1024:$W1024)+$Y$3</f>
        <v>-36.514029388465531</v>
      </c>
      <c r="D1030" s="7">
        <f>SUMPRODUCT($C$4:$X$4,'batch tool'!$B1024:$W1024)+$Y$4</f>
        <v>-44.639843068043824</v>
      </c>
      <c r="E1030" s="7">
        <f>SUMPRODUCT($C$5:$X$5,'batch tool'!$B1024:$W1024)+$Y$5</f>
        <v>-51.578889182477603</v>
      </c>
      <c r="F1030" s="7">
        <f>SUMPRODUCT($C$6:$X$6,'batch tool'!$B1024:$W1024)+$Y$6</f>
        <v>-47.741473633885199</v>
      </c>
      <c r="G1030" s="7">
        <f>SUMPRODUCT($C$7:$X$7,'batch tool'!$B1024:$W1024)+$Y$7</f>
        <v>-19.739516238059196</v>
      </c>
      <c r="H1030" s="7">
        <f t="shared" si="30"/>
        <v>-19.739516238059196</v>
      </c>
      <c r="I1030">
        <f t="shared" si="31"/>
        <v>6</v>
      </c>
      <c r="J1030" t="str" cm="1">
        <f t="array" ref="J1030">INDEX($A$2:$A$7,I1030)</f>
        <v>Segment 6- Self-Conscious Male</v>
      </c>
    </row>
    <row r="1031" spans="1:10" x14ac:dyDescent="0.25">
      <c r="A1031" s="1">
        <f>'batch tool'!A1025</f>
        <v>0</v>
      </c>
      <c r="B1031" s="7">
        <f>SUMPRODUCT($C$2:$X$2,'batch tool'!$B1025:$W1025)+$Y$2</f>
        <v>-49.12272534143483</v>
      </c>
      <c r="C1031" s="7">
        <f>SUMPRODUCT($C$3:$X$3,'batch tool'!$B1025:$W1025)+$Y$3</f>
        <v>-36.514029388465531</v>
      </c>
      <c r="D1031" s="7">
        <f>SUMPRODUCT($C$4:$X$4,'batch tool'!$B1025:$W1025)+$Y$4</f>
        <v>-44.639843068043824</v>
      </c>
      <c r="E1031" s="7">
        <f>SUMPRODUCT($C$5:$X$5,'batch tool'!$B1025:$W1025)+$Y$5</f>
        <v>-51.578889182477603</v>
      </c>
      <c r="F1031" s="7">
        <f>SUMPRODUCT($C$6:$X$6,'batch tool'!$B1025:$W1025)+$Y$6</f>
        <v>-47.741473633885199</v>
      </c>
      <c r="G1031" s="7">
        <f>SUMPRODUCT($C$7:$X$7,'batch tool'!$B1025:$W1025)+$Y$7</f>
        <v>-19.739516238059196</v>
      </c>
      <c r="H1031" s="7">
        <f t="shared" si="30"/>
        <v>-19.739516238059196</v>
      </c>
      <c r="I1031">
        <f t="shared" si="31"/>
        <v>6</v>
      </c>
      <c r="J1031" t="str" cm="1">
        <f t="array" ref="J1031">INDEX($A$2:$A$7,I1031)</f>
        <v>Segment 6- Self-Conscious Male</v>
      </c>
    </row>
    <row r="1032" spans="1:10" x14ac:dyDescent="0.25">
      <c r="A1032" s="1">
        <f>'batch tool'!A1026</f>
        <v>0</v>
      </c>
      <c r="B1032" s="7">
        <f>SUMPRODUCT($C$2:$X$2,'batch tool'!$B1026:$W1026)+$Y$2</f>
        <v>-49.12272534143483</v>
      </c>
      <c r="C1032" s="7">
        <f>SUMPRODUCT($C$3:$X$3,'batch tool'!$B1026:$W1026)+$Y$3</f>
        <v>-36.514029388465531</v>
      </c>
      <c r="D1032" s="7">
        <f>SUMPRODUCT($C$4:$X$4,'batch tool'!$B1026:$W1026)+$Y$4</f>
        <v>-44.639843068043824</v>
      </c>
      <c r="E1032" s="7">
        <f>SUMPRODUCT($C$5:$X$5,'batch tool'!$B1026:$W1026)+$Y$5</f>
        <v>-51.578889182477603</v>
      </c>
      <c r="F1032" s="7">
        <f>SUMPRODUCT($C$6:$X$6,'batch tool'!$B1026:$W1026)+$Y$6</f>
        <v>-47.741473633885199</v>
      </c>
      <c r="G1032" s="7">
        <f>SUMPRODUCT($C$7:$X$7,'batch tool'!$B1026:$W1026)+$Y$7</f>
        <v>-19.739516238059196</v>
      </c>
      <c r="H1032" s="7">
        <f t="shared" si="30"/>
        <v>-19.739516238059196</v>
      </c>
      <c r="I1032">
        <f t="shared" si="31"/>
        <v>6</v>
      </c>
      <c r="J1032" t="str" cm="1">
        <f t="array" ref="J1032">INDEX($A$2:$A$7,I1032)</f>
        <v>Segment 6- Self-Conscious Male</v>
      </c>
    </row>
    <row r="1033" spans="1:10" x14ac:dyDescent="0.25">
      <c r="A1033" s="1">
        <f>'batch tool'!A1027</f>
        <v>0</v>
      </c>
      <c r="B1033" s="7">
        <f>SUMPRODUCT($C$2:$X$2,'batch tool'!$B1027:$W1027)+$Y$2</f>
        <v>-49.12272534143483</v>
      </c>
      <c r="C1033" s="7">
        <f>SUMPRODUCT($C$3:$X$3,'batch tool'!$B1027:$W1027)+$Y$3</f>
        <v>-36.514029388465531</v>
      </c>
      <c r="D1033" s="7">
        <f>SUMPRODUCT($C$4:$X$4,'batch tool'!$B1027:$W1027)+$Y$4</f>
        <v>-44.639843068043824</v>
      </c>
      <c r="E1033" s="7">
        <f>SUMPRODUCT($C$5:$X$5,'batch tool'!$B1027:$W1027)+$Y$5</f>
        <v>-51.578889182477603</v>
      </c>
      <c r="F1033" s="7">
        <f>SUMPRODUCT($C$6:$X$6,'batch tool'!$B1027:$W1027)+$Y$6</f>
        <v>-47.741473633885199</v>
      </c>
      <c r="G1033" s="7">
        <f>SUMPRODUCT($C$7:$X$7,'batch tool'!$B1027:$W1027)+$Y$7</f>
        <v>-19.739516238059196</v>
      </c>
      <c r="H1033" s="7">
        <f t="shared" si="30"/>
        <v>-19.739516238059196</v>
      </c>
      <c r="I1033">
        <f t="shared" si="31"/>
        <v>6</v>
      </c>
      <c r="J1033" t="str" cm="1">
        <f t="array" ref="J1033">INDEX($A$2:$A$7,I1033)</f>
        <v>Segment 6- Self-Conscious Male</v>
      </c>
    </row>
    <row r="1034" spans="1:10" x14ac:dyDescent="0.25">
      <c r="A1034" s="1">
        <f>'batch tool'!A1028</f>
        <v>0</v>
      </c>
      <c r="B1034" s="7">
        <f>SUMPRODUCT($C$2:$X$2,'batch tool'!$B1028:$W1028)+$Y$2</f>
        <v>-49.12272534143483</v>
      </c>
      <c r="C1034" s="7">
        <f>SUMPRODUCT($C$3:$X$3,'batch tool'!$B1028:$W1028)+$Y$3</f>
        <v>-36.514029388465531</v>
      </c>
      <c r="D1034" s="7">
        <f>SUMPRODUCT($C$4:$X$4,'batch tool'!$B1028:$W1028)+$Y$4</f>
        <v>-44.639843068043824</v>
      </c>
      <c r="E1034" s="7">
        <f>SUMPRODUCT($C$5:$X$5,'batch tool'!$B1028:$W1028)+$Y$5</f>
        <v>-51.578889182477603</v>
      </c>
      <c r="F1034" s="7">
        <f>SUMPRODUCT($C$6:$X$6,'batch tool'!$B1028:$W1028)+$Y$6</f>
        <v>-47.741473633885199</v>
      </c>
      <c r="G1034" s="7">
        <f>SUMPRODUCT($C$7:$X$7,'batch tool'!$B1028:$W1028)+$Y$7</f>
        <v>-19.739516238059196</v>
      </c>
      <c r="H1034" s="7">
        <f t="shared" si="30"/>
        <v>-19.739516238059196</v>
      </c>
      <c r="I1034">
        <f t="shared" si="31"/>
        <v>6</v>
      </c>
      <c r="J1034" t="str" cm="1">
        <f t="array" ref="J1034">INDEX($A$2:$A$7,I1034)</f>
        <v>Segment 6- Self-Conscious Male</v>
      </c>
    </row>
    <row r="1035" spans="1:10" x14ac:dyDescent="0.25">
      <c r="A1035" s="1">
        <f>'batch tool'!A1029</f>
        <v>0</v>
      </c>
      <c r="B1035" s="7">
        <f>SUMPRODUCT($C$2:$X$2,'batch tool'!$B1029:$W1029)+$Y$2</f>
        <v>-49.12272534143483</v>
      </c>
      <c r="C1035" s="7">
        <f>SUMPRODUCT($C$3:$X$3,'batch tool'!$B1029:$W1029)+$Y$3</f>
        <v>-36.514029388465531</v>
      </c>
      <c r="D1035" s="7">
        <f>SUMPRODUCT($C$4:$X$4,'batch tool'!$B1029:$W1029)+$Y$4</f>
        <v>-44.639843068043824</v>
      </c>
      <c r="E1035" s="7">
        <f>SUMPRODUCT($C$5:$X$5,'batch tool'!$B1029:$W1029)+$Y$5</f>
        <v>-51.578889182477603</v>
      </c>
      <c r="F1035" s="7">
        <f>SUMPRODUCT($C$6:$X$6,'batch tool'!$B1029:$W1029)+$Y$6</f>
        <v>-47.741473633885199</v>
      </c>
      <c r="G1035" s="7">
        <f>SUMPRODUCT($C$7:$X$7,'batch tool'!$B1029:$W1029)+$Y$7</f>
        <v>-19.739516238059196</v>
      </c>
      <c r="H1035" s="7">
        <f t="shared" ref="H1035:H1098" si="32">MAX(B1035:G1035)</f>
        <v>-19.739516238059196</v>
      </c>
      <c r="I1035">
        <f t="shared" ref="I1035:I1098" si="33">MATCH(H1035,B1035:G1035,0)</f>
        <v>6</v>
      </c>
      <c r="J1035" t="str" cm="1">
        <f t="array" ref="J1035">INDEX($A$2:$A$7,I1035)</f>
        <v>Segment 6- Self-Conscious Male</v>
      </c>
    </row>
    <row r="1036" spans="1:10" x14ac:dyDescent="0.25">
      <c r="A1036" s="1">
        <f>'batch tool'!A1030</f>
        <v>0</v>
      </c>
      <c r="B1036" s="7">
        <f>SUMPRODUCT($C$2:$X$2,'batch tool'!$B1030:$W1030)+$Y$2</f>
        <v>-49.12272534143483</v>
      </c>
      <c r="C1036" s="7">
        <f>SUMPRODUCT($C$3:$X$3,'batch tool'!$B1030:$W1030)+$Y$3</f>
        <v>-36.514029388465531</v>
      </c>
      <c r="D1036" s="7">
        <f>SUMPRODUCT($C$4:$X$4,'batch tool'!$B1030:$W1030)+$Y$4</f>
        <v>-44.639843068043824</v>
      </c>
      <c r="E1036" s="7">
        <f>SUMPRODUCT($C$5:$X$5,'batch tool'!$B1030:$W1030)+$Y$5</f>
        <v>-51.578889182477603</v>
      </c>
      <c r="F1036" s="7">
        <f>SUMPRODUCT($C$6:$X$6,'batch tool'!$B1030:$W1030)+$Y$6</f>
        <v>-47.741473633885199</v>
      </c>
      <c r="G1036" s="7">
        <f>SUMPRODUCT($C$7:$X$7,'batch tool'!$B1030:$W1030)+$Y$7</f>
        <v>-19.739516238059196</v>
      </c>
      <c r="H1036" s="7">
        <f t="shared" si="32"/>
        <v>-19.739516238059196</v>
      </c>
      <c r="I1036">
        <f t="shared" si="33"/>
        <v>6</v>
      </c>
      <c r="J1036" t="str" cm="1">
        <f t="array" ref="J1036">INDEX($A$2:$A$7,I1036)</f>
        <v>Segment 6- Self-Conscious Male</v>
      </c>
    </row>
    <row r="1037" spans="1:10" x14ac:dyDescent="0.25">
      <c r="A1037" s="1">
        <f>'batch tool'!A1031</f>
        <v>0</v>
      </c>
      <c r="B1037" s="7">
        <f>SUMPRODUCT($C$2:$X$2,'batch tool'!$B1031:$W1031)+$Y$2</f>
        <v>-49.12272534143483</v>
      </c>
      <c r="C1037" s="7">
        <f>SUMPRODUCT($C$3:$X$3,'batch tool'!$B1031:$W1031)+$Y$3</f>
        <v>-36.514029388465531</v>
      </c>
      <c r="D1037" s="7">
        <f>SUMPRODUCT($C$4:$X$4,'batch tool'!$B1031:$W1031)+$Y$4</f>
        <v>-44.639843068043824</v>
      </c>
      <c r="E1037" s="7">
        <f>SUMPRODUCT($C$5:$X$5,'batch tool'!$B1031:$W1031)+$Y$5</f>
        <v>-51.578889182477603</v>
      </c>
      <c r="F1037" s="7">
        <f>SUMPRODUCT($C$6:$X$6,'batch tool'!$B1031:$W1031)+$Y$6</f>
        <v>-47.741473633885199</v>
      </c>
      <c r="G1037" s="7">
        <f>SUMPRODUCT($C$7:$X$7,'batch tool'!$B1031:$W1031)+$Y$7</f>
        <v>-19.739516238059196</v>
      </c>
      <c r="H1037" s="7">
        <f t="shared" si="32"/>
        <v>-19.739516238059196</v>
      </c>
      <c r="I1037">
        <f t="shared" si="33"/>
        <v>6</v>
      </c>
      <c r="J1037" t="str" cm="1">
        <f t="array" ref="J1037">INDEX($A$2:$A$7,I1037)</f>
        <v>Segment 6- Self-Conscious Male</v>
      </c>
    </row>
    <row r="1038" spans="1:10" x14ac:dyDescent="0.25">
      <c r="A1038" s="1">
        <f>'batch tool'!A1032</f>
        <v>0</v>
      </c>
      <c r="B1038" s="7">
        <f>SUMPRODUCT($C$2:$X$2,'batch tool'!$B1032:$W1032)+$Y$2</f>
        <v>-49.12272534143483</v>
      </c>
      <c r="C1038" s="7">
        <f>SUMPRODUCT($C$3:$X$3,'batch tool'!$B1032:$W1032)+$Y$3</f>
        <v>-36.514029388465531</v>
      </c>
      <c r="D1038" s="7">
        <f>SUMPRODUCT($C$4:$X$4,'batch tool'!$B1032:$W1032)+$Y$4</f>
        <v>-44.639843068043824</v>
      </c>
      <c r="E1038" s="7">
        <f>SUMPRODUCT($C$5:$X$5,'batch tool'!$B1032:$W1032)+$Y$5</f>
        <v>-51.578889182477603</v>
      </c>
      <c r="F1038" s="7">
        <f>SUMPRODUCT($C$6:$X$6,'batch tool'!$B1032:$W1032)+$Y$6</f>
        <v>-47.741473633885199</v>
      </c>
      <c r="G1038" s="7">
        <f>SUMPRODUCT($C$7:$X$7,'batch tool'!$B1032:$W1032)+$Y$7</f>
        <v>-19.739516238059196</v>
      </c>
      <c r="H1038" s="7">
        <f t="shared" si="32"/>
        <v>-19.739516238059196</v>
      </c>
      <c r="I1038">
        <f t="shared" si="33"/>
        <v>6</v>
      </c>
      <c r="J1038" t="str" cm="1">
        <f t="array" ref="J1038">INDEX($A$2:$A$7,I1038)</f>
        <v>Segment 6- Self-Conscious Male</v>
      </c>
    </row>
    <row r="1039" spans="1:10" x14ac:dyDescent="0.25">
      <c r="A1039" s="1">
        <f>'batch tool'!A1033</f>
        <v>0</v>
      </c>
      <c r="B1039" s="7">
        <f>SUMPRODUCT($C$2:$X$2,'batch tool'!$B1033:$W1033)+$Y$2</f>
        <v>-49.12272534143483</v>
      </c>
      <c r="C1039" s="7">
        <f>SUMPRODUCT($C$3:$X$3,'batch tool'!$B1033:$W1033)+$Y$3</f>
        <v>-36.514029388465531</v>
      </c>
      <c r="D1039" s="7">
        <f>SUMPRODUCT($C$4:$X$4,'batch tool'!$B1033:$W1033)+$Y$4</f>
        <v>-44.639843068043824</v>
      </c>
      <c r="E1039" s="7">
        <f>SUMPRODUCT($C$5:$X$5,'batch tool'!$B1033:$W1033)+$Y$5</f>
        <v>-51.578889182477603</v>
      </c>
      <c r="F1039" s="7">
        <f>SUMPRODUCT($C$6:$X$6,'batch tool'!$B1033:$W1033)+$Y$6</f>
        <v>-47.741473633885199</v>
      </c>
      <c r="G1039" s="7">
        <f>SUMPRODUCT($C$7:$X$7,'batch tool'!$B1033:$W1033)+$Y$7</f>
        <v>-19.739516238059196</v>
      </c>
      <c r="H1039" s="7">
        <f t="shared" si="32"/>
        <v>-19.739516238059196</v>
      </c>
      <c r="I1039">
        <f t="shared" si="33"/>
        <v>6</v>
      </c>
      <c r="J1039" t="str" cm="1">
        <f t="array" ref="J1039">INDEX($A$2:$A$7,I1039)</f>
        <v>Segment 6- Self-Conscious Male</v>
      </c>
    </row>
    <row r="1040" spans="1:10" x14ac:dyDescent="0.25">
      <c r="A1040" s="1">
        <f>'batch tool'!A1034</f>
        <v>0</v>
      </c>
      <c r="B1040" s="7">
        <f>SUMPRODUCT($C$2:$X$2,'batch tool'!$B1034:$W1034)+$Y$2</f>
        <v>-49.12272534143483</v>
      </c>
      <c r="C1040" s="7">
        <f>SUMPRODUCT($C$3:$X$3,'batch tool'!$B1034:$W1034)+$Y$3</f>
        <v>-36.514029388465531</v>
      </c>
      <c r="D1040" s="7">
        <f>SUMPRODUCT($C$4:$X$4,'batch tool'!$B1034:$W1034)+$Y$4</f>
        <v>-44.639843068043824</v>
      </c>
      <c r="E1040" s="7">
        <f>SUMPRODUCT($C$5:$X$5,'batch tool'!$B1034:$W1034)+$Y$5</f>
        <v>-51.578889182477603</v>
      </c>
      <c r="F1040" s="7">
        <f>SUMPRODUCT($C$6:$X$6,'batch tool'!$B1034:$W1034)+$Y$6</f>
        <v>-47.741473633885199</v>
      </c>
      <c r="G1040" s="7">
        <f>SUMPRODUCT($C$7:$X$7,'batch tool'!$B1034:$W1034)+$Y$7</f>
        <v>-19.739516238059196</v>
      </c>
      <c r="H1040" s="7">
        <f t="shared" si="32"/>
        <v>-19.739516238059196</v>
      </c>
      <c r="I1040">
        <f t="shared" si="33"/>
        <v>6</v>
      </c>
      <c r="J1040" t="str" cm="1">
        <f t="array" ref="J1040">INDEX($A$2:$A$7,I1040)</f>
        <v>Segment 6- Self-Conscious Male</v>
      </c>
    </row>
    <row r="1041" spans="1:10" x14ac:dyDescent="0.25">
      <c r="A1041" s="1">
        <f>'batch tool'!A1035</f>
        <v>0</v>
      </c>
      <c r="B1041" s="7">
        <f>SUMPRODUCT($C$2:$X$2,'batch tool'!$B1035:$W1035)+$Y$2</f>
        <v>-49.12272534143483</v>
      </c>
      <c r="C1041" s="7">
        <f>SUMPRODUCT($C$3:$X$3,'batch tool'!$B1035:$W1035)+$Y$3</f>
        <v>-36.514029388465531</v>
      </c>
      <c r="D1041" s="7">
        <f>SUMPRODUCT($C$4:$X$4,'batch tool'!$B1035:$W1035)+$Y$4</f>
        <v>-44.639843068043824</v>
      </c>
      <c r="E1041" s="7">
        <f>SUMPRODUCT($C$5:$X$5,'batch tool'!$B1035:$W1035)+$Y$5</f>
        <v>-51.578889182477603</v>
      </c>
      <c r="F1041" s="7">
        <f>SUMPRODUCT($C$6:$X$6,'batch tool'!$B1035:$W1035)+$Y$6</f>
        <v>-47.741473633885199</v>
      </c>
      <c r="G1041" s="7">
        <f>SUMPRODUCT($C$7:$X$7,'batch tool'!$B1035:$W1035)+$Y$7</f>
        <v>-19.739516238059196</v>
      </c>
      <c r="H1041" s="7">
        <f t="shared" si="32"/>
        <v>-19.739516238059196</v>
      </c>
      <c r="I1041">
        <f t="shared" si="33"/>
        <v>6</v>
      </c>
      <c r="J1041" t="str" cm="1">
        <f t="array" ref="J1041">INDEX($A$2:$A$7,I1041)</f>
        <v>Segment 6- Self-Conscious Male</v>
      </c>
    </row>
    <row r="1042" spans="1:10" x14ac:dyDescent="0.25">
      <c r="A1042" s="1">
        <f>'batch tool'!A1036</f>
        <v>0</v>
      </c>
      <c r="B1042" s="7">
        <f>SUMPRODUCT($C$2:$X$2,'batch tool'!$B1036:$W1036)+$Y$2</f>
        <v>-49.12272534143483</v>
      </c>
      <c r="C1042" s="7">
        <f>SUMPRODUCT($C$3:$X$3,'batch tool'!$B1036:$W1036)+$Y$3</f>
        <v>-36.514029388465531</v>
      </c>
      <c r="D1042" s="7">
        <f>SUMPRODUCT($C$4:$X$4,'batch tool'!$B1036:$W1036)+$Y$4</f>
        <v>-44.639843068043824</v>
      </c>
      <c r="E1042" s="7">
        <f>SUMPRODUCT($C$5:$X$5,'batch tool'!$B1036:$W1036)+$Y$5</f>
        <v>-51.578889182477603</v>
      </c>
      <c r="F1042" s="7">
        <f>SUMPRODUCT($C$6:$X$6,'batch tool'!$B1036:$W1036)+$Y$6</f>
        <v>-47.741473633885199</v>
      </c>
      <c r="G1042" s="7">
        <f>SUMPRODUCT($C$7:$X$7,'batch tool'!$B1036:$W1036)+$Y$7</f>
        <v>-19.739516238059196</v>
      </c>
      <c r="H1042" s="7">
        <f t="shared" si="32"/>
        <v>-19.739516238059196</v>
      </c>
      <c r="I1042">
        <f t="shared" si="33"/>
        <v>6</v>
      </c>
      <c r="J1042" t="str" cm="1">
        <f t="array" ref="J1042">INDEX($A$2:$A$7,I1042)</f>
        <v>Segment 6- Self-Conscious Male</v>
      </c>
    </row>
    <row r="1043" spans="1:10" x14ac:dyDescent="0.25">
      <c r="A1043" s="1">
        <f>'batch tool'!A1037</f>
        <v>0</v>
      </c>
      <c r="B1043" s="7">
        <f>SUMPRODUCT($C$2:$X$2,'batch tool'!$B1037:$W1037)+$Y$2</f>
        <v>-49.12272534143483</v>
      </c>
      <c r="C1043" s="7">
        <f>SUMPRODUCT($C$3:$X$3,'batch tool'!$B1037:$W1037)+$Y$3</f>
        <v>-36.514029388465531</v>
      </c>
      <c r="D1043" s="7">
        <f>SUMPRODUCT($C$4:$X$4,'batch tool'!$B1037:$W1037)+$Y$4</f>
        <v>-44.639843068043824</v>
      </c>
      <c r="E1043" s="7">
        <f>SUMPRODUCT($C$5:$X$5,'batch tool'!$B1037:$W1037)+$Y$5</f>
        <v>-51.578889182477603</v>
      </c>
      <c r="F1043" s="7">
        <f>SUMPRODUCT($C$6:$X$6,'batch tool'!$B1037:$W1037)+$Y$6</f>
        <v>-47.741473633885199</v>
      </c>
      <c r="G1043" s="7">
        <f>SUMPRODUCT($C$7:$X$7,'batch tool'!$B1037:$W1037)+$Y$7</f>
        <v>-19.739516238059196</v>
      </c>
      <c r="H1043" s="7">
        <f t="shared" si="32"/>
        <v>-19.739516238059196</v>
      </c>
      <c r="I1043">
        <f t="shared" si="33"/>
        <v>6</v>
      </c>
      <c r="J1043" t="str" cm="1">
        <f t="array" ref="J1043">INDEX($A$2:$A$7,I1043)</f>
        <v>Segment 6- Self-Conscious Male</v>
      </c>
    </row>
    <row r="1044" spans="1:10" x14ac:dyDescent="0.25">
      <c r="A1044" s="1">
        <f>'batch tool'!A1038</f>
        <v>0</v>
      </c>
      <c r="B1044" s="7">
        <f>SUMPRODUCT($C$2:$X$2,'batch tool'!$B1038:$W1038)+$Y$2</f>
        <v>-49.12272534143483</v>
      </c>
      <c r="C1044" s="7">
        <f>SUMPRODUCT($C$3:$X$3,'batch tool'!$B1038:$W1038)+$Y$3</f>
        <v>-36.514029388465531</v>
      </c>
      <c r="D1044" s="7">
        <f>SUMPRODUCT($C$4:$X$4,'batch tool'!$B1038:$W1038)+$Y$4</f>
        <v>-44.639843068043824</v>
      </c>
      <c r="E1044" s="7">
        <f>SUMPRODUCT($C$5:$X$5,'batch tool'!$B1038:$W1038)+$Y$5</f>
        <v>-51.578889182477603</v>
      </c>
      <c r="F1044" s="7">
        <f>SUMPRODUCT($C$6:$X$6,'batch tool'!$B1038:$W1038)+$Y$6</f>
        <v>-47.741473633885199</v>
      </c>
      <c r="G1044" s="7">
        <f>SUMPRODUCT($C$7:$X$7,'batch tool'!$B1038:$W1038)+$Y$7</f>
        <v>-19.739516238059196</v>
      </c>
      <c r="H1044" s="7">
        <f t="shared" si="32"/>
        <v>-19.739516238059196</v>
      </c>
      <c r="I1044">
        <f t="shared" si="33"/>
        <v>6</v>
      </c>
      <c r="J1044" t="str" cm="1">
        <f t="array" ref="J1044">INDEX($A$2:$A$7,I1044)</f>
        <v>Segment 6- Self-Conscious Male</v>
      </c>
    </row>
    <row r="1045" spans="1:10" x14ac:dyDescent="0.25">
      <c r="A1045" s="1">
        <f>'batch tool'!A1039</f>
        <v>0</v>
      </c>
      <c r="B1045" s="7">
        <f>SUMPRODUCT($C$2:$X$2,'batch tool'!$B1039:$W1039)+$Y$2</f>
        <v>-49.12272534143483</v>
      </c>
      <c r="C1045" s="7">
        <f>SUMPRODUCT($C$3:$X$3,'batch tool'!$B1039:$W1039)+$Y$3</f>
        <v>-36.514029388465531</v>
      </c>
      <c r="D1045" s="7">
        <f>SUMPRODUCT($C$4:$X$4,'batch tool'!$B1039:$W1039)+$Y$4</f>
        <v>-44.639843068043824</v>
      </c>
      <c r="E1045" s="7">
        <f>SUMPRODUCT($C$5:$X$5,'batch tool'!$B1039:$W1039)+$Y$5</f>
        <v>-51.578889182477603</v>
      </c>
      <c r="F1045" s="7">
        <f>SUMPRODUCT($C$6:$X$6,'batch tool'!$B1039:$W1039)+$Y$6</f>
        <v>-47.741473633885199</v>
      </c>
      <c r="G1045" s="7">
        <f>SUMPRODUCT($C$7:$X$7,'batch tool'!$B1039:$W1039)+$Y$7</f>
        <v>-19.739516238059196</v>
      </c>
      <c r="H1045" s="7">
        <f t="shared" si="32"/>
        <v>-19.739516238059196</v>
      </c>
      <c r="I1045">
        <f t="shared" si="33"/>
        <v>6</v>
      </c>
      <c r="J1045" t="str" cm="1">
        <f t="array" ref="J1045">INDEX($A$2:$A$7,I1045)</f>
        <v>Segment 6- Self-Conscious Male</v>
      </c>
    </row>
    <row r="1046" spans="1:10" x14ac:dyDescent="0.25">
      <c r="A1046" s="1">
        <f>'batch tool'!A1040</f>
        <v>0</v>
      </c>
      <c r="B1046" s="7">
        <f>SUMPRODUCT($C$2:$X$2,'batch tool'!$B1040:$W1040)+$Y$2</f>
        <v>-49.12272534143483</v>
      </c>
      <c r="C1046" s="7">
        <f>SUMPRODUCT($C$3:$X$3,'batch tool'!$B1040:$W1040)+$Y$3</f>
        <v>-36.514029388465531</v>
      </c>
      <c r="D1046" s="7">
        <f>SUMPRODUCT($C$4:$X$4,'batch tool'!$B1040:$W1040)+$Y$4</f>
        <v>-44.639843068043824</v>
      </c>
      <c r="E1046" s="7">
        <f>SUMPRODUCT($C$5:$X$5,'batch tool'!$B1040:$W1040)+$Y$5</f>
        <v>-51.578889182477603</v>
      </c>
      <c r="F1046" s="7">
        <f>SUMPRODUCT($C$6:$X$6,'batch tool'!$B1040:$W1040)+$Y$6</f>
        <v>-47.741473633885199</v>
      </c>
      <c r="G1046" s="7">
        <f>SUMPRODUCT($C$7:$X$7,'batch tool'!$B1040:$W1040)+$Y$7</f>
        <v>-19.739516238059196</v>
      </c>
      <c r="H1046" s="7">
        <f t="shared" si="32"/>
        <v>-19.739516238059196</v>
      </c>
      <c r="I1046">
        <f t="shared" si="33"/>
        <v>6</v>
      </c>
      <c r="J1046" t="str" cm="1">
        <f t="array" ref="J1046">INDEX($A$2:$A$7,I1046)</f>
        <v>Segment 6- Self-Conscious Male</v>
      </c>
    </row>
    <row r="1047" spans="1:10" x14ac:dyDescent="0.25">
      <c r="A1047" s="1">
        <f>'batch tool'!A1041</f>
        <v>0</v>
      </c>
      <c r="B1047" s="7">
        <f>SUMPRODUCT($C$2:$X$2,'batch tool'!$B1041:$W1041)+$Y$2</f>
        <v>-49.12272534143483</v>
      </c>
      <c r="C1047" s="7">
        <f>SUMPRODUCT($C$3:$X$3,'batch tool'!$B1041:$W1041)+$Y$3</f>
        <v>-36.514029388465531</v>
      </c>
      <c r="D1047" s="7">
        <f>SUMPRODUCT($C$4:$X$4,'batch tool'!$B1041:$W1041)+$Y$4</f>
        <v>-44.639843068043824</v>
      </c>
      <c r="E1047" s="7">
        <f>SUMPRODUCT($C$5:$X$5,'batch tool'!$B1041:$W1041)+$Y$5</f>
        <v>-51.578889182477603</v>
      </c>
      <c r="F1047" s="7">
        <f>SUMPRODUCT($C$6:$X$6,'batch tool'!$B1041:$W1041)+$Y$6</f>
        <v>-47.741473633885199</v>
      </c>
      <c r="G1047" s="7">
        <f>SUMPRODUCT($C$7:$X$7,'batch tool'!$B1041:$W1041)+$Y$7</f>
        <v>-19.739516238059196</v>
      </c>
      <c r="H1047" s="7">
        <f t="shared" si="32"/>
        <v>-19.739516238059196</v>
      </c>
      <c r="I1047">
        <f t="shared" si="33"/>
        <v>6</v>
      </c>
      <c r="J1047" t="str" cm="1">
        <f t="array" ref="J1047">INDEX($A$2:$A$7,I1047)</f>
        <v>Segment 6- Self-Conscious Male</v>
      </c>
    </row>
    <row r="1048" spans="1:10" x14ac:dyDescent="0.25">
      <c r="A1048" s="1">
        <f>'batch tool'!A1042</f>
        <v>0</v>
      </c>
      <c r="B1048" s="7">
        <f>SUMPRODUCT($C$2:$X$2,'batch tool'!$B1042:$W1042)+$Y$2</f>
        <v>-49.12272534143483</v>
      </c>
      <c r="C1048" s="7">
        <f>SUMPRODUCT($C$3:$X$3,'batch tool'!$B1042:$W1042)+$Y$3</f>
        <v>-36.514029388465531</v>
      </c>
      <c r="D1048" s="7">
        <f>SUMPRODUCT($C$4:$X$4,'batch tool'!$B1042:$W1042)+$Y$4</f>
        <v>-44.639843068043824</v>
      </c>
      <c r="E1048" s="7">
        <f>SUMPRODUCT($C$5:$X$5,'batch tool'!$B1042:$W1042)+$Y$5</f>
        <v>-51.578889182477603</v>
      </c>
      <c r="F1048" s="7">
        <f>SUMPRODUCT($C$6:$X$6,'batch tool'!$B1042:$W1042)+$Y$6</f>
        <v>-47.741473633885199</v>
      </c>
      <c r="G1048" s="7">
        <f>SUMPRODUCT($C$7:$X$7,'batch tool'!$B1042:$W1042)+$Y$7</f>
        <v>-19.739516238059196</v>
      </c>
      <c r="H1048" s="7">
        <f t="shared" si="32"/>
        <v>-19.739516238059196</v>
      </c>
      <c r="I1048">
        <f t="shared" si="33"/>
        <v>6</v>
      </c>
      <c r="J1048" t="str" cm="1">
        <f t="array" ref="J1048">INDEX($A$2:$A$7,I1048)</f>
        <v>Segment 6- Self-Conscious Male</v>
      </c>
    </row>
    <row r="1049" spans="1:10" x14ac:dyDescent="0.25">
      <c r="A1049" s="1">
        <f>'batch tool'!A1043</f>
        <v>0</v>
      </c>
      <c r="B1049" s="7">
        <f>SUMPRODUCT($C$2:$X$2,'batch tool'!$B1043:$W1043)+$Y$2</f>
        <v>-49.12272534143483</v>
      </c>
      <c r="C1049" s="7">
        <f>SUMPRODUCT($C$3:$X$3,'batch tool'!$B1043:$W1043)+$Y$3</f>
        <v>-36.514029388465531</v>
      </c>
      <c r="D1049" s="7">
        <f>SUMPRODUCT($C$4:$X$4,'batch tool'!$B1043:$W1043)+$Y$4</f>
        <v>-44.639843068043824</v>
      </c>
      <c r="E1049" s="7">
        <f>SUMPRODUCT($C$5:$X$5,'batch tool'!$B1043:$W1043)+$Y$5</f>
        <v>-51.578889182477603</v>
      </c>
      <c r="F1049" s="7">
        <f>SUMPRODUCT($C$6:$X$6,'batch tool'!$B1043:$W1043)+$Y$6</f>
        <v>-47.741473633885199</v>
      </c>
      <c r="G1049" s="7">
        <f>SUMPRODUCT($C$7:$X$7,'batch tool'!$B1043:$W1043)+$Y$7</f>
        <v>-19.739516238059196</v>
      </c>
      <c r="H1049" s="7">
        <f t="shared" si="32"/>
        <v>-19.739516238059196</v>
      </c>
      <c r="I1049">
        <f t="shared" si="33"/>
        <v>6</v>
      </c>
      <c r="J1049" t="str" cm="1">
        <f t="array" ref="J1049">INDEX($A$2:$A$7,I1049)</f>
        <v>Segment 6- Self-Conscious Male</v>
      </c>
    </row>
    <row r="1050" spans="1:10" x14ac:dyDescent="0.25">
      <c r="A1050" s="1">
        <f>'batch tool'!A1044</f>
        <v>0</v>
      </c>
      <c r="B1050" s="7">
        <f>SUMPRODUCT($C$2:$X$2,'batch tool'!$B1044:$W1044)+$Y$2</f>
        <v>-49.12272534143483</v>
      </c>
      <c r="C1050" s="7">
        <f>SUMPRODUCT($C$3:$X$3,'batch tool'!$B1044:$W1044)+$Y$3</f>
        <v>-36.514029388465531</v>
      </c>
      <c r="D1050" s="7">
        <f>SUMPRODUCT($C$4:$X$4,'batch tool'!$B1044:$W1044)+$Y$4</f>
        <v>-44.639843068043824</v>
      </c>
      <c r="E1050" s="7">
        <f>SUMPRODUCT($C$5:$X$5,'batch tool'!$B1044:$W1044)+$Y$5</f>
        <v>-51.578889182477603</v>
      </c>
      <c r="F1050" s="7">
        <f>SUMPRODUCT($C$6:$X$6,'batch tool'!$B1044:$W1044)+$Y$6</f>
        <v>-47.741473633885199</v>
      </c>
      <c r="G1050" s="7">
        <f>SUMPRODUCT($C$7:$X$7,'batch tool'!$B1044:$W1044)+$Y$7</f>
        <v>-19.739516238059196</v>
      </c>
      <c r="H1050" s="7">
        <f t="shared" si="32"/>
        <v>-19.739516238059196</v>
      </c>
      <c r="I1050">
        <f t="shared" si="33"/>
        <v>6</v>
      </c>
      <c r="J1050" t="str" cm="1">
        <f t="array" ref="J1050">INDEX($A$2:$A$7,I1050)</f>
        <v>Segment 6- Self-Conscious Male</v>
      </c>
    </row>
    <row r="1051" spans="1:10" x14ac:dyDescent="0.25">
      <c r="A1051" s="1">
        <f>'batch tool'!A1045</f>
        <v>0</v>
      </c>
      <c r="B1051" s="7">
        <f>SUMPRODUCT($C$2:$X$2,'batch tool'!$B1045:$W1045)+$Y$2</f>
        <v>-49.12272534143483</v>
      </c>
      <c r="C1051" s="7">
        <f>SUMPRODUCT($C$3:$X$3,'batch tool'!$B1045:$W1045)+$Y$3</f>
        <v>-36.514029388465531</v>
      </c>
      <c r="D1051" s="7">
        <f>SUMPRODUCT($C$4:$X$4,'batch tool'!$B1045:$W1045)+$Y$4</f>
        <v>-44.639843068043824</v>
      </c>
      <c r="E1051" s="7">
        <f>SUMPRODUCT($C$5:$X$5,'batch tool'!$B1045:$W1045)+$Y$5</f>
        <v>-51.578889182477603</v>
      </c>
      <c r="F1051" s="7">
        <f>SUMPRODUCT($C$6:$X$6,'batch tool'!$B1045:$W1045)+$Y$6</f>
        <v>-47.741473633885199</v>
      </c>
      <c r="G1051" s="7">
        <f>SUMPRODUCT($C$7:$X$7,'batch tool'!$B1045:$W1045)+$Y$7</f>
        <v>-19.739516238059196</v>
      </c>
      <c r="H1051" s="7">
        <f t="shared" si="32"/>
        <v>-19.739516238059196</v>
      </c>
      <c r="I1051">
        <f t="shared" si="33"/>
        <v>6</v>
      </c>
      <c r="J1051" t="str" cm="1">
        <f t="array" ref="J1051">INDEX($A$2:$A$7,I1051)</f>
        <v>Segment 6- Self-Conscious Male</v>
      </c>
    </row>
    <row r="1052" spans="1:10" x14ac:dyDescent="0.25">
      <c r="A1052" s="1">
        <f>'batch tool'!A1046</f>
        <v>0</v>
      </c>
      <c r="B1052" s="7">
        <f>SUMPRODUCT($C$2:$X$2,'batch tool'!$B1046:$W1046)+$Y$2</f>
        <v>-49.12272534143483</v>
      </c>
      <c r="C1052" s="7">
        <f>SUMPRODUCT($C$3:$X$3,'batch tool'!$B1046:$W1046)+$Y$3</f>
        <v>-36.514029388465531</v>
      </c>
      <c r="D1052" s="7">
        <f>SUMPRODUCT($C$4:$X$4,'batch tool'!$B1046:$W1046)+$Y$4</f>
        <v>-44.639843068043824</v>
      </c>
      <c r="E1052" s="7">
        <f>SUMPRODUCT($C$5:$X$5,'batch tool'!$B1046:$W1046)+$Y$5</f>
        <v>-51.578889182477603</v>
      </c>
      <c r="F1052" s="7">
        <f>SUMPRODUCT($C$6:$X$6,'batch tool'!$B1046:$W1046)+$Y$6</f>
        <v>-47.741473633885199</v>
      </c>
      <c r="G1052" s="7">
        <f>SUMPRODUCT($C$7:$X$7,'batch tool'!$B1046:$W1046)+$Y$7</f>
        <v>-19.739516238059196</v>
      </c>
      <c r="H1052" s="7">
        <f t="shared" si="32"/>
        <v>-19.739516238059196</v>
      </c>
      <c r="I1052">
        <f t="shared" si="33"/>
        <v>6</v>
      </c>
      <c r="J1052" t="str" cm="1">
        <f t="array" ref="J1052">INDEX($A$2:$A$7,I1052)</f>
        <v>Segment 6- Self-Conscious Male</v>
      </c>
    </row>
    <row r="1053" spans="1:10" x14ac:dyDescent="0.25">
      <c r="A1053" s="1">
        <f>'batch tool'!A1047</f>
        <v>0</v>
      </c>
      <c r="B1053" s="7">
        <f>SUMPRODUCT($C$2:$X$2,'batch tool'!$B1047:$W1047)+$Y$2</f>
        <v>-49.12272534143483</v>
      </c>
      <c r="C1053" s="7">
        <f>SUMPRODUCT($C$3:$X$3,'batch tool'!$B1047:$W1047)+$Y$3</f>
        <v>-36.514029388465531</v>
      </c>
      <c r="D1053" s="7">
        <f>SUMPRODUCT($C$4:$X$4,'batch tool'!$B1047:$W1047)+$Y$4</f>
        <v>-44.639843068043824</v>
      </c>
      <c r="E1053" s="7">
        <f>SUMPRODUCT($C$5:$X$5,'batch tool'!$B1047:$W1047)+$Y$5</f>
        <v>-51.578889182477603</v>
      </c>
      <c r="F1053" s="7">
        <f>SUMPRODUCT($C$6:$X$6,'batch tool'!$B1047:$W1047)+$Y$6</f>
        <v>-47.741473633885199</v>
      </c>
      <c r="G1053" s="7">
        <f>SUMPRODUCT($C$7:$X$7,'batch tool'!$B1047:$W1047)+$Y$7</f>
        <v>-19.739516238059196</v>
      </c>
      <c r="H1053" s="7">
        <f t="shared" si="32"/>
        <v>-19.739516238059196</v>
      </c>
      <c r="I1053">
        <f t="shared" si="33"/>
        <v>6</v>
      </c>
      <c r="J1053" t="str" cm="1">
        <f t="array" ref="J1053">INDEX($A$2:$A$7,I1053)</f>
        <v>Segment 6- Self-Conscious Male</v>
      </c>
    </row>
    <row r="1054" spans="1:10" x14ac:dyDescent="0.25">
      <c r="A1054" s="1">
        <f>'batch tool'!A1048</f>
        <v>0</v>
      </c>
      <c r="B1054" s="7">
        <f>SUMPRODUCT($C$2:$X$2,'batch tool'!$B1048:$W1048)+$Y$2</f>
        <v>-49.12272534143483</v>
      </c>
      <c r="C1054" s="7">
        <f>SUMPRODUCT($C$3:$X$3,'batch tool'!$B1048:$W1048)+$Y$3</f>
        <v>-36.514029388465531</v>
      </c>
      <c r="D1054" s="7">
        <f>SUMPRODUCT($C$4:$X$4,'batch tool'!$B1048:$W1048)+$Y$4</f>
        <v>-44.639843068043824</v>
      </c>
      <c r="E1054" s="7">
        <f>SUMPRODUCT($C$5:$X$5,'batch tool'!$B1048:$W1048)+$Y$5</f>
        <v>-51.578889182477603</v>
      </c>
      <c r="F1054" s="7">
        <f>SUMPRODUCT($C$6:$X$6,'batch tool'!$B1048:$W1048)+$Y$6</f>
        <v>-47.741473633885199</v>
      </c>
      <c r="G1054" s="7">
        <f>SUMPRODUCT($C$7:$X$7,'batch tool'!$B1048:$W1048)+$Y$7</f>
        <v>-19.739516238059196</v>
      </c>
      <c r="H1054" s="7">
        <f t="shared" si="32"/>
        <v>-19.739516238059196</v>
      </c>
      <c r="I1054">
        <f t="shared" si="33"/>
        <v>6</v>
      </c>
      <c r="J1054" t="str" cm="1">
        <f t="array" ref="J1054">INDEX($A$2:$A$7,I1054)</f>
        <v>Segment 6- Self-Conscious Male</v>
      </c>
    </row>
    <row r="1055" spans="1:10" x14ac:dyDescent="0.25">
      <c r="A1055" s="1">
        <f>'batch tool'!A1049</f>
        <v>0</v>
      </c>
      <c r="B1055" s="7">
        <f>SUMPRODUCT($C$2:$X$2,'batch tool'!$B1049:$W1049)+$Y$2</f>
        <v>-49.12272534143483</v>
      </c>
      <c r="C1055" s="7">
        <f>SUMPRODUCT($C$3:$X$3,'batch tool'!$B1049:$W1049)+$Y$3</f>
        <v>-36.514029388465531</v>
      </c>
      <c r="D1055" s="7">
        <f>SUMPRODUCT($C$4:$X$4,'batch tool'!$B1049:$W1049)+$Y$4</f>
        <v>-44.639843068043824</v>
      </c>
      <c r="E1055" s="7">
        <f>SUMPRODUCT($C$5:$X$5,'batch tool'!$B1049:$W1049)+$Y$5</f>
        <v>-51.578889182477603</v>
      </c>
      <c r="F1055" s="7">
        <f>SUMPRODUCT($C$6:$X$6,'batch tool'!$B1049:$W1049)+$Y$6</f>
        <v>-47.741473633885199</v>
      </c>
      <c r="G1055" s="7">
        <f>SUMPRODUCT($C$7:$X$7,'batch tool'!$B1049:$W1049)+$Y$7</f>
        <v>-19.739516238059196</v>
      </c>
      <c r="H1055" s="7">
        <f t="shared" si="32"/>
        <v>-19.739516238059196</v>
      </c>
      <c r="I1055">
        <f t="shared" si="33"/>
        <v>6</v>
      </c>
      <c r="J1055" t="str" cm="1">
        <f t="array" ref="J1055">INDEX($A$2:$A$7,I1055)</f>
        <v>Segment 6- Self-Conscious Male</v>
      </c>
    </row>
    <row r="1056" spans="1:10" x14ac:dyDescent="0.25">
      <c r="A1056" s="1">
        <f>'batch tool'!A1050</f>
        <v>0</v>
      </c>
      <c r="B1056" s="7">
        <f>SUMPRODUCT($C$2:$X$2,'batch tool'!$B1050:$W1050)+$Y$2</f>
        <v>-49.12272534143483</v>
      </c>
      <c r="C1056" s="7">
        <f>SUMPRODUCT($C$3:$X$3,'batch tool'!$B1050:$W1050)+$Y$3</f>
        <v>-36.514029388465531</v>
      </c>
      <c r="D1056" s="7">
        <f>SUMPRODUCT($C$4:$X$4,'batch tool'!$B1050:$W1050)+$Y$4</f>
        <v>-44.639843068043824</v>
      </c>
      <c r="E1056" s="7">
        <f>SUMPRODUCT($C$5:$X$5,'batch tool'!$B1050:$W1050)+$Y$5</f>
        <v>-51.578889182477603</v>
      </c>
      <c r="F1056" s="7">
        <f>SUMPRODUCT($C$6:$X$6,'batch tool'!$B1050:$W1050)+$Y$6</f>
        <v>-47.741473633885199</v>
      </c>
      <c r="G1056" s="7">
        <f>SUMPRODUCT($C$7:$X$7,'batch tool'!$B1050:$W1050)+$Y$7</f>
        <v>-19.739516238059196</v>
      </c>
      <c r="H1056" s="7">
        <f t="shared" si="32"/>
        <v>-19.739516238059196</v>
      </c>
      <c r="I1056">
        <f t="shared" si="33"/>
        <v>6</v>
      </c>
      <c r="J1056" t="str" cm="1">
        <f t="array" ref="J1056">INDEX($A$2:$A$7,I1056)</f>
        <v>Segment 6- Self-Conscious Male</v>
      </c>
    </row>
    <row r="1057" spans="1:10" x14ac:dyDescent="0.25">
      <c r="A1057" s="1">
        <f>'batch tool'!A1051</f>
        <v>0</v>
      </c>
      <c r="B1057" s="7">
        <f>SUMPRODUCT($C$2:$X$2,'batch tool'!$B1051:$W1051)+$Y$2</f>
        <v>-49.12272534143483</v>
      </c>
      <c r="C1057" s="7">
        <f>SUMPRODUCT($C$3:$X$3,'batch tool'!$B1051:$W1051)+$Y$3</f>
        <v>-36.514029388465531</v>
      </c>
      <c r="D1057" s="7">
        <f>SUMPRODUCT($C$4:$X$4,'batch tool'!$B1051:$W1051)+$Y$4</f>
        <v>-44.639843068043824</v>
      </c>
      <c r="E1057" s="7">
        <f>SUMPRODUCT($C$5:$X$5,'batch tool'!$B1051:$W1051)+$Y$5</f>
        <v>-51.578889182477603</v>
      </c>
      <c r="F1057" s="7">
        <f>SUMPRODUCT($C$6:$X$6,'batch tool'!$B1051:$W1051)+$Y$6</f>
        <v>-47.741473633885199</v>
      </c>
      <c r="G1057" s="7">
        <f>SUMPRODUCT($C$7:$X$7,'batch tool'!$B1051:$W1051)+$Y$7</f>
        <v>-19.739516238059196</v>
      </c>
      <c r="H1057" s="7">
        <f t="shared" si="32"/>
        <v>-19.739516238059196</v>
      </c>
      <c r="I1057">
        <f t="shared" si="33"/>
        <v>6</v>
      </c>
      <c r="J1057" t="str" cm="1">
        <f t="array" ref="J1057">INDEX($A$2:$A$7,I1057)</f>
        <v>Segment 6- Self-Conscious Male</v>
      </c>
    </row>
    <row r="1058" spans="1:10" x14ac:dyDescent="0.25">
      <c r="A1058" s="1">
        <f>'batch tool'!A1052</f>
        <v>0</v>
      </c>
      <c r="B1058" s="7">
        <f>SUMPRODUCT($C$2:$X$2,'batch tool'!$B1052:$W1052)+$Y$2</f>
        <v>-49.12272534143483</v>
      </c>
      <c r="C1058" s="7">
        <f>SUMPRODUCT($C$3:$X$3,'batch tool'!$B1052:$W1052)+$Y$3</f>
        <v>-36.514029388465531</v>
      </c>
      <c r="D1058" s="7">
        <f>SUMPRODUCT($C$4:$X$4,'batch tool'!$B1052:$W1052)+$Y$4</f>
        <v>-44.639843068043824</v>
      </c>
      <c r="E1058" s="7">
        <f>SUMPRODUCT($C$5:$X$5,'batch tool'!$B1052:$W1052)+$Y$5</f>
        <v>-51.578889182477603</v>
      </c>
      <c r="F1058" s="7">
        <f>SUMPRODUCT($C$6:$X$6,'batch tool'!$B1052:$W1052)+$Y$6</f>
        <v>-47.741473633885199</v>
      </c>
      <c r="G1058" s="7">
        <f>SUMPRODUCT($C$7:$X$7,'batch tool'!$B1052:$W1052)+$Y$7</f>
        <v>-19.739516238059196</v>
      </c>
      <c r="H1058" s="7">
        <f t="shared" si="32"/>
        <v>-19.739516238059196</v>
      </c>
      <c r="I1058">
        <f t="shared" si="33"/>
        <v>6</v>
      </c>
      <c r="J1058" t="str" cm="1">
        <f t="array" ref="J1058">INDEX($A$2:$A$7,I1058)</f>
        <v>Segment 6- Self-Conscious Male</v>
      </c>
    </row>
    <row r="1059" spans="1:10" x14ac:dyDescent="0.25">
      <c r="A1059" s="1">
        <f>'batch tool'!A1053</f>
        <v>0</v>
      </c>
      <c r="B1059" s="7">
        <f>SUMPRODUCT($C$2:$X$2,'batch tool'!$B1053:$W1053)+$Y$2</f>
        <v>-49.12272534143483</v>
      </c>
      <c r="C1059" s="7">
        <f>SUMPRODUCT($C$3:$X$3,'batch tool'!$B1053:$W1053)+$Y$3</f>
        <v>-36.514029388465531</v>
      </c>
      <c r="D1059" s="7">
        <f>SUMPRODUCT($C$4:$X$4,'batch tool'!$B1053:$W1053)+$Y$4</f>
        <v>-44.639843068043824</v>
      </c>
      <c r="E1059" s="7">
        <f>SUMPRODUCT($C$5:$X$5,'batch tool'!$B1053:$W1053)+$Y$5</f>
        <v>-51.578889182477603</v>
      </c>
      <c r="F1059" s="7">
        <f>SUMPRODUCT($C$6:$X$6,'batch tool'!$B1053:$W1053)+$Y$6</f>
        <v>-47.741473633885199</v>
      </c>
      <c r="G1059" s="7">
        <f>SUMPRODUCT($C$7:$X$7,'batch tool'!$B1053:$W1053)+$Y$7</f>
        <v>-19.739516238059196</v>
      </c>
      <c r="H1059" s="7">
        <f t="shared" si="32"/>
        <v>-19.739516238059196</v>
      </c>
      <c r="I1059">
        <f t="shared" si="33"/>
        <v>6</v>
      </c>
      <c r="J1059" t="str" cm="1">
        <f t="array" ref="J1059">INDEX($A$2:$A$7,I1059)</f>
        <v>Segment 6- Self-Conscious Male</v>
      </c>
    </row>
    <row r="1060" spans="1:10" x14ac:dyDescent="0.25">
      <c r="A1060" s="1">
        <f>'batch tool'!A1054</f>
        <v>0</v>
      </c>
      <c r="B1060" s="7">
        <f>SUMPRODUCT($C$2:$X$2,'batch tool'!$B1054:$W1054)+$Y$2</f>
        <v>-49.12272534143483</v>
      </c>
      <c r="C1060" s="7">
        <f>SUMPRODUCT($C$3:$X$3,'batch tool'!$B1054:$W1054)+$Y$3</f>
        <v>-36.514029388465531</v>
      </c>
      <c r="D1060" s="7">
        <f>SUMPRODUCT($C$4:$X$4,'batch tool'!$B1054:$W1054)+$Y$4</f>
        <v>-44.639843068043824</v>
      </c>
      <c r="E1060" s="7">
        <f>SUMPRODUCT($C$5:$X$5,'batch tool'!$B1054:$W1054)+$Y$5</f>
        <v>-51.578889182477603</v>
      </c>
      <c r="F1060" s="7">
        <f>SUMPRODUCT($C$6:$X$6,'batch tool'!$B1054:$W1054)+$Y$6</f>
        <v>-47.741473633885199</v>
      </c>
      <c r="G1060" s="7">
        <f>SUMPRODUCT($C$7:$X$7,'batch tool'!$B1054:$W1054)+$Y$7</f>
        <v>-19.739516238059196</v>
      </c>
      <c r="H1060" s="7">
        <f t="shared" si="32"/>
        <v>-19.739516238059196</v>
      </c>
      <c r="I1060">
        <f t="shared" si="33"/>
        <v>6</v>
      </c>
      <c r="J1060" t="str" cm="1">
        <f t="array" ref="J1060">INDEX($A$2:$A$7,I1060)</f>
        <v>Segment 6- Self-Conscious Male</v>
      </c>
    </row>
    <row r="1061" spans="1:10" x14ac:dyDescent="0.25">
      <c r="A1061" s="1">
        <f>'batch tool'!A1055</f>
        <v>0</v>
      </c>
      <c r="B1061" s="7">
        <f>SUMPRODUCT($C$2:$X$2,'batch tool'!$B1055:$W1055)+$Y$2</f>
        <v>-49.12272534143483</v>
      </c>
      <c r="C1061" s="7">
        <f>SUMPRODUCT($C$3:$X$3,'batch tool'!$B1055:$W1055)+$Y$3</f>
        <v>-36.514029388465531</v>
      </c>
      <c r="D1061" s="7">
        <f>SUMPRODUCT($C$4:$X$4,'batch tool'!$B1055:$W1055)+$Y$4</f>
        <v>-44.639843068043824</v>
      </c>
      <c r="E1061" s="7">
        <f>SUMPRODUCT($C$5:$X$5,'batch tool'!$B1055:$W1055)+$Y$5</f>
        <v>-51.578889182477603</v>
      </c>
      <c r="F1061" s="7">
        <f>SUMPRODUCT($C$6:$X$6,'batch tool'!$B1055:$W1055)+$Y$6</f>
        <v>-47.741473633885199</v>
      </c>
      <c r="G1061" s="7">
        <f>SUMPRODUCT($C$7:$X$7,'batch tool'!$B1055:$W1055)+$Y$7</f>
        <v>-19.739516238059196</v>
      </c>
      <c r="H1061" s="7">
        <f t="shared" si="32"/>
        <v>-19.739516238059196</v>
      </c>
      <c r="I1061">
        <f t="shared" si="33"/>
        <v>6</v>
      </c>
      <c r="J1061" t="str" cm="1">
        <f t="array" ref="J1061">INDEX($A$2:$A$7,I1061)</f>
        <v>Segment 6- Self-Conscious Male</v>
      </c>
    </row>
    <row r="1062" spans="1:10" x14ac:dyDescent="0.25">
      <c r="A1062" s="1">
        <f>'batch tool'!A1056</f>
        <v>0</v>
      </c>
      <c r="B1062" s="7">
        <f>SUMPRODUCT($C$2:$X$2,'batch tool'!$B1056:$W1056)+$Y$2</f>
        <v>-49.12272534143483</v>
      </c>
      <c r="C1062" s="7">
        <f>SUMPRODUCT($C$3:$X$3,'batch tool'!$B1056:$W1056)+$Y$3</f>
        <v>-36.514029388465531</v>
      </c>
      <c r="D1062" s="7">
        <f>SUMPRODUCT($C$4:$X$4,'batch tool'!$B1056:$W1056)+$Y$4</f>
        <v>-44.639843068043824</v>
      </c>
      <c r="E1062" s="7">
        <f>SUMPRODUCT($C$5:$X$5,'batch tool'!$B1056:$W1056)+$Y$5</f>
        <v>-51.578889182477603</v>
      </c>
      <c r="F1062" s="7">
        <f>SUMPRODUCT($C$6:$X$6,'batch tool'!$B1056:$W1056)+$Y$6</f>
        <v>-47.741473633885199</v>
      </c>
      <c r="G1062" s="7">
        <f>SUMPRODUCT($C$7:$X$7,'batch tool'!$B1056:$W1056)+$Y$7</f>
        <v>-19.739516238059196</v>
      </c>
      <c r="H1062" s="7">
        <f t="shared" si="32"/>
        <v>-19.739516238059196</v>
      </c>
      <c r="I1062">
        <f t="shared" si="33"/>
        <v>6</v>
      </c>
      <c r="J1062" t="str" cm="1">
        <f t="array" ref="J1062">INDEX($A$2:$A$7,I1062)</f>
        <v>Segment 6- Self-Conscious Male</v>
      </c>
    </row>
    <row r="1063" spans="1:10" x14ac:dyDescent="0.25">
      <c r="A1063" s="1">
        <f>'batch tool'!A1057</f>
        <v>0</v>
      </c>
      <c r="B1063" s="7">
        <f>SUMPRODUCT($C$2:$X$2,'batch tool'!$B1057:$W1057)+$Y$2</f>
        <v>-49.12272534143483</v>
      </c>
      <c r="C1063" s="7">
        <f>SUMPRODUCT($C$3:$X$3,'batch tool'!$B1057:$W1057)+$Y$3</f>
        <v>-36.514029388465531</v>
      </c>
      <c r="D1063" s="7">
        <f>SUMPRODUCT($C$4:$X$4,'batch tool'!$B1057:$W1057)+$Y$4</f>
        <v>-44.639843068043824</v>
      </c>
      <c r="E1063" s="7">
        <f>SUMPRODUCT($C$5:$X$5,'batch tool'!$B1057:$W1057)+$Y$5</f>
        <v>-51.578889182477603</v>
      </c>
      <c r="F1063" s="7">
        <f>SUMPRODUCT($C$6:$X$6,'batch tool'!$B1057:$W1057)+$Y$6</f>
        <v>-47.741473633885199</v>
      </c>
      <c r="G1063" s="7">
        <f>SUMPRODUCT($C$7:$X$7,'batch tool'!$B1057:$W1057)+$Y$7</f>
        <v>-19.739516238059196</v>
      </c>
      <c r="H1063" s="7">
        <f t="shared" si="32"/>
        <v>-19.739516238059196</v>
      </c>
      <c r="I1063">
        <f t="shared" si="33"/>
        <v>6</v>
      </c>
      <c r="J1063" t="str" cm="1">
        <f t="array" ref="J1063">INDEX($A$2:$A$7,I1063)</f>
        <v>Segment 6- Self-Conscious Male</v>
      </c>
    </row>
    <row r="1064" spans="1:10" x14ac:dyDescent="0.25">
      <c r="A1064" s="1">
        <f>'batch tool'!A1058</f>
        <v>0</v>
      </c>
      <c r="B1064" s="7">
        <f>SUMPRODUCT($C$2:$X$2,'batch tool'!$B1058:$W1058)+$Y$2</f>
        <v>-49.12272534143483</v>
      </c>
      <c r="C1064" s="7">
        <f>SUMPRODUCT($C$3:$X$3,'batch tool'!$B1058:$W1058)+$Y$3</f>
        <v>-36.514029388465531</v>
      </c>
      <c r="D1064" s="7">
        <f>SUMPRODUCT($C$4:$X$4,'batch tool'!$B1058:$W1058)+$Y$4</f>
        <v>-44.639843068043824</v>
      </c>
      <c r="E1064" s="7">
        <f>SUMPRODUCT($C$5:$X$5,'batch tool'!$B1058:$W1058)+$Y$5</f>
        <v>-51.578889182477603</v>
      </c>
      <c r="F1064" s="7">
        <f>SUMPRODUCT($C$6:$X$6,'batch tool'!$B1058:$W1058)+$Y$6</f>
        <v>-47.741473633885199</v>
      </c>
      <c r="G1064" s="7">
        <f>SUMPRODUCT($C$7:$X$7,'batch tool'!$B1058:$W1058)+$Y$7</f>
        <v>-19.739516238059196</v>
      </c>
      <c r="H1064" s="7">
        <f t="shared" si="32"/>
        <v>-19.739516238059196</v>
      </c>
      <c r="I1064">
        <f t="shared" si="33"/>
        <v>6</v>
      </c>
      <c r="J1064" t="str" cm="1">
        <f t="array" ref="J1064">INDEX($A$2:$A$7,I1064)</f>
        <v>Segment 6- Self-Conscious Male</v>
      </c>
    </row>
    <row r="1065" spans="1:10" x14ac:dyDescent="0.25">
      <c r="A1065" s="1">
        <f>'batch tool'!A1059</f>
        <v>0</v>
      </c>
      <c r="B1065" s="7">
        <f>SUMPRODUCT($C$2:$X$2,'batch tool'!$B1059:$W1059)+$Y$2</f>
        <v>-49.12272534143483</v>
      </c>
      <c r="C1065" s="7">
        <f>SUMPRODUCT($C$3:$X$3,'batch tool'!$B1059:$W1059)+$Y$3</f>
        <v>-36.514029388465531</v>
      </c>
      <c r="D1065" s="7">
        <f>SUMPRODUCT($C$4:$X$4,'batch tool'!$B1059:$W1059)+$Y$4</f>
        <v>-44.639843068043824</v>
      </c>
      <c r="E1065" s="7">
        <f>SUMPRODUCT($C$5:$X$5,'batch tool'!$B1059:$W1059)+$Y$5</f>
        <v>-51.578889182477603</v>
      </c>
      <c r="F1065" s="7">
        <f>SUMPRODUCT($C$6:$X$6,'batch tool'!$B1059:$W1059)+$Y$6</f>
        <v>-47.741473633885199</v>
      </c>
      <c r="G1065" s="7">
        <f>SUMPRODUCT($C$7:$X$7,'batch tool'!$B1059:$W1059)+$Y$7</f>
        <v>-19.739516238059196</v>
      </c>
      <c r="H1065" s="7">
        <f t="shared" si="32"/>
        <v>-19.739516238059196</v>
      </c>
      <c r="I1065">
        <f t="shared" si="33"/>
        <v>6</v>
      </c>
      <c r="J1065" t="str" cm="1">
        <f t="array" ref="J1065">INDEX($A$2:$A$7,I1065)</f>
        <v>Segment 6- Self-Conscious Male</v>
      </c>
    </row>
    <row r="1066" spans="1:10" x14ac:dyDescent="0.25">
      <c r="A1066" s="1">
        <f>'batch tool'!A1060</f>
        <v>0</v>
      </c>
      <c r="B1066" s="7">
        <f>SUMPRODUCT($C$2:$X$2,'batch tool'!$B1060:$W1060)+$Y$2</f>
        <v>-49.12272534143483</v>
      </c>
      <c r="C1066" s="7">
        <f>SUMPRODUCT($C$3:$X$3,'batch tool'!$B1060:$W1060)+$Y$3</f>
        <v>-36.514029388465531</v>
      </c>
      <c r="D1066" s="7">
        <f>SUMPRODUCT($C$4:$X$4,'batch tool'!$B1060:$W1060)+$Y$4</f>
        <v>-44.639843068043824</v>
      </c>
      <c r="E1066" s="7">
        <f>SUMPRODUCT($C$5:$X$5,'batch tool'!$B1060:$W1060)+$Y$5</f>
        <v>-51.578889182477603</v>
      </c>
      <c r="F1066" s="7">
        <f>SUMPRODUCT($C$6:$X$6,'batch tool'!$B1060:$W1060)+$Y$6</f>
        <v>-47.741473633885199</v>
      </c>
      <c r="G1066" s="7">
        <f>SUMPRODUCT($C$7:$X$7,'batch tool'!$B1060:$W1060)+$Y$7</f>
        <v>-19.739516238059196</v>
      </c>
      <c r="H1066" s="7">
        <f t="shared" si="32"/>
        <v>-19.739516238059196</v>
      </c>
      <c r="I1066">
        <f t="shared" si="33"/>
        <v>6</v>
      </c>
      <c r="J1066" t="str" cm="1">
        <f t="array" ref="J1066">INDEX($A$2:$A$7,I1066)</f>
        <v>Segment 6- Self-Conscious Male</v>
      </c>
    </row>
    <row r="1067" spans="1:10" x14ac:dyDescent="0.25">
      <c r="A1067" s="1">
        <f>'batch tool'!A1061</f>
        <v>0</v>
      </c>
      <c r="B1067" s="7">
        <f>SUMPRODUCT($C$2:$X$2,'batch tool'!$B1061:$W1061)+$Y$2</f>
        <v>-49.12272534143483</v>
      </c>
      <c r="C1067" s="7">
        <f>SUMPRODUCT($C$3:$X$3,'batch tool'!$B1061:$W1061)+$Y$3</f>
        <v>-36.514029388465531</v>
      </c>
      <c r="D1067" s="7">
        <f>SUMPRODUCT($C$4:$X$4,'batch tool'!$B1061:$W1061)+$Y$4</f>
        <v>-44.639843068043824</v>
      </c>
      <c r="E1067" s="7">
        <f>SUMPRODUCT($C$5:$X$5,'batch tool'!$B1061:$W1061)+$Y$5</f>
        <v>-51.578889182477603</v>
      </c>
      <c r="F1067" s="7">
        <f>SUMPRODUCT($C$6:$X$6,'batch tool'!$B1061:$W1061)+$Y$6</f>
        <v>-47.741473633885199</v>
      </c>
      <c r="G1067" s="7">
        <f>SUMPRODUCT($C$7:$X$7,'batch tool'!$B1061:$W1061)+$Y$7</f>
        <v>-19.739516238059196</v>
      </c>
      <c r="H1067" s="7">
        <f t="shared" si="32"/>
        <v>-19.739516238059196</v>
      </c>
      <c r="I1067">
        <f t="shared" si="33"/>
        <v>6</v>
      </c>
      <c r="J1067" t="str" cm="1">
        <f t="array" ref="J1067">INDEX($A$2:$A$7,I1067)</f>
        <v>Segment 6- Self-Conscious Male</v>
      </c>
    </row>
    <row r="1068" spans="1:10" x14ac:dyDescent="0.25">
      <c r="A1068" s="1">
        <f>'batch tool'!A1062</f>
        <v>0</v>
      </c>
      <c r="B1068" s="7">
        <f>SUMPRODUCT($C$2:$X$2,'batch tool'!$B1062:$W1062)+$Y$2</f>
        <v>-49.12272534143483</v>
      </c>
      <c r="C1068" s="7">
        <f>SUMPRODUCT($C$3:$X$3,'batch tool'!$B1062:$W1062)+$Y$3</f>
        <v>-36.514029388465531</v>
      </c>
      <c r="D1068" s="7">
        <f>SUMPRODUCT($C$4:$X$4,'batch tool'!$B1062:$W1062)+$Y$4</f>
        <v>-44.639843068043824</v>
      </c>
      <c r="E1068" s="7">
        <f>SUMPRODUCT($C$5:$X$5,'batch tool'!$B1062:$W1062)+$Y$5</f>
        <v>-51.578889182477603</v>
      </c>
      <c r="F1068" s="7">
        <f>SUMPRODUCT($C$6:$X$6,'batch tool'!$B1062:$W1062)+$Y$6</f>
        <v>-47.741473633885199</v>
      </c>
      <c r="G1068" s="7">
        <f>SUMPRODUCT($C$7:$X$7,'batch tool'!$B1062:$W1062)+$Y$7</f>
        <v>-19.739516238059196</v>
      </c>
      <c r="H1068" s="7">
        <f t="shared" si="32"/>
        <v>-19.739516238059196</v>
      </c>
      <c r="I1068">
        <f t="shared" si="33"/>
        <v>6</v>
      </c>
      <c r="J1068" t="str" cm="1">
        <f t="array" ref="J1068">INDEX($A$2:$A$7,I1068)</f>
        <v>Segment 6- Self-Conscious Male</v>
      </c>
    </row>
    <row r="1069" spans="1:10" x14ac:dyDescent="0.25">
      <c r="A1069" s="1">
        <f>'batch tool'!A1063</f>
        <v>0</v>
      </c>
      <c r="B1069" s="7">
        <f>SUMPRODUCT($C$2:$X$2,'batch tool'!$B1063:$W1063)+$Y$2</f>
        <v>-49.12272534143483</v>
      </c>
      <c r="C1069" s="7">
        <f>SUMPRODUCT($C$3:$X$3,'batch tool'!$B1063:$W1063)+$Y$3</f>
        <v>-36.514029388465531</v>
      </c>
      <c r="D1069" s="7">
        <f>SUMPRODUCT($C$4:$X$4,'batch tool'!$B1063:$W1063)+$Y$4</f>
        <v>-44.639843068043824</v>
      </c>
      <c r="E1069" s="7">
        <f>SUMPRODUCT($C$5:$X$5,'batch tool'!$B1063:$W1063)+$Y$5</f>
        <v>-51.578889182477603</v>
      </c>
      <c r="F1069" s="7">
        <f>SUMPRODUCT($C$6:$X$6,'batch tool'!$B1063:$W1063)+$Y$6</f>
        <v>-47.741473633885199</v>
      </c>
      <c r="G1069" s="7">
        <f>SUMPRODUCT($C$7:$X$7,'batch tool'!$B1063:$W1063)+$Y$7</f>
        <v>-19.739516238059196</v>
      </c>
      <c r="H1069" s="7">
        <f t="shared" si="32"/>
        <v>-19.739516238059196</v>
      </c>
      <c r="I1069">
        <f t="shared" si="33"/>
        <v>6</v>
      </c>
      <c r="J1069" t="str" cm="1">
        <f t="array" ref="J1069">INDEX($A$2:$A$7,I1069)</f>
        <v>Segment 6- Self-Conscious Male</v>
      </c>
    </row>
    <row r="1070" spans="1:10" x14ac:dyDescent="0.25">
      <c r="A1070" s="1">
        <f>'batch tool'!A1064</f>
        <v>0</v>
      </c>
      <c r="B1070" s="7">
        <f>SUMPRODUCT($C$2:$X$2,'batch tool'!$B1064:$W1064)+$Y$2</f>
        <v>-49.12272534143483</v>
      </c>
      <c r="C1070" s="7">
        <f>SUMPRODUCT($C$3:$X$3,'batch tool'!$B1064:$W1064)+$Y$3</f>
        <v>-36.514029388465531</v>
      </c>
      <c r="D1070" s="7">
        <f>SUMPRODUCT($C$4:$X$4,'batch tool'!$B1064:$W1064)+$Y$4</f>
        <v>-44.639843068043824</v>
      </c>
      <c r="E1070" s="7">
        <f>SUMPRODUCT($C$5:$X$5,'batch tool'!$B1064:$W1064)+$Y$5</f>
        <v>-51.578889182477603</v>
      </c>
      <c r="F1070" s="7">
        <f>SUMPRODUCT($C$6:$X$6,'batch tool'!$B1064:$W1064)+$Y$6</f>
        <v>-47.741473633885199</v>
      </c>
      <c r="G1070" s="7">
        <f>SUMPRODUCT($C$7:$X$7,'batch tool'!$B1064:$W1064)+$Y$7</f>
        <v>-19.739516238059196</v>
      </c>
      <c r="H1070" s="7">
        <f t="shared" si="32"/>
        <v>-19.739516238059196</v>
      </c>
      <c r="I1070">
        <f t="shared" si="33"/>
        <v>6</v>
      </c>
      <c r="J1070" t="str" cm="1">
        <f t="array" ref="J1070">INDEX($A$2:$A$7,I1070)</f>
        <v>Segment 6- Self-Conscious Male</v>
      </c>
    </row>
    <row r="1071" spans="1:10" x14ac:dyDescent="0.25">
      <c r="A1071" s="1">
        <f>'batch tool'!A1065</f>
        <v>0</v>
      </c>
      <c r="B1071" s="7">
        <f>SUMPRODUCT($C$2:$X$2,'batch tool'!$B1065:$W1065)+$Y$2</f>
        <v>-49.12272534143483</v>
      </c>
      <c r="C1071" s="7">
        <f>SUMPRODUCT($C$3:$X$3,'batch tool'!$B1065:$W1065)+$Y$3</f>
        <v>-36.514029388465531</v>
      </c>
      <c r="D1071" s="7">
        <f>SUMPRODUCT($C$4:$X$4,'batch tool'!$B1065:$W1065)+$Y$4</f>
        <v>-44.639843068043824</v>
      </c>
      <c r="E1071" s="7">
        <f>SUMPRODUCT($C$5:$X$5,'batch tool'!$B1065:$W1065)+$Y$5</f>
        <v>-51.578889182477603</v>
      </c>
      <c r="F1071" s="7">
        <f>SUMPRODUCT($C$6:$X$6,'batch tool'!$B1065:$W1065)+$Y$6</f>
        <v>-47.741473633885199</v>
      </c>
      <c r="G1071" s="7">
        <f>SUMPRODUCT($C$7:$X$7,'batch tool'!$B1065:$W1065)+$Y$7</f>
        <v>-19.739516238059196</v>
      </c>
      <c r="H1071" s="7">
        <f t="shared" si="32"/>
        <v>-19.739516238059196</v>
      </c>
      <c r="I1071">
        <f t="shared" si="33"/>
        <v>6</v>
      </c>
      <c r="J1071" t="str" cm="1">
        <f t="array" ref="J1071">INDEX($A$2:$A$7,I1071)</f>
        <v>Segment 6- Self-Conscious Male</v>
      </c>
    </row>
    <row r="1072" spans="1:10" x14ac:dyDescent="0.25">
      <c r="A1072" s="1">
        <f>'batch tool'!A1066</f>
        <v>0</v>
      </c>
      <c r="B1072" s="7">
        <f>SUMPRODUCT($C$2:$X$2,'batch tool'!$B1066:$W1066)+$Y$2</f>
        <v>-49.12272534143483</v>
      </c>
      <c r="C1072" s="7">
        <f>SUMPRODUCT($C$3:$X$3,'batch tool'!$B1066:$W1066)+$Y$3</f>
        <v>-36.514029388465531</v>
      </c>
      <c r="D1072" s="7">
        <f>SUMPRODUCT($C$4:$X$4,'batch tool'!$B1066:$W1066)+$Y$4</f>
        <v>-44.639843068043824</v>
      </c>
      <c r="E1072" s="7">
        <f>SUMPRODUCT($C$5:$X$5,'batch tool'!$B1066:$W1066)+$Y$5</f>
        <v>-51.578889182477603</v>
      </c>
      <c r="F1072" s="7">
        <f>SUMPRODUCT($C$6:$X$6,'batch tool'!$B1066:$W1066)+$Y$6</f>
        <v>-47.741473633885199</v>
      </c>
      <c r="G1072" s="7">
        <f>SUMPRODUCT($C$7:$X$7,'batch tool'!$B1066:$W1066)+$Y$7</f>
        <v>-19.739516238059196</v>
      </c>
      <c r="H1072" s="7">
        <f t="shared" si="32"/>
        <v>-19.739516238059196</v>
      </c>
      <c r="I1072">
        <f t="shared" si="33"/>
        <v>6</v>
      </c>
      <c r="J1072" t="str" cm="1">
        <f t="array" ref="J1072">INDEX($A$2:$A$7,I1072)</f>
        <v>Segment 6- Self-Conscious Male</v>
      </c>
    </row>
    <row r="1073" spans="1:10" x14ac:dyDescent="0.25">
      <c r="A1073" s="1">
        <f>'batch tool'!A1067</f>
        <v>0</v>
      </c>
      <c r="B1073" s="7">
        <f>SUMPRODUCT($C$2:$X$2,'batch tool'!$B1067:$W1067)+$Y$2</f>
        <v>-49.12272534143483</v>
      </c>
      <c r="C1073" s="7">
        <f>SUMPRODUCT($C$3:$X$3,'batch tool'!$B1067:$W1067)+$Y$3</f>
        <v>-36.514029388465531</v>
      </c>
      <c r="D1073" s="7">
        <f>SUMPRODUCT($C$4:$X$4,'batch tool'!$B1067:$W1067)+$Y$4</f>
        <v>-44.639843068043824</v>
      </c>
      <c r="E1073" s="7">
        <f>SUMPRODUCT($C$5:$X$5,'batch tool'!$B1067:$W1067)+$Y$5</f>
        <v>-51.578889182477603</v>
      </c>
      <c r="F1073" s="7">
        <f>SUMPRODUCT($C$6:$X$6,'batch tool'!$B1067:$W1067)+$Y$6</f>
        <v>-47.741473633885199</v>
      </c>
      <c r="G1073" s="7">
        <f>SUMPRODUCT($C$7:$X$7,'batch tool'!$B1067:$W1067)+$Y$7</f>
        <v>-19.739516238059196</v>
      </c>
      <c r="H1073" s="7">
        <f t="shared" si="32"/>
        <v>-19.739516238059196</v>
      </c>
      <c r="I1073">
        <f t="shared" si="33"/>
        <v>6</v>
      </c>
      <c r="J1073" t="str" cm="1">
        <f t="array" ref="J1073">INDEX($A$2:$A$7,I1073)</f>
        <v>Segment 6- Self-Conscious Male</v>
      </c>
    </row>
    <row r="1074" spans="1:10" x14ac:dyDescent="0.25">
      <c r="A1074" s="1">
        <f>'batch tool'!A1068</f>
        <v>0</v>
      </c>
      <c r="B1074" s="7">
        <f>SUMPRODUCT($C$2:$X$2,'batch tool'!$B1068:$W1068)+$Y$2</f>
        <v>-49.12272534143483</v>
      </c>
      <c r="C1074" s="7">
        <f>SUMPRODUCT($C$3:$X$3,'batch tool'!$B1068:$W1068)+$Y$3</f>
        <v>-36.514029388465531</v>
      </c>
      <c r="D1074" s="7">
        <f>SUMPRODUCT($C$4:$X$4,'batch tool'!$B1068:$W1068)+$Y$4</f>
        <v>-44.639843068043824</v>
      </c>
      <c r="E1074" s="7">
        <f>SUMPRODUCT($C$5:$X$5,'batch tool'!$B1068:$W1068)+$Y$5</f>
        <v>-51.578889182477603</v>
      </c>
      <c r="F1074" s="7">
        <f>SUMPRODUCT($C$6:$X$6,'batch tool'!$B1068:$W1068)+$Y$6</f>
        <v>-47.741473633885199</v>
      </c>
      <c r="G1074" s="7">
        <f>SUMPRODUCT($C$7:$X$7,'batch tool'!$B1068:$W1068)+$Y$7</f>
        <v>-19.739516238059196</v>
      </c>
      <c r="H1074" s="7">
        <f t="shared" si="32"/>
        <v>-19.739516238059196</v>
      </c>
      <c r="I1074">
        <f t="shared" si="33"/>
        <v>6</v>
      </c>
      <c r="J1074" t="str" cm="1">
        <f t="array" ref="J1074">INDEX($A$2:$A$7,I1074)</f>
        <v>Segment 6- Self-Conscious Male</v>
      </c>
    </row>
    <row r="1075" spans="1:10" x14ac:dyDescent="0.25">
      <c r="A1075" s="1">
        <f>'batch tool'!A1069</f>
        <v>0</v>
      </c>
      <c r="B1075" s="7">
        <f>SUMPRODUCT($C$2:$X$2,'batch tool'!$B1069:$W1069)+$Y$2</f>
        <v>-49.12272534143483</v>
      </c>
      <c r="C1075" s="7">
        <f>SUMPRODUCT($C$3:$X$3,'batch tool'!$B1069:$W1069)+$Y$3</f>
        <v>-36.514029388465531</v>
      </c>
      <c r="D1075" s="7">
        <f>SUMPRODUCT($C$4:$X$4,'batch tool'!$B1069:$W1069)+$Y$4</f>
        <v>-44.639843068043824</v>
      </c>
      <c r="E1075" s="7">
        <f>SUMPRODUCT($C$5:$X$5,'batch tool'!$B1069:$W1069)+$Y$5</f>
        <v>-51.578889182477603</v>
      </c>
      <c r="F1075" s="7">
        <f>SUMPRODUCT($C$6:$X$6,'batch tool'!$B1069:$W1069)+$Y$6</f>
        <v>-47.741473633885199</v>
      </c>
      <c r="G1075" s="7">
        <f>SUMPRODUCT($C$7:$X$7,'batch tool'!$B1069:$W1069)+$Y$7</f>
        <v>-19.739516238059196</v>
      </c>
      <c r="H1075" s="7">
        <f t="shared" si="32"/>
        <v>-19.739516238059196</v>
      </c>
      <c r="I1075">
        <f t="shared" si="33"/>
        <v>6</v>
      </c>
      <c r="J1075" t="str" cm="1">
        <f t="array" ref="J1075">INDEX($A$2:$A$7,I1075)</f>
        <v>Segment 6- Self-Conscious Male</v>
      </c>
    </row>
    <row r="1076" spans="1:10" x14ac:dyDescent="0.25">
      <c r="A1076" s="1">
        <f>'batch tool'!A1070</f>
        <v>0</v>
      </c>
      <c r="B1076" s="7">
        <f>SUMPRODUCT($C$2:$X$2,'batch tool'!$B1070:$W1070)+$Y$2</f>
        <v>-49.12272534143483</v>
      </c>
      <c r="C1076" s="7">
        <f>SUMPRODUCT($C$3:$X$3,'batch tool'!$B1070:$W1070)+$Y$3</f>
        <v>-36.514029388465531</v>
      </c>
      <c r="D1076" s="7">
        <f>SUMPRODUCT($C$4:$X$4,'batch tool'!$B1070:$W1070)+$Y$4</f>
        <v>-44.639843068043824</v>
      </c>
      <c r="E1076" s="7">
        <f>SUMPRODUCT($C$5:$X$5,'batch tool'!$B1070:$W1070)+$Y$5</f>
        <v>-51.578889182477603</v>
      </c>
      <c r="F1076" s="7">
        <f>SUMPRODUCT($C$6:$X$6,'batch tool'!$B1070:$W1070)+$Y$6</f>
        <v>-47.741473633885199</v>
      </c>
      <c r="G1076" s="7">
        <f>SUMPRODUCT($C$7:$X$7,'batch tool'!$B1070:$W1070)+$Y$7</f>
        <v>-19.739516238059196</v>
      </c>
      <c r="H1076" s="7">
        <f t="shared" si="32"/>
        <v>-19.739516238059196</v>
      </c>
      <c r="I1076">
        <f t="shared" si="33"/>
        <v>6</v>
      </c>
      <c r="J1076" t="str" cm="1">
        <f t="array" ref="J1076">INDEX($A$2:$A$7,I1076)</f>
        <v>Segment 6- Self-Conscious Male</v>
      </c>
    </row>
    <row r="1077" spans="1:10" x14ac:dyDescent="0.25">
      <c r="A1077" s="1">
        <f>'batch tool'!A1071</f>
        <v>0</v>
      </c>
      <c r="B1077" s="7">
        <f>SUMPRODUCT($C$2:$X$2,'batch tool'!$B1071:$W1071)+$Y$2</f>
        <v>-49.12272534143483</v>
      </c>
      <c r="C1077" s="7">
        <f>SUMPRODUCT($C$3:$X$3,'batch tool'!$B1071:$W1071)+$Y$3</f>
        <v>-36.514029388465531</v>
      </c>
      <c r="D1077" s="7">
        <f>SUMPRODUCT($C$4:$X$4,'batch tool'!$B1071:$W1071)+$Y$4</f>
        <v>-44.639843068043824</v>
      </c>
      <c r="E1077" s="7">
        <f>SUMPRODUCT($C$5:$X$5,'batch tool'!$B1071:$W1071)+$Y$5</f>
        <v>-51.578889182477603</v>
      </c>
      <c r="F1077" s="7">
        <f>SUMPRODUCT($C$6:$X$6,'batch tool'!$B1071:$W1071)+$Y$6</f>
        <v>-47.741473633885199</v>
      </c>
      <c r="G1077" s="7">
        <f>SUMPRODUCT($C$7:$X$7,'batch tool'!$B1071:$W1071)+$Y$7</f>
        <v>-19.739516238059196</v>
      </c>
      <c r="H1077" s="7">
        <f t="shared" si="32"/>
        <v>-19.739516238059196</v>
      </c>
      <c r="I1077">
        <f t="shared" si="33"/>
        <v>6</v>
      </c>
      <c r="J1077" t="str" cm="1">
        <f t="array" ref="J1077">INDEX($A$2:$A$7,I1077)</f>
        <v>Segment 6- Self-Conscious Male</v>
      </c>
    </row>
    <row r="1078" spans="1:10" x14ac:dyDescent="0.25">
      <c r="A1078" s="1">
        <f>'batch tool'!A1072</f>
        <v>0</v>
      </c>
      <c r="B1078" s="7">
        <f>SUMPRODUCT($C$2:$X$2,'batch tool'!$B1072:$W1072)+$Y$2</f>
        <v>-49.12272534143483</v>
      </c>
      <c r="C1078" s="7">
        <f>SUMPRODUCT($C$3:$X$3,'batch tool'!$B1072:$W1072)+$Y$3</f>
        <v>-36.514029388465531</v>
      </c>
      <c r="D1078" s="7">
        <f>SUMPRODUCT($C$4:$X$4,'batch tool'!$B1072:$W1072)+$Y$4</f>
        <v>-44.639843068043824</v>
      </c>
      <c r="E1078" s="7">
        <f>SUMPRODUCT($C$5:$X$5,'batch tool'!$B1072:$W1072)+$Y$5</f>
        <v>-51.578889182477603</v>
      </c>
      <c r="F1078" s="7">
        <f>SUMPRODUCT($C$6:$X$6,'batch tool'!$B1072:$W1072)+$Y$6</f>
        <v>-47.741473633885199</v>
      </c>
      <c r="G1078" s="7">
        <f>SUMPRODUCT($C$7:$X$7,'batch tool'!$B1072:$W1072)+$Y$7</f>
        <v>-19.739516238059196</v>
      </c>
      <c r="H1078" s="7">
        <f t="shared" si="32"/>
        <v>-19.739516238059196</v>
      </c>
      <c r="I1078">
        <f t="shared" si="33"/>
        <v>6</v>
      </c>
      <c r="J1078" t="str" cm="1">
        <f t="array" ref="J1078">INDEX($A$2:$A$7,I1078)</f>
        <v>Segment 6- Self-Conscious Male</v>
      </c>
    </row>
    <row r="1079" spans="1:10" x14ac:dyDescent="0.25">
      <c r="A1079" s="1">
        <f>'batch tool'!A1073</f>
        <v>0</v>
      </c>
      <c r="B1079" s="7">
        <f>SUMPRODUCT($C$2:$X$2,'batch tool'!$B1073:$W1073)+$Y$2</f>
        <v>-49.12272534143483</v>
      </c>
      <c r="C1079" s="7">
        <f>SUMPRODUCT($C$3:$X$3,'batch tool'!$B1073:$W1073)+$Y$3</f>
        <v>-36.514029388465531</v>
      </c>
      <c r="D1079" s="7">
        <f>SUMPRODUCT($C$4:$X$4,'batch tool'!$B1073:$W1073)+$Y$4</f>
        <v>-44.639843068043824</v>
      </c>
      <c r="E1079" s="7">
        <f>SUMPRODUCT($C$5:$X$5,'batch tool'!$B1073:$W1073)+$Y$5</f>
        <v>-51.578889182477603</v>
      </c>
      <c r="F1079" s="7">
        <f>SUMPRODUCT($C$6:$X$6,'batch tool'!$B1073:$W1073)+$Y$6</f>
        <v>-47.741473633885199</v>
      </c>
      <c r="G1079" s="7">
        <f>SUMPRODUCT($C$7:$X$7,'batch tool'!$B1073:$W1073)+$Y$7</f>
        <v>-19.739516238059196</v>
      </c>
      <c r="H1079" s="7">
        <f t="shared" si="32"/>
        <v>-19.739516238059196</v>
      </c>
      <c r="I1079">
        <f t="shared" si="33"/>
        <v>6</v>
      </c>
      <c r="J1079" t="str" cm="1">
        <f t="array" ref="J1079">INDEX($A$2:$A$7,I1079)</f>
        <v>Segment 6- Self-Conscious Male</v>
      </c>
    </row>
    <row r="1080" spans="1:10" x14ac:dyDescent="0.25">
      <c r="A1080" s="1">
        <f>'batch tool'!A1074</f>
        <v>0</v>
      </c>
      <c r="B1080" s="7">
        <f>SUMPRODUCT($C$2:$X$2,'batch tool'!$B1074:$W1074)+$Y$2</f>
        <v>-49.12272534143483</v>
      </c>
      <c r="C1080" s="7">
        <f>SUMPRODUCT($C$3:$X$3,'batch tool'!$B1074:$W1074)+$Y$3</f>
        <v>-36.514029388465531</v>
      </c>
      <c r="D1080" s="7">
        <f>SUMPRODUCT($C$4:$X$4,'batch tool'!$B1074:$W1074)+$Y$4</f>
        <v>-44.639843068043824</v>
      </c>
      <c r="E1080" s="7">
        <f>SUMPRODUCT($C$5:$X$5,'batch tool'!$B1074:$W1074)+$Y$5</f>
        <v>-51.578889182477603</v>
      </c>
      <c r="F1080" s="7">
        <f>SUMPRODUCT($C$6:$X$6,'batch tool'!$B1074:$W1074)+$Y$6</f>
        <v>-47.741473633885199</v>
      </c>
      <c r="G1080" s="7">
        <f>SUMPRODUCT($C$7:$X$7,'batch tool'!$B1074:$W1074)+$Y$7</f>
        <v>-19.739516238059196</v>
      </c>
      <c r="H1080" s="7">
        <f t="shared" si="32"/>
        <v>-19.739516238059196</v>
      </c>
      <c r="I1080">
        <f t="shared" si="33"/>
        <v>6</v>
      </c>
      <c r="J1080" t="str" cm="1">
        <f t="array" ref="J1080">INDEX($A$2:$A$7,I1080)</f>
        <v>Segment 6- Self-Conscious Male</v>
      </c>
    </row>
    <row r="1081" spans="1:10" x14ac:dyDescent="0.25">
      <c r="A1081" s="1">
        <f>'batch tool'!A1075</f>
        <v>0</v>
      </c>
      <c r="B1081" s="7">
        <f>SUMPRODUCT($C$2:$X$2,'batch tool'!$B1075:$W1075)+$Y$2</f>
        <v>-49.12272534143483</v>
      </c>
      <c r="C1081" s="7">
        <f>SUMPRODUCT($C$3:$X$3,'batch tool'!$B1075:$W1075)+$Y$3</f>
        <v>-36.514029388465531</v>
      </c>
      <c r="D1081" s="7">
        <f>SUMPRODUCT($C$4:$X$4,'batch tool'!$B1075:$W1075)+$Y$4</f>
        <v>-44.639843068043824</v>
      </c>
      <c r="E1081" s="7">
        <f>SUMPRODUCT($C$5:$X$5,'batch tool'!$B1075:$W1075)+$Y$5</f>
        <v>-51.578889182477603</v>
      </c>
      <c r="F1081" s="7">
        <f>SUMPRODUCT($C$6:$X$6,'batch tool'!$B1075:$W1075)+$Y$6</f>
        <v>-47.741473633885199</v>
      </c>
      <c r="G1081" s="7">
        <f>SUMPRODUCT($C$7:$X$7,'batch tool'!$B1075:$W1075)+$Y$7</f>
        <v>-19.739516238059196</v>
      </c>
      <c r="H1081" s="7">
        <f t="shared" si="32"/>
        <v>-19.739516238059196</v>
      </c>
      <c r="I1081">
        <f t="shared" si="33"/>
        <v>6</v>
      </c>
      <c r="J1081" t="str" cm="1">
        <f t="array" ref="J1081">INDEX($A$2:$A$7,I1081)</f>
        <v>Segment 6- Self-Conscious Male</v>
      </c>
    </row>
    <row r="1082" spans="1:10" x14ac:dyDescent="0.25">
      <c r="A1082" s="1">
        <f>'batch tool'!A1076</f>
        <v>0</v>
      </c>
      <c r="B1082" s="7">
        <f>SUMPRODUCT($C$2:$X$2,'batch tool'!$B1076:$W1076)+$Y$2</f>
        <v>-49.12272534143483</v>
      </c>
      <c r="C1082" s="7">
        <f>SUMPRODUCT($C$3:$X$3,'batch tool'!$B1076:$W1076)+$Y$3</f>
        <v>-36.514029388465531</v>
      </c>
      <c r="D1082" s="7">
        <f>SUMPRODUCT($C$4:$X$4,'batch tool'!$B1076:$W1076)+$Y$4</f>
        <v>-44.639843068043824</v>
      </c>
      <c r="E1082" s="7">
        <f>SUMPRODUCT($C$5:$X$5,'batch tool'!$B1076:$W1076)+$Y$5</f>
        <v>-51.578889182477603</v>
      </c>
      <c r="F1082" s="7">
        <f>SUMPRODUCT($C$6:$X$6,'batch tool'!$B1076:$W1076)+$Y$6</f>
        <v>-47.741473633885199</v>
      </c>
      <c r="G1082" s="7">
        <f>SUMPRODUCT($C$7:$X$7,'batch tool'!$B1076:$W1076)+$Y$7</f>
        <v>-19.739516238059196</v>
      </c>
      <c r="H1082" s="7">
        <f t="shared" si="32"/>
        <v>-19.739516238059196</v>
      </c>
      <c r="I1082">
        <f t="shared" si="33"/>
        <v>6</v>
      </c>
      <c r="J1082" t="str" cm="1">
        <f t="array" ref="J1082">INDEX($A$2:$A$7,I1082)</f>
        <v>Segment 6- Self-Conscious Male</v>
      </c>
    </row>
    <row r="1083" spans="1:10" x14ac:dyDescent="0.25">
      <c r="A1083" s="1">
        <f>'batch tool'!A1077</f>
        <v>0</v>
      </c>
      <c r="B1083" s="7">
        <f>SUMPRODUCT($C$2:$X$2,'batch tool'!$B1077:$W1077)+$Y$2</f>
        <v>-49.12272534143483</v>
      </c>
      <c r="C1083" s="7">
        <f>SUMPRODUCT($C$3:$X$3,'batch tool'!$B1077:$W1077)+$Y$3</f>
        <v>-36.514029388465531</v>
      </c>
      <c r="D1083" s="7">
        <f>SUMPRODUCT($C$4:$X$4,'batch tool'!$B1077:$W1077)+$Y$4</f>
        <v>-44.639843068043824</v>
      </c>
      <c r="E1083" s="7">
        <f>SUMPRODUCT($C$5:$X$5,'batch tool'!$B1077:$W1077)+$Y$5</f>
        <v>-51.578889182477603</v>
      </c>
      <c r="F1083" s="7">
        <f>SUMPRODUCT($C$6:$X$6,'batch tool'!$B1077:$W1077)+$Y$6</f>
        <v>-47.741473633885199</v>
      </c>
      <c r="G1083" s="7">
        <f>SUMPRODUCT($C$7:$X$7,'batch tool'!$B1077:$W1077)+$Y$7</f>
        <v>-19.739516238059196</v>
      </c>
      <c r="H1083" s="7">
        <f t="shared" si="32"/>
        <v>-19.739516238059196</v>
      </c>
      <c r="I1083">
        <f t="shared" si="33"/>
        <v>6</v>
      </c>
      <c r="J1083" t="str" cm="1">
        <f t="array" ref="J1083">INDEX($A$2:$A$7,I1083)</f>
        <v>Segment 6- Self-Conscious Male</v>
      </c>
    </row>
    <row r="1084" spans="1:10" x14ac:dyDescent="0.25">
      <c r="A1084" s="1">
        <f>'batch tool'!A1078</f>
        <v>0</v>
      </c>
      <c r="B1084" s="7">
        <f>SUMPRODUCT($C$2:$X$2,'batch tool'!$B1078:$W1078)+$Y$2</f>
        <v>-49.12272534143483</v>
      </c>
      <c r="C1084" s="7">
        <f>SUMPRODUCT($C$3:$X$3,'batch tool'!$B1078:$W1078)+$Y$3</f>
        <v>-36.514029388465531</v>
      </c>
      <c r="D1084" s="7">
        <f>SUMPRODUCT($C$4:$X$4,'batch tool'!$B1078:$W1078)+$Y$4</f>
        <v>-44.639843068043824</v>
      </c>
      <c r="E1084" s="7">
        <f>SUMPRODUCT($C$5:$X$5,'batch tool'!$B1078:$W1078)+$Y$5</f>
        <v>-51.578889182477603</v>
      </c>
      <c r="F1084" s="7">
        <f>SUMPRODUCT($C$6:$X$6,'batch tool'!$B1078:$W1078)+$Y$6</f>
        <v>-47.741473633885199</v>
      </c>
      <c r="G1084" s="7">
        <f>SUMPRODUCT($C$7:$X$7,'batch tool'!$B1078:$W1078)+$Y$7</f>
        <v>-19.739516238059196</v>
      </c>
      <c r="H1084" s="7">
        <f t="shared" si="32"/>
        <v>-19.739516238059196</v>
      </c>
      <c r="I1084">
        <f t="shared" si="33"/>
        <v>6</v>
      </c>
      <c r="J1084" t="str" cm="1">
        <f t="array" ref="J1084">INDEX($A$2:$A$7,I1084)</f>
        <v>Segment 6- Self-Conscious Male</v>
      </c>
    </row>
    <row r="1085" spans="1:10" x14ac:dyDescent="0.25">
      <c r="A1085" s="1">
        <f>'batch tool'!A1079</f>
        <v>0</v>
      </c>
      <c r="B1085" s="7">
        <f>SUMPRODUCT($C$2:$X$2,'batch tool'!$B1079:$W1079)+$Y$2</f>
        <v>-49.12272534143483</v>
      </c>
      <c r="C1085" s="7">
        <f>SUMPRODUCT($C$3:$X$3,'batch tool'!$B1079:$W1079)+$Y$3</f>
        <v>-36.514029388465531</v>
      </c>
      <c r="D1085" s="7">
        <f>SUMPRODUCT($C$4:$X$4,'batch tool'!$B1079:$W1079)+$Y$4</f>
        <v>-44.639843068043824</v>
      </c>
      <c r="E1085" s="7">
        <f>SUMPRODUCT($C$5:$X$5,'batch tool'!$B1079:$W1079)+$Y$5</f>
        <v>-51.578889182477603</v>
      </c>
      <c r="F1085" s="7">
        <f>SUMPRODUCT($C$6:$X$6,'batch tool'!$B1079:$W1079)+$Y$6</f>
        <v>-47.741473633885199</v>
      </c>
      <c r="G1085" s="7">
        <f>SUMPRODUCT($C$7:$X$7,'batch tool'!$B1079:$W1079)+$Y$7</f>
        <v>-19.739516238059196</v>
      </c>
      <c r="H1085" s="7">
        <f t="shared" si="32"/>
        <v>-19.739516238059196</v>
      </c>
      <c r="I1085">
        <f t="shared" si="33"/>
        <v>6</v>
      </c>
      <c r="J1085" t="str" cm="1">
        <f t="array" ref="J1085">INDEX($A$2:$A$7,I1085)</f>
        <v>Segment 6- Self-Conscious Male</v>
      </c>
    </row>
    <row r="1086" spans="1:10" x14ac:dyDescent="0.25">
      <c r="A1086" s="1">
        <f>'batch tool'!A1080</f>
        <v>0</v>
      </c>
      <c r="B1086" s="7">
        <f>SUMPRODUCT($C$2:$X$2,'batch tool'!$B1080:$W1080)+$Y$2</f>
        <v>-49.12272534143483</v>
      </c>
      <c r="C1086" s="7">
        <f>SUMPRODUCT($C$3:$X$3,'batch tool'!$B1080:$W1080)+$Y$3</f>
        <v>-36.514029388465531</v>
      </c>
      <c r="D1086" s="7">
        <f>SUMPRODUCT($C$4:$X$4,'batch tool'!$B1080:$W1080)+$Y$4</f>
        <v>-44.639843068043824</v>
      </c>
      <c r="E1086" s="7">
        <f>SUMPRODUCT($C$5:$X$5,'batch tool'!$B1080:$W1080)+$Y$5</f>
        <v>-51.578889182477603</v>
      </c>
      <c r="F1086" s="7">
        <f>SUMPRODUCT($C$6:$X$6,'batch tool'!$B1080:$W1080)+$Y$6</f>
        <v>-47.741473633885199</v>
      </c>
      <c r="G1086" s="7">
        <f>SUMPRODUCT($C$7:$X$7,'batch tool'!$B1080:$W1080)+$Y$7</f>
        <v>-19.739516238059196</v>
      </c>
      <c r="H1086" s="7">
        <f t="shared" si="32"/>
        <v>-19.739516238059196</v>
      </c>
      <c r="I1086">
        <f t="shared" si="33"/>
        <v>6</v>
      </c>
      <c r="J1086" t="str" cm="1">
        <f t="array" ref="J1086">INDEX($A$2:$A$7,I1086)</f>
        <v>Segment 6- Self-Conscious Male</v>
      </c>
    </row>
    <row r="1087" spans="1:10" x14ac:dyDescent="0.25">
      <c r="A1087" s="1">
        <f>'batch tool'!A1081</f>
        <v>0</v>
      </c>
      <c r="B1087" s="7">
        <f>SUMPRODUCT($C$2:$X$2,'batch tool'!$B1081:$W1081)+$Y$2</f>
        <v>-49.12272534143483</v>
      </c>
      <c r="C1087" s="7">
        <f>SUMPRODUCT($C$3:$X$3,'batch tool'!$B1081:$W1081)+$Y$3</f>
        <v>-36.514029388465531</v>
      </c>
      <c r="D1087" s="7">
        <f>SUMPRODUCT($C$4:$X$4,'batch tool'!$B1081:$W1081)+$Y$4</f>
        <v>-44.639843068043824</v>
      </c>
      <c r="E1087" s="7">
        <f>SUMPRODUCT($C$5:$X$5,'batch tool'!$B1081:$W1081)+$Y$5</f>
        <v>-51.578889182477603</v>
      </c>
      <c r="F1087" s="7">
        <f>SUMPRODUCT($C$6:$X$6,'batch tool'!$B1081:$W1081)+$Y$6</f>
        <v>-47.741473633885199</v>
      </c>
      <c r="G1087" s="7">
        <f>SUMPRODUCT($C$7:$X$7,'batch tool'!$B1081:$W1081)+$Y$7</f>
        <v>-19.739516238059196</v>
      </c>
      <c r="H1087" s="7">
        <f t="shared" si="32"/>
        <v>-19.739516238059196</v>
      </c>
      <c r="I1087">
        <f t="shared" si="33"/>
        <v>6</v>
      </c>
      <c r="J1087" t="str" cm="1">
        <f t="array" ref="J1087">INDEX($A$2:$A$7,I1087)</f>
        <v>Segment 6- Self-Conscious Male</v>
      </c>
    </row>
    <row r="1088" spans="1:10" x14ac:dyDescent="0.25">
      <c r="A1088" s="1">
        <f>'batch tool'!A1082</f>
        <v>0</v>
      </c>
      <c r="B1088" s="7">
        <f>SUMPRODUCT($C$2:$X$2,'batch tool'!$B1082:$W1082)+$Y$2</f>
        <v>-49.12272534143483</v>
      </c>
      <c r="C1088" s="7">
        <f>SUMPRODUCT($C$3:$X$3,'batch tool'!$B1082:$W1082)+$Y$3</f>
        <v>-36.514029388465531</v>
      </c>
      <c r="D1088" s="7">
        <f>SUMPRODUCT($C$4:$X$4,'batch tool'!$B1082:$W1082)+$Y$4</f>
        <v>-44.639843068043824</v>
      </c>
      <c r="E1088" s="7">
        <f>SUMPRODUCT($C$5:$X$5,'batch tool'!$B1082:$W1082)+$Y$5</f>
        <v>-51.578889182477603</v>
      </c>
      <c r="F1088" s="7">
        <f>SUMPRODUCT($C$6:$X$6,'batch tool'!$B1082:$W1082)+$Y$6</f>
        <v>-47.741473633885199</v>
      </c>
      <c r="G1088" s="7">
        <f>SUMPRODUCT($C$7:$X$7,'batch tool'!$B1082:$W1082)+$Y$7</f>
        <v>-19.739516238059196</v>
      </c>
      <c r="H1088" s="7">
        <f t="shared" si="32"/>
        <v>-19.739516238059196</v>
      </c>
      <c r="I1088">
        <f t="shared" si="33"/>
        <v>6</v>
      </c>
      <c r="J1088" t="str" cm="1">
        <f t="array" ref="J1088">INDEX($A$2:$A$7,I1088)</f>
        <v>Segment 6- Self-Conscious Male</v>
      </c>
    </row>
    <row r="1089" spans="1:10" x14ac:dyDescent="0.25">
      <c r="A1089" s="1">
        <f>'batch tool'!A1083</f>
        <v>0</v>
      </c>
      <c r="B1089" s="7">
        <f>SUMPRODUCT($C$2:$X$2,'batch tool'!$B1083:$W1083)+$Y$2</f>
        <v>-49.12272534143483</v>
      </c>
      <c r="C1089" s="7">
        <f>SUMPRODUCT($C$3:$X$3,'batch tool'!$B1083:$W1083)+$Y$3</f>
        <v>-36.514029388465531</v>
      </c>
      <c r="D1089" s="7">
        <f>SUMPRODUCT($C$4:$X$4,'batch tool'!$B1083:$W1083)+$Y$4</f>
        <v>-44.639843068043824</v>
      </c>
      <c r="E1089" s="7">
        <f>SUMPRODUCT($C$5:$X$5,'batch tool'!$B1083:$W1083)+$Y$5</f>
        <v>-51.578889182477603</v>
      </c>
      <c r="F1089" s="7">
        <f>SUMPRODUCT($C$6:$X$6,'batch tool'!$B1083:$W1083)+$Y$6</f>
        <v>-47.741473633885199</v>
      </c>
      <c r="G1089" s="7">
        <f>SUMPRODUCT($C$7:$X$7,'batch tool'!$B1083:$W1083)+$Y$7</f>
        <v>-19.739516238059196</v>
      </c>
      <c r="H1089" s="7">
        <f t="shared" si="32"/>
        <v>-19.739516238059196</v>
      </c>
      <c r="I1089">
        <f t="shared" si="33"/>
        <v>6</v>
      </c>
      <c r="J1089" t="str" cm="1">
        <f t="array" ref="J1089">INDEX($A$2:$A$7,I1089)</f>
        <v>Segment 6- Self-Conscious Male</v>
      </c>
    </row>
    <row r="1090" spans="1:10" x14ac:dyDescent="0.25">
      <c r="A1090" s="1">
        <f>'batch tool'!A1084</f>
        <v>0</v>
      </c>
      <c r="B1090" s="7">
        <f>SUMPRODUCT($C$2:$X$2,'batch tool'!$B1084:$W1084)+$Y$2</f>
        <v>-49.12272534143483</v>
      </c>
      <c r="C1090" s="7">
        <f>SUMPRODUCT($C$3:$X$3,'batch tool'!$B1084:$W1084)+$Y$3</f>
        <v>-36.514029388465531</v>
      </c>
      <c r="D1090" s="7">
        <f>SUMPRODUCT($C$4:$X$4,'batch tool'!$B1084:$W1084)+$Y$4</f>
        <v>-44.639843068043824</v>
      </c>
      <c r="E1090" s="7">
        <f>SUMPRODUCT($C$5:$X$5,'batch tool'!$B1084:$W1084)+$Y$5</f>
        <v>-51.578889182477603</v>
      </c>
      <c r="F1090" s="7">
        <f>SUMPRODUCT($C$6:$X$6,'batch tool'!$B1084:$W1084)+$Y$6</f>
        <v>-47.741473633885199</v>
      </c>
      <c r="G1090" s="7">
        <f>SUMPRODUCT($C$7:$X$7,'batch tool'!$B1084:$W1084)+$Y$7</f>
        <v>-19.739516238059196</v>
      </c>
      <c r="H1090" s="7">
        <f t="shared" si="32"/>
        <v>-19.739516238059196</v>
      </c>
      <c r="I1090">
        <f t="shared" si="33"/>
        <v>6</v>
      </c>
      <c r="J1090" t="str" cm="1">
        <f t="array" ref="J1090">INDEX($A$2:$A$7,I1090)</f>
        <v>Segment 6- Self-Conscious Male</v>
      </c>
    </row>
    <row r="1091" spans="1:10" x14ac:dyDescent="0.25">
      <c r="A1091" s="1">
        <f>'batch tool'!A1085</f>
        <v>0</v>
      </c>
      <c r="B1091" s="7">
        <f>SUMPRODUCT($C$2:$X$2,'batch tool'!$B1085:$W1085)+$Y$2</f>
        <v>-49.12272534143483</v>
      </c>
      <c r="C1091" s="7">
        <f>SUMPRODUCT($C$3:$X$3,'batch tool'!$B1085:$W1085)+$Y$3</f>
        <v>-36.514029388465531</v>
      </c>
      <c r="D1091" s="7">
        <f>SUMPRODUCT($C$4:$X$4,'batch tool'!$B1085:$W1085)+$Y$4</f>
        <v>-44.639843068043824</v>
      </c>
      <c r="E1091" s="7">
        <f>SUMPRODUCT($C$5:$X$5,'batch tool'!$B1085:$W1085)+$Y$5</f>
        <v>-51.578889182477603</v>
      </c>
      <c r="F1091" s="7">
        <f>SUMPRODUCT($C$6:$X$6,'batch tool'!$B1085:$W1085)+$Y$6</f>
        <v>-47.741473633885199</v>
      </c>
      <c r="G1091" s="7">
        <f>SUMPRODUCT($C$7:$X$7,'batch tool'!$B1085:$W1085)+$Y$7</f>
        <v>-19.739516238059196</v>
      </c>
      <c r="H1091" s="7">
        <f t="shared" si="32"/>
        <v>-19.739516238059196</v>
      </c>
      <c r="I1091">
        <f t="shared" si="33"/>
        <v>6</v>
      </c>
      <c r="J1091" t="str" cm="1">
        <f t="array" ref="J1091">INDEX($A$2:$A$7,I1091)</f>
        <v>Segment 6- Self-Conscious Male</v>
      </c>
    </row>
    <row r="1092" spans="1:10" x14ac:dyDescent="0.25">
      <c r="A1092" s="1">
        <f>'batch tool'!A1086</f>
        <v>0</v>
      </c>
      <c r="B1092" s="7">
        <f>SUMPRODUCT($C$2:$X$2,'batch tool'!$B1086:$W1086)+$Y$2</f>
        <v>-49.12272534143483</v>
      </c>
      <c r="C1092" s="7">
        <f>SUMPRODUCT($C$3:$X$3,'batch tool'!$B1086:$W1086)+$Y$3</f>
        <v>-36.514029388465531</v>
      </c>
      <c r="D1092" s="7">
        <f>SUMPRODUCT($C$4:$X$4,'batch tool'!$B1086:$W1086)+$Y$4</f>
        <v>-44.639843068043824</v>
      </c>
      <c r="E1092" s="7">
        <f>SUMPRODUCT($C$5:$X$5,'batch tool'!$B1086:$W1086)+$Y$5</f>
        <v>-51.578889182477603</v>
      </c>
      <c r="F1092" s="7">
        <f>SUMPRODUCT($C$6:$X$6,'batch tool'!$B1086:$W1086)+$Y$6</f>
        <v>-47.741473633885199</v>
      </c>
      <c r="G1092" s="7">
        <f>SUMPRODUCT($C$7:$X$7,'batch tool'!$B1086:$W1086)+$Y$7</f>
        <v>-19.739516238059196</v>
      </c>
      <c r="H1092" s="7">
        <f t="shared" si="32"/>
        <v>-19.739516238059196</v>
      </c>
      <c r="I1092">
        <f t="shared" si="33"/>
        <v>6</v>
      </c>
      <c r="J1092" t="str" cm="1">
        <f t="array" ref="J1092">INDEX($A$2:$A$7,I1092)</f>
        <v>Segment 6- Self-Conscious Male</v>
      </c>
    </row>
    <row r="1093" spans="1:10" x14ac:dyDescent="0.25">
      <c r="A1093" s="1">
        <f>'batch tool'!A1087</f>
        <v>0</v>
      </c>
      <c r="B1093" s="7">
        <f>SUMPRODUCT($C$2:$X$2,'batch tool'!$B1087:$W1087)+$Y$2</f>
        <v>-49.12272534143483</v>
      </c>
      <c r="C1093" s="7">
        <f>SUMPRODUCT($C$3:$X$3,'batch tool'!$B1087:$W1087)+$Y$3</f>
        <v>-36.514029388465531</v>
      </c>
      <c r="D1093" s="7">
        <f>SUMPRODUCT($C$4:$X$4,'batch tool'!$B1087:$W1087)+$Y$4</f>
        <v>-44.639843068043824</v>
      </c>
      <c r="E1093" s="7">
        <f>SUMPRODUCT($C$5:$X$5,'batch tool'!$B1087:$W1087)+$Y$5</f>
        <v>-51.578889182477603</v>
      </c>
      <c r="F1093" s="7">
        <f>SUMPRODUCT($C$6:$X$6,'batch tool'!$B1087:$W1087)+$Y$6</f>
        <v>-47.741473633885199</v>
      </c>
      <c r="G1093" s="7">
        <f>SUMPRODUCT($C$7:$X$7,'batch tool'!$B1087:$W1087)+$Y$7</f>
        <v>-19.739516238059196</v>
      </c>
      <c r="H1093" s="7">
        <f t="shared" si="32"/>
        <v>-19.739516238059196</v>
      </c>
      <c r="I1093">
        <f t="shared" si="33"/>
        <v>6</v>
      </c>
      <c r="J1093" t="str" cm="1">
        <f t="array" ref="J1093">INDEX($A$2:$A$7,I1093)</f>
        <v>Segment 6- Self-Conscious Male</v>
      </c>
    </row>
    <row r="1094" spans="1:10" x14ac:dyDescent="0.25">
      <c r="A1094" s="1">
        <f>'batch tool'!A1088</f>
        <v>0</v>
      </c>
      <c r="B1094" s="7">
        <f>SUMPRODUCT($C$2:$X$2,'batch tool'!$B1088:$W1088)+$Y$2</f>
        <v>-49.12272534143483</v>
      </c>
      <c r="C1094" s="7">
        <f>SUMPRODUCT($C$3:$X$3,'batch tool'!$B1088:$W1088)+$Y$3</f>
        <v>-36.514029388465531</v>
      </c>
      <c r="D1094" s="7">
        <f>SUMPRODUCT($C$4:$X$4,'batch tool'!$B1088:$W1088)+$Y$4</f>
        <v>-44.639843068043824</v>
      </c>
      <c r="E1094" s="7">
        <f>SUMPRODUCT($C$5:$X$5,'batch tool'!$B1088:$W1088)+$Y$5</f>
        <v>-51.578889182477603</v>
      </c>
      <c r="F1094" s="7">
        <f>SUMPRODUCT($C$6:$X$6,'batch tool'!$B1088:$W1088)+$Y$6</f>
        <v>-47.741473633885199</v>
      </c>
      <c r="G1094" s="7">
        <f>SUMPRODUCT($C$7:$X$7,'batch tool'!$B1088:$W1088)+$Y$7</f>
        <v>-19.739516238059196</v>
      </c>
      <c r="H1094" s="7">
        <f t="shared" si="32"/>
        <v>-19.739516238059196</v>
      </c>
      <c r="I1094">
        <f t="shared" si="33"/>
        <v>6</v>
      </c>
      <c r="J1094" t="str" cm="1">
        <f t="array" ref="J1094">INDEX($A$2:$A$7,I1094)</f>
        <v>Segment 6- Self-Conscious Male</v>
      </c>
    </row>
    <row r="1095" spans="1:10" x14ac:dyDescent="0.25">
      <c r="A1095" s="1">
        <f>'batch tool'!A1089</f>
        <v>0</v>
      </c>
      <c r="B1095" s="7">
        <f>SUMPRODUCT($C$2:$X$2,'batch tool'!$B1089:$W1089)+$Y$2</f>
        <v>-49.12272534143483</v>
      </c>
      <c r="C1095" s="7">
        <f>SUMPRODUCT($C$3:$X$3,'batch tool'!$B1089:$W1089)+$Y$3</f>
        <v>-36.514029388465531</v>
      </c>
      <c r="D1095" s="7">
        <f>SUMPRODUCT($C$4:$X$4,'batch tool'!$B1089:$W1089)+$Y$4</f>
        <v>-44.639843068043824</v>
      </c>
      <c r="E1095" s="7">
        <f>SUMPRODUCT($C$5:$X$5,'batch tool'!$B1089:$W1089)+$Y$5</f>
        <v>-51.578889182477603</v>
      </c>
      <c r="F1095" s="7">
        <f>SUMPRODUCT($C$6:$X$6,'batch tool'!$B1089:$W1089)+$Y$6</f>
        <v>-47.741473633885199</v>
      </c>
      <c r="G1095" s="7">
        <f>SUMPRODUCT($C$7:$X$7,'batch tool'!$B1089:$W1089)+$Y$7</f>
        <v>-19.739516238059196</v>
      </c>
      <c r="H1095" s="7">
        <f t="shared" si="32"/>
        <v>-19.739516238059196</v>
      </c>
      <c r="I1095">
        <f t="shared" si="33"/>
        <v>6</v>
      </c>
      <c r="J1095" t="str" cm="1">
        <f t="array" ref="J1095">INDEX($A$2:$A$7,I1095)</f>
        <v>Segment 6- Self-Conscious Male</v>
      </c>
    </row>
    <row r="1096" spans="1:10" x14ac:dyDescent="0.25">
      <c r="A1096" s="1">
        <f>'batch tool'!A1090</f>
        <v>0</v>
      </c>
      <c r="B1096" s="7">
        <f>SUMPRODUCT($C$2:$X$2,'batch tool'!$B1090:$W1090)+$Y$2</f>
        <v>-49.12272534143483</v>
      </c>
      <c r="C1096" s="7">
        <f>SUMPRODUCT($C$3:$X$3,'batch tool'!$B1090:$W1090)+$Y$3</f>
        <v>-36.514029388465531</v>
      </c>
      <c r="D1096" s="7">
        <f>SUMPRODUCT($C$4:$X$4,'batch tool'!$B1090:$W1090)+$Y$4</f>
        <v>-44.639843068043824</v>
      </c>
      <c r="E1096" s="7">
        <f>SUMPRODUCT($C$5:$X$5,'batch tool'!$B1090:$W1090)+$Y$5</f>
        <v>-51.578889182477603</v>
      </c>
      <c r="F1096" s="7">
        <f>SUMPRODUCT($C$6:$X$6,'batch tool'!$B1090:$W1090)+$Y$6</f>
        <v>-47.741473633885199</v>
      </c>
      <c r="G1096" s="7">
        <f>SUMPRODUCT($C$7:$X$7,'batch tool'!$B1090:$W1090)+$Y$7</f>
        <v>-19.739516238059196</v>
      </c>
      <c r="H1096" s="7">
        <f t="shared" si="32"/>
        <v>-19.739516238059196</v>
      </c>
      <c r="I1096">
        <f t="shared" si="33"/>
        <v>6</v>
      </c>
      <c r="J1096" t="str" cm="1">
        <f t="array" ref="J1096">INDEX($A$2:$A$7,I1096)</f>
        <v>Segment 6- Self-Conscious Male</v>
      </c>
    </row>
    <row r="1097" spans="1:10" x14ac:dyDescent="0.25">
      <c r="A1097" s="1">
        <f>'batch tool'!A1091</f>
        <v>0</v>
      </c>
      <c r="B1097" s="7">
        <f>SUMPRODUCT($C$2:$X$2,'batch tool'!$B1091:$W1091)+$Y$2</f>
        <v>-49.12272534143483</v>
      </c>
      <c r="C1097" s="7">
        <f>SUMPRODUCT($C$3:$X$3,'batch tool'!$B1091:$W1091)+$Y$3</f>
        <v>-36.514029388465531</v>
      </c>
      <c r="D1097" s="7">
        <f>SUMPRODUCT($C$4:$X$4,'batch tool'!$B1091:$W1091)+$Y$4</f>
        <v>-44.639843068043824</v>
      </c>
      <c r="E1097" s="7">
        <f>SUMPRODUCT($C$5:$X$5,'batch tool'!$B1091:$W1091)+$Y$5</f>
        <v>-51.578889182477603</v>
      </c>
      <c r="F1097" s="7">
        <f>SUMPRODUCT($C$6:$X$6,'batch tool'!$B1091:$W1091)+$Y$6</f>
        <v>-47.741473633885199</v>
      </c>
      <c r="G1097" s="7">
        <f>SUMPRODUCT($C$7:$X$7,'batch tool'!$B1091:$W1091)+$Y$7</f>
        <v>-19.739516238059196</v>
      </c>
      <c r="H1097" s="7">
        <f t="shared" si="32"/>
        <v>-19.739516238059196</v>
      </c>
      <c r="I1097">
        <f t="shared" si="33"/>
        <v>6</v>
      </c>
      <c r="J1097" t="str" cm="1">
        <f t="array" ref="J1097">INDEX($A$2:$A$7,I1097)</f>
        <v>Segment 6- Self-Conscious Male</v>
      </c>
    </row>
    <row r="1098" spans="1:10" x14ac:dyDescent="0.25">
      <c r="A1098" s="1">
        <f>'batch tool'!A1092</f>
        <v>0</v>
      </c>
      <c r="B1098" s="7">
        <f>SUMPRODUCT($C$2:$X$2,'batch tool'!$B1092:$W1092)+$Y$2</f>
        <v>-49.12272534143483</v>
      </c>
      <c r="C1098" s="7">
        <f>SUMPRODUCT($C$3:$X$3,'batch tool'!$B1092:$W1092)+$Y$3</f>
        <v>-36.514029388465531</v>
      </c>
      <c r="D1098" s="7">
        <f>SUMPRODUCT($C$4:$X$4,'batch tool'!$B1092:$W1092)+$Y$4</f>
        <v>-44.639843068043824</v>
      </c>
      <c r="E1098" s="7">
        <f>SUMPRODUCT($C$5:$X$5,'batch tool'!$B1092:$W1092)+$Y$5</f>
        <v>-51.578889182477603</v>
      </c>
      <c r="F1098" s="7">
        <f>SUMPRODUCT($C$6:$X$6,'batch tool'!$B1092:$W1092)+$Y$6</f>
        <v>-47.741473633885199</v>
      </c>
      <c r="G1098" s="7">
        <f>SUMPRODUCT($C$7:$X$7,'batch tool'!$B1092:$W1092)+$Y$7</f>
        <v>-19.739516238059196</v>
      </c>
      <c r="H1098" s="7">
        <f t="shared" si="32"/>
        <v>-19.739516238059196</v>
      </c>
      <c r="I1098">
        <f t="shared" si="33"/>
        <v>6</v>
      </c>
      <c r="J1098" t="str" cm="1">
        <f t="array" ref="J1098">INDEX($A$2:$A$7,I1098)</f>
        <v>Segment 6- Self-Conscious Male</v>
      </c>
    </row>
    <row r="1099" spans="1:10" x14ac:dyDescent="0.25">
      <c r="A1099" s="1">
        <f>'batch tool'!A1093</f>
        <v>0</v>
      </c>
      <c r="B1099" s="7">
        <f>SUMPRODUCT($C$2:$X$2,'batch tool'!$B1093:$W1093)+$Y$2</f>
        <v>-49.12272534143483</v>
      </c>
      <c r="C1099" s="7">
        <f>SUMPRODUCT($C$3:$X$3,'batch tool'!$B1093:$W1093)+$Y$3</f>
        <v>-36.514029388465531</v>
      </c>
      <c r="D1099" s="7">
        <f>SUMPRODUCT($C$4:$X$4,'batch tool'!$B1093:$W1093)+$Y$4</f>
        <v>-44.639843068043824</v>
      </c>
      <c r="E1099" s="7">
        <f>SUMPRODUCT($C$5:$X$5,'batch tool'!$B1093:$W1093)+$Y$5</f>
        <v>-51.578889182477603</v>
      </c>
      <c r="F1099" s="7">
        <f>SUMPRODUCT($C$6:$X$6,'batch tool'!$B1093:$W1093)+$Y$6</f>
        <v>-47.741473633885199</v>
      </c>
      <c r="G1099" s="7">
        <f>SUMPRODUCT($C$7:$X$7,'batch tool'!$B1093:$W1093)+$Y$7</f>
        <v>-19.739516238059196</v>
      </c>
      <c r="H1099" s="7">
        <f t="shared" ref="H1099:H1162" si="34">MAX(B1099:G1099)</f>
        <v>-19.739516238059196</v>
      </c>
      <c r="I1099">
        <f t="shared" ref="I1099:I1162" si="35">MATCH(H1099,B1099:G1099,0)</f>
        <v>6</v>
      </c>
      <c r="J1099" t="str" cm="1">
        <f t="array" ref="J1099">INDEX($A$2:$A$7,I1099)</f>
        <v>Segment 6- Self-Conscious Male</v>
      </c>
    </row>
    <row r="1100" spans="1:10" x14ac:dyDescent="0.25">
      <c r="A1100" s="1">
        <f>'batch tool'!A1094</f>
        <v>0</v>
      </c>
      <c r="B1100" s="7">
        <f>SUMPRODUCT($C$2:$X$2,'batch tool'!$B1094:$W1094)+$Y$2</f>
        <v>-49.12272534143483</v>
      </c>
      <c r="C1100" s="7">
        <f>SUMPRODUCT($C$3:$X$3,'batch tool'!$B1094:$W1094)+$Y$3</f>
        <v>-36.514029388465531</v>
      </c>
      <c r="D1100" s="7">
        <f>SUMPRODUCT($C$4:$X$4,'batch tool'!$B1094:$W1094)+$Y$4</f>
        <v>-44.639843068043824</v>
      </c>
      <c r="E1100" s="7">
        <f>SUMPRODUCT($C$5:$X$5,'batch tool'!$B1094:$W1094)+$Y$5</f>
        <v>-51.578889182477603</v>
      </c>
      <c r="F1100" s="7">
        <f>SUMPRODUCT($C$6:$X$6,'batch tool'!$B1094:$W1094)+$Y$6</f>
        <v>-47.741473633885199</v>
      </c>
      <c r="G1100" s="7">
        <f>SUMPRODUCT($C$7:$X$7,'batch tool'!$B1094:$W1094)+$Y$7</f>
        <v>-19.739516238059196</v>
      </c>
      <c r="H1100" s="7">
        <f t="shared" si="34"/>
        <v>-19.739516238059196</v>
      </c>
      <c r="I1100">
        <f t="shared" si="35"/>
        <v>6</v>
      </c>
      <c r="J1100" t="str" cm="1">
        <f t="array" ref="J1100">INDEX($A$2:$A$7,I1100)</f>
        <v>Segment 6- Self-Conscious Male</v>
      </c>
    </row>
    <row r="1101" spans="1:10" x14ac:dyDescent="0.25">
      <c r="A1101" s="1">
        <f>'batch tool'!A1095</f>
        <v>0</v>
      </c>
      <c r="B1101" s="7">
        <f>SUMPRODUCT($C$2:$X$2,'batch tool'!$B1095:$W1095)+$Y$2</f>
        <v>-49.12272534143483</v>
      </c>
      <c r="C1101" s="7">
        <f>SUMPRODUCT($C$3:$X$3,'batch tool'!$B1095:$W1095)+$Y$3</f>
        <v>-36.514029388465531</v>
      </c>
      <c r="D1101" s="7">
        <f>SUMPRODUCT($C$4:$X$4,'batch tool'!$B1095:$W1095)+$Y$4</f>
        <v>-44.639843068043824</v>
      </c>
      <c r="E1101" s="7">
        <f>SUMPRODUCT($C$5:$X$5,'batch tool'!$B1095:$W1095)+$Y$5</f>
        <v>-51.578889182477603</v>
      </c>
      <c r="F1101" s="7">
        <f>SUMPRODUCT($C$6:$X$6,'batch tool'!$B1095:$W1095)+$Y$6</f>
        <v>-47.741473633885199</v>
      </c>
      <c r="G1101" s="7">
        <f>SUMPRODUCT($C$7:$X$7,'batch tool'!$B1095:$W1095)+$Y$7</f>
        <v>-19.739516238059196</v>
      </c>
      <c r="H1101" s="7">
        <f t="shared" si="34"/>
        <v>-19.739516238059196</v>
      </c>
      <c r="I1101">
        <f t="shared" si="35"/>
        <v>6</v>
      </c>
      <c r="J1101" t="str" cm="1">
        <f t="array" ref="J1101">INDEX($A$2:$A$7,I1101)</f>
        <v>Segment 6- Self-Conscious Male</v>
      </c>
    </row>
    <row r="1102" spans="1:10" x14ac:dyDescent="0.25">
      <c r="A1102" s="1">
        <f>'batch tool'!A1096</f>
        <v>0</v>
      </c>
      <c r="B1102" s="7">
        <f>SUMPRODUCT($C$2:$X$2,'batch tool'!$B1096:$W1096)+$Y$2</f>
        <v>-49.12272534143483</v>
      </c>
      <c r="C1102" s="7">
        <f>SUMPRODUCT($C$3:$X$3,'batch tool'!$B1096:$W1096)+$Y$3</f>
        <v>-36.514029388465531</v>
      </c>
      <c r="D1102" s="7">
        <f>SUMPRODUCT($C$4:$X$4,'batch tool'!$B1096:$W1096)+$Y$4</f>
        <v>-44.639843068043824</v>
      </c>
      <c r="E1102" s="7">
        <f>SUMPRODUCT($C$5:$X$5,'batch tool'!$B1096:$W1096)+$Y$5</f>
        <v>-51.578889182477603</v>
      </c>
      <c r="F1102" s="7">
        <f>SUMPRODUCT($C$6:$X$6,'batch tool'!$B1096:$W1096)+$Y$6</f>
        <v>-47.741473633885199</v>
      </c>
      <c r="G1102" s="7">
        <f>SUMPRODUCT($C$7:$X$7,'batch tool'!$B1096:$W1096)+$Y$7</f>
        <v>-19.739516238059196</v>
      </c>
      <c r="H1102" s="7">
        <f t="shared" si="34"/>
        <v>-19.739516238059196</v>
      </c>
      <c r="I1102">
        <f t="shared" si="35"/>
        <v>6</v>
      </c>
      <c r="J1102" t="str" cm="1">
        <f t="array" ref="J1102">INDEX($A$2:$A$7,I1102)</f>
        <v>Segment 6- Self-Conscious Male</v>
      </c>
    </row>
    <row r="1103" spans="1:10" x14ac:dyDescent="0.25">
      <c r="A1103" s="1">
        <f>'batch tool'!A1097</f>
        <v>0</v>
      </c>
      <c r="B1103" s="7">
        <f>SUMPRODUCT($C$2:$X$2,'batch tool'!$B1097:$W1097)+$Y$2</f>
        <v>-49.12272534143483</v>
      </c>
      <c r="C1103" s="7">
        <f>SUMPRODUCT($C$3:$X$3,'batch tool'!$B1097:$W1097)+$Y$3</f>
        <v>-36.514029388465531</v>
      </c>
      <c r="D1103" s="7">
        <f>SUMPRODUCT($C$4:$X$4,'batch tool'!$B1097:$W1097)+$Y$4</f>
        <v>-44.639843068043824</v>
      </c>
      <c r="E1103" s="7">
        <f>SUMPRODUCT($C$5:$X$5,'batch tool'!$B1097:$W1097)+$Y$5</f>
        <v>-51.578889182477603</v>
      </c>
      <c r="F1103" s="7">
        <f>SUMPRODUCT($C$6:$X$6,'batch tool'!$B1097:$W1097)+$Y$6</f>
        <v>-47.741473633885199</v>
      </c>
      <c r="G1103" s="7">
        <f>SUMPRODUCT($C$7:$X$7,'batch tool'!$B1097:$W1097)+$Y$7</f>
        <v>-19.739516238059196</v>
      </c>
      <c r="H1103" s="7">
        <f t="shared" si="34"/>
        <v>-19.739516238059196</v>
      </c>
      <c r="I1103">
        <f t="shared" si="35"/>
        <v>6</v>
      </c>
      <c r="J1103" t="str" cm="1">
        <f t="array" ref="J1103">INDEX($A$2:$A$7,I1103)</f>
        <v>Segment 6- Self-Conscious Male</v>
      </c>
    </row>
    <row r="1104" spans="1:10" x14ac:dyDescent="0.25">
      <c r="A1104" s="1">
        <f>'batch tool'!A1098</f>
        <v>0</v>
      </c>
      <c r="B1104" s="7">
        <f>SUMPRODUCT($C$2:$X$2,'batch tool'!$B1098:$W1098)+$Y$2</f>
        <v>-49.12272534143483</v>
      </c>
      <c r="C1104" s="7">
        <f>SUMPRODUCT($C$3:$X$3,'batch tool'!$B1098:$W1098)+$Y$3</f>
        <v>-36.514029388465531</v>
      </c>
      <c r="D1104" s="7">
        <f>SUMPRODUCT($C$4:$X$4,'batch tool'!$B1098:$W1098)+$Y$4</f>
        <v>-44.639843068043824</v>
      </c>
      <c r="E1104" s="7">
        <f>SUMPRODUCT($C$5:$X$5,'batch tool'!$B1098:$W1098)+$Y$5</f>
        <v>-51.578889182477603</v>
      </c>
      <c r="F1104" s="7">
        <f>SUMPRODUCT($C$6:$X$6,'batch tool'!$B1098:$W1098)+$Y$6</f>
        <v>-47.741473633885199</v>
      </c>
      <c r="G1104" s="7">
        <f>SUMPRODUCT($C$7:$X$7,'batch tool'!$B1098:$W1098)+$Y$7</f>
        <v>-19.739516238059196</v>
      </c>
      <c r="H1104" s="7">
        <f t="shared" si="34"/>
        <v>-19.739516238059196</v>
      </c>
      <c r="I1104">
        <f t="shared" si="35"/>
        <v>6</v>
      </c>
      <c r="J1104" t="str" cm="1">
        <f t="array" ref="J1104">INDEX($A$2:$A$7,I1104)</f>
        <v>Segment 6- Self-Conscious Male</v>
      </c>
    </row>
    <row r="1105" spans="1:10" x14ac:dyDescent="0.25">
      <c r="A1105" s="1">
        <f>'batch tool'!A1099</f>
        <v>0</v>
      </c>
      <c r="B1105" s="7">
        <f>SUMPRODUCT($C$2:$X$2,'batch tool'!$B1099:$W1099)+$Y$2</f>
        <v>-49.12272534143483</v>
      </c>
      <c r="C1105" s="7">
        <f>SUMPRODUCT($C$3:$X$3,'batch tool'!$B1099:$W1099)+$Y$3</f>
        <v>-36.514029388465531</v>
      </c>
      <c r="D1105" s="7">
        <f>SUMPRODUCT($C$4:$X$4,'batch tool'!$B1099:$W1099)+$Y$4</f>
        <v>-44.639843068043824</v>
      </c>
      <c r="E1105" s="7">
        <f>SUMPRODUCT($C$5:$X$5,'batch tool'!$B1099:$W1099)+$Y$5</f>
        <v>-51.578889182477603</v>
      </c>
      <c r="F1105" s="7">
        <f>SUMPRODUCT($C$6:$X$6,'batch tool'!$B1099:$W1099)+$Y$6</f>
        <v>-47.741473633885199</v>
      </c>
      <c r="G1105" s="7">
        <f>SUMPRODUCT($C$7:$X$7,'batch tool'!$B1099:$W1099)+$Y$7</f>
        <v>-19.739516238059196</v>
      </c>
      <c r="H1105" s="7">
        <f t="shared" si="34"/>
        <v>-19.739516238059196</v>
      </c>
      <c r="I1105">
        <f t="shared" si="35"/>
        <v>6</v>
      </c>
      <c r="J1105" t="str" cm="1">
        <f t="array" ref="J1105">INDEX($A$2:$A$7,I1105)</f>
        <v>Segment 6- Self-Conscious Male</v>
      </c>
    </row>
    <row r="1106" spans="1:10" x14ac:dyDescent="0.25">
      <c r="A1106" s="1">
        <f>'batch tool'!A1100</f>
        <v>0</v>
      </c>
      <c r="B1106" s="7">
        <f>SUMPRODUCT($C$2:$X$2,'batch tool'!$B1100:$W1100)+$Y$2</f>
        <v>-49.12272534143483</v>
      </c>
      <c r="C1106" s="7">
        <f>SUMPRODUCT($C$3:$X$3,'batch tool'!$B1100:$W1100)+$Y$3</f>
        <v>-36.514029388465531</v>
      </c>
      <c r="D1106" s="7">
        <f>SUMPRODUCT($C$4:$X$4,'batch tool'!$B1100:$W1100)+$Y$4</f>
        <v>-44.639843068043824</v>
      </c>
      <c r="E1106" s="7">
        <f>SUMPRODUCT($C$5:$X$5,'batch tool'!$B1100:$W1100)+$Y$5</f>
        <v>-51.578889182477603</v>
      </c>
      <c r="F1106" s="7">
        <f>SUMPRODUCT($C$6:$X$6,'batch tool'!$B1100:$W1100)+$Y$6</f>
        <v>-47.741473633885199</v>
      </c>
      <c r="G1106" s="7">
        <f>SUMPRODUCT($C$7:$X$7,'batch tool'!$B1100:$W1100)+$Y$7</f>
        <v>-19.739516238059196</v>
      </c>
      <c r="H1106" s="7">
        <f t="shared" si="34"/>
        <v>-19.739516238059196</v>
      </c>
      <c r="I1106">
        <f t="shared" si="35"/>
        <v>6</v>
      </c>
      <c r="J1106" t="str" cm="1">
        <f t="array" ref="J1106">INDEX($A$2:$A$7,I1106)</f>
        <v>Segment 6- Self-Conscious Male</v>
      </c>
    </row>
    <row r="1107" spans="1:10" x14ac:dyDescent="0.25">
      <c r="A1107" s="1">
        <f>'batch tool'!A1101</f>
        <v>0</v>
      </c>
      <c r="B1107" s="7">
        <f>SUMPRODUCT($C$2:$X$2,'batch tool'!$B1101:$W1101)+$Y$2</f>
        <v>-49.12272534143483</v>
      </c>
      <c r="C1107" s="7">
        <f>SUMPRODUCT($C$3:$X$3,'batch tool'!$B1101:$W1101)+$Y$3</f>
        <v>-36.514029388465531</v>
      </c>
      <c r="D1107" s="7">
        <f>SUMPRODUCT($C$4:$X$4,'batch tool'!$B1101:$W1101)+$Y$4</f>
        <v>-44.639843068043824</v>
      </c>
      <c r="E1107" s="7">
        <f>SUMPRODUCT($C$5:$X$5,'batch tool'!$B1101:$W1101)+$Y$5</f>
        <v>-51.578889182477603</v>
      </c>
      <c r="F1107" s="7">
        <f>SUMPRODUCT($C$6:$X$6,'batch tool'!$B1101:$W1101)+$Y$6</f>
        <v>-47.741473633885199</v>
      </c>
      <c r="G1107" s="7">
        <f>SUMPRODUCT($C$7:$X$7,'batch tool'!$B1101:$W1101)+$Y$7</f>
        <v>-19.739516238059196</v>
      </c>
      <c r="H1107" s="7">
        <f t="shared" si="34"/>
        <v>-19.739516238059196</v>
      </c>
      <c r="I1107">
        <f t="shared" si="35"/>
        <v>6</v>
      </c>
      <c r="J1107" t="str" cm="1">
        <f t="array" ref="J1107">INDEX($A$2:$A$7,I1107)</f>
        <v>Segment 6- Self-Conscious Male</v>
      </c>
    </row>
    <row r="1108" spans="1:10" x14ac:dyDescent="0.25">
      <c r="A1108" s="1">
        <f>'batch tool'!A1102</f>
        <v>0</v>
      </c>
      <c r="B1108" s="7">
        <f>SUMPRODUCT($C$2:$X$2,'batch tool'!$B1102:$W1102)+$Y$2</f>
        <v>-49.12272534143483</v>
      </c>
      <c r="C1108" s="7">
        <f>SUMPRODUCT($C$3:$X$3,'batch tool'!$B1102:$W1102)+$Y$3</f>
        <v>-36.514029388465531</v>
      </c>
      <c r="D1108" s="7">
        <f>SUMPRODUCT($C$4:$X$4,'batch tool'!$B1102:$W1102)+$Y$4</f>
        <v>-44.639843068043824</v>
      </c>
      <c r="E1108" s="7">
        <f>SUMPRODUCT($C$5:$X$5,'batch tool'!$B1102:$W1102)+$Y$5</f>
        <v>-51.578889182477603</v>
      </c>
      <c r="F1108" s="7">
        <f>SUMPRODUCT($C$6:$X$6,'batch tool'!$B1102:$W1102)+$Y$6</f>
        <v>-47.741473633885199</v>
      </c>
      <c r="G1108" s="7">
        <f>SUMPRODUCT($C$7:$X$7,'batch tool'!$B1102:$W1102)+$Y$7</f>
        <v>-19.739516238059196</v>
      </c>
      <c r="H1108" s="7">
        <f t="shared" si="34"/>
        <v>-19.739516238059196</v>
      </c>
      <c r="I1108">
        <f t="shared" si="35"/>
        <v>6</v>
      </c>
      <c r="J1108" t="str" cm="1">
        <f t="array" ref="J1108">INDEX($A$2:$A$7,I1108)</f>
        <v>Segment 6- Self-Conscious Male</v>
      </c>
    </row>
    <row r="1109" spans="1:10" x14ac:dyDescent="0.25">
      <c r="A1109" s="1">
        <f>'batch tool'!A1103</f>
        <v>0</v>
      </c>
      <c r="B1109" s="7">
        <f>SUMPRODUCT($C$2:$X$2,'batch tool'!$B1103:$W1103)+$Y$2</f>
        <v>-49.12272534143483</v>
      </c>
      <c r="C1109" s="7">
        <f>SUMPRODUCT($C$3:$X$3,'batch tool'!$B1103:$W1103)+$Y$3</f>
        <v>-36.514029388465531</v>
      </c>
      <c r="D1109" s="7">
        <f>SUMPRODUCT($C$4:$X$4,'batch tool'!$B1103:$W1103)+$Y$4</f>
        <v>-44.639843068043824</v>
      </c>
      <c r="E1109" s="7">
        <f>SUMPRODUCT($C$5:$X$5,'batch tool'!$B1103:$W1103)+$Y$5</f>
        <v>-51.578889182477603</v>
      </c>
      <c r="F1109" s="7">
        <f>SUMPRODUCT($C$6:$X$6,'batch tool'!$B1103:$W1103)+$Y$6</f>
        <v>-47.741473633885199</v>
      </c>
      <c r="G1109" s="7">
        <f>SUMPRODUCT($C$7:$X$7,'batch tool'!$B1103:$W1103)+$Y$7</f>
        <v>-19.739516238059196</v>
      </c>
      <c r="H1109" s="7">
        <f t="shared" si="34"/>
        <v>-19.739516238059196</v>
      </c>
      <c r="I1109">
        <f t="shared" si="35"/>
        <v>6</v>
      </c>
      <c r="J1109" t="str" cm="1">
        <f t="array" ref="J1109">INDEX($A$2:$A$7,I1109)</f>
        <v>Segment 6- Self-Conscious Male</v>
      </c>
    </row>
    <row r="1110" spans="1:10" x14ac:dyDescent="0.25">
      <c r="A1110" s="1">
        <f>'batch tool'!A1104</f>
        <v>0</v>
      </c>
      <c r="B1110" s="7">
        <f>SUMPRODUCT($C$2:$X$2,'batch tool'!$B1104:$W1104)+$Y$2</f>
        <v>-49.12272534143483</v>
      </c>
      <c r="C1110" s="7">
        <f>SUMPRODUCT($C$3:$X$3,'batch tool'!$B1104:$W1104)+$Y$3</f>
        <v>-36.514029388465531</v>
      </c>
      <c r="D1110" s="7">
        <f>SUMPRODUCT($C$4:$X$4,'batch tool'!$B1104:$W1104)+$Y$4</f>
        <v>-44.639843068043824</v>
      </c>
      <c r="E1110" s="7">
        <f>SUMPRODUCT($C$5:$X$5,'batch tool'!$B1104:$W1104)+$Y$5</f>
        <v>-51.578889182477603</v>
      </c>
      <c r="F1110" s="7">
        <f>SUMPRODUCT($C$6:$X$6,'batch tool'!$B1104:$W1104)+$Y$6</f>
        <v>-47.741473633885199</v>
      </c>
      <c r="G1110" s="7">
        <f>SUMPRODUCT($C$7:$X$7,'batch tool'!$B1104:$W1104)+$Y$7</f>
        <v>-19.739516238059196</v>
      </c>
      <c r="H1110" s="7">
        <f t="shared" si="34"/>
        <v>-19.739516238059196</v>
      </c>
      <c r="I1110">
        <f t="shared" si="35"/>
        <v>6</v>
      </c>
      <c r="J1110" t="str" cm="1">
        <f t="array" ref="J1110">INDEX($A$2:$A$7,I1110)</f>
        <v>Segment 6- Self-Conscious Male</v>
      </c>
    </row>
    <row r="1111" spans="1:10" x14ac:dyDescent="0.25">
      <c r="A1111" s="1">
        <f>'batch tool'!A1105</f>
        <v>0</v>
      </c>
      <c r="B1111" s="7">
        <f>SUMPRODUCT($C$2:$X$2,'batch tool'!$B1105:$W1105)+$Y$2</f>
        <v>-49.12272534143483</v>
      </c>
      <c r="C1111" s="7">
        <f>SUMPRODUCT($C$3:$X$3,'batch tool'!$B1105:$W1105)+$Y$3</f>
        <v>-36.514029388465531</v>
      </c>
      <c r="D1111" s="7">
        <f>SUMPRODUCT($C$4:$X$4,'batch tool'!$B1105:$W1105)+$Y$4</f>
        <v>-44.639843068043824</v>
      </c>
      <c r="E1111" s="7">
        <f>SUMPRODUCT($C$5:$X$5,'batch tool'!$B1105:$W1105)+$Y$5</f>
        <v>-51.578889182477603</v>
      </c>
      <c r="F1111" s="7">
        <f>SUMPRODUCT($C$6:$X$6,'batch tool'!$B1105:$W1105)+$Y$6</f>
        <v>-47.741473633885199</v>
      </c>
      <c r="G1111" s="7">
        <f>SUMPRODUCT($C$7:$X$7,'batch tool'!$B1105:$W1105)+$Y$7</f>
        <v>-19.739516238059196</v>
      </c>
      <c r="H1111" s="7">
        <f t="shared" si="34"/>
        <v>-19.739516238059196</v>
      </c>
      <c r="I1111">
        <f t="shared" si="35"/>
        <v>6</v>
      </c>
      <c r="J1111" t="str" cm="1">
        <f t="array" ref="J1111">INDEX($A$2:$A$7,I1111)</f>
        <v>Segment 6- Self-Conscious Male</v>
      </c>
    </row>
    <row r="1112" spans="1:10" x14ac:dyDescent="0.25">
      <c r="A1112" s="1">
        <f>'batch tool'!A1106</f>
        <v>0</v>
      </c>
      <c r="B1112" s="7">
        <f>SUMPRODUCT($C$2:$X$2,'batch tool'!$B1106:$W1106)+$Y$2</f>
        <v>-49.12272534143483</v>
      </c>
      <c r="C1112" s="7">
        <f>SUMPRODUCT($C$3:$X$3,'batch tool'!$B1106:$W1106)+$Y$3</f>
        <v>-36.514029388465531</v>
      </c>
      <c r="D1112" s="7">
        <f>SUMPRODUCT($C$4:$X$4,'batch tool'!$B1106:$W1106)+$Y$4</f>
        <v>-44.639843068043824</v>
      </c>
      <c r="E1112" s="7">
        <f>SUMPRODUCT($C$5:$X$5,'batch tool'!$B1106:$W1106)+$Y$5</f>
        <v>-51.578889182477603</v>
      </c>
      <c r="F1112" s="7">
        <f>SUMPRODUCT($C$6:$X$6,'batch tool'!$B1106:$W1106)+$Y$6</f>
        <v>-47.741473633885199</v>
      </c>
      <c r="G1112" s="7">
        <f>SUMPRODUCT($C$7:$X$7,'batch tool'!$B1106:$W1106)+$Y$7</f>
        <v>-19.739516238059196</v>
      </c>
      <c r="H1112" s="7">
        <f t="shared" si="34"/>
        <v>-19.739516238059196</v>
      </c>
      <c r="I1112">
        <f t="shared" si="35"/>
        <v>6</v>
      </c>
      <c r="J1112" t="str" cm="1">
        <f t="array" ref="J1112">INDEX($A$2:$A$7,I1112)</f>
        <v>Segment 6- Self-Conscious Male</v>
      </c>
    </row>
    <row r="1113" spans="1:10" x14ac:dyDescent="0.25">
      <c r="A1113" s="1">
        <f>'batch tool'!A1107</f>
        <v>0</v>
      </c>
      <c r="B1113" s="7">
        <f>SUMPRODUCT($C$2:$X$2,'batch tool'!$B1107:$W1107)+$Y$2</f>
        <v>-49.12272534143483</v>
      </c>
      <c r="C1113" s="7">
        <f>SUMPRODUCT($C$3:$X$3,'batch tool'!$B1107:$W1107)+$Y$3</f>
        <v>-36.514029388465531</v>
      </c>
      <c r="D1113" s="7">
        <f>SUMPRODUCT($C$4:$X$4,'batch tool'!$B1107:$W1107)+$Y$4</f>
        <v>-44.639843068043824</v>
      </c>
      <c r="E1113" s="7">
        <f>SUMPRODUCT($C$5:$X$5,'batch tool'!$B1107:$W1107)+$Y$5</f>
        <v>-51.578889182477603</v>
      </c>
      <c r="F1113" s="7">
        <f>SUMPRODUCT($C$6:$X$6,'batch tool'!$B1107:$W1107)+$Y$6</f>
        <v>-47.741473633885199</v>
      </c>
      <c r="G1113" s="7">
        <f>SUMPRODUCT($C$7:$X$7,'batch tool'!$B1107:$W1107)+$Y$7</f>
        <v>-19.739516238059196</v>
      </c>
      <c r="H1113" s="7">
        <f t="shared" si="34"/>
        <v>-19.739516238059196</v>
      </c>
      <c r="I1113">
        <f t="shared" si="35"/>
        <v>6</v>
      </c>
      <c r="J1113" t="str" cm="1">
        <f t="array" ref="J1113">INDEX($A$2:$A$7,I1113)</f>
        <v>Segment 6- Self-Conscious Male</v>
      </c>
    </row>
    <row r="1114" spans="1:10" x14ac:dyDescent="0.25">
      <c r="A1114" s="1">
        <f>'batch tool'!A1108</f>
        <v>0</v>
      </c>
      <c r="B1114" s="7">
        <f>SUMPRODUCT($C$2:$X$2,'batch tool'!$B1108:$W1108)+$Y$2</f>
        <v>-49.12272534143483</v>
      </c>
      <c r="C1114" s="7">
        <f>SUMPRODUCT($C$3:$X$3,'batch tool'!$B1108:$W1108)+$Y$3</f>
        <v>-36.514029388465531</v>
      </c>
      <c r="D1114" s="7">
        <f>SUMPRODUCT($C$4:$X$4,'batch tool'!$B1108:$W1108)+$Y$4</f>
        <v>-44.639843068043824</v>
      </c>
      <c r="E1114" s="7">
        <f>SUMPRODUCT($C$5:$X$5,'batch tool'!$B1108:$W1108)+$Y$5</f>
        <v>-51.578889182477603</v>
      </c>
      <c r="F1114" s="7">
        <f>SUMPRODUCT($C$6:$X$6,'batch tool'!$B1108:$W1108)+$Y$6</f>
        <v>-47.741473633885199</v>
      </c>
      <c r="G1114" s="7">
        <f>SUMPRODUCT($C$7:$X$7,'batch tool'!$B1108:$W1108)+$Y$7</f>
        <v>-19.739516238059196</v>
      </c>
      <c r="H1114" s="7">
        <f t="shared" si="34"/>
        <v>-19.739516238059196</v>
      </c>
      <c r="I1114">
        <f t="shared" si="35"/>
        <v>6</v>
      </c>
      <c r="J1114" t="str" cm="1">
        <f t="array" ref="J1114">INDEX($A$2:$A$7,I1114)</f>
        <v>Segment 6- Self-Conscious Male</v>
      </c>
    </row>
    <row r="1115" spans="1:10" x14ac:dyDescent="0.25">
      <c r="A1115" s="1">
        <f>'batch tool'!A1109</f>
        <v>0</v>
      </c>
      <c r="B1115" s="7">
        <f>SUMPRODUCT($C$2:$X$2,'batch tool'!$B1109:$W1109)+$Y$2</f>
        <v>-49.12272534143483</v>
      </c>
      <c r="C1115" s="7">
        <f>SUMPRODUCT($C$3:$X$3,'batch tool'!$B1109:$W1109)+$Y$3</f>
        <v>-36.514029388465531</v>
      </c>
      <c r="D1115" s="7">
        <f>SUMPRODUCT($C$4:$X$4,'batch tool'!$B1109:$W1109)+$Y$4</f>
        <v>-44.639843068043824</v>
      </c>
      <c r="E1115" s="7">
        <f>SUMPRODUCT($C$5:$X$5,'batch tool'!$B1109:$W1109)+$Y$5</f>
        <v>-51.578889182477603</v>
      </c>
      <c r="F1115" s="7">
        <f>SUMPRODUCT($C$6:$X$6,'batch tool'!$B1109:$W1109)+$Y$6</f>
        <v>-47.741473633885199</v>
      </c>
      <c r="G1115" s="7">
        <f>SUMPRODUCT($C$7:$X$7,'batch tool'!$B1109:$W1109)+$Y$7</f>
        <v>-19.739516238059196</v>
      </c>
      <c r="H1115" s="7">
        <f t="shared" si="34"/>
        <v>-19.739516238059196</v>
      </c>
      <c r="I1115">
        <f t="shared" si="35"/>
        <v>6</v>
      </c>
      <c r="J1115" t="str" cm="1">
        <f t="array" ref="J1115">INDEX($A$2:$A$7,I1115)</f>
        <v>Segment 6- Self-Conscious Male</v>
      </c>
    </row>
    <row r="1116" spans="1:10" x14ac:dyDescent="0.25">
      <c r="A1116" s="1">
        <f>'batch tool'!A1110</f>
        <v>0</v>
      </c>
      <c r="B1116" s="7">
        <f>SUMPRODUCT($C$2:$X$2,'batch tool'!$B1110:$W1110)+$Y$2</f>
        <v>-49.12272534143483</v>
      </c>
      <c r="C1116" s="7">
        <f>SUMPRODUCT($C$3:$X$3,'batch tool'!$B1110:$W1110)+$Y$3</f>
        <v>-36.514029388465531</v>
      </c>
      <c r="D1116" s="7">
        <f>SUMPRODUCT($C$4:$X$4,'batch tool'!$B1110:$W1110)+$Y$4</f>
        <v>-44.639843068043824</v>
      </c>
      <c r="E1116" s="7">
        <f>SUMPRODUCT($C$5:$X$5,'batch tool'!$B1110:$W1110)+$Y$5</f>
        <v>-51.578889182477603</v>
      </c>
      <c r="F1116" s="7">
        <f>SUMPRODUCT($C$6:$X$6,'batch tool'!$B1110:$W1110)+$Y$6</f>
        <v>-47.741473633885199</v>
      </c>
      <c r="G1116" s="7">
        <f>SUMPRODUCT($C$7:$X$7,'batch tool'!$B1110:$W1110)+$Y$7</f>
        <v>-19.739516238059196</v>
      </c>
      <c r="H1116" s="7">
        <f t="shared" si="34"/>
        <v>-19.739516238059196</v>
      </c>
      <c r="I1116">
        <f t="shared" si="35"/>
        <v>6</v>
      </c>
      <c r="J1116" t="str" cm="1">
        <f t="array" ref="J1116">INDEX($A$2:$A$7,I1116)</f>
        <v>Segment 6- Self-Conscious Male</v>
      </c>
    </row>
    <row r="1117" spans="1:10" x14ac:dyDescent="0.25">
      <c r="A1117" s="1">
        <f>'batch tool'!A1111</f>
        <v>0</v>
      </c>
      <c r="B1117" s="7">
        <f>SUMPRODUCT($C$2:$X$2,'batch tool'!$B1111:$W1111)+$Y$2</f>
        <v>-49.12272534143483</v>
      </c>
      <c r="C1117" s="7">
        <f>SUMPRODUCT($C$3:$X$3,'batch tool'!$B1111:$W1111)+$Y$3</f>
        <v>-36.514029388465531</v>
      </c>
      <c r="D1117" s="7">
        <f>SUMPRODUCT($C$4:$X$4,'batch tool'!$B1111:$W1111)+$Y$4</f>
        <v>-44.639843068043824</v>
      </c>
      <c r="E1117" s="7">
        <f>SUMPRODUCT($C$5:$X$5,'batch tool'!$B1111:$W1111)+$Y$5</f>
        <v>-51.578889182477603</v>
      </c>
      <c r="F1117" s="7">
        <f>SUMPRODUCT($C$6:$X$6,'batch tool'!$B1111:$W1111)+$Y$6</f>
        <v>-47.741473633885199</v>
      </c>
      <c r="G1117" s="7">
        <f>SUMPRODUCT($C$7:$X$7,'batch tool'!$B1111:$W1111)+$Y$7</f>
        <v>-19.739516238059196</v>
      </c>
      <c r="H1117" s="7">
        <f t="shared" si="34"/>
        <v>-19.739516238059196</v>
      </c>
      <c r="I1117">
        <f t="shared" si="35"/>
        <v>6</v>
      </c>
      <c r="J1117" t="str" cm="1">
        <f t="array" ref="J1117">INDEX($A$2:$A$7,I1117)</f>
        <v>Segment 6- Self-Conscious Male</v>
      </c>
    </row>
    <row r="1118" spans="1:10" x14ac:dyDescent="0.25">
      <c r="A1118" s="1">
        <f>'batch tool'!A1112</f>
        <v>0</v>
      </c>
      <c r="B1118" s="7">
        <f>SUMPRODUCT($C$2:$X$2,'batch tool'!$B1112:$W1112)+$Y$2</f>
        <v>-49.12272534143483</v>
      </c>
      <c r="C1118" s="7">
        <f>SUMPRODUCT($C$3:$X$3,'batch tool'!$B1112:$W1112)+$Y$3</f>
        <v>-36.514029388465531</v>
      </c>
      <c r="D1118" s="7">
        <f>SUMPRODUCT($C$4:$X$4,'batch tool'!$B1112:$W1112)+$Y$4</f>
        <v>-44.639843068043824</v>
      </c>
      <c r="E1118" s="7">
        <f>SUMPRODUCT($C$5:$X$5,'batch tool'!$B1112:$W1112)+$Y$5</f>
        <v>-51.578889182477603</v>
      </c>
      <c r="F1118" s="7">
        <f>SUMPRODUCT($C$6:$X$6,'batch tool'!$B1112:$W1112)+$Y$6</f>
        <v>-47.741473633885199</v>
      </c>
      <c r="G1118" s="7">
        <f>SUMPRODUCT($C$7:$X$7,'batch tool'!$B1112:$W1112)+$Y$7</f>
        <v>-19.739516238059196</v>
      </c>
      <c r="H1118" s="7">
        <f t="shared" si="34"/>
        <v>-19.739516238059196</v>
      </c>
      <c r="I1118">
        <f t="shared" si="35"/>
        <v>6</v>
      </c>
      <c r="J1118" t="str" cm="1">
        <f t="array" ref="J1118">INDEX($A$2:$A$7,I1118)</f>
        <v>Segment 6- Self-Conscious Male</v>
      </c>
    </row>
    <row r="1119" spans="1:10" x14ac:dyDescent="0.25">
      <c r="A1119" s="1">
        <f>'batch tool'!A1113</f>
        <v>0</v>
      </c>
      <c r="B1119" s="7">
        <f>SUMPRODUCT($C$2:$X$2,'batch tool'!$B1113:$W1113)+$Y$2</f>
        <v>-49.12272534143483</v>
      </c>
      <c r="C1119" s="7">
        <f>SUMPRODUCT($C$3:$X$3,'batch tool'!$B1113:$W1113)+$Y$3</f>
        <v>-36.514029388465531</v>
      </c>
      <c r="D1119" s="7">
        <f>SUMPRODUCT($C$4:$X$4,'batch tool'!$B1113:$W1113)+$Y$4</f>
        <v>-44.639843068043824</v>
      </c>
      <c r="E1119" s="7">
        <f>SUMPRODUCT($C$5:$X$5,'batch tool'!$B1113:$W1113)+$Y$5</f>
        <v>-51.578889182477603</v>
      </c>
      <c r="F1119" s="7">
        <f>SUMPRODUCT($C$6:$X$6,'batch tool'!$B1113:$W1113)+$Y$6</f>
        <v>-47.741473633885199</v>
      </c>
      <c r="G1119" s="7">
        <f>SUMPRODUCT($C$7:$X$7,'batch tool'!$B1113:$W1113)+$Y$7</f>
        <v>-19.739516238059196</v>
      </c>
      <c r="H1119" s="7">
        <f t="shared" si="34"/>
        <v>-19.739516238059196</v>
      </c>
      <c r="I1119">
        <f t="shared" si="35"/>
        <v>6</v>
      </c>
      <c r="J1119" t="str" cm="1">
        <f t="array" ref="J1119">INDEX($A$2:$A$7,I1119)</f>
        <v>Segment 6- Self-Conscious Male</v>
      </c>
    </row>
    <row r="1120" spans="1:10" x14ac:dyDescent="0.25">
      <c r="A1120" s="1">
        <f>'batch tool'!A1114</f>
        <v>0</v>
      </c>
      <c r="B1120" s="7">
        <f>SUMPRODUCT($C$2:$X$2,'batch tool'!$B1114:$W1114)+$Y$2</f>
        <v>-49.12272534143483</v>
      </c>
      <c r="C1120" s="7">
        <f>SUMPRODUCT($C$3:$X$3,'batch tool'!$B1114:$W1114)+$Y$3</f>
        <v>-36.514029388465531</v>
      </c>
      <c r="D1120" s="7">
        <f>SUMPRODUCT($C$4:$X$4,'batch tool'!$B1114:$W1114)+$Y$4</f>
        <v>-44.639843068043824</v>
      </c>
      <c r="E1120" s="7">
        <f>SUMPRODUCT($C$5:$X$5,'batch tool'!$B1114:$W1114)+$Y$5</f>
        <v>-51.578889182477603</v>
      </c>
      <c r="F1120" s="7">
        <f>SUMPRODUCT($C$6:$X$6,'batch tool'!$B1114:$W1114)+$Y$6</f>
        <v>-47.741473633885199</v>
      </c>
      <c r="G1120" s="7">
        <f>SUMPRODUCT($C$7:$X$7,'batch tool'!$B1114:$W1114)+$Y$7</f>
        <v>-19.739516238059196</v>
      </c>
      <c r="H1120" s="7">
        <f t="shared" si="34"/>
        <v>-19.739516238059196</v>
      </c>
      <c r="I1120">
        <f t="shared" si="35"/>
        <v>6</v>
      </c>
      <c r="J1120" t="str" cm="1">
        <f t="array" ref="J1120">INDEX($A$2:$A$7,I1120)</f>
        <v>Segment 6- Self-Conscious Male</v>
      </c>
    </row>
    <row r="1121" spans="1:10" x14ac:dyDescent="0.25">
      <c r="A1121" s="1">
        <f>'batch tool'!A1115</f>
        <v>0</v>
      </c>
      <c r="B1121" s="7">
        <f>SUMPRODUCT($C$2:$X$2,'batch tool'!$B1115:$W1115)+$Y$2</f>
        <v>-49.12272534143483</v>
      </c>
      <c r="C1121" s="7">
        <f>SUMPRODUCT($C$3:$X$3,'batch tool'!$B1115:$W1115)+$Y$3</f>
        <v>-36.514029388465531</v>
      </c>
      <c r="D1121" s="7">
        <f>SUMPRODUCT($C$4:$X$4,'batch tool'!$B1115:$W1115)+$Y$4</f>
        <v>-44.639843068043824</v>
      </c>
      <c r="E1121" s="7">
        <f>SUMPRODUCT($C$5:$X$5,'batch tool'!$B1115:$W1115)+$Y$5</f>
        <v>-51.578889182477603</v>
      </c>
      <c r="F1121" s="7">
        <f>SUMPRODUCT($C$6:$X$6,'batch tool'!$B1115:$W1115)+$Y$6</f>
        <v>-47.741473633885199</v>
      </c>
      <c r="G1121" s="7">
        <f>SUMPRODUCT($C$7:$X$7,'batch tool'!$B1115:$W1115)+$Y$7</f>
        <v>-19.739516238059196</v>
      </c>
      <c r="H1121" s="7">
        <f t="shared" si="34"/>
        <v>-19.739516238059196</v>
      </c>
      <c r="I1121">
        <f t="shared" si="35"/>
        <v>6</v>
      </c>
      <c r="J1121" t="str" cm="1">
        <f t="array" ref="J1121">INDEX($A$2:$A$7,I1121)</f>
        <v>Segment 6- Self-Conscious Male</v>
      </c>
    </row>
    <row r="1122" spans="1:10" x14ac:dyDescent="0.25">
      <c r="A1122" s="1">
        <f>'batch tool'!A1116</f>
        <v>0</v>
      </c>
      <c r="B1122" s="7">
        <f>SUMPRODUCT($C$2:$X$2,'batch tool'!$B1116:$W1116)+$Y$2</f>
        <v>-49.12272534143483</v>
      </c>
      <c r="C1122" s="7">
        <f>SUMPRODUCT($C$3:$X$3,'batch tool'!$B1116:$W1116)+$Y$3</f>
        <v>-36.514029388465531</v>
      </c>
      <c r="D1122" s="7">
        <f>SUMPRODUCT($C$4:$X$4,'batch tool'!$B1116:$W1116)+$Y$4</f>
        <v>-44.639843068043824</v>
      </c>
      <c r="E1122" s="7">
        <f>SUMPRODUCT($C$5:$X$5,'batch tool'!$B1116:$W1116)+$Y$5</f>
        <v>-51.578889182477603</v>
      </c>
      <c r="F1122" s="7">
        <f>SUMPRODUCT($C$6:$X$6,'batch tool'!$B1116:$W1116)+$Y$6</f>
        <v>-47.741473633885199</v>
      </c>
      <c r="G1122" s="7">
        <f>SUMPRODUCT($C$7:$X$7,'batch tool'!$B1116:$W1116)+$Y$7</f>
        <v>-19.739516238059196</v>
      </c>
      <c r="H1122" s="7">
        <f t="shared" si="34"/>
        <v>-19.739516238059196</v>
      </c>
      <c r="I1122">
        <f t="shared" si="35"/>
        <v>6</v>
      </c>
      <c r="J1122" t="str" cm="1">
        <f t="array" ref="J1122">INDEX($A$2:$A$7,I1122)</f>
        <v>Segment 6- Self-Conscious Male</v>
      </c>
    </row>
    <row r="1123" spans="1:10" x14ac:dyDescent="0.25">
      <c r="A1123" s="1">
        <f>'batch tool'!A1117</f>
        <v>0</v>
      </c>
      <c r="B1123" s="7">
        <f>SUMPRODUCT($C$2:$X$2,'batch tool'!$B1117:$W1117)+$Y$2</f>
        <v>-49.12272534143483</v>
      </c>
      <c r="C1123" s="7">
        <f>SUMPRODUCT($C$3:$X$3,'batch tool'!$B1117:$W1117)+$Y$3</f>
        <v>-36.514029388465531</v>
      </c>
      <c r="D1123" s="7">
        <f>SUMPRODUCT($C$4:$X$4,'batch tool'!$B1117:$W1117)+$Y$4</f>
        <v>-44.639843068043824</v>
      </c>
      <c r="E1123" s="7">
        <f>SUMPRODUCT($C$5:$X$5,'batch tool'!$B1117:$W1117)+$Y$5</f>
        <v>-51.578889182477603</v>
      </c>
      <c r="F1123" s="7">
        <f>SUMPRODUCT($C$6:$X$6,'batch tool'!$B1117:$W1117)+$Y$6</f>
        <v>-47.741473633885199</v>
      </c>
      <c r="G1123" s="7">
        <f>SUMPRODUCT($C$7:$X$7,'batch tool'!$B1117:$W1117)+$Y$7</f>
        <v>-19.739516238059196</v>
      </c>
      <c r="H1123" s="7">
        <f t="shared" si="34"/>
        <v>-19.739516238059196</v>
      </c>
      <c r="I1123">
        <f t="shared" si="35"/>
        <v>6</v>
      </c>
      <c r="J1123" t="str" cm="1">
        <f t="array" ref="J1123">INDEX($A$2:$A$7,I1123)</f>
        <v>Segment 6- Self-Conscious Male</v>
      </c>
    </row>
    <row r="1124" spans="1:10" x14ac:dyDescent="0.25">
      <c r="A1124" s="1">
        <f>'batch tool'!A1118</f>
        <v>0</v>
      </c>
      <c r="B1124" s="7">
        <f>SUMPRODUCT($C$2:$X$2,'batch tool'!$B1118:$W1118)+$Y$2</f>
        <v>-49.12272534143483</v>
      </c>
      <c r="C1124" s="7">
        <f>SUMPRODUCT($C$3:$X$3,'batch tool'!$B1118:$W1118)+$Y$3</f>
        <v>-36.514029388465531</v>
      </c>
      <c r="D1124" s="7">
        <f>SUMPRODUCT($C$4:$X$4,'batch tool'!$B1118:$W1118)+$Y$4</f>
        <v>-44.639843068043824</v>
      </c>
      <c r="E1124" s="7">
        <f>SUMPRODUCT($C$5:$X$5,'batch tool'!$B1118:$W1118)+$Y$5</f>
        <v>-51.578889182477603</v>
      </c>
      <c r="F1124" s="7">
        <f>SUMPRODUCT($C$6:$X$6,'batch tool'!$B1118:$W1118)+$Y$6</f>
        <v>-47.741473633885199</v>
      </c>
      <c r="G1124" s="7">
        <f>SUMPRODUCT($C$7:$X$7,'batch tool'!$B1118:$W1118)+$Y$7</f>
        <v>-19.739516238059196</v>
      </c>
      <c r="H1124" s="7">
        <f t="shared" si="34"/>
        <v>-19.739516238059196</v>
      </c>
      <c r="I1124">
        <f t="shared" si="35"/>
        <v>6</v>
      </c>
      <c r="J1124" t="str" cm="1">
        <f t="array" ref="J1124">INDEX($A$2:$A$7,I1124)</f>
        <v>Segment 6- Self-Conscious Male</v>
      </c>
    </row>
    <row r="1125" spans="1:10" x14ac:dyDescent="0.25">
      <c r="A1125" s="1">
        <f>'batch tool'!A1119</f>
        <v>0</v>
      </c>
      <c r="B1125" s="7">
        <f>SUMPRODUCT($C$2:$X$2,'batch tool'!$B1119:$W1119)+$Y$2</f>
        <v>-49.12272534143483</v>
      </c>
      <c r="C1125" s="7">
        <f>SUMPRODUCT($C$3:$X$3,'batch tool'!$B1119:$W1119)+$Y$3</f>
        <v>-36.514029388465531</v>
      </c>
      <c r="D1125" s="7">
        <f>SUMPRODUCT($C$4:$X$4,'batch tool'!$B1119:$W1119)+$Y$4</f>
        <v>-44.639843068043824</v>
      </c>
      <c r="E1125" s="7">
        <f>SUMPRODUCT($C$5:$X$5,'batch tool'!$B1119:$W1119)+$Y$5</f>
        <v>-51.578889182477603</v>
      </c>
      <c r="F1125" s="7">
        <f>SUMPRODUCT($C$6:$X$6,'batch tool'!$B1119:$W1119)+$Y$6</f>
        <v>-47.741473633885199</v>
      </c>
      <c r="G1125" s="7">
        <f>SUMPRODUCT($C$7:$X$7,'batch tool'!$B1119:$W1119)+$Y$7</f>
        <v>-19.739516238059196</v>
      </c>
      <c r="H1125" s="7">
        <f t="shared" si="34"/>
        <v>-19.739516238059196</v>
      </c>
      <c r="I1125">
        <f t="shared" si="35"/>
        <v>6</v>
      </c>
      <c r="J1125" t="str" cm="1">
        <f t="array" ref="J1125">INDEX($A$2:$A$7,I1125)</f>
        <v>Segment 6- Self-Conscious Male</v>
      </c>
    </row>
    <row r="1126" spans="1:10" x14ac:dyDescent="0.25">
      <c r="A1126" s="1">
        <f>'batch tool'!A1120</f>
        <v>0</v>
      </c>
      <c r="B1126" s="7">
        <f>SUMPRODUCT($C$2:$X$2,'batch tool'!$B1120:$W1120)+$Y$2</f>
        <v>-49.12272534143483</v>
      </c>
      <c r="C1126" s="7">
        <f>SUMPRODUCT($C$3:$X$3,'batch tool'!$B1120:$W1120)+$Y$3</f>
        <v>-36.514029388465531</v>
      </c>
      <c r="D1126" s="7">
        <f>SUMPRODUCT($C$4:$X$4,'batch tool'!$B1120:$W1120)+$Y$4</f>
        <v>-44.639843068043824</v>
      </c>
      <c r="E1126" s="7">
        <f>SUMPRODUCT($C$5:$X$5,'batch tool'!$B1120:$W1120)+$Y$5</f>
        <v>-51.578889182477603</v>
      </c>
      <c r="F1126" s="7">
        <f>SUMPRODUCT($C$6:$X$6,'batch tool'!$B1120:$W1120)+$Y$6</f>
        <v>-47.741473633885199</v>
      </c>
      <c r="G1126" s="7">
        <f>SUMPRODUCT($C$7:$X$7,'batch tool'!$B1120:$W1120)+$Y$7</f>
        <v>-19.739516238059196</v>
      </c>
      <c r="H1126" s="7">
        <f t="shared" si="34"/>
        <v>-19.739516238059196</v>
      </c>
      <c r="I1126">
        <f t="shared" si="35"/>
        <v>6</v>
      </c>
      <c r="J1126" t="str" cm="1">
        <f t="array" ref="J1126">INDEX($A$2:$A$7,I1126)</f>
        <v>Segment 6- Self-Conscious Male</v>
      </c>
    </row>
    <row r="1127" spans="1:10" x14ac:dyDescent="0.25">
      <c r="A1127" s="1">
        <f>'batch tool'!A1121</f>
        <v>0</v>
      </c>
      <c r="B1127" s="7">
        <f>SUMPRODUCT($C$2:$X$2,'batch tool'!$B1121:$W1121)+$Y$2</f>
        <v>-49.12272534143483</v>
      </c>
      <c r="C1127" s="7">
        <f>SUMPRODUCT($C$3:$X$3,'batch tool'!$B1121:$W1121)+$Y$3</f>
        <v>-36.514029388465531</v>
      </c>
      <c r="D1127" s="7">
        <f>SUMPRODUCT($C$4:$X$4,'batch tool'!$B1121:$W1121)+$Y$4</f>
        <v>-44.639843068043824</v>
      </c>
      <c r="E1127" s="7">
        <f>SUMPRODUCT($C$5:$X$5,'batch tool'!$B1121:$W1121)+$Y$5</f>
        <v>-51.578889182477603</v>
      </c>
      <c r="F1127" s="7">
        <f>SUMPRODUCT($C$6:$X$6,'batch tool'!$B1121:$W1121)+$Y$6</f>
        <v>-47.741473633885199</v>
      </c>
      <c r="G1127" s="7">
        <f>SUMPRODUCT($C$7:$X$7,'batch tool'!$B1121:$W1121)+$Y$7</f>
        <v>-19.739516238059196</v>
      </c>
      <c r="H1127" s="7">
        <f t="shared" si="34"/>
        <v>-19.739516238059196</v>
      </c>
      <c r="I1127">
        <f t="shared" si="35"/>
        <v>6</v>
      </c>
      <c r="J1127" t="str" cm="1">
        <f t="array" ref="J1127">INDEX($A$2:$A$7,I1127)</f>
        <v>Segment 6- Self-Conscious Male</v>
      </c>
    </row>
    <row r="1128" spans="1:10" x14ac:dyDescent="0.25">
      <c r="A1128" s="1">
        <f>'batch tool'!A1122</f>
        <v>0</v>
      </c>
      <c r="B1128" s="7">
        <f>SUMPRODUCT($C$2:$X$2,'batch tool'!$B1122:$W1122)+$Y$2</f>
        <v>-49.12272534143483</v>
      </c>
      <c r="C1128" s="7">
        <f>SUMPRODUCT($C$3:$X$3,'batch tool'!$B1122:$W1122)+$Y$3</f>
        <v>-36.514029388465531</v>
      </c>
      <c r="D1128" s="7">
        <f>SUMPRODUCT($C$4:$X$4,'batch tool'!$B1122:$W1122)+$Y$4</f>
        <v>-44.639843068043824</v>
      </c>
      <c r="E1128" s="7">
        <f>SUMPRODUCT($C$5:$X$5,'batch tool'!$B1122:$W1122)+$Y$5</f>
        <v>-51.578889182477603</v>
      </c>
      <c r="F1128" s="7">
        <f>SUMPRODUCT($C$6:$X$6,'batch tool'!$B1122:$W1122)+$Y$6</f>
        <v>-47.741473633885199</v>
      </c>
      <c r="G1128" s="7">
        <f>SUMPRODUCT($C$7:$X$7,'batch tool'!$B1122:$W1122)+$Y$7</f>
        <v>-19.739516238059196</v>
      </c>
      <c r="H1128" s="7">
        <f t="shared" si="34"/>
        <v>-19.739516238059196</v>
      </c>
      <c r="I1128">
        <f t="shared" si="35"/>
        <v>6</v>
      </c>
      <c r="J1128" t="str" cm="1">
        <f t="array" ref="J1128">INDEX($A$2:$A$7,I1128)</f>
        <v>Segment 6- Self-Conscious Male</v>
      </c>
    </row>
    <row r="1129" spans="1:10" x14ac:dyDescent="0.25">
      <c r="A1129" s="1">
        <f>'batch tool'!A1123</f>
        <v>0</v>
      </c>
      <c r="B1129" s="7">
        <f>SUMPRODUCT($C$2:$X$2,'batch tool'!$B1123:$W1123)+$Y$2</f>
        <v>-49.12272534143483</v>
      </c>
      <c r="C1129" s="7">
        <f>SUMPRODUCT($C$3:$X$3,'batch tool'!$B1123:$W1123)+$Y$3</f>
        <v>-36.514029388465531</v>
      </c>
      <c r="D1129" s="7">
        <f>SUMPRODUCT($C$4:$X$4,'batch tool'!$B1123:$W1123)+$Y$4</f>
        <v>-44.639843068043824</v>
      </c>
      <c r="E1129" s="7">
        <f>SUMPRODUCT($C$5:$X$5,'batch tool'!$B1123:$W1123)+$Y$5</f>
        <v>-51.578889182477603</v>
      </c>
      <c r="F1129" s="7">
        <f>SUMPRODUCT($C$6:$X$6,'batch tool'!$B1123:$W1123)+$Y$6</f>
        <v>-47.741473633885199</v>
      </c>
      <c r="G1129" s="7">
        <f>SUMPRODUCT($C$7:$X$7,'batch tool'!$B1123:$W1123)+$Y$7</f>
        <v>-19.739516238059196</v>
      </c>
      <c r="H1129" s="7">
        <f t="shared" si="34"/>
        <v>-19.739516238059196</v>
      </c>
      <c r="I1129">
        <f t="shared" si="35"/>
        <v>6</v>
      </c>
      <c r="J1129" t="str" cm="1">
        <f t="array" ref="J1129">INDEX($A$2:$A$7,I1129)</f>
        <v>Segment 6- Self-Conscious Male</v>
      </c>
    </row>
    <row r="1130" spans="1:10" x14ac:dyDescent="0.25">
      <c r="A1130" s="1">
        <f>'batch tool'!A1124</f>
        <v>0</v>
      </c>
      <c r="B1130" s="7">
        <f>SUMPRODUCT($C$2:$X$2,'batch tool'!$B1124:$W1124)+$Y$2</f>
        <v>-49.12272534143483</v>
      </c>
      <c r="C1130" s="7">
        <f>SUMPRODUCT($C$3:$X$3,'batch tool'!$B1124:$W1124)+$Y$3</f>
        <v>-36.514029388465531</v>
      </c>
      <c r="D1130" s="7">
        <f>SUMPRODUCT($C$4:$X$4,'batch tool'!$B1124:$W1124)+$Y$4</f>
        <v>-44.639843068043824</v>
      </c>
      <c r="E1130" s="7">
        <f>SUMPRODUCT($C$5:$X$5,'batch tool'!$B1124:$W1124)+$Y$5</f>
        <v>-51.578889182477603</v>
      </c>
      <c r="F1130" s="7">
        <f>SUMPRODUCT($C$6:$X$6,'batch tool'!$B1124:$W1124)+$Y$6</f>
        <v>-47.741473633885199</v>
      </c>
      <c r="G1130" s="7">
        <f>SUMPRODUCT($C$7:$X$7,'batch tool'!$B1124:$W1124)+$Y$7</f>
        <v>-19.739516238059196</v>
      </c>
      <c r="H1130" s="7">
        <f t="shared" si="34"/>
        <v>-19.739516238059196</v>
      </c>
      <c r="I1130">
        <f t="shared" si="35"/>
        <v>6</v>
      </c>
      <c r="J1130" t="str" cm="1">
        <f t="array" ref="J1130">INDEX($A$2:$A$7,I1130)</f>
        <v>Segment 6- Self-Conscious Male</v>
      </c>
    </row>
    <row r="1131" spans="1:10" x14ac:dyDescent="0.25">
      <c r="A1131" s="1">
        <f>'batch tool'!A1125</f>
        <v>0</v>
      </c>
      <c r="B1131" s="7">
        <f>SUMPRODUCT($C$2:$X$2,'batch tool'!$B1125:$W1125)+$Y$2</f>
        <v>-49.12272534143483</v>
      </c>
      <c r="C1131" s="7">
        <f>SUMPRODUCT($C$3:$X$3,'batch tool'!$B1125:$W1125)+$Y$3</f>
        <v>-36.514029388465531</v>
      </c>
      <c r="D1131" s="7">
        <f>SUMPRODUCT($C$4:$X$4,'batch tool'!$B1125:$W1125)+$Y$4</f>
        <v>-44.639843068043824</v>
      </c>
      <c r="E1131" s="7">
        <f>SUMPRODUCT($C$5:$X$5,'batch tool'!$B1125:$W1125)+$Y$5</f>
        <v>-51.578889182477603</v>
      </c>
      <c r="F1131" s="7">
        <f>SUMPRODUCT($C$6:$X$6,'batch tool'!$B1125:$W1125)+$Y$6</f>
        <v>-47.741473633885199</v>
      </c>
      <c r="G1131" s="7">
        <f>SUMPRODUCT($C$7:$X$7,'batch tool'!$B1125:$W1125)+$Y$7</f>
        <v>-19.739516238059196</v>
      </c>
      <c r="H1131" s="7">
        <f t="shared" si="34"/>
        <v>-19.739516238059196</v>
      </c>
      <c r="I1131">
        <f t="shared" si="35"/>
        <v>6</v>
      </c>
      <c r="J1131" t="str" cm="1">
        <f t="array" ref="J1131">INDEX($A$2:$A$7,I1131)</f>
        <v>Segment 6- Self-Conscious Male</v>
      </c>
    </row>
    <row r="1132" spans="1:10" x14ac:dyDescent="0.25">
      <c r="A1132" s="1">
        <f>'batch tool'!A1126</f>
        <v>0</v>
      </c>
      <c r="B1132" s="7">
        <f>SUMPRODUCT($C$2:$X$2,'batch tool'!$B1126:$W1126)+$Y$2</f>
        <v>-49.12272534143483</v>
      </c>
      <c r="C1132" s="7">
        <f>SUMPRODUCT($C$3:$X$3,'batch tool'!$B1126:$W1126)+$Y$3</f>
        <v>-36.514029388465531</v>
      </c>
      <c r="D1132" s="7">
        <f>SUMPRODUCT($C$4:$X$4,'batch tool'!$B1126:$W1126)+$Y$4</f>
        <v>-44.639843068043824</v>
      </c>
      <c r="E1132" s="7">
        <f>SUMPRODUCT($C$5:$X$5,'batch tool'!$B1126:$W1126)+$Y$5</f>
        <v>-51.578889182477603</v>
      </c>
      <c r="F1132" s="7">
        <f>SUMPRODUCT($C$6:$X$6,'batch tool'!$B1126:$W1126)+$Y$6</f>
        <v>-47.741473633885199</v>
      </c>
      <c r="G1132" s="7">
        <f>SUMPRODUCT($C$7:$X$7,'batch tool'!$B1126:$W1126)+$Y$7</f>
        <v>-19.739516238059196</v>
      </c>
      <c r="H1132" s="7">
        <f t="shared" si="34"/>
        <v>-19.739516238059196</v>
      </c>
      <c r="I1132">
        <f t="shared" si="35"/>
        <v>6</v>
      </c>
      <c r="J1132" t="str" cm="1">
        <f t="array" ref="J1132">INDEX($A$2:$A$7,I1132)</f>
        <v>Segment 6- Self-Conscious Male</v>
      </c>
    </row>
    <row r="1133" spans="1:10" x14ac:dyDescent="0.25">
      <c r="A1133" s="1">
        <f>'batch tool'!A1127</f>
        <v>0</v>
      </c>
      <c r="B1133" s="7">
        <f>SUMPRODUCT($C$2:$X$2,'batch tool'!$B1127:$W1127)+$Y$2</f>
        <v>-49.12272534143483</v>
      </c>
      <c r="C1133" s="7">
        <f>SUMPRODUCT($C$3:$X$3,'batch tool'!$B1127:$W1127)+$Y$3</f>
        <v>-36.514029388465531</v>
      </c>
      <c r="D1133" s="7">
        <f>SUMPRODUCT($C$4:$X$4,'batch tool'!$B1127:$W1127)+$Y$4</f>
        <v>-44.639843068043824</v>
      </c>
      <c r="E1133" s="7">
        <f>SUMPRODUCT($C$5:$X$5,'batch tool'!$B1127:$W1127)+$Y$5</f>
        <v>-51.578889182477603</v>
      </c>
      <c r="F1133" s="7">
        <f>SUMPRODUCT($C$6:$X$6,'batch tool'!$B1127:$W1127)+$Y$6</f>
        <v>-47.741473633885199</v>
      </c>
      <c r="G1133" s="7">
        <f>SUMPRODUCT($C$7:$X$7,'batch tool'!$B1127:$W1127)+$Y$7</f>
        <v>-19.739516238059196</v>
      </c>
      <c r="H1133" s="7">
        <f t="shared" si="34"/>
        <v>-19.739516238059196</v>
      </c>
      <c r="I1133">
        <f t="shared" si="35"/>
        <v>6</v>
      </c>
      <c r="J1133" t="str" cm="1">
        <f t="array" ref="J1133">INDEX($A$2:$A$7,I1133)</f>
        <v>Segment 6- Self-Conscious Male</v>
      </c>
    </row>
    <row r="1134" spans="1:10" x14ac:dyDescent="0.25">
      <c r="A1134" s="1">
        <f>'batch tool'!A1128</f>
        <v>0</v>
      </c>
      <c r="B1134" s="7">
        <f>SUMPRODUCT($C$2:$X$2,'batch tool'!$B1128:$W1128)+$Y$2</f>
        <v>-49.12272534143483</v>
      </c>
      <c r="C1134" s="7">
        <f>SUMPRODUCT($C$3:$X$3,'batch tool'!$B1128:$W1128)+$Y$3</f>
        <v>-36.514029388465531</v>
      </c>
      <c r="D1134" s="7">
        <f>SUMPRODUCT($C$4:$X$4,'batch tool'!$B1128:$W1128)+$Y$4</f>
        <v>-44.639843068043824</v>
      </c>
      <c r="E1134" s="7">
        <f>SUMPRODUCT($C$5:$X$5,'batch tool'!$B1128:$W1128)+$Y$5</f>
        <v>-51.578889182477603</v>
      </c>
      <c r="F1134" s="7">
        <f>SUMPRODUCT($C$6:$X$6,'batch tool'!$B1128:$W1128)+$Y$6</f>
        <v>-47.741473633885199</v>
      </c>
      <c r="G1134" s="7">
        <f>SUMPRODUCT($C$7:$X$7,'batch tool'!$B1128:$W1128)+$Y$7</f>
        <v>-19.739516238059196</v>
      </c>
      <c r="H1134" s="7">
        <f t="shared" si="34"/>
        <v>-19.739516238059196</v>
      </c>
      <c r="I1134">
        <f t="shared" si="35"/>
        <v>6</v>
      </c>
      <c r="J1134" t="str" cm="1">
        <f t="array" ref="J1134">INDEX($A$2:$A$7,I1134)</f>
        <v>Segment 6- Self-Conscious Male</v>
      </c>
    </row>
    <row r="1135" spans="1:10" x14ac:dyDescent="0.25">
      <c r="A1135" s="1">
        <f>'batch tool'!A1129</f>
        <v>0</v>
      </c>
      <c r="B1135" s="7">
        <f>SUMPRODUCT($C$2:$X$2,'batch tool'!$B1129:$W1129)+$Y$2</f>
        <v>-49.12272534143483</v>
      </c>
      <c r="C1135" s="7">
        <f>SUMPRODUCT($C$3:$X$3,'batch tool'!$B1129:$W1129)+$Y$3</f>
        <v>-36.514029388465531</v>
      </c>
      <c r="D1135" s="7">
        <f>SUMPRODUCT($C$4:$X$4,'batch tool'!$B1129:$W1129)+$Y$4</f>
        <v>-44.639843068043824</v>
      </c>
      <c r="E1135" s="7">
        <f>SUMPRODUCT($C$5:$X$5,'batch tool'!$B1129:$W1129)+$Y$5</f>
        <v>-51.578889182477603</v>
      </c>
      <c r="F1135" s="7">
        <f>SUMPRODUCT($C$6:$X$6,'batch tool'!$B1129:$W1129)+$Y$6</f>
        <v>-47.741473633885199</v>
      </c>
      <c r="G1135" s="7">
        <f>SUMPRODUCT($C$7:$X$7,'batch tool'!$B1129:$W1129)+$Y$7</f>
        <v>-19.739516238059196</v>
      </c>
      <c r="H1135" s="7">
        <f t="shared" si="34"/>
        <v>-19.739516238059196</v>
      </c>
      <c r="I1135">
        <f t="shared" si="35"/>
        <v>6</v>
      </c>
      <c r="J1135" t="str" cm="1">
        <f t="array" ref="J1135">INDEX($A$2:$A$7,I1135)</f>
        <v>Segment 6- Self-Conscious Male</v>
      </c>
    </row>
    <row r="1136" spans="1:10" x14ac:dyDescent="0.25">
      <c r="A1136" s="1">
        <f>'batch tool'!A1130</f>
        <v>0</v>
      </c>
      <c r="B1136" s="7">
        <f>SUMPRODUCT($C$2:$X$2,'batch tool'!$B1130:$W1130)+$Y$2</f>
        <v>-49.12272534143483</v>
      </c>
      <c r="C1136" s="7">
        <f>SUMPRODUCT($C$3:$X$3,'batch tool'!$B1130:$W1130)+$Y$3</f>
        <v>-36.514029388465531</v>
      </c>
      <c r="D1136" s="7">
        <f>SUMPRODUCT($C$4:$X$4,'batch tool'!$B1130:$W1130)+$Y$4</f>
        <v>-44.639843068043824</v>
      </c>
      <c r="E1136" s="7">
        <f>SUMPRODUCT($C$5:$X$5,'batch tool'!$B1130:$W1130)+$Y$5</f>
        <v>-51.578889182477603</v>
      </c>
      <c r="F1136" s="7">
        <f>SUMPRODUCT($C$6:$X$6,'batch tool'!$B1130:$W1130)+$Y$6</f>
        <v>-47.741473633885199</v>
      </c>
      <c r="G1136" s="7">
        <f>SUMPRODUCT($C$7:$X$7,'batch tool'!$B1130:$W1130)+$Y$7</f>
        <v>-19.739516238059196</v>
      </c>
      <c r="H1136" s="7">
        <f t="shared" si="34"/>
        <v>-19.739516238059196</v>
      </c>
      <c r="I1136">
        <f t="shared" si="35"/>
        <v>6</v>
      </c>
      <c r="J1136" t="str" cm="1">
        <f t="array" ref="J1136">INDEX($A$2:$A$7,I1136)</f>
        <v>Segment 6- Self-Conscious Male</v>
      </c>
    </row>
    <row r="1137" spans="1:10" x14ac:dyDescent="0.25">
      <c r="A1137" s="1">
        <f>'batch tool'!A1131</f>
        <v>0</v>
      </c>
      <c r="B1137" s="7">
        <f>SUMPRODUCT($C$2:$X$2,'batch tool'!$B1131:$W1131)+$Y$2</f>
        <v>-49.12272534143483</v>
      </c>
      <c r="C1137" s="7">
        <f>SUMPRODUCT($C$3:$X$3,'batch tool'!$B1131:$W1131)+$Y$3</f>
        <v>-36.514029388465531</v>
      </c>
      <c r="D1137" s="7">
        <f>SUMPRODUCT($C$4:$X$4,'batch tool'!$B1131:$W1131)+$Y$4</f>
        <v>-44.639843068043824</v>
      </c>
      <c r="E1137" s="7">
        <f>SUMPRODUCT($C$5:$X$5,'batch tool'!$B1131:$W1131)+$Y$5</f>
        <v>-51.578889182477603</v>
      </c>
      <c r="F1137" s="7">
        <f>SUMPRODUCT($C$6:$X$6,'batch tool'!$B1131:$W1131)+$Y$6</f>
        <v>-47.741473633885199</v>
      </c>
      <c r="G1137" s="7">
        <f>SUMPRODUCT($C$7:$X$7,'batch tool'!$B1131:$W1131)+$Y$7</f>
        <v>-19.739516238059196</v>
      </c>
      <c r="H1137" s="7">
        <f t="shared" si="34"/>
        <v>-19.739516238059196</v>
      </c>
      <c r="I1137">
        <f t="shared" si="35"/>
        <v>6</v>
      </c>
      <c r="J1137" t="str" cm="1">
        <f t="array" ref="J1137">INDEX($A$2:$A$7,I1137)</f>
        <v>Segment 6- Self-Conscious Male</v>
      </c>
    </row>
    <row r="1138" spans="1:10" x14ac:dyDescent="0.25">
      <c r="A1138" s="1">
        <f>'batch tool'!A1132</f>
        <v>0</v>
      </c>
      <c r="B1138" s="7">
        <f>SUMPRODUCT($C$2:$X$2,'batch tool'!$B1132:$W1132)+$Y$2</f>
        <v>-49.12272534143483</v>
      </c>
      <c r="C1138" s="7">
        <f>SUMPRODUCT($C$3:$X$3,'batch tool'!$B1132:$W1132)+$Y$3</f>
        <v>-36.514029388465531</v>
      </c>
      <c r="D1138" s="7">
        <f>SUMPRODUCT($C$4:$X$4,'batch tool'!$B1132:$W1132)+$Y$4</f>
        <v>-44.639843068043824</v>
      </c>
      <c r="E1138" s="7">
        <f>SUMPRODUCT($C$5:$X$5,'batch tool'!$B1132:$W1132)+$Y$5</f>
        <v>-51.578889182477603</v>
      </c>
      <c r="F1138" s="7">
        <f>SUMPRODUCT($C$6:$X$6,'batch tool'!$B1132:$W1132)+$Y$6</f>
        <v>-47.741473633885199</v>
      </c>
      <c r="G1138" s="7">
        <f>SUMPRODUCT($C$7:$X$7,'batch tool'!$B1132:$W1132)+$Y$7</f>
        <v>-19.739516238059196</v>
      </c>
      <c r="H1138" s="7">
        <f t="shared" si="34"/>
        <v>-19.739516238059196</v>
      </c>
      <c r="I1138">
        <f t="shared" si="35"/>
        <v>6</v>
      </c>
      <c r="J1138" t="str" cm="1">
        <f t="array" ref="J1138">INDEX($A$2:$A$7,I1138)</f>
        <v>Segment 6- Self-Conscious Male</v>
      </c>
    </row>
    <row r="1139" spans="1:10" x14ac:dyDescent="0.25">
      <c r="A1139" s="1">
        <f>'batch tool'!A1133</f>
        <v>0</v>
      </c>
      <c r="B1139" s="7">
        <f>SUMPRODUCT($C$2:$X$2,'batch tool'!$B1133:$W1133)+$Y$2</f>
        <v>-49.12272534143483</v>
      </c>
      <c r="C1139" s="7">
        <f>SUMPRODUCT($C$3:$X$3,'batch tool'!$B1133:$W1133)+$Y$3</f>
        <v>-36.514029388465531</v>
      </c>
      <c r="D1139" s="7">
        <f>SUMPRODUCT($C$4:$X$4,'batch tool'!$B1133:$W1133)+$Y$4</f>
        <v>-44.639843068043824</v>
      </c>
      <c r="E1139" s="7">
        <f>SUMPRODUCT($C$5:$X$5,'batch tool'!$B1133:$W1133)+$Y$5</f>
        <v>-51.578889182477603</v>
      </c>
      <c r="F1139" s="7">
        <f>SUMPRODUCT($C$6:$X$6,'batch tool'!$B1133:$W1133)+$Y$6</f>
        <v>-47.741473633885199</v>
      </c>
      <c r="G1139" s="7">
        <f>SUMPRODUCT($C$7:$X$7,'batch tool'!$B1133:$W1133)+$Y$7</f>
        <v>-19.739516238059196</v>
      </c>
      <c r="H1139" s="7">
        <f t="shared" si="34"/>
        <v>-19.739516238059196</v>
      </c>
      <c r="I1139">
        <f t="shared" si="35"/>
        <v>6</v>
      </c>
      <c r="J1139" t="str" cm="1">
        <f t="array" ref="J1139">INDEX($A$2:$A$7,I1139)</f>
        <v>Segment 6- Self-Conscious Male</v>
      </c>
    </row>
    <row r="1140" spans="1:10" x14ac:dyDescent="0.25">
      <c r="A1140" s="1">
        <f>'batch tool'!A1134</f>
        <v>0</v>
      </c>
      <c r="B1140" s="7">
        <f>SUMPRODUCT($C$2:$X$2,'batch tool'!$B1134:$W1134)+$Y$2</f>
        <v>-49.12272534143483</v>
      </c>
      <c r="C1140" s="7">
        <f>SUMPRODUCT($C$3:$X$3,'batch tool'!$B1134:$W1134)+$Y$3</f>
        <v>-36.514029388465531</v>
      </c>
      <c r="D1140" s="7">
        <f>SUMPRODUCT($C$4:$X$4,'batch tool'!$B1134:$W1134)+$Y$4</f>
        <v>-44.639843068043824</v>
      </c>
      <c r="E1140" s="7">
        <f>SUMPRODUCT($C$5:$X$5,'batch tool'!$B1134:$W1134)+$Y$5</f>
        <v>-51.578889182477603</v>
      </c>
      <c r="F1140" s="7">
        <f>SUMPRODUCT($C$6:$X$6,'batch tool'!$B1134:$W1134)+$Y$6</f>
        <v>-47.741473633885199</v>
      </c>
      <c r="G1140" s="7">
        <f>SUMPRODUCT($C$7:$X$7,'batch tool'!$B1134:$W1134)+$Y$7</f>
        <v>-19.739516238059196</v>
      </c>
      <c r="H1140" s="7">
        <f t="shared" si="34"/>
        <v>-19.739516238059196</v>
      </c>
      <c r="I1140">
        <f t="shared" si="35"/>
        <v>6</v>
      </c>
      <c r="J1140" t="str" cm="1">
        <f t="array" ref="J1140">INDEX($A$2:$A$7,I1140)</f>
        <v>Segment 6- Self-Conscious Male</v>
      </c>
    </row>
    <row r="1141" spans="1:10" x14ac:dyDescent="0.25">
      <c r="A1141" s="1">
        <f>'batch tool'!A1135</f>
        <v>0</v>
      </c>
      <c r="B1141" s="7">
        <f>SUMPRODUCT($C$2:$X$2,'batch tool'!$B1135:$W1135)+$Y$2</f>
        <v>-49.12272534143483</v>
      </c>
      <c r="C1141" s="7">
        <f>SUMPRODUCT($C$3:$X$3,'batch tool'!$B1135:$W1135)+$Y$3</f>
        <v>-36.514029388465531</v>
      </c>
      <c r="D1141" s="7">
        <f>SUMPRODUCT($C$4:$X$4,'batch tool'!$B1135:$W1135)+$Y$4</f>
        <v>-44.639843068043824</v>
      </c>
      <c r="E1141" s="7">
        <f>SUMPRODUCT($C$5:$X$5,'batch tool'!$B1135:$W1135)+$Y$5</f>
        <v>-51.578889182477603</v>
      </c>
      <c r="F1141" s="7">
        <f>SUMPRODUCT($C$6:$X$6,'batch tool'!$B1135:$W1135)+$Y$6</f>
        <v>-47.741473633885199</v>
      </c>
      <c r="G1141" s="7">
        <f>SUMPRODUCT($C$7:$X$7,'batch tool'!$B1135:$W1135)+$Y$7</f>
        <v>-19.739516238059196</v>
      </c>
      <c r="H1141" s="7">
        <f t="shared" si="34"/>
        <v>-19.739516238059196</v>
      </c>
      <c r="I1141">
        <f t="shared" si="35"/>
        <v>6</v>
      </c>
      <c r="J1141" t="str" cm="1">
        <f t="array" ref="J1141">INDEX($A$2:$A$7,I1141)</f>
        <v>Segment 6- Self-Conscious Male</v>
      </c>
    </row>
    <row r="1142" spans="1:10" x14ac:dyDescent="0.25">
      <c r="A1142" s="1">
        <f>'batch tool'!A1136</f>
        <v>0</v>
      </c>
      <c r="B1142" s="7">
        <f>SUMPRODUCT($C$2:$X$2,'batch tool'!$B1136:$W1136)+$Y$2</f>
        <v>-49.12272534143483</v>
      </c>
      <c r="C1142" s="7">
        <f>SUMPRODUCT($C$3:$X$3,'batch tool'!$B1136:$W1136)+$Y$3</f>
        <v>-36.514029388465531</v>
      </c>
      <c r="D1142" s="7">
        <f>SUMPRODUCT($C$4:$X$4,'batch tool'!$B1136:$W1136)+$Y$4</f>
        <v>-44.639843068043824</v>
      </c>
      <c r="E1142" s="7">
        <f>SUMPRODUCT($C$5:$X$5,'batch tool'!$B1136:$W1136)+$Y$5</f>
        <v>-51.578889182477603</v>
      </c>
      <c r="F1142" s="7">
        <f>SUMPRODUCT($C$6:$X$6,'batch tool'!$B1136:$W1136)+$Y$6</f>
        <v>-47.741473633885199</v>
      </c>
      <c r="G1142" s="7">
        <f>SUMPRODUCT($C$7:$X$7,'batch tool'!$B1136:$W1136)+$Y$7</f>
        <v>-19.739516238059196</v>
      </c>
      <c r="H1142" s="7">
        <f t="shared" si="34"/>
        <v>-19.739516238059196</v>
      </c>
      <c r="I1142">
        <f t="shared" si="35"/>
        <v>6</v>
      </c>
      <c r="J1142" t="str" cm="1">
        <f t="array" ref="J1142">INDEX($A$2:$A$7,I1142)</f>
        <v>Segment 6- Self-Conscious Male</v>
      </c>
    </row>
    <row r="1143" spans="1:10" x14ac:dyDescent="0.25">
      <c r="A1143" s="1">
        <f>'batch tool'!A1137</f>
        <v>0</v>
      </c>
      <c r="B1143" s="7">
        <f>SUMPRODUCT($C$2:$X$2,'batch tool'!$B1137:$W1137)+$Y$2</f>
        <v>-49.12272534143483</v>
      </c>
      <c r="C1143" s="7">
        <f>SUMPRODUCT($C$3:$X$3,'batch tool'!$B1137:$W1137)+$Y$3</f>
        <v>-36.514029388465531</v>
      </c>
      <c r="D1143" s="7">
        <f>SUMPRODUCT($C$4:$X$4,'batch tool'!$B1137:$W1137)+$Y$4</f>
        <v>-44.639843068043824</v>
      </c>
      <c r="E1143" s="7">
        <f>SUMPRODUCT($C$5:$X$5,'batch tool'!$B1137:$W1137)+$Y$5</f>
        <v>-51.578889182477603</v>
      </c>
      <c r="F1143" s="7">
        <f>SUMPRODUCT($C$6:$X$6,'batch tool'!$B1137:$W1137)+$Y$6</f>
        <v>-47.741473633885199</v>
      </c>
      <c r="G1143" s="7">
        <f>SUMPRODUCT($C$7:$X$7,'batch tool'!$B1137:$W1137)+$Y$7</f>
        <v>-19.739516238059196</v>
      </c>
      <c r="H1143" s="7">
        <f t="shared" si="34"/>
        <v>-19.739516238059196</v>
      </c>
      <c r="I1143">
        <f t="shared" si="35"/>
        <v>6</v>
      </c>
      <c r="J1143" t="str" cm="1">
        <f t="array" ref="J1143">INDEX($A$2:$A$7,I1143)</f>
        <v>Segment 6- Self-Conscious Male</v>
      </c>
    </row>
    <row r="1144" spans="1:10" x14ac:dyDescent="0.25">
      <c r="A1144" s="1">
        <f>'batch tool'!A1138</f>
        <v>0</v>
      </c>
      <c r="B1144" s="7">
        <f>SUMPRODUCT($C$2:$X$2,'batch tool'!$B1138:$W1138)+$Y$2</f>
        <v>-49.12272534143483</v>
      </c>
      <c r="C1144" s="7">
        <f>SUMPRODUCT($C$3:$X$3,'batch tool'!$B1138:$W1138)+$Y$3</f>
        <v>-36.514029388465531</v>
      </c>
      <c r="D1144" s="7">
        <f>SUMPRODUCT($C$4:$X$4,'batch tool'!$B1138:$W1138)+$Y$4</f>
        <v>-44.639843068043824</v>
      </c>
      <c r="E1144" s="7">
        <f>SUMPRODUCT($C$5:$X$5,'batch tool'!$B1138:$W1138)+$Y$5</f>
        <v>-51.578889182477603</v>
      </c>
      <c r="F1144" s="7">
        <f>SUMPRODUCT($C$6:$X$6,'batch tool'!$B1138:$W1138)+$Y$6</f>
        <v>-47.741473633885199</v>
      </c>
      <c r="G1144" s="7">
        <f>SUMPRODUCT($C$7:$X$7,'batch tool'!$B1138:$W1138)+$Y$7</f>
        <v>-19.739516238059196</v>
      </c>
      <c r="H1144" s="7">
        <f t="shared" si="34"/>
        <v>-19.739516238059196</v>
      </c>
      <c r="I1144">
        <f t="shared" si="35"/>
        <v>6</v>
      </c>
      <c r="J1144" t="str" cm="1">
        <f t="array" ref="J1144">INDEX($A$2:$A$7,I1144)</f>
        <v>Segment 6- Self-Conscious Male</v>
      </c>
    </row>
    <row r="1145" spans="1:10" x14ac:dyDescent="0.25">
      <c r="A1145" s="1">
        <f>'batch tool'!A1139</f>
        <v>0</v>
      </c>
      <c r="B1145" s="7">
        <f>SUMPRODUCT($C$2:$X$2,'batch tool'!$B1139:$W1139)+$Y$2</f>
        <v>-49.12272534143483</v>
      </c>
      <c r="C1145" s="7">
        <f>SUMPRODUCT($C$3:$X$3,'batch tool'!$B1139:$W1139)+$Y$3</f>
        <v>-36.514029388465531</v>
      </c>
      <c r="D1145" s="7">
        <f>SUMPRODUCT($C$4:$X$4,'batch tool'!$B1139:$W1139)+$Y$4</f>
        <v>-44.639843068043824</v>
      </c>
      <c r="E1145" s="7">
        <f>SUMPRODUCT($C$5:$X$5,'batch tool'!$B1139:$W1139)+$Y$5</f>
        <v>-51.578889182477603</v>
      </c>
      <c r="F1145" s="7">
        <f>SUMPRODUCT($C$6:$X$6,'batch tool'!$B1139:$W1139)+$Y$6</f>
        <v>-47.741473633885199</v>
      </c>
      <c r="G1145" s="7">
        <f>SUMPRODUCT($C$7:$X$7,'batch tool'!$B1139:$W1139)+$Y$7</f>
        <v>-19.739516238059196</v>
      </c>
      <c r="H1145" s="7">
        <f t="shared" si="34"/>
        <v>-19.739516238059196</v>
      </c>
      <c r="I1145">
        <f t="shared" si="35"/>
        <v>6</v>
      </c>
      <c r="J1145" t="str" cm="1">
        <f t="array" ref="J1145">INDEX($A$2:$A$7,I1145)</f>
        <v>Segment 6- Self-Conscious Male</v>
      </c>
    </row>
    <row r="1146" spans="1:10" x14ac:dyDescent="0.25">
      <c r="A1146" s="1">
        <f>'batch tool'!A1140</f>
        <v>0</v>
      </c>
      <c r="B1146" s="7">
        <f>SUMPRODUCT($C$2:$X$2,'batch tool'!$B1140:$W1140)+$Y$2</f>
        <v>-49.12272534143483</v>
      </c>
      <c r="C1146" s="7">
        <f>SUMPRODUCT($C$3:$X$3,'batch tool'!$B1140:$W1140)+$Y$3</f>
        <v>-36.514029388465531</v>
      </c>
      <c r="D1146" s="7">
        <f>SUMPRODUCT($C$4:$X$4,'batch tool'!$B1140:$W1140)+$Y$4</f>
        <v>-44.639843068043824</v>
      </c>
      <c r="E1146" s="7">
        <f>SUMPRODUCT($C$5:$X$5,'batch tool'!$B1140:$W1140)+$Y$5</f>
        <v>-51.578889182477603</v>
      </c>
      <c r="F1146" s="7">
        <f>SUMPRODUCT($C$6:$X$6,'batch tool'!$B1140:$W1140)+$Y$6</f>
        <v>-47.741473633885199</v>
      </c>
      <c r="G1146" s="7">
        <f>SUMPRODUCT($C$7:$X$7,'batch tool'!$B1140:$W1140)+$Y$7</f>
        <v>-19.739516238059196</v>
      </c>
      <c r="H1146" s="7">
        <f t="shared" si="34"/>
        <v>-19.739516238059196</v>
      </c>
      <c r="I1146">
        <f t="shared" si="35"/>
        <v>6</v>
      </c>
      <c r="J1146" t="str" cm="1">
        <f t="array" ref="J1146">INDEX($A$2:$A$7,I1146)</f>
        <v>Segment 6- Self-Conscious Male</v>
      </c>
    </row>
    <row r="1147" spans="1:10" x14ac:dyDescent="0.25">
      <c r="A1147" s="1">
        <f>'batch tool'!A1141</f>
        <v>0</v>
      </c>
      <c r="B1147" s="7">
        <f>SUMPRODUCT($C$2:$X$2,'batch tool'!$B1141:$W1141)+$Y$2</f>
        <v>-49.12272534143483</v>
      </c>
      <c r="C1147" s="7">
        <f>SUMPRODUCT($C$3:$X$3,'batch tool'!$B1141:$W1141)+$Y$3</f>
        <v>-36.514029388465531</v>
      </c>
      <c r="D1147" s="7">
        <f>SUMPRODUCT($C$4:$X$4,'batch tool'!$B1141:$W1141)+$Y$4</f>
        <v>-44.639843068043824</v>
      </c>
      <c r="E1147" s="7">
        <f>SUMPRODUCT($C$5:$X$5,'batch tool'!$B1141:$W1141)+$Y$5</f>
        <v>-51.578889182477603</v>
      </c>
      <c r="F1147" s="7">
        <f>SUMPRODUCT($C$6:$X$6,'batch tool'!$B1141:$W1141)+$Y$6</f>
        <v>-47.741473633885199</v>
      </c>
      <c r="G1147" s="7">
        <f>SUMPRODUCT($C$7:$X$7,'batch tool'!$B1141:$W1141)+$Y$7</f>
        <v>-19.739516238059196</v>
      </c>
      <c r="H1147" s="7">
        <f t="shared" si="34"/>
        <v>-19.739516238059196</v>
      </c>
      <c r="I1147">
        <f t="shared" si="35"/>
        <v>6</v>
      </c>
      <c r="J1147" t="str" cm="1">
        <f t="array" ref="J1147">INDEX($A$2:$A$7,I1147)</f>
        <v>Segment 6- Self-Conscious Male</v>
      </c>
    </row>
    <row r="1148" spans="1:10" x14ac:dyDescent="0.25">
      <c r="A1148" s="1">
        <f>'batch tool'!A1142</f>
        <v>0</v>
      </c>
      <c r="B1148" s="7">
        <f>SUMPRODUCT($C$2:$X$2,'batch tool'!$B1142:$W1142)+$Y$2</f>
        <v>-49.12272534143483</v>
      </c>
      <c r="C1148" s="7">
        <f>SUMPRODUCT($C$3:$X$3,'batch tool'!$B1142:$W1142)+$Y$3</f>
        <v>-36.514029388465531</v>
      </c>
      <c r="D1148" s="7">
        <f>SUMPRODUCT($C$4:$X$4,'batch tool'!$B1142:$W1142)+$Y$4</f>
        <v>-44.639843068043824</v>
      </c>
      <c r="E1148" s="7">
        <f>SUMPRODUCT($C$5:$X$5,'batch tool'!$B1142:$W1142)+$Y$5</f>
        <v>-51.578889182477603</v>
      </c>
      <c r="F1148" s="7">
        <f>SUMPRODUCT($C$6:$X$6,'batch tool'!$B1142:$W1142)+$Y$6</f>
        <v>-47.741473633885199</v>
      </c>
      <c r="G1148" s="7">
        <f>SUMPRODUCT($C$7:$X$7,'batch tool'!$B1142:$W1142)+$Y$7</f>
        <v>-19.739516238059196</v>
      </c>
      <c r="H1148" s="7">
        <f t="shared" si="34"/>
        <v>-19.739516238059196</v>
      </c>
      <c r="I1148">
        <f t="shared" si="35"/>
        <v>6</v>
      </c>
      <c r="J1148" t="str" cm="1">
        <f t="array" ref="J1148">INDEX($A$2:$A$7,I1148)</f>
        <v>Segment 6- Self-Conscious Male</v>
      </c>
    </row>
    <row r="1149" spans="1:10" x14ac:dyDescent="0.25">
      <c r="A1149" s="1">
        <f>'batch tool'!A1143</f>
        <v>0</v>
      </c>
      <c r="B1149" s="7">
        <f>SUMPRODUCT($C$2:$X$2,'batch tool'!$B1143:$W1143)+$Y$2</f>
        <v>-49.12272534143483</v>
      </c>
      <c r="C1149" s="7">
        <f>SUMPRODUCT($C$3:$X$3,'batch tool'!$B1143:$W1143)+$Y$3</f>
        <v>-36.514029388465531</v>
      </c>
      <c r="D1149" s="7">
        <f>SUMPRODUCT($C$4:$X$4,'batch tool'!$B1143:$W1143)+$Y$4</f>
        <v>-44.639843068043824</v>
      </c>
      <c r="E1149" s="7">
        <f>SUMPRODUCT($C$5:$X$5,'batch tool'!$B1143:$W1143)+$Y$5</f>
        <v>-51.578889182477603</v>
      </c>
      <c r="F1149" s="7">
        <f>SUMPRODUCT($C$6:$X$6,'batch tool'!$B1143:$W1143)+$Y$6</f>
        <v>-47.741473633885199</v>
      </c>
      <c r="G1149" s="7">
        <f>SUMPRODUCT($C$7:$X$7,'batch tool'!$B1143:$W1143)+$Y$7</f>
        <v>-19.739516238059196</v>
      </c>
      <c r="H1149" s="7">
        <f t="shared" si="34"/>
        <v>-19.739516238059196</v>
      </c>
      <c r="I1149">
        <f t="shared" si="35"/>
        <v>6</v>
      </c>
      <c r="J1149" t="str" cm="1">
        <f t="array" ref="J1149">INDEX($A$2:$A$7,I1149)</f>
        <v>Segment 6- Self-Conscious Male</v>
      </c>
    </row>
    <row r="1150" spans="1:10" x14ac:dyDescent="0.25">
      <c r="A1150" s="1">
        <f>'batch tool'!A1144</f>
        <v>0</v>
      </c>
      <c r="B1150" s="7">
        <f>SUMPRODUCT($C$2:$X$2,'batch tool'!$B1144:$W1144)+$Y$2</f>
        <v>-49.12272534143483</v>
      </c>
      <c r="C1150" s="7">
        <f>SUMPRODUCT($C$3:$X$3,'batch tool'!$B1144:$W1144)+$Y$3</f>
        <v>-36.514029388465531</v>
      </c>
      <c r="D1150" s="7">
        <f>SUMPRODUCT($C$4:$X$4,'batch tool'!$B1144:$W1144)+$Y$4</f>
        <v>-44.639843068043824</v>
      </c>
      <c r="E1150" s="7">
        <f>SUMPRODUCT($C$5:$X$5,'batch tool'!$B1144:$W1144)+$Y$5</f>
        <v>-51.578889182477603</v>
      </c>
      <c r="F1150" s="7">
        <f>SUMPRODUCT($C$6:$X$6,'batch tool'!$B1144:$W1144)+$Y$6</f>
        <v>-47.741473633885199</v>
      </c>
      <c r="G1150" s="7">
        <f>SUMPRODUCT($C$7:$X$7,'batch tool'!$B1144:$W1144)+$Y$7</f>
        <v>-19.739516238059196</v>
      </c>
      <c r="H1150" s="7">
        <f t="shared" si="34"/>
        <v>-19.739516238059196</v>
      </c>
      <c r="I1150">
        <f t="shared" si="35"/>
        <v>6</v>
      </c>
      <c r="J1150" t="str" cm="1">
        <f t="array" ref="J1150">INDEX($A$2:$A$7,I1150)</f>
        <v>Segment 6- Self-Conscious Male</v>
      </c>
    </row>
    <row r="1151" spans="1:10" x14ac:dyDescent="0.25">
      <c r="A1151" s="1">
        <f>'batch tool'!A1145</f>
        <v>0</v>
      </c>
      <c r="B1151" s="7">
        <f>SUMPRODUCT($C$2:$X$2,'batch tool'!$B1145:$W1145)+$Y$2</f>
        <v>-49.12272534143483</v>
      </c>
      <c r="C1151" s="7">
        <f>SUMPRODUCT($C$3:$X$3,'batch tool'!$B1145:$W1145)+$Y$3</f>
        <v>-36.514029388465531</v>
      </c>
      <c r="D1151" s="7">
        <f>SUMPRODUCT($C$4:$X$4,'batch tool'!$B1145:$W1145)+$Y$4</f>
        <v>-44.639843068043824</v>
      </c>
      <c r="E1151" s="7">
        <f>SUMPRODUCT($C$5:$X$5,'batch tool'!$B1145:$W1145)+$Y$5</f>
        <v>-51.578889182477603</v>
      </c>
      <c r="F1151" s="7">
        <f>SUMPRODUCT($C$6:$X$6,'batch tool'!$B1145:$W1145)+$Y$6</f>
        <v>-47.741473633885199</v>
      </c>
      <c r="G1151" s="7">
        <f>SUMPRODUCT($C$7:$X$7,'batch tool'!$B1145:$W1145)+$Y$7</f>
        <v>-19.739516238059196</v>
      </c>
      <c r="H1151" s="7">
        <f t="shared" si="34"/>
        <v>-19.739516238059196</v>
      </c>
      <c r="I1151">
        <f t="shared" si="35"/>
        <v>6</v>
      </c>
      <c r="J1151" t="str" cm="1">
        <f t="array" ref="J1151">INDEX($A$2:$A$7,I1151)</f>
        <v>Segment 6- Self-Conscious Male</v>
      </c>
    </row>
    <row r="1152" spans="1:10" x14ac:dyDescent="0.25">
      <c r="A1152" s="1">
        <f>'batch tool'!A1146</f>
        <v>0</v>
      </c>
      <c r="B1152" s="7">
        <f>SUMPRODUCT($C$2:$X$2,'batch tool'!$B1146:$W1146)+$Y$2</f>
        <v>-49.12272534143483</v>
      </c>
      <c r="C1152" s="7">
        <f>SUMPRODUCT($C$3:$X$3,'batch tool'!$B1146:$W1146)+$Y$3</f>
        <v>-36.514029388465531</v>
      </c>
      <c r="D1152" s="7">
        <f>SUMPRODUCT($C$4:$X$4,'batch tool'!$B1146:$W1146)+$Y$4</f>
        <v>-44.639843068043824</v>
      </c>
      <c r="E1152" s="7">
        <f>SUMPRODUCT($C$5:$X$5,'batch tool'!$B1146:$W1146)+$Y$5</f>
        <v>-51.578889182477603</v>
      </c>
      <c r="F1152" s="7">
        <f>SUMPRODUCT($C$6:$X$6,'batch tool'!$B1146:$W1146)+$Y$6</f>
        <v>-47.741473633885199</v>
      </c>
      <c r="G1152" s="7">
        <f>SUMPRODUCT($C$7:$X$7,'batch tool'!$B1146:$W1146)+$Y$7</f>
        <v>-19.739516238059196</v>
      </c>
      <c r="H1152" s="7">
        <f t="shared" si="34"/>
        <v>-19.739516238059196</v>
      </c>
      <c r="I1152">
        <f t="shared" si="35"/>
        <v>6</v>
      </c>
      <c r="J1152" t="str" cm="1">
        <f t="array" ref="J1152">INDEX($A$2:$A$7,I1152)</f>
        <v>Segment 6- Self-Conscious Male</v>
      </c>
    </row>
    <row r="1153" spans="1:10" x14ac:dyDescent="0.25">
      <c r="A1153" s="1">
        <f>'batch tool'!A1147</f>
        <v>0</v>
      </c>
      <c r="B1153" s="7">
        <f>SUMPRODUCT($C$2:$X$2,'batch tool'!$B1147:$W1147)+$Y$2</f>
        <v>-49.12272534143483</v>
      </c>
      <c r="C1153" s="7">
        <f>SUMPRODUCT($C$3:$X$3,'batch tool'!$B1147:$W1147)+$Y$3</f>
        <v>-36.514029388465531</v>
      </c>
      <c r="D1153" s="7">
        <f>SUMPRODUCT($C$4:$X$4,'batch tool'!$B1147:$W1147)+$Y$4</f>
        <v>-44.639843068043824</v>
      </c>
      <c r="E1153" s="7">
        <f>SUMPRODUCT($C$5:$X$5,'batch tool'!$B1147:$W1147)+$Y$5</f>
        <v>-51.578889182477603</v>
      </c>
      <c r="F1153" s="7">
        <f>SUMPRODUCT($C$6:$X$6,'batch tool'!$B1147:$W1147)+$Y$6</f>
        <v>-47.741473633885199</v>
      </c>
      <c r="G1153" s="7">
        <f>SUMPRODUCT($C$7:$X$7,'batch tool'!$B1147:$W1147)+$Y$7</f>
        <v>-19.739516238059196</v>
      </c>
      <c r="H1153" s="7">
        <f t="shared" si="34"/>
        <v>-19.739516238059196</v>
      </c>
      <c r="I1153">
        <f t="shared" si="35"/>
        <v>6</v>
      </c>
      <c r="J1153" t="str" cm="1">
        <f t="array" ref="J1153">INDEX($A$2:$A$7,I1153)</f>
        <v>Segment 6- Self-Conscious Male</v>
      </c>
    </row>
    <row r="1154" spans="1:10" x14ac:dyDescent="0.25">
      <c r="A1154" s="1">
        <f>'batch tool'!A1148</f>
        <v>0</v>
      </c>
      <c r="B1154" s="7">
        <f>SUMPRODUCT($C$2:$X$2,'batch tool'!$B1148:$W1148)+$Y$2</f>
        <v>-49.12272534143483</v>
      </c>
      <c r="C1154" s="7">
        <f>SUMPRODUCT($C$3:$X$3,'batch tool'!$B1148:$W1148)+$Y$3</f>
        <v>-36.514029388465531</v>
      </c>
      <c r="D1154" s="7">
        <f>SUMPRODUCT($C$4:$X$4,'batch tool'!$B1148:$W1148)+$Y$4</f>
        <v>-44.639843068043824</v>
      </c>
      <c r="E1154" s="7">
        <f>SUMPRODUCT($C$5:$X$5,'batch tool'!$B1148:$W1148)+$Y$5</f>
        <v>-51.578889182477603</v>
      </c>
      <c r="F1154" s="7">
        <f>SUMPRODUCT($C$6:$X$6,'batch tool'!$B1148:$W1148)+$Y$6</f>
        <v>-47.741473633885199</v>
      </c>
      <c r="G1154" s="7">
        <f>SUMPRODUCT($C$7:$X$7,'batch tool'!$B1148:$W1148)+$Y$7</f>
        <v>-19.739516238059196</v>
      </c>
      <c r="H1154" s="7">
        <f t="shared" si="34"/>
        <v>-19.739516238059196</v>
      </c>
      <c r="I1154">
        <f t="shared" si="35"/>
        <v>6</v>
      </c>
      <c r="J1154" t="str" cm="1">
        <f t="array" ref="J1154">INDEX($A$2:$A$7,I1154)</f>
        <v>Segment 6- Self-Conscious Male</v>
      </c>
    </row>
    <row r="1155" spans="1:10" x14ac:dyDescent="0.25">
      <c r="A1155" s="1">
        <f>'batch tool'!A1149</f>
        <v>0</v>
      </c>
      <c r="B1155" s="7">
        <f>SUMPRODUCT($C$2:$X$2,'batch tool'!$B1149:$W1149)+$Y$2</f>
        <v>-49.12272534143483</v>
      </c>
      <c r="C1155" s="7">
        <f>SUMPRODUCT($C$3:$X$3,'batch tool'!$B1149:$W1149)+$Y$3</f>
        <v>-36.514029388465531</v>
      </c>
      <c r="D1155" s="7">
        <f>SUMPRODUCT($C$4:$X$4,'batch tool'!$B1149:$W1149)+$Y$4</f>
        <v>-44.639843068043824</v>
      </c>
      <c r="E1155" s="7">
        <f>SUMPRODUCT($C$5:$X$5,'batch tool'!$B1149:$W1149)+$Y$5</f>
        <v>-51.578889182477603</v>
      </c>
      <c r="F1155" s="7">
        <f>SUMPRODUCT($C$6:$X$6,'batch tool'!$B1149:$W1149)+$Y$6</f>
        <v>-47.741473633885199</v>
      </c>
      <c r="G1155" s="7">
        <f>SUMPRODUCT($C$7:$X$7,'batch tool'!$B1149:$W1149)+$Y$7</f>
        <v>-19.739516238059196</v>
      </c>
      <c r="H1155" s="7">
        <f t="shared" si="34"/>
        <v>-19.739516238059196</v>
      </c>
      <c r="I1155">
        <f t="shared" si="35"/>
        <v>6</v>
      </c>
      <c r="J1155" t="str" cm="1">
        <f t="array" ref="J1155">INDEX($A$2:$A$7,I1155)</f>
        <v>Segment 6- Self-Conscious Male</v>
      </c>
    </row>
    <row r="1156" spans="1:10" x14ac:dyDescent="0.25">
      <c r="A1156" s="1">
        <f>'batch tool'!A1150</f>
        <v>0</v>
      </c>
      <c r="B1156" s="7">
        <f>SUMPRODUCT($C$2:$X$2,'batch tool'!$B1150:$W1150)+$Y$2</f>
        <v>-49.12272534143483</v>
      </c>
      <c r="C1156" s="7">
        <f>SUMPRODUCT($C$3:$X$3,'batch tool'!$B1150:$W1150)+$Y$3</f>
        <v>-36.514029388465531</v>
      </c>
      <c r="D1156" s="7">
        <f>SUMPRODUCT($C$4:$X$4,'batch tool'!$B1150:$W1150)+$Y$4</f>
        <v>-44.639843068043824</v>
      </c>
      <c r="E1156" s="7">
        <f>SUMPRODUCT($C$5:$X$5,'batch tool'!$B1150:$W1150)+$Y$5</f>
        <v>-51.578889182477603</v>
      </c>
      <c r="F1156" s="7">
        <f>SUMPRODUCT($C$6:$X$6,'batch tool'!$B1150:$W1150)+$Y$6</f>
        <v>-47.741473633885199</v>
      </c>
      <c r="G1156" s="7">
        <f>SUMPRODUCT($C$7:$X$7,'batch tool'!$B1150:$W1150)+$Y$7</f>
        <v>-19.739516238059196</v>
      </c>
      <c r="H1156" s="7">
        <f t="shared" si="34"/>
        <v>-19.739516238059196</v>
      </c>
      <c r="I1156">
        <f t="shared" si="35"/>
        <v>6</v>
      </c>
      <c r="J1156" t="str" cm="1">
        <f t="array" ref="J1156">INDEX($A$2:$A$7,I1156)</f>
        <v>Segment 6- Self-Conscious Male</v>
      </c>
    </row>
    <row r="1157" spans="1:10" x14ac:dyDescent="0.25">
      <c r="A1157" s="1">
        <f>'batch tool'!A1151</f>
        <v>0</v>
      </c>
      <c r="B1157" s="7">
        <f>SUMPRODUCT($C$2:$X$2,'batch tool'!$B1151:$W1151)+$Y$2</f>
        <v>-49.12272534143483</v>
      </c>
      <c r="C1157" s="7">
        <f>SUMPRODUCT($C$3:$X$3,'batch tool'!$B1151:$W1151)+$Y$3</f>
        <v>-36.514029388465531</v>
      </c>
      <c r="D1157" s="7">
        <f>SUMPRODUCT($C$4:$X$4,'batch tool'!$B1151:$W1151)+$Y$4</f>
        <v>-44.639843068043824</v>
      </c>
      <c r="E1157" s="7">
        <f>SUMPRODUCT($C$5:$X$5,'batch tool'!$B1151:$W1151)+$Y$5</f>
        <v>-51.578889182477603</v>
      </c>
      <c r="F1157" s="7">
        <f>SUMPRODUCT($C$6:$X$6,'batch tool'!$B1151:$W1151)+$Y$6</f>
        <v>-47.741473633885199</v>
      </c>
      <c r="G1157" s="7">
        <f>SUMPRODUCT($C$7:$X$7,'batch tool'!$B1151:$W1151)+$Y$7</f>
        <v>-19.739516238059196</v>
      </c>
      <c r="H1157" s="7">
        <f t="shared" si="34"/>
        <v>-19.739516238059196</v>
      </c>
      <c r="I1157">
        <f t="shared" si="35"/>
        <v>6</v>
      </c>
      <c r="J1157" t="str" cm="1">
        <f t="array" ref="J1157">INDEX($A$2:$A$7,I1157)</f>
        <v>Segment 6- Self-Conscious Male</v>
      </c>
    </row>
    <row r="1158" spans="1:10" x14ac:dyDescent="0.25">
      <c r="A1158" s="1">
        <f>'batch tool'!A1152</f>
        <v>0</v>
      </c>
      <c r="B1158" s="7">
        <f>SUMPRODUCT($C$2:$X$2,'batch tool'!$B1152:$W1152)+$Y$2</f>
        <v>-49.12272534143483</v>
      </c>
      <c r="C1158" s="7">
        <f>SUMPRODUCT($C$3:$X$3,'batch tool'!$B1152:$W1152)+$Y$3</f>
        <v>-36.514029388465531</v>
      </c>
      <c r="D1158" s="7">
        <f>SUMPRODUCT($C$4:$X$4,'batch tool'!$B1152:$W1152)+$Y$4</f>
        <v>-44.639843068043824</v>
      </c>
      <c r="E1158" s="7">
        <f>SUMPRODUCT($C$5:$X$5,'batch tool'!$B1152:$W1152)+$Y$5</f>
        <v>-51.578889182477603</v>
      </c>
      <c r="F1158" s="7">
        <f>SUMPRODUCT($C$6:$X$6,'batch tool'!$B1152:$W1152)+$Y$6</f>
        <v>-47.741473633885199</v>
      </c>
      <c r="G1158" s="7">
        <f>SUMPRODUCT($C$7:$X$7,'batch tool'!$B1152:$W1152)+$Y$7</f>
        <v>-19.739516238059196</v>
      </c>
      <c r="H1158" s="7">
        <f t="shared" si="34"/>
        <v>-19.739516238059196</v>
      </c>
      <c r="I1158">
        <f t="shared" si="35"/>
        <v>6</v>
      </c>
      <c r="J1158" t="str" cm="1">
        <f t="array" ref="J1158">INDEX($A$2:$A$7,I1158)</f>
        <v>Segment 6- Self-Conscious Male</v>
      </c>
    </row>
    <row r="1159" spans="1:10" x14ac:dyDescent="0.25">
      <c r="A1159" s="1">
        <f>'batch tool'!A1153</f>
        <v>0</v>
      </c>
      <c r="B1159" s="7">
        <f>SUMPRODUCT($C$2:$X$2,'batch tool'!$B1153:$W1153)+$Y$2</f>
        <v>-49.12272534143483</v>
      </c>
      <c r="C1159" s="7">
        <f>SUMPRODUCT($C$3:$X$3,'batch tool'!$B1153:$W1153)+$Y$3</f>
        <v>-36.514029388465531</v>
      </c>
      <c r="D1159" s="7">
        <f>SUMPRODUCT($C$4:$X$4,'batch tool'!$B1153:$W1153)+$Y$4</f>
        <v>-44.639843068043824</v>
      </c>
      <c r="E1159" s="7">
        <f>SUMPRODUCT($C$5:$X$5,'batch tool'!$B1153:$W1153)+$Y$5</f>
        <v>-51.578889182477603</v>
      </c>
      <c r="F1159" s="7">
        <f>SUMPRODUCT($C$6:$X$6,'batch tool'!$B1153:$W1153)+$Y$6</f>
        <v>-47.741473633885199</v>
      </c>
      <c r="G1159" s="7">
        <f>SUMPRODUCT($C$7:$X$7,'batch tool'!$B1153:$W1153)+$Y$7</f>
        <v>-19.739516238059196</v>
      </c>
      <c r="H1159" s="7">
        <f t="shared" si="34"/>
        <v>-19.739516238059196</v>
      </c>
      <c r="I1159">
        <f t="shared" si="35"/>
        <v>6</v>
      </c>
      <c r="J1159" t="str" cm="1">
        <f t="array" ref="J1159">INDEX($A$2:$A$7,I1159)</f>
        <v>Segment 6- Self-Conscious Male</v>
      </c>
    </row>
    <row r="1160" spans="1:10" x14ac:dyDescent="0.25">
      <c r="A1160" s="1">
        <f>'batch tool'!A1154</f>
        <v>0</v>
      </c>
      <c r="B1160" s="7">
        <f>SUMPRODUCT($C$2:$X$2,'batch tool'!$B1154:$W1154)+$Y$2</f>
        <v>-49.12272534143483</v>
      </c>
      <c r="C1160" s="7">
        <f>SUMPRODUCT($C$3:$X$3,'batch tool'!$B1154:$W1154)+$Y$3</f>
        <v>-36.514029388465531</v>
      </c>
      <c r="D1160" s="7">
        <f>SUMPRODUCT($C$4:$X$4,'batch tool'!$B1154:$W1154)+$Y$4</f>
        <v>-44.639843068043824</v>
      </c>
      <c r="E1160" s="7">
        <f>SUMPRODUCT($C$5:$X$5,'batch tool'!$B1154:$W1154)+$Y$5</f>
        <v>-51.578889182477603</v>
      </c>
      <c r="F1160" s="7">
        <f>SUMPRODUCT($C$6:$X$6,'batch tool'!$B1154:$W1154)+$Y$6</f>
        <v>-47.741473633885199</v>
      </c>
      <c r="G1160" s="7">
        <f>SUMPRODUCT($C$7:$X$7,'batch tool'!$B1154:$W1154)+$Y$7</f>
        <v>-19.739516238059196</v>
      </c>
      <c r="H1160" s="7">
        <f t="shared" si="34"/>
        <v>-19.739516238059196</v>
      </c>
      <c r="I1160">
        <f t="shared" si="35"/>
        <v>6</v>
      </c>
      <c r="J1160" t="str" cm="1">
        <f t="array" ref="J1160">INDEX($A$2:$A$7,I1160)</f>
        <v>Segment 6- Self-Conscious Male</v>
      </c>
    </row>
    <row r="1161" spans="1:10" x14ac:dyDescent="0.25">
      <c r="A1161" s="1">
        <f>'batch tool'!A1155</f>
        <v>0</v>
      </c>
      <c r="B1161" s="7">
        <f>SUMPRODUCT($C$2:$X$2,'batch tool'!$B1155:$W1155)+$Y$2</f>
        <v>-49.12272534143483</v>
      </c>
      <c r="C1161" s="7">
        <f>SUMPRODUCT($C$3:$X$3,'batch tool'!$B1155:$W1155)+$Y$3</f>
        <v>-36.514029388465531</v>
      </c>
      <c r="D1161" s="7">
        <f>SUMPRODUCT($C$4:$X$4,'batch tool'!$B1155:$W1155)+$Y$4</f>
        <v>-44.639843068043824</v>
      </c>
      <c r="E1161" s="7">
        <f>SUMPRODUCT($C$5:$X$5,'batch tool'!$B1155:$W1155)+$Y$5</f>
        <v>-51.578889182477603</v>
      </c>
      <c r="F1161" s="7">
        <f>SUMPRODUCT($C$6:$X$6,'batch tool'!$B1155:$W1155)+$Y$6</f>
        <v>-47.741473633885199</v>
      </c>
      <c r="G1161" s="7">
        <f>SUMPRODUCT($C$7:$X$7,'batch tool'!$B1155:$W1155)+$Y$7</f>
        <v>-19.739516238059196</v>
      </c>
      <c r="H1161" s="7">
        <f t="shared" si="34"/>
        <v>-19.739516238059196</v>
      </c>
      <c r="I1161">
        <f t="shared" si="35"/>
        <v>6</v>
      </c>
      <c r="J1161" t="str" cm="1">
        <f t="array" ref="J1161">INDEX($A$2:$A$7,I1161)</f>
        <v>Segment 6- Self-Conscious Male</v>
      </c>
    </row>
    <row r="1162" spans="1:10" x14ac:dyDescent="0.25">
      <c r="A1162" s="1">
        <f>'batch tool'!A1156</f>
        <v>0</v>
      </c>
      <c r="B1162" s="7">
        <f>SUMPRODUCT($C$2:$X$2,'batch tool'!$B1156:$W1156)+$Y$2</f>
        <v>-49.12272534143483</v>
      </c>
      <c r="C1162" s="7">
        <f>SUMPRODUCT($C$3:$X$3,'batch tool'!$B1156:$W1156)+$Y$3</f>
        <v>-36.514029388465531</v>
      </c>
      <c r="D1162" s="7">
        <f>SUMPRODUCT($C$4:$X$4,'batch tool'!$B1156:$W1156)+$Y$4</f>
        <v>-44.639843068043824</v>
      </c>
      <c r="E1162" s="7">
        <f>SUMPRODUCT($C$5:$X$5,'batch tool'!$B1156:$W1156)+$Y$5</f>
        <v>-51.578889182477603</v>
      </c>
      <c r="F1162" s="7">
        <f>SUMPRODUCT($C$6:$X$6,'batch tool'!$B1156:$W1156)+$Y$6</f>
        <v>-47.741473633885199</v>
      </c>
      <c r="G1162" s="7">
        <f>SUMPRODUCT($C$7:$X$7,'batch tool'!$B1156:$W1156)+$Y$7</f>
        <v>-19.739516238059196</v>
      </c>
      <c r="H1162" s="7">
        <f t="shared" si="34"/>
        <v>-19.739516238059196</v>
      </c>
      <c r="I1162">
        <f t="shared" si="35"/>
        <v>6</v>
      </c>
      <c r="J1162" t="str" cm="1">
        <f t="array" ref="J1162">INDEX($A$2:$A$7,I1162)</f>
        <v>Segment 6- Self-Conscious Male</v>
      </c>
    </row>
    <row r="1163" spans="1:10" x14ac:dyDescent="0.25">
      <c r="A1163" s="1">
        <f>'batch tool'!A1157</f>
        <v>0</v>
      </c>
      <c r="B1163" s="7">
        <f>SUMPRODUCT($C$2:$X$2,'batch tool'!$B1157:$W1157)+$Y$2</f>
        <v>-49.12272534143483</v>
      </c>
      <c r="C1163" s="7">
        <f>SUMPRODUCT($C$3:$X$3,'batch tool'!$B1157:$W1157)+$Y$3</f>
        <v>-36.514029388465531</v>
      </c>
      <c r="D1163" s="7">
        <f>SUMPRODUCT($C$4:$X$4,'batch tool'!$B1157:$W1157)+$Y$4</f>
        <v>-44.639843068043824</v>
      </c>
      <c r="E1163" s="7">
        <f>SUMPRODUCT($C$5:$X$5,'batch tool'!$B1157:$W1157)+$Y$5</f>
        <v>-51.578889182477603</v>
      </c>
      <c r="F1163" s="7">
        <f>SUMPRODUCT($C$6:$X$6,'batch tool'!$B1157:$W1157)+$Y$6</f>
        <v>-47.741473633885199</v>
      </c>
      <c r="G1163" s="7">
        <f>SUMPRODUCT($C$7:$X$7,'batch tool'!$B1157:$W1157)+$Y$7</f>
        <v>-19.739516238059196</v>
      </c>
      <c r="H1163" s="7">
        <f t="shared" ref="H1163:H1226" si="36">MAX(B1163:G1163)</f>
        <v>-19.739516238059196</v>
      </c>
      <c r="I1163">
        <f t="shared" ref="I1163:I1226" si="37">MATCH(H1163,B1163:G1163,0)</f>
        <v>6</v>
      </c>
      <c r="J1163" t="str" cm="1">
        <f t="array" ref="J1163">INDEX($A$2:$A$7,I1163)</f>
        <v>Segment 6- Self-Conscious Male</v>
      </c>
    </row>
    <row r="1164" spans="1:10" x14ac:dyDescent="0.25">
      <c r="A1164" s="1">
        <f>'batch tool'!A1158</f>
        <v>0</v>
      </c>
      <c r="B1164" s="7">
        <f>SUMPRODUCT($C$2:$X$2,'batch tool'!$B1158:$W1158)+$Y$2</f>
        <v>-49.12272534143483</v>
      </c>
      <c r="C1164" s="7">
        <f>SUMPRODUCT($C$3:$X$3,'batch tool'!$B1158:$W1158)+$Y$3</f>
        <v>-36.514029388465531</v>
      </c>
      <c r="D1164" s="7">
        <f>SUMPRODUCT($C$4:$X$4,'batch tool'!$B1158:$W1158)+$Y$4</f>
        <v>-44.639843068043824</v>
      </c>
      <c r="E1164" s="7">
        <f>SUMPRODUCT($C$5:$X$5,'batch tool'!$B1158:$W1158)+$Y$5</f>
        <v>-51.578889182477603</v>
      </c>
      <c r="F1164" s="7">
        <f>SUMPRODUCT($C$6:$X$6,'batch tool'!$B1158:$W1158)+$Y$6</f>
        <v>-47.741473633885199</v>
      </c>
      <c r="G1164" s="7">
        <f>SUMPRODUCT($C$7:$X$7,'batch tool'!$B1158:$W1158)+$Y$7</f>
        <v>-19.739516238059196</v>
      </c>
      <c r="H1164" s="7">
        <f t="shared" si="36"/>
        <v>-19.739516238059196</v>
      </c>
      <c r="I1164">
        <f t="shared" si="37"/>
        <v>6</v>
      </c>
      <c r="J1164" t="str" cm="1">
        <f t="array" ref="J1164">INDEX($A$2:$A$7,I1164)</f>
        <v>Segment 6- Self-Conscious Male</v>
      </c>
    </row>
    <row r="1165" spans="1:10" x14ac:dyDescent="0.25">
      <c r="A1165" s="1">
        <f>'batch tool'!A1159</f>
        <v>0</v>
      </c>
      <c r="B1165" s="7">
        <f>SUMPRODUCT($C$2:$X$2,'batch tool'!$B1159:$W1159)+$Y$2</f>
        <v>-49.12272534143483</v>
      </c>
      <c r="C1165" s="7">
        <f>SUMPRODUCT($C$3:$X$3,'batch tool'!$B1159:$W1159)+$Y$3</f>
        <v>-36.514029388465531</v>
      </c>
      <c r="D1165" s="7">
        <f>SUMPRODUCT($C$4:$X$4,'batch tool'!$B1159:$W1159)+$Y$4</f>
        <v>-44.639843068043824</v>
      </c>
      <c r="E1165" s="7">
        <f>SUMPRODUCT($C$5:$X$5,'batch tool'!$B1159:$W1159)+$Y$5</f>
        <v>-51.578889182477603</v>
      </c>
      <c r="F1165" s="7">
        <f>SUMPRODUCT($C$6:$X$6,'batch tool'!$B1159:$W1159)+$Y$6</f>
        <v>-47.741473633885199</v>
      </c>
      <c r="G1165" s="7">
        <f>SUMPRODUCT($C$7:$X$7,'batch tool'!$B1159:$W1159)+$Y$7</f>
        <v>-19.739516238059196</v>
      </c>
      <c r="H1165" s="7">
        <f t="shared" si="36"/>
        <v>-19.739516238059196</v>
      </c>
      <c r="I1165">
        <f t="shared" si="37"/>
        <v>6</v>
      </c>
      <c r="J1165" t="str" cm="1">
        <f t="array" ref="J1165">INDEX($A$2:$A$7,I1165)</f>
        <v>Segment 6- Self-Conscious Male</v>
      </c>
    </row>
    <row r="1166" spans="1:10" x14ac:dyDescent="0.25">
      <c r="A1166" s="1">
        <f>'batch tool'!A1160</f>
        <v>0</v>
      </c>
      <c r="B1166" s="7">
        <f>SUMPRODUCT($C$2:$X$2,'batch tool'!$B1160:$W1160)+$Y$2</f>
        <v>-49.12272534143483</v>
      </c>
      <c r="C1166" s="7">
        <f>SUMPRODUCT($C$3:$X$3,'batch tool'!$B1160:$W1160)+$Y$3</f>
        <v>-36.514029388465531</v>
      </c>
      <c r="D1166" s="7">
        <f>SUMPRODUCT($C$4:$X$4,'batch tool'!$B1160:$W1160)+$Y$4</f>
        <v>-44.639843068043824</v>
      </c>
      <c r="E1166" s="7">
        <f>SUMPRODUCT($C$5:$X$5,'batch tool'!$B1160:$W1160)+$Y$5</f>
        <v>-51.578889182477603</v>
      </c>
      <c r="F1166" s="7">
        <f>SUMPRODUCT($C$6:$X$6,'batch tool'!$B1160:$W1160)+$Y$6</f>
        <v>-47.741473633885199</v>
      </c>
      <c r="G1166" s="7">
        <f>SUMPRODUCT($C$7:$X$7,'batch tool'!$B1160:$W1160)+$Y$7</f>
        <v>-19.739516238059196</v>
      </c>
      <c r="H1166" s="7">
        <f t="shared" si="36"/>
        <v>-19.739516238059196</v>
      </c>
      <c r="I1166">
        <f t="shared" si="37"/>
        <v>6</v>
      </c>
      <c r="J1166" t="str" cm="1">
        <f t="array" ref="J1166">INDEX($A$2:$A$7,I1166)</f>
        <v>Segment 6- Self-Conscious Male</v>
      </c>
    </row>
    <row r="1167" spans="1:10" x14ac:dyDescent="0.25">
      <c r="A1167" s="1">
        <f>'batch tool'!A1161</f>
        <v>0</v>
      </c>
      <c r="B1167" s="7">
        <f>SUMPRODUCT($C$2:$X$2,'batch tool'!$B1161:$W1161)+$Y$2</f>
        <v>-49.12272534143483</v>
      </c>
      <c r="C1167" s="7">
        <f>SUMPRODUCT($C$3:$X$3,'batch tool'!$B1161:$W1161)+$Y$3</f>
        <v>-36.514029388465531</v>
      </c>
      <c r="D1167" s="7">
        <f>SUMPRODUCT($C$4:$X$4,'batch tool'!$B1161:$W1161)+$Y$4</f>
        <v>-44.639843068043824</v>
      </c>
      <c r="E1167" s="7">
        <f>SUMPRODUCT($C$5:$X$5,'batch tool'!$B1161:$W1161)+$Y$5</f>
        <v>-51.578889182477603</v>
      </c>
      <c r="F1167" s="7">
        <f>SUMPRODUCT($C$6:$X$6,'batch tool'!$B1161:$W1161)+$Y$6</f>
        <v>-47.741473633885199</v>
      </c>
      <c r="G1167" s="7">
        <f>SUMPRODUCT($C$7:$X$7,'batch tool'!$B1161:$W1161)+$Y$7</f>
        <v>-19.739516238059196</v>
      </c>
      <c r="H1167" s="7">
        <f t="shared" si="36"/>
        <v>-19.739516238059196</v>
      </c>
      <c r="I1167">
        <f t="shared" si="37"/>
        <v>6</v>
      </c>
      <c r="J1167" t="str" cm="1">
        <f t="array" ref="J1167">INDEX($A$2:$A$7,I1167)</f>
        <v>Segment 6- Self-Conscious Male</v>
      </c>
    </row>
    <row r="1168" spans="1:10" x14ac:dyDescent="0.25">
      <c r="A1168" s="1">
        <f>'batch tool'!A1162</f>
        <v>0</v>
      </c>
      <c r="B1168" s="7">
        <f>SUMPRODUCT($C$2:$X$2,'batch tool'!$B1162:$W1162)+$Y$2</f>
        <v>-49.12272534143483</v>
      </c>
      <c r="C1168" s="7">
        <f>SUMPRODUCT($C$3:$X$3,'batch tool'!$B1162:$W1162)+$Y$3</f>
        <v>-36.514029388465531</v>
      </c>
      <c r="D1168" s="7">
        <f>SUMPRODUCT($C$4:$X$4,'batch tool'!$B1162:$W1162)+$Y$4</f>
        <v>-44.639843068043824</v>
      </c>
      <c r="E1168" s="7">
        <f>SUMPRODUCT($C$5:$X$5,'batch tool'!$B1162:$W1162)+$Y$5</f>
        <v>-51.578889182477603</v>
      </c>
      <c r="F1168" s="7">
        <f>SUMPRODUCT($C$6:$X$6,'batch tool'!$B1162:$W1162)+$Y$6</f>
        <v>-47.741473633885199</v>
      </c>
      <c r="G1168" s="7">
        <f>SUMPRODUCT($C$7:$X$7,'batch tool'!$B1162:$W1162)+$Y$7</f>
        <v>-19.739516238059196</v>
      </c>
      <c r="H1168" s="7">
        <f t="shared" si="36"/>
        <v>-19.739516238059196</v>
      </c>
      <c r="I1168">
        <f t="shared" si="37"/>
        <v>6</v>
      </c>
      <c r="J1168" t="str" cm="1">
        <f t="array" ref="J1168">INDEX($A$2:$A$7,I1168)</f>
        <v>Segment 6- Self-Conscious Male</v>
      </c>
    </row>
    <row r="1169" spans="1:10" x14ac:dyDescent="0.25">
      <c r="A1169" s="1">
        <f>'batch tool'!A1163</f>
        <v>0</v>
      </c>
      <c r="B1169" s="7">
        <f>SUMPRODUCT($C$2:$X$2,'batch tool'!$B1163:$W1163)+$Y$2</f>
        <v>-49.12272534143483</v>
      </c>
      <c r="C1169" s="7">
        <f>SUMPRODUCT($C$3:$X$3,'batch tool'!$B1163:$W1163)+$Y$3</f>
        <v>-36.514029388465531</v>
      </c>
      <c r="D1169" s="7">
        <f>SUMPRODUCT($C$4:$X$4,'batch tool'!$B1163:$W1163)+$Y$4</f>
        <v>-44.639843068043824</v>
      </c>
      <c r="E1169" s="7">
        <f>SUMPRODUCT($C$5:$X$5,'batch tool'!$B1163:$W1163)+$Y$5</f>
        <v>-51.578889182477603</v>
      </c>
      <c r="F1169" s="7">
        <f>SUMPRODUCT($C$6:$X$6,'batch tool'!$B1163:$W1163)+$Y$6</f>
        <v>-47.741473633885199</v>
      </c>
      <c r="G1169" s="7">
        <f>SUMPRODUCT($C$7:$X$7,'batch tool'!$B1163:$W1163)+$Y$7</f>
        <v>-19.739516238059196</v>
      </c>
      <c r="H1169" s="7">
        <f t="shared" si="36"/>
        <v>-19.739516238059196</v>
      </c>
      <c r="I1169">
        <f t="shared" si="37"/>
        <v>6</v>
      </c>
      <c r="J1169" t="str" cm="1">
        <f t="array" ref="J1169">INDEX($A$2:$A$7,I1169)</f>
        <v>Segment 6- Self-Conscious Male</v>
      </c>
    </row>
    <row r="1170" spans="1:10" x14ac:dyDescent="0.25">
      <c r="A1170" s="1">
        <f>'batch tool'!A1164</f>
        <v>0</v>
      </c>
      <c r="B1170" s="7">
        <f>SUMPRODUCT($C$2:$X$2,'batch tool'!$B1164:$W1164)+$Y$2</f>
        <v>-49.12272534143483</v>
      </c>
      <c r="C1170" s="7">
        <f>SUMPRODUCT($C$3:$X$3,'batch tool'!$B1164:$W1164)+$Y$3</f>
        <v>-36.514029388465531</v>
      </c>
      <c r="D1170" s="7">
        <f>SUMPRODUCT($C$4:$X$4,'batch tool'!$B1164:$W1164)+$Y$4</f>
        <v>-44.639843068043824</v>
      </c>
      <c r="E1170" s="7">
        <f>SUMPRODUCT($C$5:$X$5,'batch tool'!$B1164:$W1164)+$Y$5</f>
        <v>-51.578889182477603</v>
      </c>
      <c r="F1170" s="7">
        <f>SUMPRODUCT($C$6:$X$6,'batch tool'!$B1164:$W1164)+$Y$6</f>
        <v>-47.741473633885199</v>
      </c>
      <c r="G1170" s="7">
        <f>SUMPRODUCT($C$7:$X$7,'batch tool'!$B1164:$W1164)+$Y$7</f>
        <v>-19.739516238059196</v>
      </c>
      <c r="H1170" s="7">
        <f t="shared" si="36"/>
        <v>-19.739516238059196</v>
      </c>
      <c r="I1170">
        <f t="shared" si="37"/>
        <v>6</v>
      </c>
      <c r="J1170" t="str" cm="1">
        <f t="array" ref="J1170">INDEX($A$2:$A$7,I1170)</f>
        <v>Segment 6- Self-Conscious Male</v>
      </c>
    </row>
    <row r="1171" spans="1:10" x14ac:dyDescent="0.25">
      <c r="A1171" s="1">
        <f>'batch tool'!A1165</f>
        <v>0</v>
      </c>
      <c r="B1171" s="7">
        <f>SUMPRODUCT($C$2:$X$2,'batch tool'!$B1165:$W1165)+$Y$2</f>
        <v>-49.12272534143483</v>
      </c>
      <c r="C1171" s="7">
        <f>SUMPRODUCT($C$3:$X$3,'batch tool'!$B1165:$W1165)+$Y$3</f>
        <v>-36.514029388465531</v>
      </c>
      <c r="D1171" s="7">
        <f>SUMPRODUCT($C$4:$X$4,'batch tool'!$B1165:$W1165)+$Y$4</f>
        <v>-44.639843068043824</v>
      </c>
      <c r="E1171" s="7">
        <f>SUMPRODUCT($C$5:$X$5,'batch tool'!$B1165:$W1165)+$Y$5</f>
        <v>-51.578889182477603</v>
      </c>
      <c r="F1171" s="7">
        <f>SUMPRODUCT($C$6:$X$6,'batch tool'!$B1165:$W1165)+$Y$6</f>
        <v>-47.741473633885199</v>
      </c>
      <c r="G1171" s="7">
        <f>SUMPRODUCT($C$7:$X$7,'batch tool'!$B1165:$W1165)+$Y$7</f>
        <v>-19.739516238059196</v>
      </c>
      <c r="H1171" s="7">
        <f t="shared" si="36"/>
        <v>-19.739516238059196</v>
      </c>
      <c r="I1171">
        <f t="shared" si="37"/>
        <v>6</v>
      </c>
      <c r="J1171" t="str" cm="1">
        <f t="array" ref="J1171">INDEX($A$2:$A$7,I1171)</f>
        <v>Segment 6- Self-Conscious Male</v>
      </c>
    </row>
    <row r="1172" spans="1:10" x14ac:dyDescent="0.25">
      <c r="A1172" s="1">
        <f>'batch tool'!A1166</f>
        <v>0</v>
      </c>
      <c r="B1172" s="7">
        <f>SUMPRODUCT($C$2:$X$2,'batch tool'!$B1166:$W1166)+$Y$2</f>
        <v>-49.12272534143483</v>
      </c>
      <c r="C1172" s="7">
        <f>SUMPRODUCT($C$3:$X$3,'batch tool'!$B1166:$W1166)+$Y$3</f>
        <v>-36.514029388465531</v>
      </c>
      <c r="D1172" s="7">
        <f>SUMPRODUCT($C$4:$X$4,'batch tool'!$B1166:$W1166)+$Y$4</f>
        <v>-44.639843068043824</v>
      </c>
      <c r="E1172" s="7">
        <f>SUMPRODUCT($C$5:$X$5,'batch tool'!$B1166:$W1166)+$Y$5</f>
        <v>-51.578889182477603</v>
      </c>
      <c r="F1172" s="7">
        <f>SUMPRODUCT($C$6:$X$6,'batch tool'!$B1166:$W1166)+$Y$6</f>
        <v>-47.741473633885199</v>
      </c>
      <c r="G1172" s="7">
        <f>SUMPRODUCT($C$7:$X$7,'batch tool'!$B1166:$W1166)+$Y$7</f>
        <v>-19.739516238059196</v>
      </c>
      <c r="H1172" s="7">
        <f t="shared" si="36"/>
        <v>-19.739516238059196</v>
      </c>
      <c r="I1172">
        <f t="shared" si="37"/>
        <v>6</v>
      </c>
      <c r="J1172" t="str" cm="1">
        <f t="array" ref="J1172">INDEX($A$2:$A$7,I1172)</f>
        <v>Segment 6- Self-Conscious Male</v>
      </c>
    </row>
    <row r="1173" spans="1:10" x14ac:dyDescent="0.25">
      <c r="A1173" s="1">
        <f>'batch tool'!A1167</f>
        <v>0</v>
      </c>
      <c r="B1173" s="7">
        <f>SUMPRODUCT($C$2:$X$2,'batch tool'!$B1167:$W1167)+$Y$2</f>
        <v>-49.12272534143483</v>
      </c>
      <c r="C1173" s="7">
        <f>SUMPRODUCT($C$3:$X$3,'batch tool'!$B1167:$W1167)+$Y$3</f>
        <v>-36.514029388465531</v>
      </c>
      <c r="D1173" s="7">
        <f>SUMPRODUCT($C$4:$X$4,'batch tool'!$B1167:$W1167)+$Y$4</f>
        <v>-44.639843068043824</v>
      </c>
      <c r="E1173" s="7">
        <f>SUMPRODUCT($C$5:$X$5,'batch tool'!$B1167:$W1167)+$Y$5</f>
        <v>-51.578889182477603</v>
      </c>
      <c r="F1173" s="7">
        <f>SUMPRODUCT($C$6:$X$6,'batch tool'!$B1167:$W1167)+$Y$6</f>
        <v>-47.741473633885199</v>
      </c>
      <c r="G1173" s="7">
        <f>SUMPRODUCT($C$7:$X$7,'batch tool'!$B1167:$W1167)+$Y$7</f>
        <v>-19.739516238059196</v>
      </c>
      <c r="H1173" s="7">
        <f t="shared" si="36"/>
        <v>-19.739516238059196</v>
      </c>
      <c r="I1173">
        <f t="shared" si="37"/>
        <v>6</v>
      </c>
      <c r="J1173" t="str" cm="1">
        <f t="array" ref="J1173">INDEX($A$2:$A$7,I1173)</f>
        <v>Segment 6- Self-Conscious Male</v>
      </c>
    </row>
    <row r="1174" spans="1:10" x14ac:dyDescent="0.25">
      <c r="A1174" s="1">
        <f>'batch tool'!A1168</f>
        <v>0</v>
      </c>
      <c r="B1174" s="7">
        <f>SUMPRODUCT($C$2:$X$2,'batch tool'!$B1168:$W1168)+$Y$2</f>
        <v>-49.12272534143483</v>
      </c>
      <c r="C1174" s="7">
        <f>SUMPRODUCT($C$3:$X$3,'batch tool'!$B1168:$W1168)+$Y$3</f>
        <v>-36.514029388465531</v>
      </c>
      <c r="D1174" s="7">
        <f>SUMPRODUCT($C$4:$X$4,'batch tool'!$B1168:$W1168)+$Y$4</f>
        <v>-44.639843068043824</v>
      </c>
      <c r="E1174" s="7">
        <f>SUMPRODUCT($C$5:$X$5,'batch tool'!$B1168:$W1168)+$Y$5</f>
        <v>-51.578889182477603</v>
      </c>
      <c r="F1174" s="7">
        <f>SUMPRODUCT($C$6:$X$6,'batch tool'!$B1168:$W1168)+$Y$6</f>
        <v>-47.741473633885199</v>
      </c>
      <c r="G1174" s="7">
        <f>SUMPRODUCT($C$7:$X$7,'batch tool'!$B1168:$W1168)+$Y$7</f>
        <v>-19.739516238059196</v>
      </c>
      <c r="H1174" s="7">
        <f t="shared" si="36"/>
        <v>-19.739516238059196</v>
      </c>
      <c r="I1174">
        <f t="shared" si="37"/>
        <v>6</v>
      </c>
      <c r="J1174" t="str" cm="1">
        <f t="array" ref="J1174">INDEX($A$2:$A$7,I1174)</f>
        <v>Segment 6- Self-Conscious Male</v>
      </c>
    </row>
    <row r="1175" spans="1:10" x14ac:dyDescent="0.25">
      <c r="A1175" s="1">
        <f>'batch tool'!A1169</f>
        <v>0</v>
      </c>
      <c r="B1175" s="7">
        <f>SUMPRODUCT($C$2:$X$2,'batch tool'!$B1169:$W1169)+$Y$2</f>
        <v>-49.12272534143483</v>
      </c>
      <c r="C1175" s="7">
        <f>SUMPRODUCT($C$3:$X$3,'batch tool'!$B1169:$W1169)+$Y$3</f>
        <v>-36.514029388465531</v>
      </c>
      <c r="D1175" s="7">
        <f>SUMPRODUCT($C$4:$X$4,'batch tool'!$B1169:$W1169)+$Y$4</f>
        <v>-44.639843068043824</v>
      </c>
      <c r="E1175" s="7">
        <f>SUMPRODUCT($C$5:$X$5,'batch tool'!$B1169:$W1169)+$Y$5</f>
        <v>-51.578889182477603</v>
      </c>
      <c r="F1175" s="7">
        <f>SUMPRODUCT($C$6:$X$6,'batch tool'!$B1169:$W1169)+$Y$6</f>
        <v>-47.741473633885199</v>
      </c>
      <c r="G1175" s="7">
        <f>SUMPRODUCT($C$7:$X$7,'batch tool'!$B1169:$W1169)+$Y$7</f>
        <v>-19.739516238059196</v>
      </c>
      <c r="H1175" s="7">
        <f t="shared" si="36"/>
        <v>-19.739516238059196</v>
      </c>
      <c r="I1175">
        <f t="shared" si="37"/>
        <v>6</v>
      </c>
      <c r="J1175" t="str" cm="1">
        <f t="array" ref="J1175">INDEX($A$2:$A$7,I1175)</f>
        <v>Segment 6- Self-Conscious Male</v>
      </c>
    </row>
    <row r="1176" spans="1:10" x14ac:dyDescent="0.25">
      <c r="A1176" s="1">
        <f>'batch tool'!A1170</f>
        <v>0</v>
      </c>
      <c r="B1176" s="7">
        <f>SUMPRODUCT($C$2:$X$2,'batch tool'!$B1170:$W1170)+$Y$2</f>
        <v>-49.12272534143483</v>
      </c>
      <c r="C1176" s="7">
        <f>SUMPRODUCT($C$3:$X$3,'batch tool'!$B1170:$W1170)+$Y$3</f>
        <v>-36.514029388465531</v>
      </c>
      <c r="D1176" s="7">
        <f>SUMPRODUCT($C$4:$X$4,'batch tool'!$B1170:$W1170)+$Y$4</f>
        <v>-44.639843068043824</v>
      </c>
      <c r="E1176" s="7">
        <f>SUMPRODUCT($C$5:$X$5,'batch tool'!$B1170:$W1170)+$Y$5</f>
        <v>-51.578889182477603</v>
      </c>
      <c r="F1176" s="7">
        <f>SUMPRODUCT($C$6:$X$6,'batch tool'!$B1170:$W1170)+$Y$6</f>
        <v>-47.741473633885199</v>
      </c>
      <c r="G1176" s="7">
        <f>SUMPRODUCT($C$7:$X$7,'batch tool'!$B1170:$W1170)+$Y$7</f>
        <v>-19.739516238059196</v>
      </c>
      <c r="H1176" s="7">
        <f t="shared" si="36"/>
        <v>-19.739516238059196</v>
      </c>
      <c r="I1176">
        <f t="shared" si="37"/>
        <v>6</v>
      </c>
      <c r="J1176" t="str" cm="1">
        <f t="array" ref="J1176">INDEX($A$2:$A$7,I1176)</f>
        <v>Segment 6- Self-Conscious Male</v>
      </c>
    </row>
    <row r="1177" spans="1:10" x14ac:dyDescent="0.25">
      <c r="A1177" s="1">
        <f>'batch tool'!A1171</f>
        <v>0</v>
      </c>
      <c r="B1177" s="7">
        <f>SUMPRODUCT($C$2:$X$2,'batch tool'!$B1171:$W1171)+$Y$2</f>
        <v>-49.12272534143483</v>
      </c>
      <c r="C1177" s="7">
        <f>SUMPRODUCT($C$3:$X$3,'batch tool'!$B1171:$W1171)+$Y$3</f>
        <v>-36.514029388465531</v>
      </c>
      <c r="D1177" s="7">
        <f>SUMPRODUCT($C$4:$X$4,'batch tool'!$B1171:$W1171)+$Y$4</f>
        <v>-44.639843068043824</v>
      </c>
      <c r="E1177" s="7">
        <f>SUMPRODUCT($C$5:$X$5,'batch tool'!$B1171:$W1171)+$Y$5</f>
        <v>-51.578889182477603</v>
      </c>
      <c r="F1177" s="7">
        <f>SUMPRODUCT($C$6:$X$6,'batch tool'!$B1171:$W1171)+$Y$6</f>
        <v>-47.741473633885199</v>
      </c>
      <c r="G1177" s="7">
        <f>SUMPRODUCT($C$7:$X$7,'batch tool'!$B1171:$W1171)+$Y$7</f>
        <v>-19.739516238059196</v>
      </c>
      <c r="H1177" s="7">
        <f t="shared" si="36"/>
        <v>-19.739516238059196</v>
      </c>
      <c r="I1177">
        <f t="shared" si="37"/>
        <v>6</v>
      </c>
      <c r="J1177" t="str" cm="1">
        <f t="array" ref="J1177">INDEX($A$2:$A$7,I1177)</f>
        <v>Segment 6- Self-Conscious Male</v>
      </c>
    </row>
    <row r="1178" spans="1:10" x14ac:dyDescent="0.25">
      <c r="A1178" s="1">
        <f>'batch tool'!A1172</f>
        <v>0</v>
      </c>
      <c r="B1178" s="7">
        <f>SUMPRODUCT($C$2:$X$2,'batch tool'!$B1172:$W1172)+$Y$2</f>
        <v>-49.12272534143483</v>
      </c>
      <c r="C1178" s="7">
        <f>SUMPRODUCT($C$3:$X$3,'batch tool'!$B1172:$W1172)+$Y$3</f>
        <v>-36.514029388465531</v>
      </c>
      <c r="D1178" s="7">
        <f>SUMPRODUCT($C$4:$X$4,'batch tool'!$B1172:$W1172)+$Y$4</f>
        <v>-44.639843068043824</v>
      </c>
      <c r="E1178" s="7">
        <f>SUMPRODUCT($C$5:$X$5,'batch tool'!$B1172:$W1172)+$Y$5</f>
        <v>-51.578889182477603</v>
      </c>
      <c r="F1178" s="7">
        <f>SUMPRODUCT($C$6:$X$6,'batch tool'!$B1172:$W1172)+$Y$6</f>
        <v>-47.741473633885199</v>
      </c>
      <c r="G1178" s="7">
        <f>SUMPRODUCT($C$7:$X$7,'batch tool'!$B1172:$W1172)+$Y$7</f>
        <v>-19.739516238059196</v>
      </c>
      <c r="H1178" s="7">
        <f t="shared" si="36"/>
        <v>-19.739516238059196</v>
      </c>
      <c r="I1178">
        <f t="shared" si="37"/>
        <v>6</v>
      </c>
      <c r="J1178" t="str" cm="1">
        <f t="array" ref="J1178">INDEX($A$2:$A$7,I1178)</f>
        <v>Segment 6- Self-Conscious Male</v>
      </c>
    </row>
    <row r="1179" spans="1:10" x14ac:dyDescent="0.25">
      <c r="A1179" s="1">
        <f>'batch tool'!A1173</f>
        <v>0</v>
      </c>
      <c r="B1179" s="7">
        <f>SUMPRODUCT($C$2:$X$2,'batch tool'!$B1173:$W1173)+$Y$2</f>
        <v>-49.12272534143483</v>
      </c>
      <c r="C1179" s="7">
        <f>SUMPRODUCT($C$3:$X$3,'batch tool'!$B1173:$W1173)+$Y$3</f>
        <v>-36.514029388465531</v>
      </c>
      <c r="D1179" s="7">
        <f>SUMPRODUCT($C$4:$X$4,'batch tool'!$B1173:$W1173)+$Y$4</f>
        <v>-44.639843068043824</v>
      </c>
      <c r="E1179" s="7">
        <f>SUMPRODUCT($C$5:$X$5,'batch tool'!$B1173:$W1173)+$Y$5</f>
        <v>-51.578889182477603</v>
      </c>
      <c r="F1179" s="7">
        <f>SUMPRODUCT($C$6:$X$6,'batch tool'!$B1173:$W1173)+$Y$6</f>
        <v>-47.741473633885199</v>
      </c>
      <c r="G1179" s="7">
        <f>SUMPRODUCT($C$7:$X$7,'batch tool'!$B1173:$W1173)+$Y$7</f>
        <v>-19.739516238059196</v>
      </c>
      <c r="H1179" s="7">
        <f t="shared" si="36"/>
        <v>-19.739516238059196</v>
      </c>
      <c r="I1179">
        <f t="shared" si="37"/>
        <v>6</v>
      </c>
      <c r="J1179" t="str" cm="1">
        <f t="array" ref="J1179">INDEX($A$2:$A$7,I1179)</f>
        <v>Segment 6- Self-Conscious Male</v>
      </c>
    </row>
    <row r="1180" spans="1:10" x14ac:dyDescent="0.25">
      <c r="A1180" s="1">
        <f>'batch tool'!A1174</f>
        <v>0</v>
      </c>
      <c r="B1180" s="7">
        <f>SUMPRODUCT($C$2:$X$2,'batch tool'!$B1174:$W1174)+$Y$2</f>
        <v>-49.12272534143483</v>
      </c>
      <c r="C1180" s="7">
        <f>SUMPRODUCT($C$3:$X$3,'batch tool'!$B1174:$W1174)+$Y$3</f>
        <v>-36.514029388465531</v>
      </c>
      <c r="D1180" s="7">
        <f>SUMPRODUCT($C$4:$X$4,'batch tool'!$B1174:$W1174)+$Y$4</f>
        <v>-44.639843068043824</v>
      </c>
      <c r="E1180" s="7">
        <f>SUMPRODUCT($C$5:$X$5,'batch tool'!$B1174:$W1174)+$Y$5</f>
        <v>-51.578889182477603</v>
      </c>
      <c r="F1180" s="7">
        <f>SUMPRODUCT($C$6:$X$6,'batch tool'!$B1174:$W1174)+$Y$6</f>
        <v>-47.741473633885199</v>
      </c>
      <c r="G1180" s="7">
        <f>SUMPRODUCT($C$7:$X$7,'batch tool'!$B1174:$W1174)+$Y$7</f>
        <v>-19.739516238059196</v>
      </c>
      <c r="H1180" s="7">
        <f t="shared" si="36"/>
        <v>-19.739516238059196</v>
      </c>
      <c r="I1180">
        <f t="shared" si="37"/>
        <v>6</v>
      </c>
      <c r="J1180" t="str" cm="1">
        <f t="array" ref="J1180">INDEX($A$2:$A$7,I1180)</f>
        <v>Segment 6- Self-Conscious Male</v>
      </c>
    </row>
    <row r="1181" spans="1:10" x14ac:dyDescent="0.25">
      <c r="A1181" s="1">
        <f>'batch tool'!A1175</f>
        <v>0</v>
      </c>
      <c r="B1181" s="7">
        <f>SUMPRODUCT($C$2:$X$2,'batch tool'!$B1175:$W1175)+$Y$2</f>
        <v>-49.12272534143483</v>
      </c>
      <c r="C1181" s="7">
        <f>SUMPRODUCT($C$3:$X$3,'batch tool'!$B1175:$W1175)+$Y$3</f>
        <v>-36.514029388465531</v>
      </c>
      <c r="D1181" s="7">
        <f>SUMPRODUCT($C$4:$X$4,'batch tool'!$B1175:$W1175)+$Y$4</f>
        <v>-44.639843068043824</v>
      </c>
      <c r="E1181" s="7">
        <f>SUMPRODUCT($C$5:$X$5,'batch tool'!$B1175:$W1175)+$Y$5</f>
        <v>-51.578889182477603</v>
      </c>
      <c r="F1181" s="7">
        <f>SUMPRODUCT($C$6:$X$6,'batch tool'!$B1175:$W1175)+$Y$6</f>
        <v>-47.741473633885199</v>
      </c>
      <c r="G1181" s="7">
        <f>SUMPRODUCT($C$7:$X$7,'batch tool'!$B1175:$W1175)+$Y$7</f>
        <v>-19.739516238059196</v>
      </c>
      <c r="H1181" s="7">
        <f t="shared" si="36"/>
        <v>-19.739516238059196</v>
      </c>
      <c r="I1181">
        <f t="shared" si="37"/>
        <v>6</v>
      </c>
      <c r="J1181" t="str" cm="1">
        <f t="array" ref="J1181">INDEX($A$2:$A$7,I1181)</f>
        <v>Segment 6- Self-Conscious Male</v>
      </c>
    </row>
    <row r="1182" spans="1:10" x14ac:dyDescent="0.25">
      <c r="A1182" s="1">
        <f>'batch tool'!A1176</f>
        <v>0</v>
      </c>
      <c r="B1182" s="7">
        <f>SUMPRODUCT($C$2:$X$2,'batch tool'!$B1176:$W1176)+$Y$2</f>
        <v>-49.12272534143483</v>
      </c>
      <c r="C1182" s="7">
        <f>SUMPRODUCT($C$3:$X$3,'batch tool'!$B1176:$W1176)+$Y$3</f>
        <v>-36.514029388465531</v>
      </c>
      <c r="D1182" s="7">
        <f>SUMPRODUCT($C$4:$X$4,'batch tool'!$B1176:$W1176)+$Y$4</f>
        <v>-44.639843068043824</v>
      </c>
      <c r="E1182" s="7">
        <f>SUMPRODUCT($C$5:$X$5,'batch tool'!$B1176:$W1176)+$Y$5</f>
        <v>-51.578889182477603</v>
      </c>
      <c r="F1182" s="7">
        <f>SUMPRODUCT($C$6:$X$6,'batch tool'!$B1176:$W1176)+$Y$6</f>
        <v>-47.741473633885199</v>
      </c>
      <c r="G1182" s="7">
        <f>SUMPRODUCT($C$7:$X$7,'batch tool'!$B1176:$W1176)+$Y$7</f>
        <v>-19.739516238059196</v>
      </c>
      <c r="H1182" s="7">
        <f t="shared" si="36"/>
        <v>-19.739516238059196</v>
      </c>
      <c r="I1182">
        <f t="shared" si="37"/>
        <v>6</v>
      </c>
      <c r="J1182" t="str" cm="1">
        <f t="array" ref="J1182">INDEX($A$2:$A$7,I1182)</f>
        <v>Segment 6- Self-Conscious Male</v>
      </c>
    </row>
    <row r="1183" spans="1:10" x14ac:dyDescent="0.25">
      <c r="A1183" s="1">
        <f>'batch tool'!A1177</f>
        <v>0</v>
      </c>
      <c r="B1183" s="7">
        <f>SUMPRODUCT($C$2:$X$2,'batch tool'!$B1177:$W1177)+$Y$2</f>
        <v>-49.12272534143483</v>
      </c>
      <c r="C1183" s="7">
        <f>SUMPRODUCT($C$3:$X$3,'batch tool'!$B1177:$W1177)+$Y$3</f>
        <v>-36.514029388465531</v>
      </c>
      <c r="D1183" s="7">
        <f>SUMPRODUCT($C$4:$X$4,'batch tool'!$B1177:$W1177)+$Y$4</f>
        <v>-44.639843068043824</v>
      </c>
      <c r="E1183" s="7">
        <f>SUMPRODUCT($C$5:$X$5,'batch tool'!$B1177:$W1177)+$Y$5</f>
        <v>-51.578889182477603</v>
      </c>
      <c r="F1183" s="7">
        <f>SUMPRODUCT($C$6:$X$6,'batch tool'!$B1177:$W1177)+$Y$6</f>
        <v>-47.741473633885199</v>
      </c>
      <c r="G1183" s="7">
        <f>SUMPRODUCT($C$7:$X$7,'batch tool'!$B1177:$W1177)+$Y$7</f>
        <v>-19.739516238059196</v>
      </c>
      <c r="H1183" s="7">
        <f t="shared" si="36"/>
        <v>-19.739516238059196</v>
      </c>
      <c r="I1183">
        <f t="shared" si="37"/>
        <v>6</v>
      </c>
      <c r="J1183" t="str" cm="1">
        <f t="array" ref="J1183">INDEX($A$2:$A$7,I1183)</f>
        <v>Segment 6- Self-Conscious Male</v>
      </c>
    </row>
    <row r="1184" spans="1:10" x14ac:dyDescent="0.25">
      <c r="A1184" s="1">
        <f>'batch tool'!A1178</f>
        <v>0</v>
      </c>
      <c r="B1184" s="7">
        <f>SUMPRODUCT($C$2:$X$2,'batch tool'!$B1178:$W1178)+$Y$2</f>
        <v>-49.12272534143483</v>
      </c>
      <c r="C1184" s="7">
        <f>SUMPRODUCT($C$3:$X$3,'batch tool'!$B1178:$W1178)+$Y$3</f>
        <v>-36.514029388465531</v>
      </c>
      <c r="D1184" s="7">
        <f>SUMPRODUCT($C$4:$X$4,'batch tool'!$B1178:$W1178)+$Y$4</f>
        <v>-44.639843068043824</v>
      </c>
      <c r="E1184" s="7">
        <f>SUMPRODUCT($C$5:$X$5,'batch tool'!$B1178:$W1178)+$Y$5</f>
        <v>-51.578889182477603</v>
      </c>
      <c r="F1184" s="7">
        <f>SUMPRODUCT($C$6:$X$6,'batch tool'!$B1178:$W1178)+$Y$6</f>
        <v>-47.741473633885199</v>
      </c>
      <c r="G1184" s="7">
        <f>SUMPRODUCT($C$7:$X$7,'batch tool'!$B1178:$W1178)+$Y$7</f>
        <v>-19.739516238059196</v>
      </c>
      <c r="H1184" s="7">
        <f t="shared" si="36"/>
        <v>-19.739516238059196</v>
      </c>
      <c r="I1184">
        <f t="shared" si="37"/>
        <v>6</v>
      </c>
      <c r="J1184" t="str" cm="1">
        <f t="array" ref="J1184">INDEX($A$2:$A$7,I1184)</f>
        <v>Segment 6- Self-Conscious Male</v>
      </c>
    </row>
    <row r="1185" spans="1:10" x14ac:dyDescent="0.25">
      <c r="A1185" s="1">
        <f>'batch tool'!A1179</f>
        <v>0</v>
      </c>
      <c r="B1185" s="7">
        <f>SUMPRODUCT($C$2:$X$2,'batch tool'!$B1179:$W1179)+$Y$2</f>
        <v>-49.12272534143483</v>
      </c>
      <c r="C1185" s="7">
        <f>SUMPRODUCT($C$3:$X$3,'batch tool'!$B1179:$W1179)+$Y$3</f>
        <v>-36.514029388465531</v>
      </c>
      <c r="D1185" s="7">
        <f>SUMPRODUCT($C$4:$X$4,'batch tool'!$B1179:$W1179)+$Y$4</f>
        <v>-44.639843068043824</v>
      </c>
      <c r="E1185" s="7">
        <f>SUMPRODUCT($C$5:$X$5,'batch tool'!$B1179:$W1179)+$Y$5</f>
        <v>-51.578889182477603</v>
      </c>
      <c r="F1185" s="7">
        <f>SUMPRODUCT($C$6:$X$6,'batch tool'!$B1179:$W1179)+$Y$6</f>
        <v>-47.741473633885199</v>
      </c>
      <c r="G1185" s="7">
        <f>SUMPRODUCT($C$7:$X$7,'batch tool'!$B1179:$W1179)+$Y$7</f>
        <v>-19.739516238059196</v>
      </c>
      <c r="H1185" s="7">
        <f t="shared" si="36"/>
        <v>-19.739516238059196</v>
      </c>
      <c r="I1185">
        <f t="shared" si="37"/>
        <v>6</v>
      </c>
      <c r="J1185" t="str" cm="1">
        <f t="array" ref="J1185">INDEX($A$2:$A$7,I1185)</f>
        <v>Segment 6- Self-Conscious Male</v>
      </c>
    </row>
    <row r="1186" spans="1:10" x14ac:dyDescent="0.25">
      <c r="A1186" s="1">
        <f>'batch tool'!A1180</f>
        <v>0</v>
      </c>
      <c r="B1186" s="7">
        <f>SUMPRODUCT($C$2:$X$2,'batch tool'!$B1180:$W1180)+$Y$2</f>
        <v>-49.12272534143483</v>
      </c>
      <c r="C1186" s="7">
        <f>SUMPRODUCT($C$3:$X$3,'batch tool'!$B1180:$W1180)+$Y$3</f>
        <v>-36.514029388465531</v>
      </c>
      <c r="D1186" s="7">
        <f>SUMPRODUCT($C$4:$X$4,'batch tool'!$B1180:$W1180)+$Y$4</f>
        <v>-44.639843068043824</v>
      </c>
      <c r="E1186" s="7">
        <f>SUMPRODUCT($C$5:$X$5,'batch tool'!$B1180:$W1180)+$Y$5</f>
        <v>-51.578889182477603</v>
      </c>
      <c r="F1186" s="7">
        <f>SUMPRODUCT($C$6:$X$6,'batch tool'!$B1180:$W1180)+$Y$6</f>
        <v>-47.741473633885199</v>
      </c>
      <c r="G1186" s="7">
        <f>SUMPRODUCT($C$7:$X$7,'batch tool'!$B1180:$W1180)+$Y$7</f>
        <v>-19.739516238059196</v>
      </c>
      <c r="H1186" s="7">
        <f t="shared" si="36"/>
        <v>-19.739516238059196</v>
      </c>
      <c r="I1186">
        <f t="shared" si="37"/>
        <v>6</v>
      </c>
      <c r="J1186" t="str" cm="1">
        <f t="array" ref="J1186">INDEX($A$2:$A$7,I1186)</f>
        <v>Segment 6- Self-Conscious Male</v>
      </c>
    </row>
    <row r="1187" spans="1:10" x14ac:dyDescent="0.25">
      <c r="A1187" s="1">
        <f>'batch tool'!A1181</f>
        <v>0</v>
      </c>
      <c r="B1187" s="7">
        <f>SUMPRODUCT($C$2:$X$2,'batch tool'!$B1181:$W1181)+$Y$2</f>
        <v>-49.12272534143483</v>
      </c>
      <c r="C1187" s="7">
        <f>SUMPRODUCT($C$3:$X$3,'batch tool'!$B1181:$W1181)+$Y$3</f>
        <v>-36.514029388465531</v>
      </c>
      <c r="D1187" s="7">
        <f>SUMPRODUCT($C$4:$X$4,'batch tool'!$B1181:$W1181)+$Y$4</f>
        <v>-44.639843068043824</v>
      </c>
      <c r="E1187" s="7">
        <f>SUMPRODUCT($C$5:$X$5,'batch tool'!$B1181:$W1181)+$Y$5</f>
        <v>-51.578889182477603</v>
      </c>
      <c r="F1187" s="7">
        <f>SUMPRODUCT($C$6:$X$6,'batch tool'!$B1181:$W1181)+$Y$6</f>
        <v>-47.741473633885199</v>
      </c>
      <c r="G1187" s="7">
        <f>SUMPRODUCT($C$7:$X$7,'batch tool'!$B1181:$W1181)+$Y$7</f>
        <v>-19.739516238059196</v>
      </c>
      <c r="H1187" s="7">
        <f t="shared" si="36"/>
        <v>-19.739516238059196</v>
      </c>
      <c r="I1187">
        <f t="shared" si="37"/>
        <v>6</v>
      </c>
      <c r="J1187" t="str" cm="1">
        <f t="array" ref="J1187">INDEX($A$2:$A$7,I1187)</f>
        <v>Segment 6- Self-Conscious Male</v>
      </c>
    </row>
    <row r="1188" spans="1:10" x14ac:dyDescent="0.25">
      <c r="A1188" s="1">
        <f>'batch tool'!A1182</f>
        <v>0</v>
      </c>
      <c r="B1188" s="7">
        <f>SUMPRODUCT($C$2:$X$2,'batch tool'!$B1182:$W1182)+$Y$2</f>
        <v>-49.12272534143483</v>
      </c>
      <c r="C1188" s="7">
        <f>SUMPRODUCT($C$3:$X$3,'batch tool'!$B1182:$W1182)+$Y$3</f>
        <v>-36.514029388465531</v>
      </c>
      <c r="D1188" s="7">
        <f>SUMPRODUCT($C$4:$X$4,'batch tool'!$B1182:$W1182)+$Y$4</f>
        <v>-44.639843068043824</v>
      </c>
      <c r="E1188" s="7">
        <f>SUMPRODUCT($C$5:$X$5,'batch tool'!$B1182:$W1182)+$Y$5</f>
        <v>-51.578889182477603</v>
      </c>
      <c r="F1188" s="7">
        <f>SUMPRODUCT($C$6:$X$6,'batch tool'!$B1182:$W1182)+$Y$6</f>
        <v>-47.741473633885199</v>
      </c>
      <c r="G1188" s="7">
        <f>SUMPRODUCT($C$7:$X$7,'batch tool'!$B1182:$W1182)+$Y$7</f>
        <v>-19.739516238059196</v>
      </c>
      <c r="H1188" s="7">
        <f t="shared" si="36"/>
        <v>-19.739516238059196</v>
      </c>
      <c r="I1188">
        <f t="shared" si="37"/>
        <v>6</v>
      </c>
      <c r="J1188" t="str" cm="1">
        <f t="array" ref="J1188">INDEX($A$2:$A$7,I1188)</f>
        <v>Segment 6- Self-Conscious Male</v>
      </c>
    </row>
    <row r="1189" spans="1:10" x14ac:dyDescent="0.25">
      <c r="A1189" s="1">
        <f>'batch tool'!A1183</f>
        <v>0</v>
      </c>
      <c r="B1189" s="7">
        <f>SUMPRODUCT($C$2:$X$2,'batch tool'!$B1183:$W1183)+$Y$2</f>
        <v>-49.12272534143483</v>
      </c>
      <c r="C1189" s="7">
        <f>SUMPRODUCT($C$3:$X$3,'batch tool'!$B1183:$W1183)+$Y$3</f>
        <v>-36.514029388465531</v>
      </c>
      <c r="D1189" s="7">
        <f>SUMPRODUCT($C$4:$X$4,'batch tool'!$B1183:$W1183)+$Y$4</f>
        <v>-44.639843068043824</v>
      </c>
      <c r="E1189" s="7">
        <f>SUMPRODUCT($C$5:$X$5,'batch tool'!$B1183:$W1183)+$Y$5</f>
        <v>-51.578889182477603</v>
      </c>
      <c r="F1189" s="7">
        <f>SUMPRODUCT($C$6:$X$6,'batch tool'!$B1183:$W1183)+$Y$6</f>
        <v>-47.741473633885199</v>
      </c>
      <c r="G1189" s="7">
        <f>SUMPRODUCT($C$7:$X$7,'batch tool'!$B1183:$W1183)+$Y$7</f>
        <v>-19.739516238059196</v>
      </c>
      <c r="H1189" s="7">
        <f t="shared" si="36"/>
        <v>-19.739516238059196</v>
      </c>
      <c r="I1189">
        <f t="shared" si="37"/>
        <v>6</v>
      </c>
      <c r="J1189" t="str" cm="1">
        <f t="array" ref="J1189">INDEX($A$2:$A$7,I1189)</f>
        <v>Segment 6- Self-Conscious Male</v>
      </c>
    </row>
    <row r="1190" spans="1:10" x14ac:dyDescent="0.25">
      <c r="A1190" s="1">
        <f>'batch tool'!A1184</f>
        <v>0</v>
      </c>
      <c r="B1190" s="7">
        <f>SUMPRODUCT($C$2:$X$2,'batch tool'!$B1184:$W1184)+$Y$2</f>
        <v>-49.12272534143483</v>
      </c>
      <c r="C1190" s="7">
        <f>SUMPRODUCT($C$3:$X$3,'batch tool'!$B1184:$W1184)+$Y$3</f>
        <v>-36.514029388465531</v>
      </c>
      <c r="D1190" s="7">
        <f>SUMPRODUCT($C$4:$X$4,'batch tool'!$B1184:$W1184)+$Y$4</f>
        <v>-44.639843068043824</v>
      </c>
      <c r="E1190" s="7">
        <f>SUMPRODUCT($C$5:$X$5,'batch tool'!$B1184:$W1184)+$Y$5</f>
        <v>-51.578889182477603</v>
      </c>
      <c r="F1190" s="7">
        <f>SUMPRODUCT($C$6:$X$6,'batch tool'!$B1184:$W1184)+$Y$6</f>
        <v>-47.741473633885199</v>
      </c>
      <c r="G1190" s="7">
        <f>SUMPRODUCT($C$7:$X$7,'batch tool'!$B1184:$W1184)+$Y$7</f>
        <v>-19.739516238059196</v>
      </c>
      <c r="H1190" s="7">
        <f t="shared" si="36"/>
        <v>-19.739516238059196</v>
      </c>
      <c r="I1190">
        <f t="shared" si="37"/>
        <v>6</v>
      </c>
      <c r="J1190" t="str" cm="1">
        <f t="array" ref="J1190">INDEX($A$2:$A$7,I1190)</f>
        <v>Segment 6- Self-Conscious Male</v>
      </c>
    </row>
    <row r="1191" spans="1:10" x14ac:dyDescent="0.25">
      <c r="A1191" s="1">
        <f>'batch tool'!A1185</f>
        <v>0</v>
      </c>
      <c r="B1191" s="7">
        <f>SUMPRODUCT($C$2:$X$2,'batch tool'!$B1185:$W1185)+$Y$2</f>
        <v>-49.12272534143483</v>
      </c>
      <c r="C1191" s="7">
        <f>SUMPRODUCT($C$3:$X$3,'batch tool'!$B1185:$W1185)+$Y$3</f>
        <v>-36.514029388465531</v>
      </c>
      <c r="D1191" s="7">
        <f>SUMPRODUCT($C$4:$X$4,'batch tool'!$B1185:$W1185)+$Y$4</f>
        <v>-44.639843068043824</v>
      </c>
      <c r="E1191" s="7">
        <f>SUMPRODUCT($C$5:$X$5,'batch tool'!$B1185:$W1185)+$Y$5</f>
        <v>-51.578889182477603</v>
      </c>
      <c r="F1191" s="7">
        <f>SUMPRODUCT($C$6:$X$6,'batch tool'!$B1185:$W1185)+$Y$6</f>
        <v>-47.741473633885199</v>
      </c>
      <c r="G1191" s="7">
        <f>SUMPRODUCT($C$7:$X$7,'batch tool'!$B1185:$W1185)+$Y$7</f>
        <v>-19.739516238059196</v>
      </c>
      <c r="H1191" s="7">
        <f t="shared" si="36"/>
        <v>-19.739516238059196</v>
      </c>
      <c r="I1191">
        <f t="shared" si="37"/>
        <v>6</v>
      </c>
      <c r="J1191" t="str" cm="1">
        <f t="array" ref="J1191">INDEX($A$2:$A$7,I1191)</f>
        <v>Segment 6- Self-Conscious Male</v>
      </c>
    </row>
    <row r="1192" spans="1:10" x14ac:dyDescent="0.25">
      <c r="A1192" s="1">
        <f>'batch tool'!A1186</f>
        <v>0</v>
      </c>
      <c r="B1192" s="7">
        <f>SUMPRODUCT($C$2:$X$2,'batch tool'!$B1186:$W1186)+$Y$2</f>
        <v>-49.12272534143483</v>
      </c>
      <c r="C1192" s="7">
        <f>SUMPRODUCT($C$3:$X$3,'batch tool'!$B1186:$W1186)+$Y$3</f>
        <v>-36.514029388465531</v>
      </c>
      <c r="D1192" s="7">
        <f>SUMPRODUCT($C$4:$X$4,'batch tool'!$B1186:$W1186)+$Y$4</f>
        <v>-44.639843068043824</v>
      </c>
      <c r="E1192" s="7">
        <f>SUMPRODUCT($C$5:$X$5,'batch tool'!$B1186:$W1186)+$Y$5</f>
        <v>-51.578889182477603</v>
      </c>
      <c r="F1192" s="7">
        <f>SUMPRODUCT($C$6:$X$6,'batch tool'!$B1186:$W1186)+$Y$6</f>
        <v>-47.741473633885199</v>
      </c>
      <c r="G1192" s="7">
        <f>SUMPRODUCT($C$7:$X$7,'batch tool'!$B1186:$W1186)+$Y$7</f>
        <v>-19.739516238059196</v>
      </c>
      <c r="H1192" s="7">
        <f t="shared" si="36"/>
        <v>-19.739516238059196</v>
      </c>
      <c r="I1192">
        <f t="shared" si="37"/>
        <v>6</v>
      </c>
      <c r="J1192" t="str" cm="1">
        <f t="array" ref="J1192">INDEX($A$2:$A$7,I1192)</f>
        <v>Segment 6- Self-Conscious Male</v>
      </c>
    </row>
    <row r="1193" spans="1:10" x14ac:dyDescent="0.25">
      <c r="A1193" s="1">
        <f>'batch tool'!A1187</f>
        <v>0</v>
      </c>
      <c r="B1193" s="7">
        <f>SUMPRODUCT($C$2:$X$2,'batch tool'!$B1187:$W1187)+$Y$2</f>
        <v>-49.12272534143483</v>
      </c>
      <c r="C1193" s="7">
        <f>SUMPRODUCT($C$3:$X$3,'batch tool'!$B1187:$W1187)+$Y$3</f>
        <v>-36.514029388465531</v>
      </c>
      <c r="D1193" s="7">
        <f>SUMPRODUCT($C$4:$X$4,'batch tool'!$B1187:$W1187)+$Y$4</f>
        <v>-44.639843068043824</v>
      </c>
      <c r="E1193" s="7">
        <f>SUMPRODUCT($C$5:$X$5,'batch tool'!$B1187:$W1187)+$Y$5</f>
        <v>-51.578889182477603</v>
      </c>
      <c r="F1193" s="7">
        <f>SUMPRODUCT($C$6:$X$6,'batch tool'!$B1187:$W1187)+$Y$6</f>
        <v>-47.741473633885199</v>
      </c>
      <c r="G1193" s="7">
        <f>SUMPRODUCT($C$7:$X$7,'batch tool'!$B1187:$W1187)+$Y$7</f>
        <v>-19.739516238059196</v>
      </c>
      <c r="H1193" s="7">
        <f t="shared" si="36"/>
        <v>-19.739516238059196</v>
      </c>
      <c r="I1193">
        <f t="shared" si="37"/>
        <v>6</v>
      </c>
      <c r="J1193" t="str" cm="1">
        <f t="array" ref="J1193">INDEX($A$2:$A$7,I1193)</f>
        <v>Segment 6- Self-Conscious Male</v>
      </c>
    </row>
    <row r="1194" spans="1:10" x14ac:dyDescent="0.25">
      <c r="A1194" s="1">
        <f>'batch tool'!A1188</f>
        <v>0</v>
      </c>
      <c r="B1194" s="7">
        <f>SUMPRODUCT($C$2:$X$2,'batch tool'!$B1188:$W1188)+$Y$2</f>
        <v>-49.12272534143483</v>
      </c>
      <c r="C1194" s="7">
        <f>SUMPRODUCT($C$3:$X$3,'batch tool'!$B1188:$W1188)+$Y$3</f>
        <v>-36.514029388465531</v>
      </c>
      <c r="D1194" s="7">
        <f>SUMPRODUCT($C$4:$X$4,'batch tool'!$B1188:$W1188)+$Y$4</f>
        <v>-44.639843068043824</v>
      </c>
      <c r="E1194" s="7">
        <f>SUMPRODUCT($C$5:$X$5,'batch tool'!$B1188:$W1188)+$Y$5</f>
        <v>-51.578889182477603</v>
      </c>
      <c r="F1194" s="7">
        <f>SUMPRODUCT($C$6:$X$6,'batch tool'!$B1188:$W1188)+$Y$6</f>
        <v>-47.741473633885199</v>
      </c>
      <c r="G1194" s="7">
        <f>SUMPRODUCT($C$7:$X$7,'batch tool'!$B1188:$W1188)+$Y$7</f>
        <v>-19.739516238059196</v>
      </c>
      <c r="H1194" s="7">
        <f t="shared" si="36"/>
        <v>-19.739516238059196</v>
      </c>
      <c r="I1194">
        <f t="shared" si="37"/>
        <v>6</v>
      </c>
      <c r="J1194" t="str" cm="1">
        <f t="array" ref="J1194">INDEX($A$2:$A$7,I1194)</f>
        <v>Segment 6- Self-Conscious Male</v>
      </c>
    </row>
    <row r="1195" spans="1:10" x14ac:dyDescent="0.25">
      <c r="A1195" s="1">
        <f>'batch tool'!A1189</f>
        <v>0</v>
      </c>
      <c r="B1195" s="7">
        <f>SUMPRODUCT($C$2:$X$2,'batch tool'!$B1189:$W1189)+$Y$2</f>
        <v>-49.12272534143483</v>
      </c>
      <c r="C1195" s="7">
        <f>SUMPRODUCT($C$3:$X$3,'batch tool'!$B1189:$W1189)+$Y$3</f>
        <v>-36.514029388465531</v>
      </c>
      <c r="D1195" s="7">
        <f>SUMPRODUCT($C$4:$X$4,'batch tool'!$B1189:$W1189)+$Y$4</f>
        <v>-44.639843068043824</v>
      </c>
      <c r="E1195" s="7">
        <f>SUMPRODUCT($C$5:$X$5,'batch tool'!$B1189:$W1189)+$Y$5</f>
        <v>-51.578889182477603</v>
      </c>
      <c r="F1195" s="7">
        <f>SUMPRODUCT($C$6:$X$6,'batch tool'!$B1189:$W1189)+$Y$6</f>
        <v>-47.741473633885199</v>
      </c>
      <c r="G1195" s="7">
        <f>SUMPRODUCT($C$7:$X$7,'batch tool'!$B1189:$W1189)+$Y$7</f>
        <v>-19.739516238059196</v>
      </c>
      <c r="H1195" s="7">
        <f t="shared" si="36"/>
        <v>-19.739516238059196</v>
      </c>
      <c r="I1195">
        <f t="shared" si="37"/>
        <v>6</v>
      </c>
      <c r="J1195" t="str" cm="1">
        <f t="array" ref="J1195">INDEX($A$2:$A$7,I1195)</f>
        <v>Segment 6- Self-Conscious Male</v>
      </c>
    </row>
    <row r="1196" spans="1:10" x14ac:dyDescent="0.25">
      <c r="A1196" s="1">
        <f>'batch tool'!A1190</f>
        <v>0</v>
      </c>
      <c r="B1196" s="7">
        <f>SUMPRODUCT($C$2:$X$2,'batch tool'!$B1190:$W1190)+$Y$2</f>
        <v>-49.12272534143483</v>
      </c>
      <c r="C1196" s="7">
        <f>SUMPRODUCT($C$3:$X$3,'batch tool'!$B1190:$W1190)+$Y$3</f>
        <v>-36.514029388465531</v>
      </c>
      <c r="D1196" s="7">
        <f>SUMPRODUCT($C$4:$X$4,'batch tool'!$B1190:$W1190)+$Y$4</f>
        <v>-44.639843068043824</v>
      </c>
      <c r="E1196" s="7">
        <f>SUMPRODUCT($C$5:$X$5,'batch tool'!$B1190:$W1190)+$Y$5</f>
        <v>-51.578889182477603</v>
      </c>
      <c r="F1196" s="7">
        <f>SUMPRODUCT($C$6:$X$6,'batch tool'!$B1190:$W1190)+$Y$6</f>
        <v>-47.741473633885199</v>
      </c>
      <c r="G1196" s="7">
        <f>SUMPRODUCT($C$7:$X$7,'batch tool'!$B1190:$W1190)+$Y$7</f>
        <v>-19.739516238059196</v>
      </c>
      <c r="H1196" s="7">
        <f t="shared" si="36"/>
        <v>-19.739516238059196</v>
      </c>
      <c r="I1196">
        <f t="shared" si="37"/>
        <v>6</v>
      </c>
      <c r="J1196" t="str" cm="1">
        <f t="array" ref="J1196">INDEX($A$2:$A$7,I1196)</f>
        <v>Segment 6- Self-Conscious Male</v>
      </c>
    </row>
    <row r="1197" spans="1:10" x14ac:dyDescent="0.25">
      <c r="A1197" s="1">
        <f>'batch tool'!A1191</f>
        <v>0</v>
      </c>
      <c r="B1197" s="7">
        <f>SUMPRODUCT($C$2:$X$2,'batch tool'!$B1191:$W1191)+$Y$2</f>
        <v>-49.12272534143483</v>
      </c>
      <c r="C1197" s="7">
        <f>SUMPRODUCT($C$3:$X$3,'batch tool'!$B1191:$W1191)+$Y$3</f>
        <v>-36.514029388465531</v>
      </c>
      <c r="D1197" s="7">
        <f>SUMPRODUCT($C$4:$X$4,'batch tool'!$B1191:$W1191)+$Y$4</f>
        <v>-44.639843068043824</v>
      </c>
      <c r="E1197" s="7">
        <f>SUMPRODUCT($C$5:$X$5,'batch tool'!$B1191:$W1191)+$Y$5</f>
        <v>-51.578889182477603</v>
      </c>
      <c r="F1197" s="7">
        <f>SUMPRODUCT($C$6:$X$6,'batch tool'!$B1191:$W1191)+$Y$6</f>
        <v>-47.741473633885199</v>
      </c>
      <c r="G1197" s="7">
        <f>SUMPRODUCT($C$7:$X$7,'batch tool'!$B1191:$W1191)+$Y$7</f>
        <v>-19.739516238059196</v>
      </c>
      <c r="H1197" s="7">
        <f t="shared" si="36"/>
        <v>-19.739516238059196</v>
      </c>
      <c r="I1197">
        <f t="shared" si="37"/>
        <v>6</v>
      </c>
      <c r="J1197" t="str" cm="1">
        <f t="array" ref="J1197">INDEX($A$2:$A$7,I1197)</f>
        <v>Segment 6- Self-Conscious Male</v>
      </c>
    </row>
    <row r="1198" spans="1:10" x14ac:dyDescent="0.25">
      <c r="A1198" s="1">
        <f>'batch tool'!A1192</f>
        <v>0</v>
      </c>
      <c r="B1198" s="7">
        <f>SUMPRODUCT($C$2:$X$2,'batch tool'!$B1192:$W1192)+$Y$2</f>
        <v>-49.12272534143483</v>
      </c>
      <c r="C1198" s="7">
        <f>SUMPRODUCT($C$3:$X$3,'batch tool'!$B1192:$W1192)+$Y$3</f>
        <v>-36.514029388465531</v>
      </c>
      <c r="D1198" s="7">
        <f>SUMPRODUCT($C$4:$X$4,'batch tool'!$B1192:$W1192)+$Y$4</f>
        <v>-44.639843068043824</v>
      </c>
      <c r="E1198" s="7">
        <f>SUMPRODUCT($C$5:$X$5,'batch tool'!$B1192:$W1192)+$Y$5</f>
        <v>-51.578889182477603</v>
      </c>
      <c r="F1198" s="7">
        <f>SUMPRODUCT($C$6:$X$6,'batch tool'!$B1192:$W1192)+$Y$6</f>
        <v>-47.741473633885199</v>
      </c>
      <c r="G1198" s="7">
        <f>SUMPRODUCT($C$7:$X$7,'batch tool'!$B1192:$W1192)+$Y$7</f>
        <v>-19.739516238059196</v>
      </c>
      <c r="H1198" s="7">
        <f t="shared" si="36"/>
        <v>-19.739516238059196</v>
      </c>
      <c r="I1198">
        <f t="shared" si="37"/>
        <v>6</v>
      </c>
      <c r="J1198" t="str" cm="1">
        <f t="array" ref="J1198">INDEX($A$2:$A$7,I1198)</f>
        <v>Segment 6- Self-Conscious Male</v>
      </c>
    </row>
    <row r="1199" spans="1:10" x14ac:dyDescent="0.25">
      <c r="A1199" s="1">
        <f>'batch tool'!A1193</f>
        <v>0</v>
      </c>
      <c r="B1199" s="7">
        <f>SUMPRODUCT($C$2:$X$2,'batch tool'!$B1193:$W1193)+$Y$2</f>
        <v>-49.12272534143483</v>
      </c>
      <c r="C1199" s="7">
        <f>SUMPRODUCT($C$3:$X$3,'batch tool'!$B1193:$W1193)+$Y$3</f>
        <v>-36.514029388465531</v>
      </c>
      <c r="D1199" s="7">
        <f>SUMPRODUCT($C$4:$X$4,'batch tool'!$B1193:$W1193)+$Y$4</f>
        <v>-44.639843068043824</v>
      </c>
      <c r="E1199" s="7">
        <f>SUMPRODUCT($C$5:$X$5,'batch tool'!$B1193:$W1193)+$Y$5</f>
        <v>-51.578889182477603</v>
      </c>
      <c r="F1199" s="7">
        <f>SUMPRODUCT($C$6:$X$6,'batch tool'!$B1193:$W1193)+$Y$6</f>
        <v>-47.741473633885199</v>
      </c>
      <c r="G1199" s="7">
        <f>SUMPRODUCT($C$7:$X$7,'batch tool'!$B1193:$W1193)+$Y$7</f>
        <v>-19.739516238059196</v>
      </c>
      <c r="H1199" s="7">
        <f t="shared" si="36"/>
        <v>-19.739516238059196</v>
      </c>
      <c r="I1199">
        <f t="shared" si="37"/>
        <v>6</v>
      </c>
      <c r="J1199" t="str" cm="1">
        <f t="array" ref="J1199">INDEX($A$2:$A$7,I1199)</f>
        <v>Segment 6- Self-Conscious Male</v>
      </c>
    </row>
    <row r="1200" spans="1:10" x14ac:dyDescent="0.25">
      <c r="A1200" s="1">
        <f>'batch tool'!A1194</f>
        <v>0</v>
      </c>
      <c r="B1200" s="7">
        <f>SUMPRODUCT($C$2:$X$2,'batch tool'!$B1194:$W1194)+$Y$2</f>
        <v>-49.12272534143483</v>
      </c>
      <c r="C1200" s="7">
        <f>SUMPRODUCT($C$3:$X$3,'batch tool'!$B1194:$W1194)+$Y$3</f>
        <v>-36.514029388465531</v>
      </c>
      <c r="D1200" s="7">
        <f>SUMPRODUCT($C$4:$X$4,'batch tool'!$B1194:$W1194)+$Y$4</f>
        <v>-44.639843068043824</v>
      </c>
      <c r="E1200" s="7">
        <f>SUMPRODUCT($C$5:$X$5,'batch tool'!$B1194:$W1194)+$Y$5</f>
        <v>-51.578889182477603</v>
      </c>
      <c r="F1200" s="7">
        <f>SUMPRODUCT($C$6:$X$6,'batch tool'!$B1194:$W1194)+$Y$6</f>
        <v>-47.741473633885199</v>
      </c>
      <c r="G1200" s="7">
        <f>SUMPRODUCT($C$7:$X$7,'batch tool'!$B1194:$W1194)+$Y$7</f>
        <v>-19.739516238059196</v>
      </c>
      <c r="H1200" s="7">
        <f t="shared" si="36"/>
        <v>-19.739516238059196</v>
      </c>
      <c r="I1200">
        <f t="shared" si="37"/>
        <v>6</v>
      </c>
      <c r="J1200" t="str" cm="1">
        <f t="array" ref="J1200">INDEX($A$2:$A$7,I1200)</f>
        <v>Segment 6- Self-Conscious Male</v>
      </c>
    </row>
    <row r="1201" spans="1:10" x14ac:dyDescent="0.25">
      <c r="A1201" s="1">
        <f>'batch tool'!A1195</f>
        <v>0</v>
      </c>
      <c r="B1201" s="7">
        <f>SUMPRODUCT($C$2:$X$2,'batch tool'!$B1195:$W1195)+$Y$2</f>
        <v>-49.12272534143483</v>
      </c>
      <c r="C1201" s="7">
        <f>SUMPRODUCT($C$3:$X$3,'batch tool'!$B1195:$W1195)+$Y$3</f>
        <v>-36.514029388465531</v>
      </c>
      <c r="D1201" s="7">
        <f>SUMPRODUCT($C$4:$X$4,'batch tool'!$B1195:$W1195)+$Y$4</f>
        <v>-44.639843068043824</v>
      </c>
      <c r="E1201" s="7">
        <f>SUMPRODUCT($C$5:$X$5,'batch tool'!$B1195:$W1195)+$Y$5</f>
        <v>-51.578889182477603</v>
      </c>
      <c r="F1201" s="7">
        <f>SUMPRODUCT($C$6:$X$6,'batch tool'!$B1195:$W1195)+$Y$6</f>
        <v>-47.741473633885199</v>
      </c>
      <c r="G1201" s="7">
        <f>SUMPRODUCT($C$7:$X$7,'batch tool'!$B1195:$W1195)+$Y$7</f>
        <v>-19.739516238059196</v>
      </c>
      <c r="H1201" s="7">
        <f t="shared" si="36"/>
        <v>-19.739516238059196</v>
      </c>
      <c r="I1201">
        <f t="shared" si="37"/>
        <v>6</v>
      </c>
      <c r="J1201" t="str" cm="1">
        <f t="array" ref="J1201">INDEX($A$2:$A$7,I1201)</f>
        <v>Segment 6- Self-Conscious Male</v>
      </c>
    </row>
    <row r="1202" spans="1:10" x14ac:dyDescent="0.25">
      <c r="A1202" s="1">
        <f>'batch tool'!A1196</f>
        <v>0</v>
      </c>
      <c r="B1202" s="7">
        <f>SUMPRODUCT($C$2:$X$2,'batch tool'!$B1196:$W1196)+$Y$2</f>
        <v>-49.12272534143483</v>
      </c>
      <c r="C1202" s="7">
        <f>SUMPRODUCT($C$3:$X$3,'batch tool'!$B1196:$W1196)+$Y$3</f>
        <v>-36.514029388465531</v>
      </c>
      <c r="D1202" s="7">
        <f>SUMPRODUCT($C$4:$X$4,'batch tool'!$B1196:$W1196)+$Y$4</f>
        <v>-44.639843068043824</v>
      </c>
      <c r="E1202" s="7">
        <f>SUMPRODUCT($C$5:$X$5,'batch tool'!$B1196:$W1196)+$Y$5</f>
        <v>-51.578889182477603</v>
      </c>
      <c r="F1202" s="7">
        <f>SUMPRODUCT($C$6:$X$6,'batch tool'!$B1196:$W1196)+$Y$6</f>
        <v>-47.741473633885199</v>
      </c>
      <c r="G1202" s="7">
        <f>SUMPRODUCT($C$7:$X$7,'batch tool'!$B1196:$W1196)+$Y$7</f>
        <v>-19.739516238059196</v>
      </c>
      <c r="H1202" s="7">
        <f t="shared" si="36"/>
        <v>-19.739516238059196</v>
      </c>
      <c r="I1202">
        <f t="shared" si="37"/>
        <v>6</v>
      </c>
      <c r="J1202" t="str" cm="1">
        <f t="array" ref="J1202">INDEX($A$2:$A$7,I1202)</f>
        <v>Segment 6- Self-Conscious Male</v>
      </c>
    </row>
    <row r="1203" spans="1:10" x14ac:dyDescent="0.25">
      <c r="A1203" s="1">
        <f>'batch tool'!A1197</f>
        <v>0</v>
      </c>
      <c r="B1203" s="7">
        <f>SUMPRODUCT($C$2:$X$2,'batch tool'!$B1197:$W1197)+$Y$2</f>
        <v>-49.12272534143483</v>
      </c>
      <c r="C1203" s="7">
        <f>SUMPRODUCT($C$3:$X$3,'batch tool'!$B1197:$W1197)+$Y$3</f>
        <v>-36.514029388465531</v>
      </c>
      <c r="D1203" s="7">
        <f>SUMPRODUCT($C$4:$X$4,'batch tool'!$B1197:$W1197)+$Y$4</f>
        <v>-44.639843068043824</v>
      </c>
      <c r="E1203" s="7">
        <f>SUMPRODUCT($C$5:$X$5,'batch tool'!$B1197:$W1197)+$Y$5</f>
        <v>-51.578889182477603</v>
      </c>
      <c r="F1203" s="7">
        <f>SUMPRODUCT($C$6:$X$6,'batch tool'!$B1197:$W1197)+$Y$6</f>
        <v>-47.741473633885199</v>
      </c>
      <c r="G1203" s="7">
        <f>SUMPRODUCT($C$7:$X$7,'batch tool'!$B1197:$W1197)+$Y$7</f>
        <v>-19.739516238059196</v>
      </c>
      <c r="H1203" s="7">
        <f t="shared" si="36"/>
        <v>-19.739516238059196</v>
      </c>
      <c r="I1203">
        <f t="shared" si="37"/>
        <v>6</v>
      </c>
      <c r="J1203" t="str" cm="1">
        <f t="array" ref="J1203">INDEX($A$2:$A$7,I1203)</f>
        <v>Segment 6- Self-Conscious Male</v>
      </c>
    </row>
    <row r="1204" spans="1:10" x14ac:dyDescent="0.25">
      <c r="A1204" s="1">
        <f>'batch tool'!A1198</f>
        <v>0</v>
      </c>
      <c r="B1204" s="7">
        <f>SUMPRODUCT($C$2:$X$2,'batch tool'!$B1198:$W1198)+$Y$2</f>
        <v>-49.12272534143483</v>
      </c>
      <c r="C1204" s="7">
        <f>SUMPRODUCT($C$3:$X$3,'batch tool'!$B1198:$W1198)+$Y$3</f>
        <v>-36.514029388465531</v>
      </c>
      <c r="D1204" s="7">
        <f>SUMPRODUCT($C$4:$X$4,'batch tool'!$B1198:$W1198)+$Y$4</f>
        <v>-44.639843068043824</v>
      </c>
      <c r="E1204" s="7">
        <f>SUMPRODUCT($C$5:$X$5,'batch tool'!$B1198:$W1198)+$Y$5</f>
        <v>-51.578889182477603</v>
      </c>
      <c r="F1204" s="7">
        <f>SUMPRODUCT($C$6:$X$6,'batch tool'!$B1198:$W1198)+$Y$6</f>
        <v>-47.741473633885199</v>
      </c>
      <c r="G1204" s="7">
        <f>SUMPRODUCT($C$7:$X$7,'batch tool'!$B1198:$W1198)+$Y$7</f>
        <v>-19.739516238059196</v>
      </c>
      <c r="H1204" s="7">
        <f t="shared" si="36"/>
        <v>-19.739516238059196</v>
      </c>
      <c r="I1204">
        <f t="shared" si="37"/>
        <v>6</v>
      </c>
      <c r="J1204" t="str" cm="1">
        <f t="array" ref="J1204">INDEX($A$2:$A$7,I1204)</f>
        <v>Segment 6- Self-Conscious Male</v>
      </c>
    </row>
    <row r="1205" spans="1:10" x14ac:dyDescent="0.25">
      <c r="A1205" s="1">
        <f>'batch tool'!A1199</f>
        <v>0</v>
      </c>
      <c r="B1205" s="7">
        <f>SUMPRODUCT($C$2:$X$2,'batch tool'!$B1199:$W1199)+$Y$2</f>
        <v>-49.12272534143483</v>
      </c>
      <c r="C1205" s="7">
        <f>SUMPRODUCT($C$3:$X$3,'batch tool'!$B1199:$W1199)+$Y$3</f>
        <v>-36.514029388465531</v>
      </c>
      <c r="D1205" s="7">
        <f>SUMPRODUCT($C$4:$X$4,'batch tool'!$B1199:$W1199)+$Y$4</f>
        <v>-44.639843068043824</v>
      </c>
      <c r="E1205" s="7">
        <f>SUMPRODUCT($C$5:$X$5,'batch tool'!$B1199:$W1199)+$Y$5</f>
        <v>-51.578889182477603</v>
      </c>
      <c r="F1205" s="7">
        <f>SUMPRODUCT($C$6:$X$6,'batch tool'!$B1199:$W1199)+$Y$6</f>
        <v>-47.741473633885199</v>
      </c>
      <c r="G1205" s="7">
        <f>SUMPRODUCT($C$7:$X$7,'batch tool'!$B1199:$W1199)+$Y$7</f>
        <v>-19.739516238059196</v>
      </c>
      <c r="H1205" s="7">
        <f t="shared" si="36"/>
        <v>-19.739516238059196</v>
      </c>
      <c r="I1205">
        <f t="shared" si="37"/>
        <v>6</v>
      </c>
      <c r="J1205" t="str" cm="1">
        <f t="array" ref="J1205">INDEX($A$2:$A$7,I1205)</f>
        <v>Segment 6- Self-Conscious Male</v>
      </c>
    </row>
    <row r="1206" spans="1:10" x14ac:dyDescent="0.25">
      <c r="A1206" s="1">
        <f>'batch tool'!A1200</f>
        <v>0</v>
      </c>
      <c r="B1206" s="7">
        <f>SUMPRODUCT($C$2:$X$2,'batch tool'!$B1200:$W1200)+$Y$2</f>
        <v>-49.12272534143483</v>
      </c>
      <c r="C1206" s="7">
        <f>SUMPRODUCT($C$3:$X$3,'batch tool'!$B1200:$W1200)+$Y$3</f>
        <v>-36.514029388465531</v>
      </c>
      <c r="D1206" s="7">
        <f>SUMPRODUCT($C$4:$X$4,'batch tool'!$B1200:$W1200)+$Y$4</f>
        <v>-44.639843068043824</v>
      </c>
      <c r="E1206" s="7">
        <f>SUMPRODUCT($C$5:$X$5,'batch tool'!$B1200:$W1200)+$Y$5</f>
        <v>-51.578889182477603</v>
      </c>
      <c r="F1206" s="7">
        <f>SUMPRODUCT($C$6:$X$6,'batch tool'!$B1200:$W1200)+$Y$6</f>
        <v>-47.741473633885199</v>
      </c>
      <c r="G1206" s="7">
        <f>SUMPRODUCT($C$7:$X$7,'batch tool'!$B1200:$W1200)+$Y$7</f>
        <v>-19.739516238059196</v>
      </c>
      <c r="H1206" s="7">
        <f t="shared" si="36"/>
        <v>-19.739516238059196</v>
      </c>
      <c r="I1206">
        <f t="shared" si="37"/>
        <v>6</v>
      </c>
      <c r="J1206" t="str" cm="1">
        <f t="array" ref="J1206">INDEX($A$2:$A$7,I1206)</f>
        <v>Segment 6- Self-Conscious Male</v>
      </c>
    </row>
    <row r="1207" spans="1:10" x14ac:dyDescent="0.25">
      <c r="A1207" s="1">
        <f>'batch tool'!A1201</f>
        <v>0</v>
      </c>
      <c r="B1207" s="7">
        <f>SUMPRODUCT($C$2:$X$2,'batch tool'!$B1201:$W1201)+$Y$2</f>
        <v>-49.12272534143483</v>
      </c>
      <c r="C1207" s="7">
        <f>SUMPRODUCT($C$3:$X$3,'batch tool'!$B1201:$W1201)+$Y$3</f>
        <v>-36.514029388465531</v>
      </c>
      <c r="D1207" s="7">
        <f>SUMPRODUCT($C$4:$X$4,'batch tool'!$B1201:$W1201)+$Y$4</f>
        <v>-44.639843068043824</v>
      </c>
      <c r="E1207" s="7">
        <f>SUMPRODUCT($C$5:$X$5,'batch tool'!$B1201:$W1201)+$Y$5</f>
        <v>-51.578889182477603</v>
      </c>
      <c r="F1207" s="7">
        <f>SUMPRODUCT($C$6:$X$6,'batch tool'!$B1201:$W1201)+$Y$6</f>
        <v>-47.741473633885199</v>
      </c>
      <c r="G1207" s="7">
        <f>SUMPRODUCT($C$7:$X$7,'batch tool'!$B1201:$W1201)+$Y$7</f>
        <v>-19.739516238059196</v>
      </c>
      <c r="H1207" s="7">
        <f t="shared" si="36"/>
        <v>-19.739516238059196</v>
      </c>
      <c r="I1207">
        <f t="shared" si="37"/>
        <v>6</v>
      </c>
      <c r="J1207" t="str" cm="1">
        <f t="array" ref="J1207">INDEX($A$2:$A$7,I1207)</f>
        <v>Segment 6- Self-Conscious Male</v>
      </c>
    </row>
    <row r="1208" spans="1:10" x14ac:dyDescent="0.25">
      <c r="A1208" s="1">
        <f>'batch tool'!A1202</f>
        <v>0</v>
      </c>
      <c r="B1208" s="7">
        <f>SUMPRODUCT($C$2:$X$2,'batch tool'!$B1202:$W1202)+$Y$2</f>
        <v>-49.12272534143483</v>
      </c>
      <c r="C1208" s="7">
        <f>SUMPRODUCT($C$3:$X$3,'batch tool'!$B1202:$W1202)+$Y$3</f>
        <v>-36.514029388465531</v>
      </c>
      <c r="D1208" s="7">
        <f>SUMPRODUCT($C$4:$X$4,'batch tool'!$B1202:$W1202)+$Y$4</f>
        <v>-44.639843068043824</v>
      </c>
      <c r="E1208" s="7">
        <f>SUMPRODUCT($C$5:$X$5,'batch tool'!$B1202:$W1202)+$Y$5</f>
        <v>-51.578889182477603</v>
      </c>
      <c r="F1208" s="7">
        <f>SUMPRODUCT($C$6:$X$6,'batch tool'!$B1202:$W1202)+$Y$6</f>
        <v>-47.741473633885199</v>
      </c>
      <c r="G1208" s="7">
        <f>SUMPRODUCT($C$7:$X$7,'batch tool'!$B1202:$W1202)+$Y$7</f>
        <v>-19.739516238059196</v>
      </c>
      <c r="H1208" s="7">
        <f t="shared" si="36"/>
        <v>-19.739516238059196</v>
      </c>
      <c r="I1208">
        <f t="shared" si="37"/>
        <v>6</v>
      </c>
      <c r="J1208" t="str" cm="1">
        <f t="array" ref="J1208">INDEX($A$2:$A$7,I1208)</f>
        <v>Segment 6- Self-Conscious Male</v>
      </c>
    </row>
    <row r="1209" spans="1:10" x14ac:dyDescent="0.25">
      <c r="A1209" s="1">
        <f>'batch tool'!A1203</f>
        <v>0</v>
      </c>
      <c r="B1209" s="7">
        <f>SUMPRODUCT($C$2:$X$2,'batch tool'!$B1203:$W1203)+$Y$2</f>
        <v>-49.12272534143483</v>
      </c>
      <c r="C1209" s="7">
        <f>SUMPRODUCT($C$3:$X$3,'batch tool'!$B1203:$W1203)+$Y$3</f>
        <v>-36.514029388465531</v>
      </c>
      <c r="D1209" s="7">
        <f>SUMPRODUCT($C$4:$X$4,'batch tool'!$B1203:$W1203)+$Y$4</f>
        <v>-44.639843068043824</v>
      </c>
      <c r="E1209" s="7">
        <f>SUMPRODUCT($C$5:$X$5,'batch tool'!$B1203:$W1203)+$Y$5</f>
        <v>-51.578889182477603</v>
      </c>
      <c r="F1209" s="7">
        <f>SUMPRODUCT($C$6:$X$6,'batch tool'!$B1203:$W1203)+$Y$6</f>
        <v>-47.741473633885199</v>
      </c>
      <c r="G1209" s="7">
        <f>SUMPRODUCT($C$7:$X$7,'batch tool'!$B1203:$W1203)+$Y$7</f>
        <v>-19.739516238059196</v>
      </c>
      <c r="H1209" s="7">
        <f t="shared" si="36"/>
        <v>-19.739516238059196</v>
      </c>
      <c r="I1209">
        <f t="shared" si="37"/>
        <v>6</v>
      </c>
      <c r="J1209" t="str" cm="1">
        <f t="array" ref="J1209">INDEX($A$2:$A$7,I1209)</f>
        <v>Segment 6- Self-Conscious Male</v>
      </c>
    </row>
    <row r="1210" spans="1:10" x14ac:dyDescent="0.25">
      <c r="A1210" s="1">
        <f>'batch tool'!A1204</f>
        <v>0</v>
      </c>
      <c r="B1210" s="7">
        <f>SUMPRODUCT($C$2:$X$2,'batch tool'!$B1204:$W1204)+$Y$2</f>
        <v>-49.12272534143483</v>
      </c>
      <c r="C1210" s="7">
        <f>SUMPRODUCT($C$3:$X$3,'batch tool'!$B1204:$W1204)+$Y$3</f>
        <v>-36.514029388465531</v>
      </c>
      <c r="D1210" s="7">
        <f>SUMPRODUCT($C$4:$X$4,'batch tool'!$B1204:$W1204)+$Y$4</f>
        <v>-44.639843068043824</v>
      </c>
      <c r="E1210" s="7">
        <f>SUMPRODUCT($C$5:$X$5,'batch tool'!$B1204:$W1204)+$Y$5</f>
        <v>-51.578889182477603</v>
      </c>
      <c r="F1210" s="7">
        <f>SUMPRODUCT($C$6:$X$6,'batch tool'!$B1204:$W1204)+$Y$6</f>
        <v>-47.741473633885199</v>
      </c>
      <c r="G1210" s="7">
        <f>SUMPRODUCT($C$7:$X$7,'batch tool'!$B1204:$W1204)+$Y$7</f>
        <v>-19.739516238059196</v>
      </c>
      <c r="H1210" s="7">
        <f t="shared" si="36"/>
        <v>-19.739516238059196</v>
      </c>
      <c r="I1210">
        <f t="shared" si="37"/>
        <v>6</v>
      </c>
      <c r="J1210" t="str" cm="1">
        <f t="array" ref="J1210">INDEX($A$2:$A$7,I1210)</f>
        <v>Segment 6- Self-Conscious Male</v>
      </c>
    </row>
    <row r="1211" spans="1:10" x14ac:dyDescent="0.25">
      <c r="A1211" s="1">
        <f>'batch tool'!A1205</f>
        <v>0</v>
      </c>
      <c r="B1211" s="7">
        <f>SUMPRODUCT($C$2:$X$2,'batch tool'!$B1205:$W1205)+$Y$2</f>
        <v>-49.12272534143483</v>
      </c>
      <c r="C1211" s="7">
        <f>SUMPRODUCT($C$3:$X$3,'batch tool'!$B1205:$W1205)+$Y$3</f>
        <v>-36.514029388465531</v>
      </c>
      <c r="D1211" s="7">
        <f>SUMPRODUCT($C$4:$X$4,'batch tool'!$B1205:$W1205)+$Y$4</f>
        <v>-44.639843068043824</v>
      </c>
      <c r="E1211" s="7">
        <f>SUMPRODUCT($C$5:$X$5,'batch tool'!$B1205:$W1205)+$Y$5</f>
        <v>-51.578889182477603</v>
      </c>
      <c r="F1211" s="7">
        <f>SUMPRODUCT($C$6:$X$6,'batch tool'!$B1205:$W1205)+$Y$6</f>
        <v>-47.741473633885199</v>
      </c>
      <c r="G1211" s="7">
        <f>SUMPRODUCT($C$7:$X$7,'batch tool'!$B1205:$W1205)+$Y$7</f>
        <v>-19.739516238059196</v>
      </c>
      <c r="H1211" s="7">
        <f t="shared" si="36"/>
        <v>-19.739516238059196</v>
      </c>
      <c r="I1211">
        <f t="shared" si="37"/>
        <v>6</v>
      </c>
      <c r="J1211" t="str" cm="1">
        <f t="array" ref="J1211">INDEX($A$2:$A$7,I1211)</f>
        <v>Segment 6- Self-Conscious Male</v>
      </c>
    </row>
    <row r="1212" spans="1:10" x14ac:dyDescent="0.25">
      <c r="A1212" s="1">
        <f>'batch tool'!A1206</f>
        <v>0</v>
      </c>
      <c r="B1212" s="7">
        <f>SUMPRODUCT($C$2:$X$2,'batch tool'!$B1206:$W1206)+$Y$2</f>
        <v>-49.12272534143483</v>
      </c>
      <c r="C1212" s="7">
        <f>SUMPRODUCT($C$3:$X$3,'batch tool'!$B1206:$W1206)+$Y$3</f>
        <v>-36.514029388465531</v>
      </c>
      <c r="D1212" s="7">
        <f>SUMPRODUCT($C$4:$X$4,'batch tool'!$B1206:$W1206)+$Y$4</f>
        <v>-44.639843068043824</v>
      </c>
      <c r="E1212" s="7">
        <f>SUMPRODUCT($C$5:$X$5,'batch tool'!$B1206:$W1206)+$Y$5</f>
        <v>-51.578889182477603</v>
      </c>
      <c r="F1212" s="7">
        <f>SUMPRODUCT($C$6:$X$6,'batch tool'!$B1206:$W1206)+$Y$6</f>
        <v>-47.741473633885199</v>
      </c>
      <c r="G1212" s="7">
        <f>SUMPRODUCT($C$7:$X$7,'batch tool'!$B1206:$W1206)+$Y$7</f>
        <v>-19.739516238059196</v>
      </c>
      <c r="H1212" s="7">
        <f t="shared" si="36"/>
        <v>-19.739516238059196</v>
      </c>
      <c r="I1212">
        <f t="shared" si="37"/>
        <v>6</v>
      </c>
      <c r="J1212" t="str" cm="1">
        <f t="array" ref="J1212">INDEX($A$2:$A$7,I1212)</f>
        <v>Segment 6- Self-Conscious Male</v>
      </c>
    </row>
    <row r="1213" spans="1:10" x14ac:dyDescent="0.25">
      <c r="A1213" s="1">
        <f>'batch tool'!A1207</f>
        <v>0</v>
      </c>
      <c r="B1213" s="7">
        <f>SUMPRODUCT($C$2:$X$2,'batch tool'!$B1207:$W1207)+$Y$2</f>
        <v>-49.12272534143483</v>
      </c>
      <c r="C1213" s="7">
        <f>SUMPRODUCT($C$3:$X$3,'batch tool'!$B1207:$W1207)+$Y$3</f>
        <v>-36.514029388465531</v>
      </c>
      <c r="D1213" s="7">
        <f>SUMPRODUCT($C$4:$X$4,'batch tool'!$B1207:$W1207)+$Y$4</f>
        <v>-44.639843068043824</v>
      </c>
      <c r="E1213" s="7">
        <f>SUMPRODUCT($C$5:$X$5,'batch tool'!$B1207:$W1207)+$Y$5</f>
        <v>-51.578889182477603</v>
      </c>
      <c r="F1213" s="7">
        <f>SUMPRODUCT($C$6:$X$6,'batch tool'!$B1207:$W1207)+$Y$6</f>
        <v>-47.741473633885199</v>
      </c>
      <c r="G1213" s="7">
        <f>SUMPRODUCT($C$7:$X$7,'batch tool'!$B1207:$W1207)+$Y$7</f>
        <v>-19.739516238059196</v>
      </c>
      <c r="H1213" s="7">
        <f t="shared" si="36"/>
        <v>-19.739516238059196</v>
      </c>
      <c r="I1213">
        <f t="shared" si="37"/>
        <v>6</v>
      </c>
      <c r="J1213" t="str" cm="1">
        <f t="array" ref="J1213">INDEX($A$2:$A$7,I1213)</f>
        <v>Segment 6- Self-Conscious Male</v>
      </c>
    </row>
    <row r="1214" spans="1:10" x14ac:dyDescent="0.25">
      <c r="A1214" s="1">
        <f>'batch tool'!A1208</f>
        <v>0</v>
      </c>
      <c r="B1214" s="7">
        <f>SUMPRODUCT($C$2:$X$2,'batch tool'!$B1208:$W1208)+$Y$2</f>
        <v>-49.12272534143483</v>
      </c>
      <c r="C1214" s="7">
        <f>SUMPRODUCT($C$3:$X$3,'batch tool'!$B1208:$W1208)+$Y$3</f>
        <v>-36.514029388465531</v>
      </c>
      <c r="D1214" s="7">
        <f>SUMPRODUCT($C$4:$X$4,'batch tool'!$B1208:$W1208)+$Y$4</f>
        <v>-44.639843068043824</v>
      </c>
      <c r="E1214" s="7">
        <f>SUMPRODUCT($C$5:$X$5,'batch tool'!$B1208:$W1208)+$Y$5</f>
        <v>-51.578889182477603</v>
      </c>
      <c r="F1214" s="7">
        <f>SUMPRODUCT($C$6:$X$6,'batch tool'!$B1208:$W1208)+$Y$6</f>
        <v>-47.741473633885199</v>
      </c>
      <c r="G1214" s="7">
        <f>SUMPRODUCT($C$7:$X$7,'batch tool'!$B1208:$W1208)+$Y$7</f>
        <v>-19.739516238059196</v>
      </c>
      <c r="H1214" s="7">
        <f t="shared" si="36"/>
        <v>-19.739516238059196</v>
      </c>
      <c r="I1214">
        <f t="shared" si="37"/>
        <v>6</v>
      </c>
      <c r="J1214" t="str" cm="1">
        <f t="array" ref="J1214">INDEX($A$2:$A$7,I1214)</f>
        <v>Segment 6- Self-Conscious Male</v>
      </c>
    </row>
    <row r="1215" spans="1:10" x14ac:dyDescent="0.25">
      <c r="A1215" s="1">
        <f>'batch tool'!A1209</f>
        <v>0</v>
      </c>
      <c r="B1215" s="7">
        <f>SUMPRODUCT($C$2:$X$2,'batch tool'!$B1209:$W1209)+$Y$2</f>
        <v>-49.12272534143483</v>
      </c>
      <c r="C1215" s="7">
        <f>SUMPRODUCT($C$3:$X$3,'batch tool'!$B1209:$W1209)+$Y$3</f>
        <v>-36.514029388465531</v>
      </c>
      <c r="D1215" s="7">
        <f>SUMPRODUCT($C$4:$X$4,'batch tool'!$B1209:$W1209)+$Y$4</f>
        <v>-44.639843068043824</v>
      </c>
      <c r="E1215" s="7">
        <f>SUMPRODUCT($C$5:$X$5,'batch tool'!$B1209:$W1209)+$Y$5</f>
        <v>-51.578889182477603</v>
      </c>
      <c r="F1215" s="7">
        <f>SUMPRODUCT($C$6:$X$6,'batch tool'!$B1209:$W1209)+$Y$6</f>
        <v>-47.741473633885199</v>
      </c>
      <c r="G1215" s="7">
        <f>SUMPRODUCT($C$7:$X$7,'batch tool'!$B1209:$W1209)+$Y$7</f>
        <v>-19.739516238059196</v>
      </c>
      <c r="H1215" s="7">
        <f t="shared" si="36"/>
        <v>-19.739516238059196</v>
      </c>
      <c r="I1215">
        <f t="shared" si="37"/>
        <v>6</v>
      </c>
      <c r="J1215" t="str" cm="1">
        <f t="array" ref="J1215">INDEX($A$2:$A$7,I1215)</f>
        <v>Segment 6- Self-Conscious Male</v>
      </c>
    </row>
    <row r="1216" spans="1:10" x14ac:dyDescent="0.25">
      <c r="A1216" s="1">
        <f>'batch tool'!A1210</f>
        <v>0</v>
      </c>
      <c r="B1216" s="7">
        <f>SUMPRODUCT($C$2:$X$2,'batch tool'!$B1210:$W1210)+$Y$2</f>
        <v>-49.12272534143483</v>
      </c>
      <c r="C1216" s="7">
        <f>SUMPRODUCT($C$3:$X$3,'batch tool'!$B1210:$W1210)+$Y$3</f>
        <v>-36.514029388465531</v>
      </c>
      <c r="D1216" s="7">
        <f>SUMPRODUCT($C$4:$X$4,'batch tool'!$B1210:$W1210)+$Y$4</f>
        <v>-44.639843068043824</v>
      </c>
      <c r="E1216" s="7">
        <f>SUMPRODUCT($C$5:$X$5,'batch tool'!$B1210:$W1210)+$Y$5</f>
        <v>-51.578889182477603</v>
      </c>
      <c r="F1216" s="7">
        <f>SUMPRODUCT($C$6:$X$6,'batch tool'!$B1210:$W1210)+$Y$6</f>
        <v>-47.741473633885199</v>
      </c>
      <c r="G1216" s="7">
        <f>SUMPRODUCT($C$7:$X$7,'batch tool'!$B1210:$W1210)+$Y$7</f>
        <v>-19.739516238059196</v>
      </c>
      <c r="H1216" s="7">
        <f t="shared" si="36"/>
        <v>-19.739516238059196</v>
      </c>
      <c r="I1216">
        <f t="shared" si="37"/>
        <v>6</v>
      </c>
      <c r="J1216" t="str" cm="1">
        <f t="array" ref="J1216">INDEX($A$2:$A$7,I1216)</f>
        <v>Segment 6- Self-Conscious Male</v>
      </c>
    </row>
    <row r="1217" spans="1:10" x14ac:dyDescent="0.25">
      <c r="A1217" s="1">
        <f>'batch tool'!A1211</f>
        <v>0</v>
      </c>
      <c r="B1217" s="7">
        <f>SUMPRODUCT($C$2:$X$2,'batch tool'!$B1211:$W1211)+$Y$2</f>
        <v>-49.12272534143483</v>
      </c>
      <c r="C1217" s="7">
        <f>SUMPRODUCT($C$3:$X$3,'batch tool'!$B1211:$W1211)+$Y$3</f>
        <v>-36.514029388465531</v>
      </c>
      <c r="D1217" s="7">
        <f>SUMPRODUCT($C$4:$X$4,'batch tool'!$B1211:$W1211)+$Y$4</f>
        <v>-44.639843068043824</v>
      </c>
      <c r="E1217" s="7">
        <f>SUMPRODUCT($C$5:$X$5,'batch tool'!$B1211:$W1211)+$Y$5</f>
        <v>-51.578889182477603</v>
      </c>
      <c r="F1217" s="7">
        <f>SUMPRODUCT($C$6:$X$6,'batch tool'!$B1211:$W1211)+$Y$6</f>
        <v>-47.741473633885199</v>
      </c>
      <c r="G1217" s="7">
        <f>SUMPRODUCT($C$7:$X$7,'batch tool'!$B1211:$W1211)+$Y$7</f>
        <v>-19.739516238059196</v>
      </c>
      <c r="H1217" s="7">
        <f t="shared" si="36"/>
        <v>-19.739516238059196</v>
      </c>
      <c r="I1217">
        <f t="shared" si="37"/>
        <v>6</v>
      </c>
      <c r="J1217" t="str" cm="1">
        <f t="array" ref="J1217">INDEX($A$2:$A$7,I1217)</f>
        <v>Segment 6- Self-Conscious Male</v>
      </c>
    </row>
    <row r="1218" spans="1:10" x14ac:dyDescent="0.25">
      <c r="A1218" s="1">
        <f>'batch tool'!A1212</f>
        <v>0</v>
      </c>
      <c r="B1218" s="7">
        <f>SUMPRODUCT($C$2:$X$2,'batch tool'!$B1212:$W1212)+$Y$2</f>
        <v>-49.12272534143483</v>
      </c>
      <c r="C1218" s="7">
        <f>SUMPRODUCT($C$3:$X$3,'batch tool'!$B1212:$W1212)+$Y$3</f>
        <v>-36.514029388465531</v>
      </c>
      <c r="D1218" s="7">
        <f>SUMPRODUCT($C$4:$X$4,'batch tool'!$B1212:$W1212)+$Y$4</f>
        <v>-44.639843068043824</v>
      </c>
      <c r="E1218" s="7">
        <f>SUMPRODUCT($C$5:$X$5,'batch tool'!$B1212:$W1212)+$Y$5</f>
        <v>-51.578889182477603</v>
      </c>
      <c r="F1218" s="7">
        <f>SUMPRODUCT($C$6:$X$6,'batch tool'!$B1212:$W1212)+$Y$6</f>
        <v>-47.741473633885199</v>
      </c>
      <c r="G1218" s="7">
        <f>SUMPRODUCT($C$7:$X$7,'batch tool'!$B1212:$W1212)+$Y$7</f>
        <v>-19.739516238059196</v>
      </c>
      <c r="H1218" s="7">
        <f t="shared" si="36"/>
        <v>-19.739516238059196</v>
      </c>
      <c r="I1218">
        <f t="shared" si="37"/>
        <v>6</v>
      </c>
      <c r="J1218" t="str" cm="1">
        <f t="array" ref="J1218">INDEX($A$2:$A$7,I1218)</f>
        <v>Segment 6- Self-Conscious Male</v>
      </c>
    </row>
    <row r="1219" spans="1:10" x14ac:dyDescent="0.25">
      <c r="A1219" s="1">
        <f>'batch tool'!A1213</f>
        <v>0</v>
      </c>
      <c r="B1219" s="7">
        <f>SUMPRODUCT($C$2:$X$2,'batch tool'!$B1213:$W1213)+$Y$2</f>
        <v>-49.12272534143483</v>
      </c>
      <c r="C1219" s="7">
        <f>SUMPRODUCT($C$3:$X$3,'batch tool'!$B1213:$W1213)+$Y$3</f>
        <v>-36.514029388465531</v>
      </c>
      <c r="D1219" s="7">
        <f>SUMPRODUCT($C$4:$X$4,'batch tool'!$B1213:$W1213)+$Y$4</f>
        <v>-44.639843068043824</v>
      </c>
      <c r="E1219" s="7">
        <f>SUMPRODUCT($C$5:$X$5,'batch tool'!$B1213:$W1213)+$Y$5</f>
        <v>-51.578889182477603</v>
      </c>
      <c r="F1219" s="7">
        <f>SUMPRODUCT($C$6:$X$6,'batch tool'!$B1213:$W1213)+$Y$6</f>
        <v>-47.741473633885199</v>
      </c>
      <c r="G1219" s="7">
        <f>SUMPRODUCT($C$7:$X$7,'batch tool'!$B1213:$W1213)+$Y$7</f>
        <v>-19.739516238059196</v>
      </c>
      <c r="H1219" s="7">
        <f t="shared" si="36"/>
        <v>-19.739516238059196</v>
      </c>
      <c r="I1219">
        <f t="shared" si="37"/>
        <v>6</v>
      </c>
      <c r="J1219" t="str" cm="1">
        <f t="array" ref="J1219">INDEX($A$2:$A$7,I1219)</f>
        <v>Segment 6- Self-Conscious Male</v>
      </c>
    </row>
    <row r="1220" spans="1:10" x14ac:dyDescent="0.25">
      <c r="A1220" s="1">
        <f>'batch tool'!A1214</f>
        <v>0</v>
      </c>
      <c r="B1220" s="7">
        <f>SUMPRODUCT($C$2:$X$2,'batch tool'!$B1214:$W1214)+$Y$2</f>
        <v>-49.12272534143483</v>
      </c>
      <c r="C1220" s="7">
        <f>SUMPRODUCT($C$3:$X$3,'batch tool'!$B1214:$W1214)+$Y$3</f>
        <v>-36.514029388465531</v>
      </c>
      <c r="D1220" s="7">
        <f>SUMPRODUCT($C$4:$X$4,'batch tool'!$B1214:$W1214)+$Y$4</f>
        <v>-44.639843068043824</v>
      </c>
      <c r="E1220" s="7">
        <f>SUMPRODUCT($C$5:$X$5,'batch tool'!$B1214:$W1214)+$Y$5</f>
        <v>-51.578889182477603</v>
      </c>
      <c r="F1220" s="7">
        <f>SUMPRODUCT($C$6:$X$6,'batch tool'!$B1214:$W1214)+$Y$6</f>
        <v>-47.741473633885199</v>
      </c>
      <c r="G1220" s="7">
        <f>SUMPRODUCT($C$7:$X$7,'batch tool'!$B1214:$W1214)+$Y$7</f>
        <v>-19.739516238059196</v>
      </c>
      <c r="H1220" s="7">
        <f t="shared" si="36"/>
        <v>-19.739516238059196</v>
      </c>
      <c r="I1220">
        <f t="shared" si="37"/>
        <v>6</v>
      </c>
      <c r="J1220" t="str" cm="1">
        <f t="array" ref="J1220">INDEX($A$2:$A$7,I1220)</f>
        <v>Segment 6- Self-Conscious Male</v>
      </c>
    </row>
    <row r="1221" spans="1:10" x14ac:dyDescent="0.25">
      <c r="A1221" s="1">
        <f>'batch tool'!A1215</f>
        <v>0</v>
      </c>
      <c r="B1221" s="7">
        <f>SUMPRODUCT($C$2:$X$2,'batch tool'!$B1215:$W1215)+$Y$2</f>
        <v>-49.12272534143483</v>
      </c>
      <c r="C1221" s="7">
        <f>SUMPRODUCT($C$3:$X$3,'batch tool'!$B1215:$W1215)+$Y$3</f>
        <v>-36.514029388465531</v>
      </c>
      <c r="D1221" s="7">
        <f>SUMPRODUCT($C$4:$X$4,'batch tool'!$B1215:$W1215)+$Y$4</f>
        <v>-44.639843068043824</v>
      </c>
      <c r="E1221" s="7">
        <f>SUMPRODUCT($C$5:$X$5,'batch tool'!$B1215:$W1215)+$Y$5</f>
        <v>-51.578889182477603</v>
      </c>
      <c r="F1221" s="7">
        <f>SUMPRODUCT($C$6:$X$6,'batch tool'!$B1215:$W1215)+$Y$6</f>
        <v>-47.741473633885199</v>
      </c>
      <c r="G1221" s="7">
        <f>SUMPRODUCT($C$7:$X$7,'batch tool'!$B1215:$W1215)+$Y$7</f>
        <v>-19.739516238059196</v>
      </c>
      <c r="H1221" s="7">
        <f t="shared" si="36"/>
        <v>-19.739516238059196</v>
      </c>
      <c r="I1221">
        <f t="shared" si="37"/>
        <v>6</v>
      </c>
      <c r="J1221" t="str" cm="1">
        <f t="array" ref="J1221">INDEX($A$2:$A$7,I1221)</f>
        <v>Segment 6- Self-Conscious Male</v>
      </c>
    </row>
    <row r="1222" spans="1:10" x14ac:dyDescent="0.25">
      <c r="A1222" s="1">
        <f>'batch tool'!A1216</f>
        <v>0</v>
      </c>
      <c r="B1222" s="7">
        <f>SUMPRODUCT($C$2:$X$2,'batch tool'!$B1216:$W1216)+$Y$2</f>
        <v>-49.12272534143483</v>
      </c>
      <c r="C1222" s="7">
        <f>SUMPRODUCT($C$3:$X$3,'batch tool'!$B1216:$W1216)+$Y$3</f>
        <v>-36.514029388465531</v>
      </c>
      <c r="D1222" s="7">
        <f>SUMPRODUCT($C$4:$X$4,'batch tool'!$B1216:$W1216)+$Y$4</f>
        <v>-44.639843068043824</v>
      </c>
      <c r="E1222" s="7">
        <f>SUMPRODUCT($C$5:$X$5,'batch tool'!$B1216:$W1216)+$Y$5</f>
        <v>-51.578889182477603</v>
      </c>
      <c r="F1222" s="7">
        <f>SUMPRODUCT($C$6:$X$6,'batch tool'!$B1216:$W1216)+$Y$6</f>
        <v>-47.741473633885199</v>
      </c>
      <c r="G1222" s="7">
        <f>SUMPRODUCT($C$7:$X$7,'batch tool'!$B1216:$W1216)+$Y$7</f>
        <v>-19.739516238059196</v>
      </c>
      <c r="H1222" s="7">
        <f t="shared" si="36"/>
        <v>-19.739516238059196</v>
      </c>
      <c r="I1222">
        <f t="shared" si="37"/>
        <v>6</v>
      </c>
      <c r="J1222" t="str" cm="1">
        <f t="array" ref="J1222">INDEX($A$2:$A$7,I1222)</f>
        <v>Segment 6- Self-Conscious Male</v>
      </c>
    </row>
    <row r="1223" spans="1:10" x14ac:dyDescent="0.25">
      <c r="A1223" s="1">
        <f>'batch tool'!A1217</f>
        <v>0</v>
      </c>
      <c r="B1223" s="7">
        <f>SUMPRODUCT($C$2:$X$2,'batch tool'!$B1217:$W1217)+$Y$2</f>
        <v>-49.12272534143483</v>
      </c>
      <c r="C1223" s="7">
        <f>SUMPRODUCT($C$3:$X$3,'batch tool'!$B1217:$W1217)+$Y$3</f>
        <v>-36.514029388465531</v>
      </c>
      <c r="D1223" s="7">
        <f>SUMPRODUCT($C$4:$X$4,'batch tool'!$B1217:$W1217)+$Y$4</f>
        <v>-44.639843068043824</v>
      </c>
      <c r="E1223" s="7">
        <f>SUMPRODUCT($C$5:$X$5,'batch tool'!$B1217:$W1217)+$Y$5</f>
        <v>-51.578889182477603</v>
      </c>
      <c r="F1223" s="7">
        <f>SUMPRODUCT($C$6:$X$6,'batch tool'!$B1217:$W1217)+$Y$6</f>
        <v>-47.741473633885199</v>
      </c>
      <c r="G1223" s="7">
        <f>SUMPRODUCT($C$7:$X$7,'batch tool'!$B1217:$W1217)+$Y$7</f>
        <v>-19.739516238059196</v>
      </c>
      <c r="H1223" s="7">
        <f t="shared" si="36"/>
        <v>-19.739516238059196</v>
      </c>
      <c r="I1223">
        <f t="shared" si="37"/>
        <v>6</v>
      </c>
      <c r="J1223" t="str" cm="1">
        <f t="array" ref="J1223">INDEX($A$2:$A$7,I1223)</f>
        <v>Segment 6- Self-Conscious Male</v>
      </c>
    </row>
    <row r="1224" spans="1:10" x14ac:dyDescent="0.25">
      <c r="A1224" s="1">
        <f>'batch tool'!A1218</f>
        <v>0</v>
      </c>
      <c r="B1224" s="7">
        <f>SUMPRODUCT($C$2:$X$2,'batch tool'!$B1218:$W1218)+$Y$2</f>
        <v>-49.12272534143483</v>
      </c>
      <c r="C1224" s="7">
        <f>SUMPRODUCT($C$3:$X$3,'batch tool'!$B1218:$W1218)+$Y$3</f>
        <v>-36.514029388465531</v>
      </c>
      <c r="D1224" s="7">
        <f>SUMPRODUCT($C$4:$X$4,'batch tool'!$B1218:$W1218)+$Y$4</f>
        <v>-44.639843068043824</v>
      </c>
      <c r="E1224" s="7">
        <f>SUMPRODUCT($C$5:$X$5,'batch tool'!$B1218:$W1218)+$Y$5</f>
        <v>-51.578889182477603</v>
      </c>
      <c r="F1224" s="7">
        <f>SUMPRODUCT($C$6:$X$6,'batch tool'!$B1218:$W1218)+$Y$6</f>
        <v>-47.741473633885199</v>
      </c>
      <c r="G1224" s="7">
        <f>SUMPRODUCT($C$7:$X$7,'batch tool'!$B1218:$W1218)+$Y$7</f>
        <v>-19.739516238059196</v>
      </c>
      <c r="H1224" s="7">
        <f t="shared" si="36"/>
        <v>-19.739516238059196</v>
      </c>
      <c r="I1224">
        <f t="shared" si="37"/>
        <v>6</v>
      </c>
      <c r="J1224" t="str" cm="1">
        <f t="array" ref="J1224">INDEX($A$2:$A$7,I1224)</f>
        <v>Segment 6- Self-Conscious Male</v>
      </c>
    </row>
    <row r="1225" spans="1:10" x14ac:dyDescent="0.25">
      <c r="A1225" s="1">
        <f>'batch tool'!A1219</f>
        <v>0</v>
      </c>
      <c r="B1225" s="7">
        <f>SUMPRODUCT($C$2:$X$2,'batch tool'!$B1219:$W1219)+$Y$2</f>
        <v>-49.12272534143483</v>
      </c>
      <c r="C1225" s="7">
        <f>SUMPRODUCT($C$3:$X$3,'batch tool'!$B1219:$W1219)+$Y$3</f>
        <v>-36.514029388465531</v>
      </c>
      <c r="D1225" s="7">
        <f>SUMPRODUCT($C$4:$X$4,'batch tool'!$B1219:$W1219)+$Y$4</f>
        <v>-44.639843068043824</v>
      </c>
      <c r="E1225" s="7">
        <f>SUMPRODUCT($C$5:$X$5,'batch tool'!$B1219:$W1219)+$Y$5</f>
        <v>-51.578889182477603</v>
      </c>
      <c r="F1225" s="7">
        <f>SUMPRODUCT($C$6:$X$6,'batch tool'!$B1219:$W1219)+$Y$6</f>
        <v>-47.741473633885199</v>
      </c>
      <c r="G1225" s="7">
        <f>SUMPRODUCT($C$7:$X$7,'batch tool'!$B1219:$W1219)+$Y$7</f>
        <v>-19.739516238059196</v>
      </c>
      <c r="H1225" s="7">
        <f t="shared" si="36"/>
        <v>-19.739516238059196</v>
      </c>
      <c r="I1225">
        <f t="shared" si="37"/>
        <v>6</v>
      </c>
      <c r="J1225" t="str" cm="1">
        <f t="array" ref="J1225">INDEX($A$2:$A$7,I1225)</f>
        <v>Segment 6- Self-Conscious Male</v>
      </c>
    </row>
    <row r="1226" spans="1:10" x14ac:dyDescent="0.25">
      <c r="A1226" s="1">
        <f>'batch tool'!A1220</f>
        <v>0</v>
      </c>
      <c r="B1226" s="7">
        <f>SUMPRODUCT($C$2:$X$2,'batch tool'!$B1220:$W1220)+$Y$2</f>
        <v>-49.12272534143483</v>
      </c>
      <c r="C1226" s="7">
        <f>SUMPRODUCT($C$3:$X$3,'batch tool'!$B1220:$W1220)+$Y$3</f>
        <v>-36.514029388465531</v>
      </c>
      <c r="D1226" s="7">
        <f>SUMPRODUCT($C$4:$X$4,'batch tool'!$B1220:$W1220)+$Y$4</f>
        <v>-44.639843068043824</v>
      </c>
      <c r="E1226" s="7">
        <f>SUMPRODUCT($C$5:$X$5,'batch tool'!$B1220:$W1220)+$Y$5</f>
        <v>-51.578889182477603</v>
      </c>
      <c r="F1226" s="7">
        <f>SUMPRODUCT($C$6:$X$6,'batch tool'!$B1220:$W1220)+$Y$6</f>
        <v>-47.741473633885199</v>
      </c>
      <c r="G1226" s="7">
        <f>SUMPRODUCT($C$7:$X$7,'batch tool'!$B1220:$W1220)+$Y$7</f>
        <v>-19.739516238059196</v>
      </c>
      <c r="H1226" s="7">
        <f t="shared" si="36"/>
        <v>-19.739516238059196</v>
      </c>
      <c r="I1226">
        <f t="shared" si="37"/>
        <v>6</v>
      </c>
      <c r="J1226" t="str" cm="1">
        <f t="array" ref="J1226">INDEX($A$2:$A$7,I1226)</f>
        <v>Segment 6- Self-Conscious Male</v>
      </c>
    </row>
    <row r="1227" spans="1:10" x14ac:dyDescent="0.25">
      <c r="A1227" s="1">
        <f>'batch tool'!A1221</f>
        <v>0</v>
      </c>
      <c r="B1227" s="7">
        <f>SUMPRODUCT($C$2:$X$2,'batch tool'!$B1221:$W1221)+$Y$2</f>
        <v>-49.12272534143483</v>
      </c>
      <c r="C1227" s="7">
        <f>SUMPRODUCT($C$3:$X$3,'batch tool'!$B1221:$W1221)+$Y$3</f>
        <v>-36.514029388465531</v>
      </c>
      <c r="D1227" s="7">
        <f>SUMPRODUCT($C$4:$X$4,'batch tool'!$B1221:$W1221)+$Y$4</f>
        <v>-44.639843068043824</v>
      </c>
      <c r="E1227" s="7">
        <f>SUMPRODUCT($C$5:$X$5,'batch tool'!$B1221:$W1221)+$Y$5</f>
        <v>-51.578889182477603</v>
      </c>
      <c r="F1227" s="7">
        <f>SUMPRODUCT($C$6:$X$6,'batch tool'!$B1221:$W1221)+$Y$6</f>
        <v>-47.741473633885199</v>
      </c>
      <c r="G1227" s="7">
        <f>SUMPRODUCT($C$7:$X$7,'batch tool'!$B1221:$W1221)+$Y$7</f>
        <v>-19.739516238059196</v>
      </c>
      <c r="H1227" s="7">
        <f t="shared" ref="H1227:H1290" si="38">MAX(B1227:G1227)</f>
        <v>-19.739516238059196</v>
      </c>
      <c r="I1227">
        <f t="shared" ref="I1227:I1290" si="39">MATCH(H1227,B1227:G1227,0)</f>
        <v>6</v>
      </c>
      <c r="J1227" t="str" cm="1">
        <f t="array" ref="J1227">INDEX($A$2:$A$7,I1227)</f>
        <v>Segment 6- Self-Conscious Male</v>
      </c>
    </row>
    <row r="1228" spans="1:10" x14ac:dyDescent="0.25">
      <c r="A1228" s="1">
        <f>'batch tool'!A1222</f>
        <v>0</v>
      </c>
      <c r="B1228" s="7">
        <f>SUMPRODUCT($C$2:$X$2,'batch tool'!$B1222:$W1222)+$Y$2</f>
        <v>-49.12272534143483</v>
      </c>
      <c r="C1228" s="7">
        <f>SUMPRODUCT($C$3:$X$3,'batch tool'!$B1222:$W1222)+$Y$3</f>
        <v>-36.514029388465531</v>
      </c>
      <c r="D1228" s="7">
        <f>SUMPRODUCT($C$4:$X$4,'batch tool'!$B1222:$W1222)+$Y$4</f>
        <v>-44.639843068043824</v>
      </c>
      <c r="E1228" s="7">
        <f>SUMPRODUCT($C$5:$X$5,'batch tool'!$B1222:$W1222)+$Y$5</f>
        <v>-51.578889182477603</v>
      </c>
      <c r="F1228" s="7">
        <f>SUMPRODUCT($C$6:$X$6,'batch tool'!$B1222:$W1222)+$Y$6</f>
        <v>-47.741473633885199</v>
      </c>
      <c r="G1228" s="7">
        <f>SUMPRODUCT($C$7:$X$7,'batch tool'!$B1222:$W1222)+$Y$7</f>
        <v>-19.739516238059196</v>
      </c>
      <c r="H1228" s="7">
        <f t="shared" si="38"/>
        <v>-19.739516238059196</v>
      </c>
      <c r="I1228">
        <f t="shared" si="39"/>
        <v>6</v>
      </c>
      <c r="J1228" t="str" cm="1">
        <f t="array" ref="J1228">INDEX($A$2:$A$7,I1228)</f>
        <v>Segment 6- Self-Conscious Male</v>
      </c>
    </row>
    <row r="1229" spans="1:10" x14ac:dyDescent="0.25">
      <c r="A1229" s="1">
        <f>'batch tool'!A1223</f>
        <v>0</v>
      </c>
      <c r="B1229" s="7">
        <f>SUMPRODUCT($C$2:$X$2,'batch tool'!$B1223:$W1223)+$Y$2</f>
        <v>-49.12272534143483</v>
      </c>
      <c r="C1229" s="7">
        <f>SUMPRODUCT($C$3:$X$3,'batch tool'!$B1223:$W1223)+$Y$3</f>
        <v>-36.514029388465531</v>
      </c>
      <c r="D1229" s="7">
        <f>SUMPRODUCT($C$4:$X$4,'batch tool'!$B1223:$W1223)+$Y$4</f>
        <v>-44.639843068043824</v>
      </c>
      <c r="E1229" s="7">
        <f>SUMPRODUCT($C$5:$X$5,'batch tool'!$B1223:$W1223)+$Y$5</f>
        <v>-51.578889182477603</v>
      </c>
      <c r="F1229" s="7">
        <f>SUMPRODUCT($C$6:$X$6,'batch tool'!$B1223:$W1223)+$Y$6</f>
        <v>-47.741473633885199</v>
      </c>
      <c r="G1229" s="7">
        <f>SUMPRODUCT($C$7:$X$7,'batch tool'!$B1223:$W1223)+$Y$7</f>
        <v>-19.739516238059196</v>
      </c>
      <c r="H1229" s="7">
        <f t="shared" si="38"/>
        <v>-19.739516238059196</v>
      </c>
      <c r="I1229">
        <f t="shared" si="39"/>
        <v>6</v>
      </c>
      <c r="J1229" t="str" cm="1">
        <f t="array" ref="J1229">INDEX($A$2:$A$7,I1229)</f>
        <v>Segment 6- Self-Conscious Male</v>
      </c>
    </row>
    <row r="1230" spans="1:10" x14ac:dyDescent="0.25">
      <c r="A1230" s="1">
        <f>'batch tool'!A1224</f>
        <v>0</v>
      </c>
      <c r="B1230" s="7">
        <f>SUMPRODUCT($C$2:$X$2,'batch tool'!$B1224:$W1224)+$Y$2</f>
        <v>-49.12272534143483</v>
      </c>
      <c r="C1230" s="7">
        <f>SUMPRODUCT($C$3:$X$3,'batch tool'!$B1224:$W1224)+$Y$3</f>
        <v>-36.514029388465531</v>
      </c>
      <c r="D1230" s="7">
        <f>SUMPRODUCT($C$4:$X$4,'batch tool'!$B1224:$W1224)+$Y$4</f>
        <v>-44.639843068043824</v>
      </c>
      <c r="E1230" s="7">
        <f>SUMPRODUCT($C$5:$X$5,'batch tool'!$B1224:$W1224)+$Y$5</f>
        <v>-51.578889182477603</v>
      </c>
      <c r="F1230" s="7">
        <f>SUMPRODUCT($C$6:$X$6,'batch tool'!$B1224:$W1224)+$Y$6</f>
        <v>-47.741473633885199</v>
      </c>
      <c r="G1230" s="7">
        <f>SUMPRODUCT($C$7:$X$7,'batch tool'!$B1224:$W1224)+$Y$7</f>
        <v>-19.739516238059196</v>
      </c>
      <c r="H1230" s="7">
        <f t="shared" si="38"/>
        <v>-19.739516238059196</v>
      </c>
      <c r="I1230">
        <f t="shared" si="39"/>
        <v>6</v>
      </c>
      <c r="J1230" t="str" cm="1">
        <f t="array" ref="J1230">INDEX($A$2:$A$7,I1230)</f>
        <v>Segment 6- Self-Conscious Male</v>
      </c>
    </row>
    <row r="1231" spans="1:10" x14ac:dyDescent="0.25">
      <c r="A1231" s="1">
        <f>'batch tool'!A1225</f>
        <v>0</v>
      </c>
      <c r="B1231" s="7">
        <f>SUMPRODUCT($C$2:$X$2,'batch tool'!$B1225:$W1225)+$Y$2</f>
        <v>-49.12272534143483</v>
      </c>
      <c r="C1231" s="7">
        <f>SUMPRODUCT($C$3:$X$3,'batch tool'!$B1225:$W1225)+$Y$3</f>
        <v>-36.514029388465531</v>
      </c>
      <c r="D1231" s="7">
        <f>SUMPRODUCT($C$4:$X$4,'batch tool'!$B1225:$W1225)+$Y$4</f>
        <v>-44.639843068043824</v>
      </c>
      <c r="E1231" s="7">
        <f>SUMPRODUCT($C$5:$X$5,'batch tool'!$B1225:$W1225)+$Y$5</f>
        <v>-51.578889182477603</v>
      </c>
      <c r="F1231" s="7">
        <f>SUMPRODUCT($C$6:$X$6,'batch tool'!$B1225:$W1225)+$Y$6</f>
        <v>-47.741473633885199</v>
      </c>
      <c r="G1231" s="7">
        <f>SUMPRODUCT($C$7:$X$7,'batch tool'!$B1225:$W1225)+$Y$7</f>
        <v>-19.739516238059196</v>
      </c>
      <c r="H1231" s="7">
        <f t="shared" si="38"/>
        <v>-19.739516238059196</v>
      </c>
      <c r="I1231">
        <f t="shared" si="39"/>
        <v>6</v>
      </c>
      <c r="J1231" t="str" cm="1">
        <f t="array" ref="J1231">INDEX($A$2:$A$7,I1231)</f>
        <v>Segment 6- Self-Conscious Male</v>
      </c>
    </row>
    <row r="1232" spans="1:10" x14ac:dyDescent="0.25">
      <c r="A1232" s="1">
        <f>'batch tool'!A1226</f>
        <v>0</v>
      </c>
      <c r="B1232" s="7">
        <f>SUMPRODUCT($C$2:$X$2,'batch tool'!$B1226:$W1226)+$Y$2</f>
        <v>-49.12272534143483</v>
      </c>
      <c r="C1232" s="7">
        <f>SUMPRODUCT($C$3:$X$3,'batch tool'!$B1226:$W1226)+$Y$3</f>
        <v>-36.514029388465531</v>
      </c>
      <c r="D1232" s="7">
        <f>SUMPRODUCT($C$4:$X$4,'batch tool'!$B1226:$W1226)+$Y$4</f>
        <v>-44.639843068043824</v>
      </c>
      <c r="E1232" s="7">
        <f>SUMPRODUCT($C$5:$X$5,'batch tool'!$B1226:$W1226)+$Y$5</f>
        <v>-51.578889182477603</v>
      </c>
      <c r="F1232" s="7">
        <f>SUMPRODUCT($C$6:$X$6,'batch tool'!$B1226:$W1226)+$Y$6</f>
        <v>-47.741473633885199</v>
      </c>
      <c r="G1232" s="7">
        <f>SUMPRODUCT($C$7:$X$7,'batch tool'!$B1226:$W1226)+$Y$7</f>
        <v>-19.739516238059196</v>
      </c>
      <c r="H1232" s="7">
        <f t="shared" si="38"/>
        <v>-19.739516238059196</v>
      </c>
      <c r="I1232">
        <f t="shared" si="39"/>
        <v>6</v>
      </c>
      <c r="J1232" t="str" cm="1">
        <f t="array" ref="J1232">INDEX($A$2:$A$7,I1232)</f>
        <v>Segment 6- Self-Conscious Male</v>
      </c>
    </row>
    <row r="1233" spans="1:10" x14ac:dyDescent="0.25">
      <c r="A1233" s="1">
        <f>'batch tool'!A1227</f>
        <v>0</v>
      </c>
      <c r="B1233" s="7">
        <f>SUMPRODUCT($C$2:$X$2,'batch tool'!$B1227:$W1227)+$Y$2</f>
        <v>-49.12272534143483</v>
      </c>
      <c r="C1233" s="7">
        <f>SUMPRODUCT($C$3:$X$3,'batch tool'!$B1227:$W1227)+$Y$3</f>
        <v>-36.514029388465531</v>
      </c>
      <c r="D1233" s="7">
        <f>SUMPRODUCT($C$4:$X$4,'batch tool'!$B1227:$W1227)+$Y$4</f>
        <v>-44.639843068043824</v>
      </c>
      <c r="E1233" s="7">
        <f>SUMPRODUCT($C$5:$X$5,'batch tool'!$B1227:$W1227)+$Y$5</f>
        <v>-51.578889182477603</v>
      </c>
      <c r="F1233" s="7">
        <f>SUMPRODUCT($C$6:$X$6,'batch tool'!$B1227:$W1227)+$Y$6</f>
        <v>-47.741473633885199</v>
      </c>
      <c r="G1233" s="7">
        <f>SUMPRODUCT($C$7:$X$7,'batch tool'!$B1227:$W1227)+$Y$7</f>
        <v>-19.739516238059196</v>
      </c>
      <c r="H1233" s="7">
        <f t="shared" si="38"/>
        <v>-19.739516238059196</v>
      </c>
      <c r="I1233">
        <f t="shared" si="39"/>
        <v>6</v>
      </c>
      <c r="J1233" t="str" cm="1">
        <f t="array" ref="J1233">INDEX($A$2:$A$7,I1233)</f>
        <v>Segment 6- Self-Conscious Male</v>
      </c>
    </row>
    <row r="1234" spans="1:10" x14ac:dyDescent="0.25">
      <c r="A1234" s="1">
        <f>'batch tool'!A1228</f>
        <v>0</v>
      </c>
      <c r="B1234" s="7">
        <f>SUMPRODUCT($C$2:$X$2,'batch tool'!$B1228:$W1228)+$Y$2</f>
        <v>-49.12272534143483</v>
      </c>
      <c r="C1234" s="7">
        <f>SUMPRODUCT($C$3:$X$3,'batch tool'!$B1228:$W1228)+$Y$3</f>
        <v>-36.514029388465531</v>
      </c>
      <c r="D1234" s="7">
        <f>SUMPRODUCT($C$4:$X$4,'batch tool'!$B1228:$W1228)+$Y$4</f>
        <v>-44.639843068043824</v>
      </c>
      <c r="E1234" s="7">
        <f>SUMPRODUCT($C$5:$X$5,'batch tool'!$B1228:$W1228)+$Y$5</f>
        <v>-51.578889182477603</v>
      </c>
      <c r="F1234" s="7">
        <f>SUMPRODUCT($C$6:$X$6,'batch tool'!$B1228:$W1228)+$Y$6</f>
        <v>-47.741473633885199</v>
      </c>
      <c r="G1234" s="7">
        <f>SUMPRODUCT($C$7:$X$7,'batch tool'!$B1228:$W1228)+$Y$7</f>
        <v>-19.739516238059196</v>
      </c>
      <c r="H1234" s="7">
        <f t="shared" si="38"/>
        <v>-19.739516238059196</v>
      </c>
      <c r="I1234">
        <f t="shared" si="39"/>
        <v>6</v>
      </c>
      <c r="J1234" t="str" cm="1">
        <f t="array" ref="J1234">INDEX($A$2:$A$7,I1234)</f>
        <v>Segment 6- Self-Conscious Male</v>
      </c>
    </row>
    <row r="1235" spans="1:10" x14ac:dyDescent="0.25">
      <c r="A1235" s="1">
        <f>'batch tool'!A1229</f>
        <v>0</v>
      </c>
      <c r="B1235" s="7">
        <f>SUMPRODUCT($C$2:$X$2,'batch tool'!$B1229:$W1229)+$Y$2</f>
        <v>-49.12272534143483</v>
      </c>
      <c r="C1235" s="7">
        <f>SUMPRODUCT($C$3:$X$3,'batch tool'!$B1229:$W1229)+$Y$3</f>
        <v>-36.514029388465531</v>
      </c>
      <c r="D1235" s="7">
        <f>SUMPRODUCT($C$4:$X$4,'batch tool'!$B1229:$W1229)+$Y$4</f>
        <v>-44.639843068043824</v>
      </c>
      <c r="E1235" s="7">
        <f>SUMPRODUCT($C$5:$X$5,'batch tool'!$B1229:$W1229)+$Y$5</f>
        <v>-51.578889182477603</v>
      </c>
      <c r="F1235" s="7">
        <f>SUMPRODUCT($C$6:$X$6,'batch tool'!$B1229:$W1229)+$Y$6</f>
        <v>-47.741473633885199</v>
      </c>
      <c r="G1235" s="7">
        <f>SUMPRODUCT($C$7:$X$7,'batch tool'!$B1229:$W1229)+$Y$7</f>
        <v>-19.739516238059196</v>
      </c>
      <c r="H1235" s="7">
        <f t="shared" si="38"/>
        <v>-19.739516238059196</v>
      </c>
      <c r="I1235">
        <f t="shared" si="39"/>
        <v>6</v>
      </c>
      <c r="J1235" t="str" cm="1">
        <f t="array" ref="J1235">INDEX($A$2:$A$7,I1235)</f>
        <v>Segment 6- Self-Conscious Male</v>
      </c>
    </row>
    <row r="1236" spans="1:10" x14ac:dyDescent="0.25">
      <c r="A1236" s="1">
        <f>'batch tool'!A1230</f>
        <v>0</v>
      </c>
      <c r="B1236" s="7">
        <f>SUMPRODUCT($C$2:$X$2,'batch tool'!$B1230:$W1230)+$Y$2</f>
        <v>-49.12272534143483</v>
      </c>
      <c r="C1236" s="7">
        <f>SUMPRODUCT($C$3:$X$3,'batch tool'!$B1230:$W1230)+$Y$3</f>
        <v>-36.514029388465531</v>
      </c>
      <c r="D1236" s="7">
        <f>SUMPRODUCT($C$4:$X$4,'batch tool'!$B1230:$W1230)+$Y$4</f>
        <v>-44.639843068043824</v>
      </c>
      <c r="E1236" s="7">
        <f>SUMPRODUCT($C$5:$X$5,'batch tool'!$B1230:$W1230)+$Y$5</f>
        <v>-51.578889182477603</v>
      </c>
      <c r="F1236" s="7">
        <f>SUMPRODUCT($C$6:$X$6,'batch tool'!$B1230:$W1230)+$Y$6</f>
        <v>-47.741473633885199</v>
      </c>
      <c r="G1236" s="7">
        <f>SUMPRODUCT($C$7:$X$7,'batch tool'!$B1230:$W1230)+$Y$7</f>
        <v>-19.739516238059196</v>
      </c>
      <c r="H1236" s="7">
        <f t="shared" si="38"/>
        <v>-19.739516238059196</v>
      </c>
      <c r="I1236">
        <f t="shared" si="39"/>
        <v>6</v>
      </c>
      <c r="J1236" t="str" cm="1">
        <f t="array" ref="J1236">INDEX($A$2:$A$7,I1236)</f>
        <v>Segment 6- Self-Conscious Male</v>
      </c>
    </row>
    <row r="1237" spans="1:10" x14ac:dyDescent="0.25">
      <c r="A1237" s="1">
        <f>'batch tool'!A1231</f>
        <v>0</v>
      </c>
      <c r="B1237" s="7">
        <f>SUMPRODUCT($C$2:$X$2,'batch tool'!$B1231:$W1231)+$Y$2</f>
        <v>-49.12272534143483</v>
      </c>
      <c r="C1237" s="7">
        <f>SUMPRODUCT($C$3:$X$3,'batch tool'!$B1231:$W1231)+$Y$3</f>
        <v>-36.514029388465531</v>
      </c>
      <c r="D1237" s="7">
        <f>SUMPRODUCT($C$4:$X$4,'batch tool'!$B1231:$W1231)+$Y$4</f>
        <v>-44.639843068043824</v>
      </c>
      <c r="E1237" s="7">
        <f>SUMPRODUCT($C$5:$X$5,'batch tool'!$B1231:$W1231)+$Y$5</f>
        <v>-51.578889182477603</v>
      </c>
      <c r="F1237" s="7">
        <f>SUMPRODUCT($C$6:$X$6,'batch tool'!$B1231:$W1231)+$Y$6</f>
        <v>-47.741473633885199</v>
      </c>
      <c r="G1237" s="7">
        <f>SUMPRODUCT($C$7:$X$7,'batch tool'!$B1231:$W1231)+$Y$7</f>
        <v>-19.739516238059196</v>
      </c>
      <c r="H1237" s="7">
        <f t="shared" si="38"/>
        <v>-19.739516238059196</v>
      </c>
      <c r="I1237">
        <f t="shared" si="39"/>
        <v>6</v>
      </c>
      <c r="J1237" t="str" cm="1">
        <f t="array" ref="J1237">INDEX($A$2:$A$7,I1237)</f>
        <v>Segment 6- Self-Conscious Male</v>
      </c>
    </row>
    <row r="1238" spans="1:10" x14ac:dyDescent="0.25">
      <c r="A1238" s="1">
        <f>'batch tool'!A1232</f>
        <v>0</v>
      </c>
      <c r="B1238" s="7">
        <f>SUMPRODUCT($C$2:$X$2,'batch tool'!$B1232:$W1232)+$Y$2</f>
        <v>-49.12272534143483</v>
      </c>
      <c r="C1238" s="7">
        <f>SUMPRODUCT($C$3:$X$3,'batch tool'!$B1232:$W1232)+$Y$3</f>
        <v>-36.514029388465531</v>
      </c>
      <c r="D1238" s="7">
        <f>SUMPRODUCT($C$4:$X$4,'batch tool'!$B1232:$W1232)+$Y$4</f>
        <v>-44.639843068043824</v>
      </c>
      <c r="E1238" s="7">
        <f>SUMPRODUCT($C$5:$X$5,'batch tool'!$B1232:$W1232)+$Y$5</f>
        <v>-51.578889182477603</v>
      </c>
      <c r="F1238" s="7">
        <f>SUMPRODUCT($C$6:$X$6,'batch tool'!$B1232:$W1232)+$Y$6</f>
        <v>-47.741473633885199</v>
      </c>
      <c r="G1238" s="7">
        <f>SUMPRODUCT($C$7:$X$7,'batch tool'!$B1232:$W1232)+$Y$7</f>
        <v>-19.739516238059196</v>
      </c>
      <c r="H1238" s="7">
        <f t="shared" si="38"/>
        <v>-19.739516238059196</v>
      </c>
      <c r="I1238">
        <f t="shared" si="39"/>
        <v>6</v>
      </c>
      <c r="J1238" t="str" cm="1">
        <f t="array" ref="J1238">INDEX($A$2:$A$7,I1238)</f>
        <v>Segment 6- Self-Conscious Male</v>
      </c>
    </row>
    <row r="1239" spans="1:10" x14ac:dyDescent="0.25">
      <c r="A1239" s="1">
        <f>'batch tool'!A1233</f>
        <v>0</v>
      </c>
      <c r="B1239" s="7">
        <f>SUMPRODUCT($C$2:$X$2,'batch tool'!$B1233:$W1233)+$Y$2</f>
        <v>-49.12272534143483</v>
      </c>
      <c r="C1239" s="7">
        <f>SUMPRODUCT($C$3:$X$3,'batch tool'!$B1233:$W1233)+$Y$3</f>
        <v>-36.514029388465531</v>
      </c>
      <c r="D1239" s="7">
        <f>SUMPRODUCT($C$4:$X$4,'batch tool'!$B1233:$W1233)+$Y$4</f>
        <v>-44.639843068043824</v>
      </c>
      <c r="E1239" s="7">
        <f>SUMPRODUCT($C$5:$X$5,'batch tool'!$B1233:$W1233)+$Y$5</f>
        <v>-51.578889182477603</v>
      </c>
      <c r="F1239" s="7">
        <f>SUMPRODUCT($C$6:$X$6,'batch tool'!$B1233:$W1233)+$Y$6</f>
        <v>-47.741473633885199</v>
      </c>
      <c r="G1239" s="7">
        <f>SUMPRODUCT($C$7:$X$7,'batch tool'!$B1233:$W1233)+$Y$7</f>
        <v>-19.739516238059196</v>
      </c>
      <c r="H1239" s="7">
        <f t="shared" si="38"/>
        <v>-19.739516238059196</v>
      </c>
      <c r="I1239">
        <f t="shared" si="39"/>
        <v>6</v>
      </c>
      <c r="J1239" t="str" cm="1">
        <f t="array" ref="J1239">INDEX($A$2:$A$7,I1239)</f>
        <v>Segment 6- Self-Conscious Male</v>
      </c>
    </row>
    <row r="1240" spans="1:10" x14ac:dyDescent="0.25">
      <c r="A1240" s="1">
        <f>'batch tool'!A1234</f>
        <v>0</v>
      </c>
      <c r="B1240" s="7">
        <f>SUMPRODUCT($C$2:$X$2,'batch tool'!$B1234:$W1234)+$Y$2</f>
        <v>-49.12272534143483</v>
      </c>
      <c r="C1240" s="7">
        <f>SUMPRODUCT($C$3:$X$3,'batch tool'!$B1234:$W1234)+$Y$3</f>
        <v>-36.514029388465531</v>
      </c>
      <c r="D1240" s="7">
        <f>SUMPRODUCT($C$4:$X$4,'batch tool'!$B1234:$W1234)+$Y$4</f>
        <v>-44.639843068043824</v>
      </c>
      <c r="E1240" s="7">
        <f>SUMPRODUCT($C$5:$X$5,'batch tool'!$B1234:$W1234)+$Y$5</f>
        <v>-51.578889182477603</v>
      </c>
      <c r="F1240" s="7">
        <f>SUMPRODUCT($C$6:$X$6,'batch tool'!$B1234:$W1234)+$Y$6</f>
        <v>-47.741473633885199</v>
      </c>
      <c r="G1240" s="7">
        <f>SUMPRODUCT($C$7:$X$7,'batch tool'!$B1234:$W1234)+$Y$7</f>
        <v>-19.739516238059196</v>
      </c>
      <c r="H1240" s="7">
        <f t="shared" si="38"/>
        <v>-19.739516238059196</v>
      </c>
      <c r="I1240">
        <f t="shared" si="39"/>
        <v>6</v>
      </c>
      <c r="J1240" t="str" cm="1">
        <f t="array" ref="J1240">INDEX($A$2:$A$7,I1240)</f>
        <v>Segment 6- Self-Conscious Male</v>
      </c>
    </row>
    <row r="1241" spans="1:10" x14ac:dyDescent="0.25">
      <c r="A1241" s="1">
        <f>'batch tool'!A1235</f>
        <v>0</v>
      </c>
      <c r="B1241" s="7">
        <f>SUMPRODUCT($C$2:$X$2,'batch tool'!$B1235:$W1235)+$Y$2</f>
        <v>-49.12272534143483</v>
      </c>
      <c r="C1241" s="7">
        <f>SUMPRODUCT($C$3:$X$3,'batch tool'!$B1235:$W1235)+$Y$3</f>
        <v>-36.514029388465531</v>
      </c>
      <c r="D1241" s="7">
        <f>SUMPRODUCT($C$4:$X$4,'batch tool'!$B1235:$W1235)+$Y$4</f>
        <v>-44.639843068043824</v>
      </c>
      <c r="E1241" s="7">
        <f>SUMPRODUCT($C$5:$X$5,'batch tool'!$B1235:$W1235)+$Y$5</f>
        <v>-51.578889182477603</v>
      </c>
      <c r="F1241" s="7">
        <f>SUMPRODUCT($C$6:$X$6,'batch tool'!$B1235:$W1235)+$Y$6</f>
        <v>-47.741473633885199</v>
      </c>
      <c r="G1241" s="7">
        <f>SUMPRODUCT($C$7:$X$7,'batch tool'!$B1235:$W1235)+$Y$7</f>
        <v>-19.739516238059196</v>
      </c>
      <c r="H1241" s="7">
        <f t="shared" si="38"/>
        <v>-19.739516238059196</v>
      </c>
      <c r="I1241">
        <f t="shared" si="39"/>
        <v>6</v>
      </c>
      <c r="J1241" t="str" cm="1">
        <f t="array" ref="J1241">INDEX($A$2:$A$7,I1241)</f>
        <v>Segment 6- Self-Conscious Male</v>
      </c>
    </row>
    <row r="1242" spans="1:10" x14ac:dyDescent="0.25">
      <c r="A1242" s="1">
        <f>'batch tool'!A1236</f>
        <v>0</v>
      </c>
      <c r="B1242" s="7">
        <f>SUMPRODUCT($C$2:$X$2,'batch tool'!$B1236:$W1236)+$Y$2</f>
        <v>-49.12272534143483</v>
      </c>
      <c r="C1242" s="7">
        <f>SUMPRODUCT($C$3:$X$3,'batch tool'!$B1236:$W1236)+$Y$3</f>
        <v>-36.514029388465531</v>
      </c>
      <c r="D1242" s="7">
        <f>SUMPRODUCT($C$4:$X$4,'batch tool'!$B1236:$W1236)+$Y$4</f>
        <v>-44.639843068043824</v>
      </c>
      <c r="E1242" s="7">
        <f>SUMPRODUCT($C$5:$X$5,'batch tool'!$B1236:$W1236)+$Y$5</f>
        <v>-51.578889182477603</v>
      </c>
      <c r="F1242" s="7">
        <f>SUMPRODUCT($C$6:$X$6,'batch tool'!$B1236:$W1236)+$Y$6</f>
        <v>-47.741473633885199</v>
      </c>
      <c r="G1242" s="7">
        <f>SUMPRODUCT($C$7:$X$7,'batch tool'!$B1236:$W1236)+$Y$7</f>
        <v>-19.739516238059196</v>
      </c>
      <c r="H1242" s="7">
        <f t="shared" si="38"/>
        <v>-19.739516238059196</v>
      </c>
      <c r="I1242">
        <f t="shared" si="39"/>
        <v>6</v>
      </c>
      <c r="J1242" t="str" cm="1">
        <f t="array" ref="J1242">INDEX($A$2:$A$7,I1242)</f>
        <v>Segment 6- Self-Conscious Male</v>
      </c>
    </row>
    <row r="1243" spans="1:10" x14ac:dyDescent="0.25">
      <c r="A1243" s="1">
        <f>'batch tool'!A1237</f>
        <v>0</v>
      </c>
      <c r="B1243" s="7">
        <f>SUMPRODUCT($C$2:$X$2,'batch tool'!$B1237:$W1237)+$Y$2</f>
        <v>-49.12272534143483</v>
      </c>
      <c r="C1243" s="7">
        <f>SUMPRODUCT($C$3:$X$3,'batch tool'!$B1237:$W1237)+$Y$3</f>
        <v>-36.514029388465531</v>
      </c>
      <c r="D1243" s="7">
        <f>SUMPRODUCT($C$4:$X$4,'batch tool'!$B1237:$W1237)+$Y$4</f>
        <v>-44.639843068043824</v>
      </c>
      <c r="E1243" s="7">
        <f>SUMPRODUCT($C$5:$X$5,'batch tool'!$B1237:$W1237)+$Y$5</f>
        <v>-51.578889182477603</v>
      </c>
      <c r="F1243" s="7">
        <f>SUMPRODUCT($C$6:$X$6,'batch tool'!$B1237:$W1237)+$Y$6</f>
        <v>-47.741473633885199</v>
      </c>
      <c r="G1243" s="7">
        <f>SUMPRODUCT($C$7:$X$7,'batch tool'!$B1237:$W1237)+$Y$7</f>
        <v>-19.739516238059196</v>
      </c>
      <c r="H1243" s="7">
        <f t="shared" si="38"/>
        <v>-19.739516238059196</v>
      </c>
      <c r="I1243">
        <f t="shared" si="39"/>
        <v>6</v>
      </c>
      <c r="J1243" t="str" cm="1">
        <f t="array" ref="J1243">INDEX($A$2:$A$7,I1243)</f>
        <v>Segment 6- Self-Conscious Male</v>
      </c>
    </row>
    <row r="1244" spans="1:10" x14ac:dyDescent="0.25">
      <c r="A1244" s="1">
        <f>'batch tool'!A1238</f>
        <v>0</v>
      </c>
      <c r="B1244" s="7">
        <f>SUMPRODUCT($C$2:$X$2,'batch tool'!$B1238:$W1238)+$Y$2</f>
        <v>-49.12272534143483</v>
      </c>
      <c r="C1244" s="7">
        <f>SUMPRODUCT($C$3:$X$3,'batch tool'!$B1238:$W1238)+$Y$3</f>
        <v>-36.514029388465531</v>
      </c>
      <c r="D1244" s="7">
        <f>SUMPRODUCT($C$4:$X$4,'batch tool'!$B1238:$W1238)+$Y$4</f>
        <v>-44.639843068043824</v>
      </c>
      <c r="E1244" s="7">
        <f>SUMPRODUCT($C$5:$X$5,'batch tool'!$B1238:$W1238)+$Y$5</f>
        <v>-51.578889182477603</v>
      </c>
      <c r="F1244" s="7">
        <f>SUMPRODUCT($C$6:$X$6,'batch tool'!$B1238:$W1238)+$Y$6</f>
        <v>-47.741473633885199</v>
      </c>
      <c r="G1244" s="7">
        <f>SUMPRODUCT($C$7:$X$7,'batch tool'!$B1238:$W1238)+$Y$7</f>
        <v>-19.739516238059196</v>
      </c>
      <c r="H1244" s="7">
        <f t="shared" si="38"/>
        <v>-19.739516238059196</v>
      </c>
      <c r="I1244">
        <f t="shared" si="39"/>
        <v>6</v>
      </c>
      <c r="J1244" t="str" cm="1">
        <f t="array" ref="J1244">INDEX($A$2:$A$7,I1244)</f>
        <v>Segment 6- Self-Conscious Male</v>
      </c>
    </row>
    <row r="1245" spans="1:10" x14ac:dyDescent="0.25">
      <c r="A1245" s="1">
        <f>'batch tool'!A1239</f>
        <v>0</v>
      </c>
      <c r="B1245" s="7">
        <f>SUMPRODUCT($C$2:$X$2,'batch tool'!$B1239:$W1239)+$Y$2</f>
        <v>-49.12272534143483</v>
      </c>
      <c r="C1245" s="7">
        <f>SUMPRODUCT($C$3:$X$3,'batch tool'!$B1239:$W1239)+$Y$3</f>
        <v>-36.514029388465531</v>
      </c>
      <c r="D1245" s="7">
        <f>SUMPRODUCT($C$4:$X$4,'batch tool'!$B1239:$W1239)+$Y$4</f>
        <v>-44.639843068043824</v>
      </c>
      <c r="E1245" s="7">
        <f>SUMPRODUCT($C$5:$X$5,'batch tool'!$B1239:$W1239)+$Y$5</f>
        <v>-51.578889182477603</v>
      </c>
      <c r="F1245" s="7">
        <f>SUMPRODUCT($C$6:$X$6,'batch tool'!$B1239:$W1239)+$Y$6</f>
        <v>-47.741473633885199</v>
      </c>
      <c r="G1245" s="7">
        <f>SUMPRODUCT($C$7:$X$7,'batch tool'!$B1239:$W1239)+$Y$7</f>
        <v>-19.739516238059196</v>
      </c>
      <c r="H1245" s="7">
        <f t="shared" si="38"/>
        <v>-19.739516238059196</v>
      </c>
      <c r="I1245">
        <f t="shared" si="39"/>
        <v>6</v>
      </c>
      <c r="J1245" t="str" cm="1">
        <f t="array" ref="J1245">INDEX($A$2:$A$7,I1245)</f>
        <v>Segment 6- Self-Conscious Male</v>
      </c>
    </row>
    <row r="1246" spans="1:10" x14ac:dyDescent="0.25">
      <c r="A1246" s="1">
        <f>'batch tool'!A1240</f>
        <v>0</v>
      </c>
      <c r="B1246" s="7">
        <f>SUMPRODUCT($C$2:$X$2,'batch tool'!$B1240:$W1240)+$Y$2</f>
        <v>-49.12272534143483</v>
      </c>
      <c r="C1246" s="7">
        <f>SUMPRODUCT($C$3:$X$3,'batch tool'!$B1240:$W1240)+$Y$3</f>
        <v>-36.514029388465531</v>
      </c>
      <c r="D1246" s="7">
        <f>SUMPRODUCT($C$4:$X$4,'batch tool'!$B1240:$W1240)+$Y$4</f>
        <v>-44.639843068043824</v>
      </c>
      <c r="E1246" s="7">
        <f>SUMPRODUCT($C$5:$X$5,'batch tool'!$B1240:$W1240)+$Y$5</f>
        <v>-51.578889182477603</v>
      </c>
      <c r="F1246" s="7">
        <f>SUMPRODUCT($C$6:$X$6,'batch tool'!$B1240:$W1240)+$Y$6</f>
        <v>-47.741473633885199</v>
      </c>
      <c r="G1246" s="7">
        <f>SUMPRODUCT($C$7:$X$7,'batch tool'!$B1240:$W1240)+$Y$7</f>
        <v>-19.739516238059196</v>
      </c>
      <c r="H1246" s="7">
        <f t="shared" si="38"/>
        <v>-19.739516238059196</v>
      </c>
      <c r="I1246">
        <f t="shared" si="39"/>
        <v>6</v>
      </c>
      <c r="J1246" t="str" cm="1">
        <f t="array" ref="J1246">INDEX($A$2:$A$7,I1246)</f>
        <v>Segment 6- Self-Conscious Male</v>
      </c>
    </row>
    <row r="1247" spans="1:10" x14ac:dyDescent="0.25">
      <c r="A1247" s="1">
        <f>'batch tool'!A1241</f>
        <v>0</v>
      </c>
      <c r="B1247" s="7">
        <f>SUMPRODUCT($C$2:$X$2,'batch tool'!$B1241:$W1241)+$Y$2</f>
        <v>-49.12272534143483</v>
      </c>
      <c r="C1247" s="7">
        <f>SUMPRODUCT($C$3:$X$3,'batch tool'!$B1241:$W1241)+$Y$3</f>
        <v>-36.514029388465531</v>
      </c>
      <c r="D1247" s="7">
        <f>SUMPRODUCT($C$4:$X$4,'batch tool'!$B1241:$W1241)+$Y$4</f>
        <v>-44.639843068043824</v>
      </c>
      <c r="E1247" s="7">
        <f>SUMPRODUCT($C$5:$X$5,'batch tool'!$B1241:$W1241)+$Y$5</f>
        <v>-51.578889182477603</v>
      </c>
      <c r="F1247" s="7">
        <f>SUMPRODUCT($C$6:$X$6,'batch tool'!$B1241:$W1241)+$Y$6</f>
        <v>-47.741473633885199</v>
      </c>
      <c r="G1247" s="7">
        <f>SUMPRODUCT($C$7:$X$7,'batch tool'!$B1241:$W1241)+$Y$7</f>
        <v>-19.739516238059196</v>
      </c>
      <c r="H1247" s="7">
        <f t="shared" si="38"/>
        <v>-19.739516238059196</v>
      </c>
      <c r="I1247">
        <f t="shared" si="39"/>
        <v>6</v>
      </c>
      <c r="J1247" t="str" cm="1">
        <f t="array" ref="J1247">INDEX($A$2:$A$7,I1247)</f>
        <v>Segment 6- Self-Conscious Male</v>
      </c>
    </row>
    <row r="1248" spans="1:10" x14ac:dyDescent="0.25">
      <c r="A1248" s="1">
        <f>'batch tool'!A1242</f>
        <v>0</v>
      </c>
      <c r="B1248" s="7">
        <f>SUMPRODUCT($C$2:$X$2,'batch tool'!$B1242:$W1242)+$Y$2</f>
        <v>-49.12272534143483</v>
      </c>
      <c r="C1248" s="7">
        <f>SUMPRODUCT($C$3:$X$3,'batch tool'!$B1242:$W1242)+$Y$3</f>
        <v>-36.514029388465531</v>
      </c>
      <c r="D1248" s="7">
        <f>SUMPRODUCT($C$4:$X$4,'batch tool'!$B1242:$W1242)+$Y$4</f>
        <v>-44.639843068043824</v>
      </c>
      <c r="E1248" s="7">
        <f>SUMPRODUCT($C$5:$X$5,'batch tool'!$B1242:$W1242)+$Y$5</f>
        <v>-51.578889182477603</v>
      </c>
      <c r="F1248" s="7">
        <f>SUMPRODUCT($C$6:$X$6,'batch tool'!$B1242:$W1242)+$Y$6</f>
        <v>-47.741473633885199</v>
      </c>
      <c r="G1248" s="7">
        <f>SUMPRODUCT($C$7:$X$7,'batch tool'!$B1242:$W1242)+$Y$7</f>
        <v>-19.739516238059196</v>
      </c>
      <c r="H1248" s="7">
        <f t="shared" si="38"/>
        <v>-19.739516238059196</v>
      </c>
      <c r="I1248">
        <f t="shared" si="39"/>
        <v>6</v>
      </c>
      <c r="J1248" t="str" cm="1">
        <f t="array" ref="J1248">INDEX($A$2:$A$7,I1248)</f>
        <v>Segment 6- Self-Conscious Male</v>
      </c>
    </row>
    <row r="1249" spans="1:10" x14ac:dyDescent="0.25">
      <c r="A1249" s="1">
        <f>'batch tool'!A1243</f>
        <v>0</v>
      </c>
      <c r="B1249" s="7">
        <f>SUMPRODUCT($C$2:$X$2,'batch tool'!$B1243:$W1243)+$Y$2</f>
        <v>-49.12272534143483</v>
      </c>
      <c r="C1249" s="7">
        <f>SUMPRODUCT($C$3:$X$3,'batch tool'!$B1243:$W1243)+$Y$3</f>
        <v>-36.514029388465531</v>
      </c>
      <c r="D1249" s="7">
        <f>SUMPRODUCT($C$4:$X$4,'batch tool'!$B1243:$W1243)+$Y$4</f>
        <v>-44.639843068043824</v>
      </c>
      <c r="E1249" s="7">
        <f>SUMPRODUCT($C$5:$X$5,'batch tool'!$B1243:$W1243)+$Y$5</f>
        <v>-51.578889182477603</v>
      </c>
      <c r="F1249" s="7">
        <f>SUMPRODUCT($C$6:$X$6,'batch tool'!$B1243:$W1243)+$Y$6</f>
        <v>-47.741473633885199</v>
      </c>
      <c r="G1249" s="7">
        <f>SUMPRODUCT($C$7:$X$7,'batch tool'!$B1243:$W1243)+$Y$7</f>
        <v>-19.739516238059196</v>
      </c>
      <c r="H1249" s="7">
        <f t="shared" si="38"/>
        <v>-19.739516238059196</v>
      </c>
      <c r="I1249">
        <f t="shared" si="39"/>
        <v>6</v>
      </c>
      <c r="J1249" t="str" cm="1">
        <f t="array" ref="J1249">INDEX($A$2:$A$7,I1249)</f>
        <v>Segment 6- Self-Conscious Male</v>
      </c>
    </row>
    <row r="1250" spans="1:10" x14ac:dyDescent="0.25">
      <c r="A1250" s="1">
        <f>'batch tool'!A1244</f>
        <v>0</v>
      </c>
      <c r="B1250" s="7">
        <f>SUMPRODUCT($C$2:$X$2,'batch tool'!$B1244:$W1244)+$Y$2</f>
        <v>-49.12272534143483</v>
      </c>
      <c r="C1250" s="7">
        <f>SUMPRODUCT($C$3:$X$3,'batch tool'!$B1244:$W1244)+$Y$3</f>
        <v>-36.514029388465531</v>
      </c>
      <c r="D1250" s="7">
        <f>SUMPRODUCT($C$4:$X$4,'batch tool'!$B1244:$W1244)+$Y$4</f>
        <v>-44.639843068043824</v>
      </c>
      <c r="E1250" s="7">
        <f>SUMPRODUCT($C$5:$X$5,'batch tool'!$B1244:$W1244)+$Y$5</f>
        <v>-51.578889182477603</v>
      </c>
      <c r="F1250" s="7">
        <f>SUMPRODUCT($C$6:$X$6,'batch tool'!$B1244:$W1244)+$Y$6</f>
        <v>-47.741473633885199</v>
      </c>
      <c r="G1250" s="7">
        <f>SUMPRODUCT($C$7:$X$7,'batch tool'!$B1244:$W1244)+$Y$7</f>
        <v>-19.739516238059196</v>
      </c>
      <c r="H1250" s="7">
        <f t="shared" si="38"/>
        <v>-19.739516238059196</v>
      </c>
      <c r="I1250">
        <f t="shared" si="39"/>
        <v>6</v>
      </c>
      <c r="J1250" t="str" cm="1">
        <f t="array" ref="J1250">INDEX($A$2:$A$7,I1250)</f>
        <v>Segment 6- Self-Conscious Male</v>
      </c>
    </row>
    <row r="1251" spans="1:10" x14ac:dyDescent="0.25">
      <c r="A1251" s="1">
        <f>'batch tool'!A1245</f>
        <v>0</v>
      </c>
      <c r="B1251" s="7">
        <f>SUMPRODUCT($C$2:$X$2,'batch tool'!$B1245:$W1245)+$Y$2</f>
        <v>-49.12272534143483</v>
      </c>
      <c r="C1251" s="7">
        <f>SUMPRODUCT($C$3:$X$3,'batch tool'!$B1245:$W1245)+$Y$3</f>
        <v>-36.514029388465531</v>
      </c>
      <c r="D1251" s="7">
        <f>SUMPRODUCT($C$4:$X$4,'batch tool'!$B1245:$W1245)+$Y$4</f>
        <v>-44.639843068043824</v>
      </c>
      <c r="E1251" s="7">
        <f>SUMPRODUCT($C$5:$X$5,'batch tool'!$B1245:$W1245)+$Y$5</f>
        <v>-51.578889182477603</v>
      </c>
      <c r="F1251" s="7">
        <f>SUMPRODUCT($C$6:$X$6,'batch tool'!$B1245:$W1245)+$Y$6</f>
        <v>-47.741473633885199</v>
      </c>
      <c r="G1251" s="7">
        <f>SUMPRODUCT($C$7:$X$7,'batch tool'!$B1245:$W1245)+$Y$7</f>
        <v>-19.739516238059196</v>
      </c>
      <c r="H1251" s="7">
        <f t="shared" si="38"/>
        <v>-19.739516238059196</v>
      </c>
      <c r="I1251">
        <f t="shared" si="39"/>
        <v>6</v>
      </c>
      <c r="J1251" t="str" cm="1">
        <f t="array" ref="J1251">INDEX($A$2:$A$7,I1251)</f>
        <v>Segment 6- Self-Conscious Male</v>
      </c>
    </row>
    <row r="1252" spans="1:10" x14ac:dyDescent="0.25">
      <c r="A1252" s="1">
        <f>'batch tool'!A1246</f>
        <v>0</v>
      </c>
      <c r="B1252" s="7">
        <f>SUMPRODUCT($C$2:$X$2,'batch tool'!$B1246:$W1246)+$Y$2</f>
        <v>-49.12272534143483</v>
      </c>
      <c r="C1252" s="7">
        <f>SUMPRODUCT($C$3:$X$3,'batch tool'!$B1246:$W1246)+$Y$3</f>
        <v>-36.514029388465531</v>
      </c>
      <c r="D1252" s="7">
        <f>SUMPRODUCT($C$4:$X$4,'batch tool'!$B1246:$W1246)+$Y$4</f>
        <v>-44.639843068043824</v>
      </c>
      <c r="E1252" s="7">
        <f>SUMPRODUCT($C$5:$X$5,'batch tool'!$B1246:$W1246)+$Y$5</f>
        <v>-51.578889182477603</v>
      </c>
      <c r="F1252" s="7">
        <f>SUMPRODUCT($C$6:$X$6,'batch tool'!$B1246:$W1246)+$Y$6</f>
        <v>-47.741473633885199</v>
      </c>
      <c r="G1252" s="7">
        <f>SUMPRODUCT($C$7:$X$7,'batch tool'!$B1246:$W1246)+$Y$7</f>
        <v>-19.739516238059196</v>
      </c>
      <c r="H1252" s="7">
        <f t="shared" si="38"/>
        <v>-19.739516238059196</v>
      </c>
      <c r="I1252">
        <f t="shared" si="39"/>
        <v>6</v>
      </c>
      <c r="J1252" t="str" cm="1">
        <f t="array" ref="J1252">INDEX($A$2:$A$7,I1252)</f>
        <v>Segment 6- Self-Conscious Male</v>
      </c>
    </row>
    <row r="1253" spans="1:10" x14ac:dyDescent="0.25">
      <c r="A1253" s="1">
        <f>'batch tool'!A1247</f>
        <v>0</v>
      </c>
      <c r="B1253" s="7">
        <f>SUMPRODUCT($C$2:$X$2,'batch tool'!$B1247:$W1247)+$Y$2</f>
        <v>-49.12272534143483</v>
      </c>
      <c r="C1253" s="7">
        <f>SUMPRODUCT($C$3:$X$3,'batch tool'!$B1247:$W1247)+$Y$3</f>
        <v>-36.514029388465531</v>
      </c>
      <c r="D1253" s="7">
        <f>SUMPRODUCT($C$4:$X$4,'batch tool'!$B1247:$W1247)+$Y$4</f>
        <v>-44.639843068043824</v>
      </c>
      <c r="E1253" s="7">
        <f>SUMPRODUCT($C$5:$X$5,'batch tool'!$B1247:$W1247)+$Y$5</f>
        <v>-51.578889182477603</v>
      </c>
      <c r="F1253" s="7">
        <f>SUMPRODUCT($C$6:$X$6,'batch tool'!$B1247:$W1247)+$Y$6</f>
        <v>-47.741473633885199</v>
      </c>
      <c r="G1253" s="7">
        <f>SUMPRODUCT($C$7:$X$7,'batch tool'!$B1247:$W1247)+$Y$7</f>
        <v>-19.739516238059196</v>
      </c>
      <c r="H1253" s="7">
        <f t="shared" si="38"/>
        <v>-19.739516238059196</v>
      </c>
      <c r="I1253">
        <f t="shared" si="39"/>
        <v>6</v>
      </c>
      <c r="J1253" t="str" cm="1">
        <f t="array" ref="J1253">INDEX($A$2:$A$7,I1253)</f>
        <v>Segment 6- Self-Conscious Male</v>
      </c>
    </row>
    <row r="1254" spans="1:10" x14ac:dyDescent="0.25">
      <c r="A1254" s="1">
        <f>'batch tool'!A1248</f>
        <v>0</v>
      </c>
      <c r="B1254" s="7">
        <f>SUMPRODUCT($C$2:$X$2,'batch tool'!$B1248:$W1248)+$Y$2</f>
        <v>-49.12272534143483</v>
      </c>
      <c r="C1254" s="7">
        <f>SUMPRODUCT($C$3:$X$3,'batch tool'!$B1248:$W1248)+$Y$3</f>
        <v>-36.514029388465531</v>
      </c>
      <c r="D1254" s="7">
        <f>SUMPRODUCT($C$4:$X$4,'batch tool'!$B1248:$W1248)+$Y$4</f>
        <v>-44.639843068043824</v>
      </c>
      <c r="E1254" s="7">
        <f>SUMPRODUCT($C$5:$X$5,'batch tool'!$B1248:$W1248)+$Y$5</f>
        <v>-51.578889182477603</v>
      </c>
      <c r="F1254" s="7">
        <f>SUMPRODUCT($C$6:$X$6,'batch tool'!$B1248:$W1248)+$Y$6</f>
        <v>-47.741473633885199</v>
      </c>
      <c r="G1254" s="7">
        <f>SUMPRODUCT($C$7:$X$7,'batch tool'!$B1248:$W1248)+$Y$7</f>
        <v>-19.739516238059196</v>
      </c>
      <c r="H1254" s="7">
        <f t="shared" si="38"/>
        <v>-19.739516238059196</v>
      </c>
      <c r="I1254">
        <f t="shared" si="39"/>
        <v>6</v>
      </c>
      <c r="J1254" t="str" cm="1">
        <f t="array" ref="J1254">INDEX($A$2:$A$7,I1254)</f>
        <v>Segment 6- Self-Conscious Male</v>
      </c>
    </row>
    <row r="1255" spans="1:10" x14ac:dyDescent="0.25">
      <c r="A1255" s="1">
        <f>'batch tool'!A1249</f>
        <v>0</v>
      </c>
      <c r="B1255" s="7">
        <f>SUMPRODUCT($C$2:$X$2,'batch tool'!$B1249:$W1249)+$Y$2</f>
        <v>-49.12272534143483</v>
      </c>
      <c r="C1255" s="7">
        <f>SUMPRODUCT($C$3:$X$3,'batch tool'!$B1249:$W1249)+$Y$3</f>
        <v>-36.514029388465531</v>
      </c>
      <c r="D1255" s="7">
        <f>SUMPRODUCT($C$4:$X$4,'batch tool'!$B1249:$W1249)+$Y$4</f>
        <v>-44.639843068043824</v>
      </c>
      <c r="E1255" s="7">
        <f>SUMPRODUCT($C$5:$X$5,'batch tool'!$B1249:$W1249)+$Y$5</f>
        <v>-51.578889182477603</v>
      </c>
      <c r="F1255" s="7">
        <f>SUMPRODUCT($C$6:$X$6,'batch tool'!$B1249:$W1249)+$Y$6</f>
        <v>-47.741473633885199</v>
      </c>
      <c r="G1255" s="7">
        <f>SUMPRODUCT($C$7:$X$7,'batch tool'!$B1249:$W1249)+$Y$7</f>
        <v>-19.739516238059196</v>
      </c>
      <c r="H1255" s="7">
        <f t="shared" si="38"/>
        <v>-19.739516238059196</v>
      </c>
      <c r="I1255">
        <f t="shared" si="39"/>
        <v>6</v>
      </c>
      <c r="J1255" t="str" cm="1">
        <f t="array" ref="J1255">INDEX($A$2:$A$7,I1255)</f>
        <v>Segment 6- Self-Conscious Male</v>
      </c>
    </row>
    <row r="1256" spans="1:10" x14ac:dyDescent="0.25">
      <c r="A1256" s="1">
        <f>'batch tool'!A1250</f>
        <v>0</v>
      </c>
      <c r="B1256" s="7">
        <f>SUMPRODUCT($C$2:$X$2,'batch tool'!$B1250:$W1250)+$Y$2</f>
        <v>-49.12272534143483</v>
      </c>
      <c r="C1256" s="7">
        <f>SUMPRODUCT($C$3:$X$3,'batch tool'!$B1250:$W1250)+$Y$3</f>
        <v>-36.514029388465531</v>
      </c>
      <c r="D1256" s="7">
        <f>SUMPRODUCT($C$4:$X$4,'batch tool'!$B1250:$W1250)+$Y$4</f>
        <v>-44.639843068043824</v>
      </c>
      <c r="E1256" s="7">
        <f>SUMPRODUCT($C$5:$X$5,'batch tool'!$B1250:$W1250)+$Y$5</f>
        <v>-51.578889182477603</v>
      </c>
      <c r="F1256" s="7">
        <f>SUMPRODUCT($C$6:$X$6,'batch tool'!$B1250:$W1250)+$Y$6</f>
        <v>-47.741473633885199</v>
      </c>
      <c r="G1256" s="7">
        <f>SUMPRODUCT($C$7:$X$7,'batch tool'!$B1250:$W1250)+$Y$7</f>
        <v>-19.739516238059196</v>
      </c>
      <c r="H1256" s="7">
        <f t="shared" si="38"/>
        <v>-19.739516238059196</v>
      </c>
      <c r="I1256">
        <f t="shared" si="39"/>
        <v>6</v>
      </c>
      <c r="J1256" t="str" cm="1">
        <f t="array" ref="J1256">INDEX($A$2:$A$7,I1256)</f>
        <v>Segment 6- Self-Conscious Male</v>
      </c>
    </row>
    <row r="1257" spans="1:10" x14ac:dyDescent="0.25">
      <c r="A1257" s="1">
        <f>'batch tool'!A1251</f>
        <v>0</v>
      </c>
      <c r="B1257" s="7">
        <f>SUMPRODUCT($C$2:$X$2,'batch tool'!$B1251:$W1251)+$Y$2</f>
        <v>-49.12272534143483</v>
      </c>
      <c r="C1257" s="7">
        <f>SUMPRODUCT($C$3:$X$3,'batch tool'!$B1251:$W1251)+$Y$3</f>
        <v>-36.514029388465531</v>
      </c>
      <c r="D1257" s="7">
        <f>SUMPRODUCT($C$4:$X$4,'batch tool'!$B1251:$W1251)+$Y$4</f>
        <v>-44.639843068043824</v>
      </c>
      <c r="E1257" s="7">
        <f>SUMPRODUCT($C$5:$X$5,'batch tool'!$B1251:$W1251)+$Y$5</f>
        <v>-51.578889182477603</v>
      </c>
      <c r="F1257" s="7">
        <f>SUMPRODUCT($C$6:$X$6,'batch tool'!$B1251:$W1251)+$Y$6</f>
        <v>-47.741473633885199</v>
      </c>
      <c r="G1257" s="7">
        <f>SUMPRODUCT($C$7:$X$7,'batch tool'!$B1251:$W1251)+$Y$7</f>
        <v>-19.739516238059196</v>
      </c>
      <c r="H1257" s="7">
        <f t="shared" si="38"/>
        <v>-19.739516238059196</v>
      </c>
      <c r="I1257">
        <f t="shared" si="39"/>
        <v>6</v>
      </c>
      <c r="J1257" t="str" cm="1">
        <f t="array" ref="J1257">INDEX($A$2:$A$7,I1257)</f>
        <v>Segment 6- Self-Conscious Male</v>
      </c>
    </row>
    <row r="1258" spans="1:10" x14ac:dyDescent="0.25">
      <c r="A1258" s="1">
        <f>'batch tool'!A1252</f>
        <v>0</v>
      </c>
      <c r="B1258" s="7">
        <f>SUMPRODUCT($C$2:$X$2,'batch tool'!$B1252:$W1252)+$Y$2</f>
        <v>-49.12272534143483</v>
      </c>
      <c r="C1258" s="7">
        <f>SUMPRODUCT($C$3:$X$3,'batch tool'!$B1252:$W1252)+$Y$3</f>
        <v>-36.514029388465531</v>
      </c>
      <c r="D1258" s="7">
        <f>SUMPRODUCT($C$4:$X$4,'batch tool'!$B1252:$W1252)+$Y$4</f>
        <v>-44.639843068043824</v>
      </c>
      <c r="E1258" s="7">
        <f>SUMPRODUCT($C$5:$X$5,'batch tool'!$B1252:$W1252)+$Y$5</f>
        <v>-51.578889182477603</v>
      </c>
      <c r="F1258" s="7">
        <f>SUMPRODUCT($C$6:$X$6,'batch tool'!$B1252:$W1252)+$Y$6</f>
        <v>-47.741473633885199</v>
      </c>
      <c r="G1258" s="7">
        <f>SUMPRODUCT($C$7:$X$7,'batch tool'!$B1252:$W1252)+$Y$7</f>
        <v>-19.739516238059196</v>
      </c>
      <c r="H1258" s="7">
        <f t="shared" si="38"/>
        <v>-19.739516238059196</v>
      </c>
      <c r="I1258">
        <f t="shared" si="39"/>
        <v>6</v>
      </c>
      <c r="J1258" t="str" cm="1">
        <f t="array" ref="J1258">INDEX($A$2:$A$7,I1258)</f>
        <v>Segment 6- Self-Conscious Male</v>
      </c>
    </row>
    <row r="1259" spans="1:10" x14ac:dyDescent="0.25">
      <c r="A1259" s="1">
        <f>'batch tool'!A1253</f>
        <v>0</v>
      </c>
      <c r="B1259" s="7">
        <f>SUMPRODUCT($C$2:$X$2,'batch tool'!$B1253:$W1253)+$Y$2</f>
        <v>-49.12272534143483</v>
      </c>
      <c r="C1259" s="7">
        <f>SUMPRODUCT($C$3:$X$3,'batch tool'!$B1253:$W1253)+$Y$3</f>
        <v>-36.514029388465531</v>
      </c>
      <c r="D1259" s="7">
        <f>SUMPRODUCT($C$4:$X$4,'batch tool'!$B1253:$W1253)+$Y$4</f>
        <v>-44.639843068043824</v>
      </c>
      <c r="E1259" s="7">
        <f>SUMPRODUCT($C$5:$X$5,'batch tool'!$B1253:$W1253)+$Y$5</f>
        <v>-51.578889182477603</v>
      </c>
      <c r="F1259" s="7">
        <f>SUMPRODUCT($C$6:$X$6,'batch tool'!$B1253:$W1253)+$Y$6</f>
        <v>-47.741473633885199</v>
      </c>
      <c r="G1259" s="7">
        <f>SUMPRODUCT($C$7:$X$7,'batch tool'!$B1253:$W1253)+$Y$7</f>
        <v>-19.739516238059196</v>
      </c>
      <c r="H1259" s="7">
        <f t="shared" si="38"/>
        <v>-19.739516238059196</v>
      </c>
      <c r="I1259">
        <f t="shared" si="39"/>
        <v>6</v>
      </c>
      <c r="J1259" t="str" cm="1">
        <f t="array" ref="J1259">INDEX($A$2:$A$7,I1259)</f>
        <v>Segment 6- Self-Conscious Male</v>
      </c>
    </row>
    <row r="1260" spans="1:10" x14ac:dyDescent="0.25">
      <c r="A1260" s="1">
        <f>'batch tool'!A1254</f>
        <v>0</v>
      </c>
      <c r="B1260" s="7">
        <f>SUMPRODUCT($C$2:$X$2,'batch tool'!$B1254:$W1254)+$Y$2</f>
        <v>-49.12272534143483</v>
      </c>
      <c r="C1260" s="7">
        <f>SUMPRODUCT($C$3:$X$3,'batch tool'!$B1254:$W1254)+$Y$3</f>
        <v>-36.514029388465531</v>
      </c>
      <c r="D1260" s="7">
        <f>SUMPRODUCT($C$4:$X$4,'batch tool'!$B1254:$W1254)+$Y$4</f>
        <v>-44.639843068043824</v>
      </c>
      <c r="E1260" s="7">
        <f>SUMPRODUCT($C$5:$X$5,'batch tool'!$B1254:$W1254)+$Y$5</f>
        <v>-51.578889182477603</v>
      </c>
      <c r="F1260" s="7">
        <f>SUMPRODUCT($C$6:$X$6,'batch tool'!$B1254:$W1254)+$Y$6</f>
        <v>-47.741473633885199</v>
      </c>
      <c r="G1260" s="7">
        <f>SUMPRODUCT($C$7:$X$7,'batch tool'!$B1254:$W1254)+$Y$7</f>
        <v>-19.739516238059196</v>
      </c>
      <c r="H1260" s="7">
        <f t="shared" si="38"/>
        <v>-19.739516238059196</v>
      </c>
      <c r="I1260">
        <f t="shared" si="39"/>
        <v>6</v>
      </c>
      <c r="J1260" t="str" cm="1">
        <f t="array" ref="J1260">INDEX($A$2:$A$7,I1260)</f>
        <v>Segment 6- Self-Conscious Male</v>
      </c>
    </row>
    <row r="1261" spans="1:10" x14ac:dyDescent="0.25">
      <c r="A1261" s="1">
        <f>'batch tool'!A1255</f>
        <v>0</v>
      </c>
      <c r="B1261" s="7">
        <f>SUMPRODUCT($C$2:$X$2,'batch tool'!$B1255:$W1255)+$Y$2</f>
        <v>-49.12272534143483</v>
      </c>
      <c r="C1261" s="7">
        <f>SUMPRODUCT($C$3:$X$3,'batch tool'!$B1255:$W1255)+$Y$3</f>
        <v>-36.514029388465531</v>
      </c>
      <c r="D1261" s="7">
        <f>SUMPRODUCT($C$4:$X$4,'batch tool'!$B1255:$W1255)+$Y$4</f>
        <v>-44.639843068043824</v>
      </c>
      <c r="E1261" s="7">
        <f>SUMPRODUCT($C$5:$X$5,'batch tool'!$B1255:$W1255)+$Y$5</f>
        <v>-51.578889182477603</v>
      </c>
      <c r="F1261" s="7">
        <f>SUMPRODUCT($C$6:$X$6,'batch tool'!$B1255:$W1255)+$Y$6</f>
        <v>-47.741473633885199</v>
      </c>
      <c r="G1261" s="7">
        <f>SUMPRODUCT($C$7:$X$7,'batch tool'!$B1255:$W1255)+$Y$7</f>
        <v>-19.739516238059196</v>
      </c>
      <c r="H1261" s="7">
        <f t="shared" si="38"/>
        <v>-19.739516238059196</v>
      </c>
      <c r="I1261">
        <f t="shared" si="39"/>
        <v>6</v>
      </c>
      <c r="J1261" t="str" cm="1">
        <f t="array" ref="J1261">INDEX($A$2:$A$7,I1261)</f>
        <v>Segment 6- Self-Conscious Male</v>
      </c>
    </row>
    <row r="1262" spans="1:10" x14ac:dyDescent="0.25">
      <c r="A1262" s="1">
        <f>'batch tool'!A1256</f>
        <v>0</v>
      </c>
      <c r="B1262" s="7">
        <f>SUMPRODUCT($C$2:$X$2,'batch tool'!$B1256:$W1256)+$Y$2</f>
        <v>-49.12272534143483</v>
      </c>
      <c r="C1262" s="7">
        <f>SUMPRODUCT($C$3:$X$3,'batch tool'!$B1256:$W1256)+$Y$3</f>
        <v>-36.514029388465531</v>
      </c>
      <c r="D1262" s="7">
        <f>SUMPRODUCT($C$4:$X$4,'batch tool'!$B1256:$W1256)+$Y$4</f>
        <v>-44.639843068043824</v>
      </c>
      <c r="E1262" s="7">
        <f>SUMPRODUCT($C$5:$X$5,'batch tool'!$B1256:$W1256)+$Y$5</f>
        <v>-51.578889182477603</v>
      </c>
      <c r="F1262" s="7">
        <f>SUMPRODUCT($C$6:$X$6,'batch tool'!$B1256:$W1256)+$Y$6</f>
        <v>-47.741473633885199</v>
      </c>
      <c r="G1262" s="7">
        <f>SUMPRODUCT($C$7:$X$7,'batch tool'!$B1256:$W1256)+$Y$7</f>
        <v>-19.739516238059196</v>
      </c>
      <c r="H1262" s="7">
        <f t="shared" si="38"/>
        <v>-19.739516238059196</v>
      </c>
      <c r="I1262">
        <f t="shared" si="39"/>
        <v>6</v>
      </c>
      <c r="J1262" t="str" cm="1">
        <f t="array" ref="J1262">INDEX($A$2:$A$7,I1262)</f>
        <v>Segment 6- Self-Conscious Male</v>
      </c>
    </row>
    <row r="1263" spans="1:10" x14ac:dyDescent="0.25">
      <c r="A1263" s="1">
        <f>'batch tool'!A1257</f>
        <v>0</v>
      </c>
      <c r="B1263" s="7">
        <f>SUMPRODUCT($C$2:$X$2,'batch tool'!$B1257:$W1257)+$Y$2</f>
        <v>-49.12272534143483</v>
      </c>
      <c r="C1263" s="7">
        <f>SUMPRODUCT($C$3:$X$3,'batch tool'!$B1257:$W1257)+$Y$3</f>
        <v>-36.514029388465531</v>
      </c>
      <c r="D1263" s="7">
        <f>SUMPRODUCT($C$4:$X$4,'batch tool'!$B1257:$W1257)+$Y$4</f>
        <v>-44.639843068043824</v>
      </c>
      <c r="E1263" s="7">
        <f>SUMPRODUCT($C$5:$X$5,'batch tool'!$B1257:$W1257)+$Y$5</f>
        <v>-51.578889182477603</v>
      </c>
      <c r="F1263" s="7">
        <f>SUMPRODUCT($C$6:$X$6,'batch tool'!$B1257:$W1257)+$Y$6</f>
        <v>-47.741473633885199</v>
      </c>
      <c r="G1263" s="7">
        <f>SUMPRODUCT($C$7:$X$7,'batch tool'!$B1257:$W1257)+$Y$7</f>
        <v>-19.739516238059196</v>
      </c>
      <c r="H1263" s="7">
        <f t="shared" si="38"/>
        <v>-19.739516238059196</v>
      </c>
      <c r="I1263">
        <f t="shared" si="39"/>
        <v>6</v>
      </c>
      <c r="J1263" t="str" cm="1">
        <f t="array" ref="J1263">INDEX($A$2:$A$7,I1263)</f>
        <v>Segment 6- Self-Conscious Male</v>
      </c>
    </row>
    <row r="1264" spans="1:10" x14ac:dyDescent="0.25">
      <c r="A1264" s="1">
        <f>'batch tool'!A1258</f>
        <v>0</v>
      </c>
      <c r="B1264" s="7">
        <f>SUMPRODUCT($C$2:$X$2,'batch tool'!$B1258:$W1258)+$Y$2</f>
        <v>-49.12272534143483</v>
      </c>
      <c r="C1264" s="7">
        <f>SUMPRODUCT($C$3:$X$3,'batch tool'!$B1258:$W1258)+$Y$3</f>
        <v>-36.514029388465531</v>
      </c>
      <c r="D1264" s="7">
        <f>SUMPRODUCT($C$4:$X$4,'batch tool'!$B1258:$W1258)+$Y$4</f>
        <v>-44.639843068043824</v>
      </c>
      <c r="E1264" s="7">
        <f>SUMPRODUCT($C$5:$X$5,'batch tool'!$B1258:$W1258)+$Y$5</f>
        <v>-51.578889182477603</v>
      </c>
      <c r="F1264" s="7">
        <f>SUMPRODUCT($C$6:$X$6,'batch tool'!$B1258:$W1258)+$Y$6</f>
        <v>-47.741473633885199</v>
      </c>
      <c r="G1264" s="7">
        <f>SUMPRODUCT($C$7:$X$7,'batch tool'!$B1258:$W1258)+$Y$7</f>
        <v>-19.739516238059196</v>
      </c>
      <c r="H1264" s="7">
        <f t="shared" si="38"/>
        <v>-19.739516238059196</v>
      </c>
      <c r="I1264">
        <f t="shared" si="39"/>
        <v>6</v>
      </c>
      <c r="J1264" t="str" cm="1">
        <f t="array" ref="J1264">INDEX($A$2:$A$7,I1264)</f>
        <v>Segment 6- Self-Conscious Male</v>
      </c>
    </row>
    <row r="1265" spans="1:10" x14ac:dyDescent="0.25">
      <c r="A1265" s="1">
        <f>'batch tool'!A1259</f>
        <v>0</v>
      </c>
      <c r="B1265" s="7">
        <f>SUMPRODUCT($C$2:$X$2,'batch tool'!$B1259:$W1259)+$Y$2</f>
        <v>-49.12272534143483</v>
      </c>
      <c r="C1265" s="7">
        <f>SUMPRODUCT($C$3:$X$3,'batch tool'!$B1259:$W1259)+$Y$3</f>
        <v>-36.514029388465531</v>
      </c>
      <c r="D1265" s="7">
        <f>SUMPRODUCT($C$4:$X$4,'batch tool'!$B1259:$W1259)+$Y$4</f>
        <v>-44.639843068043824</v>
      </c>
      <c r="E1265" s="7">
        <f>SUMPRODUCT($C$5:$X$5,'batch tool'!$B1259:$W1259)+$Y$5</f>
        <v>-51.578889182477603</v>
      </c>
      <c r="F1265" s="7">
        <f>SUMPRODUCT($C$6:$X$6,'batch tool'!$B1259:$W1259)+$Y$6</f>
        <v>-47.741473633885199</v>
      </c>
      <c r="G1265" s="7">
        <f>SUMPRODUCT($C$7:$X$7,'batch tool'!$B1259:$W1259)+$Y$7</f>
        <v>-19.739516238059196</v>
      </c>
      <c r="H1265" s="7">
        <f t="shared" si="38"/>
        <v>-19.739516238059196</v>
      </c>
      <c r="I1265">
        <f t="shared" si="39"/>
        <v>6</v>
      </c>
      <c r="J1265" t="str" cm="1">
        <f t="array" ref="J1265">INDEX($A$2:$A$7,I1265)</f>
        <v>Segment 6- Self-Conscious Male</v>
      </c>
    </row>
    <row r="1266" spans="1:10" x14ac:dyDescent="0.25">
      <c r="A1266" s="1">
        <f>'batch tool'!A1260</f>
        <v>0</v>
      </c>
      <c r="B1266" s="7">
        <f>SUMPRODUCT($C$2:$X$2,'batch tool'!$B1260:$W1260)+$Y$2</f>
        <v>-49.12272534143483</v>
      </c>
      <c r="C1266" s="7">
        <f>SUMPRODUCT($C$3:$X$3,'batch tool'!$B1260:$W1260)+$Y$3</f>
        <v>-36.514029388465531</v>
      </c>
      <c r="D1266" s="7">
        <f>SUMPRODUCT($C$4:$X$4,'batch tool'!$B1260:$W1260)+$Y$4</f>
        <v>-44.639843068043824</v>
      </c>
      <c r="E1266" s="7">
        <f>SUMPRODUCT($C$5:$X$5,'batch tool'!$B1260:$W1260)+$Y$5</f>
        <v>-51.578889182477603</v>
      </c>
      <c r="F1266" s="7">
        <f>SUMPRODUCT($C$6:$X$6,'batch tool'!$B1260:$W1260)+$Y$6</f>
        <v>-47.741473633885199</v>
      </c>
      <c r="G1266" s="7">
        <f>SUMPRODUCT($C$7:$X$7,'batch tool'!$B1260:$W1260)+$Y$7</f>
        <v>-19.739516238059196</v>
      </c>
      <c r="H1266" s="7">
        <f t="shared" si="38"/>
        <v>-19.739516238059196</v>
      </c>
      <c r="I1266">
        <f t="shared" si="39"/>
        <v>6</v>
      </c>
      <c r="J1266" t="str" cm="1">
        <f t="array" ref="J1266">INDEX($A$2:$A$7,I1266)</f>
        <v>Segment 6- Self-Conscious Male</v>
      </c>
    </row>
    <row r="1267" spans="1:10" x14ac:dyDescent="0.25">
      <c r="A1267" s="1">
        <f>'batch tool'!A1261</f>
        <v>0</v>
      </c>
      <c r="B1267" s="7">
        <f>SUMPRODUCT($C$2:$X$2,'batch tool'!$B1261:$W1261)+$Y$2</f>
        <v>-49.12272534143483</v>
      </c>
      <c r="C1267" s="7">
        <f>SUMPRODUCT($C$3:$X$3,'batch tool'!$B1261:$W1261)+$Y$3</f>
        <v>-36.514029388465531</v>
      </c>
      <c r="D1267" s="7">
        <f>SUMPRODUCT($C$4:$X$4,'batch tool'!$B1261:$W1261)+$Y$4</f>
        <v>-44.639843068043824</v>
      </c>
      <c r="E1267" s="7">
        <f>SUMPRODUCT($C$5:$X$5,'batch tool'!$B1261:$W1261)+$Y$5</f>
        <v>-51.578889182477603</v>
      </c>
      <c r="F1267" s="7">
        <f>SUMPRODUCT($C$6:$X$6,'batch tool'!$B1261:$W1261)+$Y$6</f>
        <v>-47.741473633885199</v>
      </c>
      <c r="G1267" s="7">
        <f>SUMPRODUCT($C$7:$X$7,'batch tool'!$B1261:$W1261)+$Y$7</f>
        <v>-19.739516238059196</v>
      </c>
      <c r="H1267" s="7">
        <f t="shared" si="38"/>
        <v>-19.739516238059196</v>
      </c>
      <c r="I1267">
        <f t="shared" si="39"/>
        <v>6</v>
      </c>
      <c r="J1267" t="str" cm="1">
        <f t="array" ref="J1267">INDEX($A$2:$A$7,I1267)</f>
        <v>Segment 6- Self-Conscious Male</v>
      </c>
    </row>
    <row r="1268" spans="1:10" x14ac:dyDescent="0.25">
      <c r="A1268" s="1">
        <f>'batch tool'!A1262</f>
        <v>0</v>
      </c>
      <c r="B1268" s="7">
        <f>SUMPRODUCT($C$2:$X$2,'batch tool'!$B1262:$W1262)+$Y$2</f>
        <v>-49.12272534143483</v>
      </c>
      <c r="C1268" s="7">
        <f>SUMPRODUCT($C$3:$X$3,'batch tool'!$B1262:$W1262)+$Y$3</f>
        <v>-36.514029388465531</v>
      </c>
      <c r="D1268" s="7">
        <f>SUMPRODUCT($C$4:$X$4,'batch tool'!$B1262:$W1262)+$Y$4</f>
        <v>-44.639843068043824</v>
      </c>
      <c r="E1268" s="7">
        <f>SUMPRODUCT($C$5:$X$5,'batch tool'!$B1262:$W1262)+$Y$5</f>
        <v>-51.578889182477603</v>
      </c>
      <c r="F1268" s="7">
        <f>SUMPRODUCT($C$6:$X$6,'batch tool'!$B1262:$W1262)+$Y$6</f>
        <v>-47.741473633885199</v>
      </c>
      <c r="G1268" s="7">
        <f>SUMPRODUCT($C$7:$X$7,'batch tool'!$B1262:$W1262)+$Y$7</f>
        <v>-19.739516238059196</v>
      </c>
      <c r="H1268" s="7">
        <f t="shared" si="38"/>
        <v>-19.739516238059196</v>
      </c>
      <c r="I1268">
        <f t="shared" si="39"/>
        <v>6</v>
      </c>
      <c r="J1268" t="str" cm="1">
        <f t="array" ref="J1268">INDEX($A$2:$A$7,I1268)</f>
        <v>Segment 6- Self-Conscious Male</v>
      </c>
    </row>
    <row r="1269" spans="1:10" x14ac:dyDescent="0.25">
      <c r="A1269" s="1">
        <f>'batch tool'!A1263</f>
        <v>0</v>
      </c>
      <c r="B1269" s="7">
        <f>SUMPRODUCT($C$2:$X$2,'batch tool'!$B1263:$W1263)+$Y$2</f>
        <v>-49.12272534143483</v>
      </c>
      <c r="C1269" s="7">
        <f>SUMPRODUCT($C$3:$X$3,'batch tool'!$B1263:$W1263)+$Y$3</f>
        <v>-36.514029388465531</v>
      </c>
      <c r="D1269" s="7">
        <f>SUMPRODUCT($C$4:$X$4,'batch tool'!$B1263:$W1263)+$Y$4</f>
        <v>-44.639843068043824</v>
      </c>
      <c r="E1269" s="7">
        <f>SUMPRODUCT($C$5:$X$5,'batch tool'!$B1263:$W1263)+$Y$5</f>
        <v>-51.578889182477603</v>
      </c>
      <c r="F1269" s="7">
        <f>SUMPRODUCT($C$6:$X$6,'batch tool'!$B1263:$W1263)+$Y$6</f>
        <v>-47.741473633885199</v>
      </c>
      <c r="G1269" s="7">
        <f>SUMPRODUCT($C$7:$X$7,'batch tool'!$B1263:$W1263)+$Y$7</f>
        <v>-19.739516238059196</v>
      </c>
      <c r="H1269" s="7">
        <f t="shared" si="38"/>
        <v>-19.739516238059196</v>
      </c>
      <c r="I1269">
        <f t="shared" si="39"/>
        <v>6</v>
      </c>
      <c r="J1269" t="str" cm="1">
        <f t="array" ref="J1269">INDEX($A$2:$A$7,I1269)</f>
        <v>Segment 6- Self-Conscious Male</v>
      </c>
    </row>
    <row r="1270" spans="1:10" x14ac:dyDescent="0.25">
      <c r="A1270" s="1">
        <f>'batch tool'!A1264</f>
        <v>0</v>
      </c>
      <c r="B1270" s="7">
        <f>SUMPRODUCT($C$2:$X$2,'batch tool'!$B1264:$W1264)+$Y$2</f>
        <v>-49.12272534143483</v>
      </c>
      <c r="C1270" s="7">
        <f>SUMPRODUCT($C$3:$X$3,'batch tool'!$B1264:$W1264)+$Y$3</f>
        <v>-36.514029388465531</v>
      </c>
      <c r="D1270" s="7">
        <f>SUMPRODUCT($C$4:$X$4,'batch tool'!$B1264:$W1264)+$Y$4</f>
        <v>-44.639843068043824</v>
      </c>
      <c r="E1270" s="7">
        <f>SUMPRODUCT($C$5:$X$5,'batch tool'!$B1264:$W1264)+$Y$5</f>
        <v>-51.578889182477603</v>
      </c>
      <c r="F1270" s="7">
        <f>SUMPRODUCT($C$6:$X$6,'batch tool'!$B1264:$W1264)+$Y$6</f>
        <v>-47.741473633885199</v>
      </c>
      <c r="G1270" s="7">
        <f>SUMPRODUCT($C$7:$X$7,'batch tool'!$B1264:$W1264)+$Y$7</f>
        <v>-19.739516238059196</v>
      </c>
      <c r="H1270" s="7">
        <f t="shared" si="38"/>
        <v>-19.739516238059196</v>
      </c>
      <c r="I1270">
        <f t="shared" si="39"/>
        <v>6</v>
      </c>
      <c r="J1270" t="str" cm="1">
        <f t="array" ref="J1270">INDEX($A$2:$A$7,I1270)</f>
        <v>Segment 6- Self-Conscious Male</v>
      </c>
    </row>
    <row r="1271" spans="1:10" x14ac:dyDescent="0.25">
      <c r="A1271" s="1">
        <f>'batch tool'!A1265</f>
        <v>0</v>
      </c>
      <c r="B1271" s="7">
        <f>SUMPRODUCT($C$2:$X$2,'batch tool'!$B1265:$W1265)+$Y$2</f>
        <v>-49.12272534143483</v>
      </c>
      <c r="C1271" s="7">
        <f>SUMPRODUCT($C$3:$X$3,'batch tool'!$B1265:$W1265)+$Y$3</f>
        <v>-36.514029388465531</v>
      </c>
      <c r="D1271" s="7">
        <f>SUMPRODUCT($C$4:$X$4,'batch tool'!$B1265:$W1265)+$Y$4</f>
        <v>-44.639843068043824</v>
      </c>
      <c r="E1271" s="7">
        <f>SUMPRODUCT($C$5:$X$5,'batch tool'!$B1265:$W1265)+$Y$5</f>
        <v>-51.578889182477603</v>
      </c>
      <c r="F1271" s="7">
        <f>SUMPRODUCT($C$6:$X$6,'batch tool'!$B1265:$W1265)+$Y$6</f>
        <v>-47.741473633885199</v>
      </c>
      <c r="G1271" s="7">
        <f>SUMPRODUCT($C$7:$X$7,'batch tool'!$B1265:$W1265)+$Y$7</f>
        <v>-19.739516238059196</v>
      </c>
      <c r="H1271" s="7">
        <f t="shared" si="38"/>
        <v>-19.739516238059196</v>
      </c>
      <c r="I1271">
        <f t="shared" si="39"/>
        <v>6</v>
      </c>
      <c r="J1271" t="str" cm="1">
        <f t="array" ref="J1271">INDEX($A$2:$A$7,I1271)</f>
        <v>Segment 6- Self-Conscious Male</v>
      </c>
    </row>
    <row r="1272" spans="1:10" x14ac:dyDescent="0.25">
      <c r="A1272" s="1">
        <f>'batch tool'!A1266</f>
        <v>0</v>
      </c>
      <c r="B1272" s="7">
        <f>SUMPRODUCT($C$2:$X$2,'batch tool'!$B1266:$W1266)+$Y$2</f>
        <v>-49.12272534143483</v>
      </c>
      <c r="C1272" s="7">
        <f>SUMPRODUCT($C$3:$X$3,'batch tool'!$B1266:$W1266)+$Y$3</f>
        <v>-36.514029388465531</v>
      </c>
      <c r="D1272" s="7">
        <f>SUMPRODUCT($C$4:$X$4,'batch tool'!$B1266:$W1266)+$Y$4</f>
        <v>-44.639843068043824</v>
      </c>
      <c r="E1272" s="7">
        <f>SUMPRODUCT($C$5:$X$5,'batch tool'!$B1266:$W1266)+$Y$5</f>
        <v>-51.578889182477603</v>
      </c>
      <c r="F1272" s="7">
        <f>SUMPRODUCT($C$6:$X$6,'batch tool'!$B1266:$W1266)+$Y$6</f>
        <v>-47.741473633885199</v>
      </c>
      <c r="G1272" s="7">
        <f>SUMPRODUCT($C$7:$X$7,'batch tool'!$B1266:$W1266)+$Y$7</f>
        <v>-19.739516238059196</v>
      </c>
      <c r="H1272" s="7">
        <f t="shared" si="38"/>
        <v>-19.739516238059196</v>
      </c>
      <c r="I1272">
        <f t="shared" si="39"/>
        <v>6</v>
      </c>
      <c r="J1272" t="str" cm="1">
        <f t="array" ref="J1272">INDEX($A$2:$A$7,I1272)</f>
        <v>Segment 6- Self-Conscious Male</v>
      </c>
    </row>
    <row r="1273" spans="1:10" x14ac:dyDescent="0.25">
      <c r="A1273" s="1">
        <f>'batch tool'!A1267</f>
        <v>0</v>
      </c>
      <c r="B1273" s="7">
        <f>SUMPRODUCT($C$2:$X$2,'batch tool'!$B1267:$W1267)+$Y$2</f>
        <v>-49.12272534143483</v>
      </c>
      <c r="C1273" s="7">
        <f>SUMPRODUCT($C$3:$X$3,'batch tool'!$B1267:$W1267)+$Y$3</f>
        <v>-36.514029388465531</v>
      </c>
      <c r="D1273" s="7">
        <f>SUMPRODUCT($C$4:$X$4,'batch tool'!$B1267:$W1267)+$Y$4</f>
        <v>-44.639843068043824</v>
      </c>
      <c r="E1273" s="7">
        <f>SUMPRODUCT($C$5:$X$5,'batch tool'!$B1267:$W1267)+$Y$5</f>
        <v>-51.578889182477603</v>
      </c>
      <c r="F1273" s="7">
        <f>SUMPRODUCT($C$6:$X$6,'batch tool'!$B1267:$W1267)+$Y$6</f>
        <v>-47.741473633885199</v>
      </c>
      <c r="G1273" s="7">
        <f>SUMPRODUCT($C$7:$X$7,'batch tool'!$B1267:$W1267)+$Y$7</f>
        <v>-19.739516238059196</v>
      </c>
      <c r="H1273" s="7">
        <f t="shared" si="38"/>
        <v>-19.739516238059196</v>
      </c>
      <c r="I1273">
        <f t="shared" si="39"/>
        <v>6</v>
      </c>
      <c r="J1273" t="str" cm="1">
        <f t="array" ref="J1273">INDEX($A$2:$A$7,I1273)</f>
        <v>Segment 6- Self-Conscious Male</v>
      </c>
    </row>
    <row r="1274" spans="1:10" x14ac:dyDescent="0.25">
      <c r="A1274" s="1">
        <f>'batch tool'!A1268</f>
        <v>0</v>
      </c>
      <c r="B1274" s="7">
        <f>SUMPRODUCT($C$2:$X$2,'batch tool'!$B1268:$W1268)+$Y$2</f>
        <v>-49.12272534143483</v>
      </c>
      <c r="C1274" s="7">
        <f>SUMPRODUCT($C$3:$X$3,'batch tool'!$B1268:$W1268)+$Y$3</f>
        <v>-36.514029388465531</v>
      </c>
      <c r="D1274" s="7">
        <f>SUMPRODUCT($C$4:$X$4,'batch tool'!$B1268:$W1268)+$Y$4</f>
        <v>-44.639843068043824</v>
      </c>
      <c r="E1274" s="7">
        <f>SUMPRODUCT($C$5:$X$5,'batch tool'!$B1268:$W1268)+$Y$5</f>
        <v>-51.578889182477603</v>
      </c>
      <c r="F1274" s="7">
        <f>SUMPRODUCT($C$6:$X$6,'batch tool'!$B1268:$W1268)+$Y$6</f>
        <v>-47.741473633885199</v>
      </c>
      <c r="G1274" s="7">
        <f>SUMPRODUCT($C$7:$X$7,'batch tool'!$B1268:$W1268)+$Y$7</f>
        <v>-19.739516238059196</v>
      </c>
      <c r="H1274" s="7">
        <f t="shared" si="38"/>
        <v>-19.739516238059196</v>
      </c>
      <c r="I1274">
        <f t="shared" si="39"/>
        <v>6</v>
      </c>
      <c r="J1274" t="str" cm="1">
        <f t="array" ref="J1274">INDEX($A$2:$A$7,I1274)</f>
        <v>Segment 6- Self-Conscious Male</v>
      </c>
    </row>
    <row r="1275" spans="1:10" x14ac:dyDescent="0.25">
      <c r="A1275" s="1">
        <f>'batch tool'!A1269</f>
        <v>0</v>
      </c>
      <c r="B1275" s="7">
        <f>SUMPRODUCT($C$2:$X$2,'batch tool'!$B1269:$W1269)+$Y$2</f>
        <v>-49.12272534143483</v>
      </c>
      <c r="C1275" s="7">
        <f>SUMPRODUCT($C$3:$X$3,'batch tool'!$B1269:$W1269)+$Y$3</f>
        <v>-36.514029388465531</v>
      </c>
      <c r="D1275" s="7">
        <f>SUMPRODUCT($C$4:$X$4,'batch tool'!$B1269:$W1269)+$Y$4</f>
        <v>-44.639843068043824</v>
      </c>
      <c r="E1275" s="7">
        <f>SUMPRODUCT($C$5:$X$5,'batch tool'!$B1269:$W1269)+$Y$5</f>
        <v>-51.578889182477603</v>
      </c>
      <c r="F1275" s="7">
        <f>SUMPRODUCT($C$6:$X$6,'batch tool'!$B1269:$W1269)+$Y$6</f>
        <v>-47.741473633885199</v>
      </c>
      <c r="G1275" s="7">
        <f>SUMPRODUCT($C$7:$X$7,'batch tool'!$B1269:$W1269)+$Y$7</f>
        <v>-19.739516238059196</v>
      </c>
      <c r="H1275" s="7">
        <f t="shared" si="38"/>
        <v>-19.739516238059196</v>
      </c>
      <c r="I1275">
        <f t="shared" si="39"/>
        <v>6</v>
      </c>
      <c r="J1275" t="str" cm="1">
        <f t="array" ref="J1275">INDEX($A$2:$A$7,I1275)</f>
        <v>Segment 6- Self-Conscious Male</v>
      </c>
    </row>
    <row r="1276" spans="1:10" x14ac:dyDescent="0.25">
      <c r="A1276" s="1">
        <f>'batch tool'!A1270</f>
        <v>0</v>
      </c>
      <c r="B1276" s="7">
        <f>SUMPRODUCT($C$2:$X$2,'batch tool'!$B1270:$W1270)+$Y$2</f>
        <v>-49.12272534143483</v>
      </c>
      <c r="C1276" s="7">
        <f>SUMPRODUCT($C$3:$X$3,'batch tool'!$B1270:$W1270)+$Y$3</f>
        <v>-36.514029388465531</v>
      </c>
      <c r="D1276" s="7">
        <f>SUMPRODUCT($C$4:$X$4,'batch tool'!$B1270:$W1270)+$Y$4</f>
        <v>-44.639843068043824</v>
      </c>
      <c r="E1276" s="7">
        <f>SUMPRODUCT($C$5:$X$5,'batch tool'!$B1270:$W1270)+$Y$5</f>
        <v>-51.578889182477603</v>
      </c>
      <c r="F1276" s="7">
        <f>SUMPRODUCT($C$6:$X$6,'batch tool'!$B1270:$W1270)+$Y$6</f>
        <v>-47.741473633885199</v>
      </c>
      <c r="G1276" s="7">
        <f>SUMPRODUCT($C$7:$X$7,'batch tool'!$B1270:$W1270)+$Y$7</f>
        <v>-19.739516238059196</v>
      </c>
      <c r="H1276" s="7">
        <f t="shared" si="38"/>
        <v>-19.739516238059196</v>
      </c>
      <c r="I1276">
        <f t="shared" si="39"/>
        <v>6</v>
      </c>
      <c r="J1276" t="str" cm="1">
        <f t="array" ref="J1276">INDEX($A$2:$A$7,I1276)</f>
        <v>Segment 6- Self-Conscious Male</v>
      </c>
    </row>
    <row r="1277" spans="1:10" x14ac:dyDescent="0.25">
      <c r="A1277" s="1">
        <f>'batch tool'!A1271</f>
        <v>0</v>
      </c>
      <c r="B1277" s="7">
        <f>SUMPRODUCT($C$2:$X$2,'batch tool'!$B1271:$W1271)+$Y$2</f>
        <v>-49.12272534143483</v>
      </c>
      <c r="C1277" s="7">
        <f>SUMPRODUCT($C$3:$X$3,'batch tool'!$B1271:$W1271)+$Y$3</f>
        <v>-36.514029388465531</v>
      </c>
      <c r="D1277" s="7">
        <f>SUMPRODUCT($C$4:$X$4,'batch tool'!$B1271:$W1271)+$Y$4</f>
        <v>-44.639843068043824</v>
      </c>
      <c r="E1277" s="7">
        <f>SUMPRODUCT($C$5:$X$5,'batch tool'!$B1271:$W1271)+$Y$5</f>
        <v>-51.578889182477603</v>
      </c>
      <c r="F1277" s="7">
        <f>SUMPRODUCT($C$6:$X$6,'batch tool'!$B1271:$W1271)+$Y$6</f>
        <v>-47.741473633885199</v>
      </c>
      <c r="G1277" s="7">
        <f>SUMPRODUCT($C$7:$X$7,'batch tool'!$B1271:$W1271)+$Y$7</f>
        <v>-19.739516238059196</v>
      </c>
      <c r="H1277" s="7">
        <f t="shared" si="38"/>
        <v>-19.739516238059196</v>
      </c>
      <c r="I1277">
        <f t="shared" si="39"/>
        <v>6</v>
      </c>
      <c r="J1277" t="str" cm="1">
        <f t="array" ref="J1277">INDEX($A$2:$A$7,I1277)</f>
        <v>Segment 6- Self-Conscious Male</v>
      </c>
    </row>
    <row r="1278" spans="1:10" x14ac:dyDescent="0.25">
      <c r="A1278" s="1">
        <f>'batch tool'!A1272</f>
        <v>0</v>
      </c>
      <c r="B1278" s="7">
        <f>SUMPRODUCT($C$2:$X$2,'batch tool'!$B1272:$W1272)+$Y$2</f>
        <v>-49.12272534143483</v>
      </c>
      <c r="C1278" s="7">
        <f>SUMPRODUCT($C$3:$X$3,'batch tool'!$B1272:$W1272)+$Y$3</f>
        <v>-36.514029388465531</v>
      </c>
      <c r="D1278" s="7">
        <f>SUMPRODUCT($C$4:$X$4,'batch tool'!$B1272:$W1272)+$Y$4</f>
        <v>-44.639843068043824</v>
      </c>
      <c r="E1278" s="7">
        <f>SUMPRODUCT($C$5:$X$5,'batch tool'!$B1272:$W1272)+$Y$5</f>
        <v>-51.578889182477603</v>
      </c>
      <c r="F1278" s="7">
        <f>SUMPRODUCT($C$6:$X$6,'batch tool'!$B1272:$W1272)+$Y$6</f>
        <v>-47.741473633885199</v>
      </c>
      <c r="G1278" s="7">
        <f>SUMPRODUCT($C$7:$X$7,'batch tool'!$B1272:$W1272)+$Y$7</f>
        <v>-19.739516238059196</v>
      </c>
      <c r="H1278" s="7">
        <f t="shared" si="38"/>
        <v>-19.739516238059196</v>
      </c>
      <c r="I1278">
        <f t="shared" si="39"/>
        <v>6</v>
      </c>
      <c r="J1278" t="str" cm="1">
        <f t="array" ref="J1278">INDEX($A$2:$A$7,I1278)</f>
        <v>Segment 6- Self-Conscious Male</v>
      </c>
    </row>
    <row r="1279" spans="1:10" x14ac:dyDescent="0.25">
      <c r="A1279" s="1">
        <f>'batch tool'!A1273</f>
        <v>0</v>
      </c>
      <c r="B1279" s="7">
        <f>SUMPRODUCT($C$2:$X$2,'batch tool'!$B1273:$W1273)+$Y$2</f>
        <v>-49.12272534143483</v>
      </c>
      <c r="C1279" s="7">
        <f>SUMPRODUCT($C$3:$X$3,'batch tool'!$B1273:$W1273)+$Y$3</f>
        <v>-36.514029388465531</v>
      </c>
      <c r="D1279" s="7">
        <f>SUMPRODUCT($C$4:$X$4,'batch tool'!$B1273:$W1273)+$Y$4</f>
        <v>-44.639843068043824</v>
      </c>
      <c r="E1279" s="7">
        <f>SUMPRODUCT($C$5:$X$5,'batch tool'!$B1273:$W1273)+$Y$5</f>
        <v>-51.578889182477603</v>
      </c>
      <c r="F1279" s="7">
        <f>SUMPRODUCT($C$6:$X$6,'batch tool'!$B1273:$W1273)+$Y$6</f>
        <v>-47.741473633885199</v>
      </c>
      <c r="G1279" s="7">
        <f>SUMPRODUCT($C$7:$X$7,'batch tool'!$B1273:$W1273)+$Y$7</f>
        <v>-19.739516238059196</v>
      </c>
      <c r="H1279" s="7">
        <f t="shared" si="38"/>
        <v>-19.739516238059196</v>
      </c>
      <c r="I1279">
        <f t="shared" si="39"/>
        <v>6</v>
      </c>
      <c r="J1279" t="str" cm="1">
        <f t="array" ref="J1279">INDEX($A$2:$A$7,I1279)</f>
        <v>Segment 6- Self-Conscious Male</v>
      </c>
    </row>
    <row r="1280" spans="1:10" x14ac:dyDescent="0.25">
      <c r="A1280" s="1">
        <f>'batch tool'!A1274</f>
        <v>0</v>
      </c>
      <c r="B1280" s="7">
        <f>SUMPRODUCT($C$2:$X$2,'batch tool'!$B1274:$W1274)+$Y$2</f>
        <v>-49.12272534143483</v>
      </c>
      <c r="C1280" s="7">
        <f>SUMPRODUCT($C$3:$X$3,'batch tool'!$B1274:$W1274)+$Y$3</f>
        <v>-36.514029388465531</v>
      </c>
      <c r="D1280" s="7">
        <f>SUMPRODUCT($C$4:$X$4,'batch tool'!$B1274:$W1274)+$Y$4</f>
        <v>-44.639843068043824</v>
      </c>
      <c r="E1280" s="7">
        <f>SUMPRODUCT($C$5:$X$5,'batch tool'!$B1274:$W1274)+$Y$5</f>
        <v>-51.578889182477603</v>
      </c>
      <c r="F1280" s="7">
        <f>SUMPRODUCT($C$6:$X$6,'batch tool'!$B1274:$W1274)+$Y$6</f>
        <v>-47.741473633885199</v>
      </c>
      <c r="G1280" s="7">
        <f>SUMPRODUCT($C$7:$X$7,'batch tool'!$B1274:$W1274)+$Y$7</f>
        <v>-19.739516238059196</v>
      </c>
      <c r="H1280" s="7">
        <f t="shared" si="38"/>
        <v>-19.739516238059196</v>
      </c>
      <c r="I1280">
        <f t="shared" si="39"/>
        <v>6</v>
      </c>
      <c r="J1280" t="str" cm="1">
        <f t="array" ref="J1280">INDEX($A$2:$A$7,I1280)</f>
        <v>Segment 6- Self-Conscious Male</v>
      </c>
    </row>
    <row r="1281" spans="1:10" x14ac:dyDescent="0.25">
      <c r="A1281" s="1">
        <f>'batch tool'!A1275</f>
        <v>0</v>
      </c>
      <c r="B1281" s="7">
        <f>SUMPRODUCT($C$2:$X$2,'batch tool'!$B1275:$W1275)+$Y$2</f>
        <v>-49.12272534143483</v>
      </c>
      <c r="C1281" s="7">
        <f>SUMPRODUCT($C$3:$X$3,'batch tool'!$B1275:$W1275)+$Y$3</f>
        <v>-36.514029388465531</v>
      </c>
      <c r="D1281" s="7">
        <f>SUMPRODUCT($C$4:$X$4,'batch tool'!$B1275:$W1275)+$Y$4</f>
        <v>-44.639843068043824</v>
      </c>
      <c r="E1281" s="7">
        <f>SUMPRODUCT($C$5:$X$5,'batch tool'!$B1275:$W1275)+$Y$5</f>
        <v>-51.578889182477603</v>
      </c>
      <c r="F1281" s="7">
        <f>SUMPRODUCT($C$6:$X$6,'batch tool'!$B1275:$W1275)+$Y$6</f>
        <v>-47.741473633885199</v>
      </c>
      <c r="G1281" s="7">
        <f>SUMPRODUCT($C$7:$X$7,'batch tool'!$B1275:$W1275)+$Y$7</f>
        <v>-19.739516238059196</v>
      </c>
      <c r="H1281" s="7">
        <f t="shared" si="38"/>
        <v>-19.739516238059196</v>
      </c>
      <c r="I1281">
        <f t="shared" si="39"/>
        <v>6</v>
      </c>
      <c r="J1281" t="str" cm="1">
        <f t="array" ref="J1281">INDEX($A$2:$A$7,I1281)</f>
        <v>Segment 6- Self-Conscious Male</v>
      </c>
    </row>
    <row r="1282" spans="1:10" x14ac:dyDescent="0.25">
      <c r="A1282" s="1">
        <f>'batch tool'!A1276</f>
        <v>0</v>
      </c>
      <c r="B1282" s="7">
        <f>SUMPRODUCT($C$2:$X$2,'batch tool'!$B1276:$W1276)+$Y$2</f>
        <v>-49.12272534143483</v>
      </c>
      <c r="C1282" s="7">
        <f>SUMPRODUCT($C$3:$X$3,'batch tool'!$B1276:$W1276)+$Y$3</f>
        <v>-36.514029388465531</v>
      </c>
      <c r="D1282" s="7">
        <f>SUMPRODUCT($C$4:$X$4,'batch tool'!$B1276:$W1276)+$Y$4</f>
        <v>-44.639843068043824</v>
      </c>
      <c r="E1282" s="7">
        <f>SUMPRODUCT($C$5:$X$5,'batch tool'!$B1276:$W1276)+$Y$5</f>
        <v>-51.578889182477603</v>
      </c>
      <c r="F1282" s="7">
        <f>SUMPRODUCT($C$6:$X$6,'batch tool'!$B1276:$W1276)+$Y$6</f>
        <v>-47.741473633885199</v>
      </c>
      <c r="G1282" s="7">
        <f>SUMPRODUCT($C$7:$X$7,'batch tool'!$B1276:$W1276)+$Y$7</f>
        <v>-19.739516238059196</v>
      </c>
      <c r="H1282" s="7">
        <f t="shared" si="38"/>
        <v>-19.739516238059196</v>
      </c>
      <c r="I1282">
        <f t="shared" si="39"/>
        <v>6</v>
      </c>
      <c r="J1282" t="str" cm="1">
        <f t="array" ref="J1282">INDEX($A$2:$A$7,I1282)</f>
        <v>Segment 6- Self-Conscious Male</v>
      </c>
    </row>
    <row r="1283" spans="1:10" x14ac:dyDescent="0.25">
      <c r="A1283" s="1">
        <f>'batch tool'!A1277</f>
        <v>0</v>
      </c>
      <c r="B1283" s="7">
        <f>SUMPRODUCT($C$2:$X$2,'batch tool'!$B1277:$W1277)+$Y$2</f>
        <v>-49.12272534143483</v>
      </c>
      <c r="C1283" s="7">
        <f>SUMPRODUCT($C$3:$X$3,'batch tool'!$B1277:$W1277)+$Y$3</f>
        <v>-36.514029388465531</v>
      </c>
      <c r="D1283" s="7">
        <f>SUMPRODUCT($C$4:$X$4,'batch tool'!$B1277:$W1277)+$Y$4</f>
        <v>-44.639843068043824</v>
      </c>
      <c r="E1283" s="7">
        <f>SUMPRODUCT($C$5:$X$5,'batch tool'!$B1277:$W1277)+$Y$5</f>
        <v>-51.578889182477603</v>
      </c>
      <c r="F1283" s="7">
        <f>SUMPRODUCT($C$6:$X$6,'batch tool'!$B1277:$W1277)+$Y$6</f>
        <v>-47.741473633885199</v>
      </c>
      <c r="G1283" s="7">
        <f>SUMPRODUCT($C$7:$X$7,'batch tool'!$B1277:$W1277)+$Y$7</f>
        <v>-19.739516238059196</v>
      </c>
      <c r="H1283" s="7">
        <f t="shared" si="38"/>
        <v>-19.739516238059196</v>
      </c>
      <c r="I1283">
        <f t="shared" si="39"/>
        <v>6</v>
      </c>
      <c r="J1283" t="str" cm="1">
        <f t="array" ref="J1283">INDEX($A$2:$A$7,I1283)</f>
        <v>Segment 6- Self-Conscious Male</v>
      </c>
    </row>
    <row r="1284" spans="1:10" x14ac:dyDescent="0.25">
      <c r="A1284" s="1">
        <f>'batch tool'!A1278</f>
        <v>0</v>
      </c>
      <c r="B1284" s="7">
        <f>SUMPRODUCT($C$2:$X$2,'batch tool'!$B1278:$W1278)+$Y$2</f>
        <v>-49.12272534143483</v>
      </c>
      <c r="C1284" s="7">
        <f>SUMPRODUCT($C$3:$X$3,'batch tool'!$B1278:$W1278)+$Y$3</f>
        <v>-36.514029388465531</v>
      </c>
      <c r="D1284" s="7">
        <f>SUMPRODUCT($C$4:$X$4,'batch tool'!$B1278:$W1278)+$Y$4</f>
        <v>-44.639843068043824</v>
      </c>
      <c r="E1284" s="7">
        <f>SUMPRODUCT($C$5:$X$5,'batch tool'!$B1278:$W1278)+$Y$5</f>
        <v>-51.578889182477603</v>
      </c>
      <c r="F1284" s="7">
        <f>SUMPRODUCT($C$6:$X$6,'batch tool'!$B1278:$W1278)+$Y$6</f>
        <v>-47.741473633885199</v>
      </c>
      <c r="G1284" s="7">
        <f>SUMPRODUCT($C$7:$X$7,'batch tool'!$B1278:$W1278)+$Y$7</f>
        <v>-19.739516238059196</v>
      </c>
      <c r="H1284" s="7">
        <f t="shared" si="38"/>
        <v>-19.739516238059196</v>
      </c>
      <c r="I1284">
        <f t="shared" si="39"/>
        <v>6</v>
      </c>
      <c r="J1284" t="str" cm="1">
        <f t="array" ref="J1284">INDEX($A$2:$A$7,I1284)</f>
        <v>Segment 6- Self-Conscious Male</v>
      </c>
    </row>
    <row r="1285" spans="1:10" x14ac:dyDescent="0.25">
      <c r="A1285" s="1">
        <f>'batch tool'!A1279</f>
        <v>0</v>
      </c>
      <c r="B1285" s="7">
        <f>SUMPRODUCT($C$2:$X$2,'batch tool'!$B1279:$W1279)+$Y$2</f>
        <v>-49.12272534143483</v>
      </c>
      <c r="C1285" s="7">
        <f>SUMPRODUCT($C$3:$X$3,'batch tool'!$B1279:$W1279)+$Y$3</f>
        <v>-36.514029388465531</v>
      </c>
      <c r="D1285" s="7">
        <f>SUMPRODUCT($C$4:$X$4,'batch tool'!$B1279:$W1279)+$Y$4</f>
        <v>-44.639843068043824</v>
      </c>
      <c r="E1285" s="7">
        <f>SUMPRODUCT($C$5:$X$5,'batch tool'!$B1279:$W1279)+$Y$5</f>
        <v>-51.578889182477603</v>
      </c>
      <c r="F1285" s="7">
        <f>SUMPRODUCT($C$6:$X$6,'batch tool'!$B1279:$W1279)+$Y$6</f>
        <v>-47.741473633885199</v>
      </c>
      <c r="G1285" s="7">
        <f>SUMPRODUCT($C$7:$X$7,'batch tool'!$B1279:$W1279)+$Y$7</f>
        <v>-19.739516238059196</v>
      </c>
      <c r="H1285" s="7">
        <f t="shared" si="38"/>
        <v>-19.739516238059196</v>
      </c>
      <c r="I1285">
        <f t="shared" si="39"/>
        <v>6</v>
      </c>
      <c r="J1285" t="str" cm="1">
        <f t="array" ref="J1285">INDEX($A$2:$A$7,I1285)</f>
        <v>Segment 6- Self-Conscious Male</v>
      </c>
    </row>
    <row r="1286" spans="1:10" x14ac:dyDescent="0.25">
      <c r="A1286" s="1">
        <f>'batch tool'!A1280</f>
        <v>0</v>
      </c>
      <c r="B1286" s="7">
        <f>SUMPRODUCT($C$2:$X$2,'batch tool'!$B1280:$W1280)+$Y$2</f>
        <v>-49.12272534143483</v>
      </c>
      <c r="C1286" s="7">
        <f>SUMPRODUCT($C$3:$X$3,'batch tool'!$B1280:$W1280)+$Y$3</f>
        <v>-36.514029388465531</v>
      </c>
      <c r="D1286" s="7">
        <f>SUMPRODUCT($C$4:$X$4,'batch tool'!$B1280:$W1280)+$Y$4</f>
        <v>-44.639843068043824</v>
      </c>
      <c r="E1286" s="7">
        <f>SUMPRODUCT($C$5:$X$5,'batch tool'!$B1280:$W1280)+$Y$5</f>
        <v>-51.578889182477603</v>
      </c>
      <c r="F1286" s="7">
        <f>SUMPRODUCT($C$6:$X$6,'batch tool'!$B1280:$W1280)+$Y$6</f>
        <v>-47.741473633885199</v>
      </c>
      <c r="G1286" s="7">
        <f>SUMPRODUCT($C$7:$X$7,'batch tool'!$B1280:$W1280)+$Y$7</f>
        <v>-19.739516238059196</v>
      </c>
      <c r="H1286" s="7">
        <f t="shared" si="38"/>
        <v>-19.739516238059196</v>
      </c>
      <c r="I1286">
        <f t="shared" si="39"/>
        <v>6</v>
      </c>
      <c r="J1286" t="str" cm="1">
        <f t="array" ref="J1286">INDEX($A$2:$A$7,I1286)</f>
        <v>Segment 6- Self-Conscious Male</v>
      </c>
    </row>
    <row r="1287" spans="1:10" x14ac:dyDescent="0.25">
      <c r="A1287" s="1">
        <f>'batch tool'!A1281</f>
        <v>0</v>
      </c>
      <c r="B1287" s="7">
        <f>SUMPRODUCT($C$2:$X$2,'batch tool'!$B1281:$W1281)+$Y$2</f>
        <v>-49.12272534143483</v>
      </c>
      <c r="C1287" s="7">
        <f>SUMPRODUCT($C$3:$X$3,'batch tool'!$B1281:$W1281)+$Y$3</f>
        <v>-36.514029388465531</v>
      </c>
      <c r="D1287" s="7">
        <f>SUMPRODUCT($C$4:$X$4,'batch tool'!$B1281:$W1281)+$Y$4</f>
        <v>-44.639843068043824</v>
      </c>
      <c r="E1287" s="7">
        <f>SUMPRODUCT($C$5:$X$5,'batch tool'!$B1281:$W1281)+$Y$5</f>
        <v>-51.578889182477603</v>
      </c>
      <c r="F1287" s="7">
        <f>SUMPRODUCT($C$6:$X$6,'batch tool'!$B1281:$W1281)+$Y$6</f>
        <v>-47.741473633885199</v>
      </c>
      <c r="G1287" s="7">
        <f>SUMPRODUCT($C$7:$X$7,'batch tool'!$B1281:$W1281)+$Y$7</f>
        <v>-19.739516238059196</v>
      </c>
      <c r="H1287" s="7">
        <f t="shared" si="38"/>
        <v>-19.739516238059196</v>
      </c>
      <c r="I1287">
        <f t="shared" si="39"/>
        <v>6</v>
      </c>
      <c r="J1287" t="str" cm="1">
        <f t="array" ref="J1287">INDEX($A$2:$A$7,I1287)</f>
        <v>Segment 6- Self-Conscious Male</v>
      </c>
    </row>
    <row r="1288" spans="1:10" x14ac:dyDescent="0.25">
      <c r="A1288" s="1">
        <f>'batch tool'!A1282</f>
        <v>0</v>
      </c>
      <c r="B1288" s="7">
        <f>SUMPRODUCT($C$2:$X$2,'batch tool'!$B1282:$W1282)+$Y$2</f>
        <v>-49.12272534143483</v>
      </c>
      <c r="C1288" s="7">
        <f>SUMPRODUCT($C$3:$X$3,'batch tool'!$B1282:$W1282)+$Y$3</f>
        <v>-36.514029388465531</v>
      </c>
      <c r="D1288" s="7">
        <f>SUMPRODUCT($C$4:$X$4,'batch tool'!$B1282:$W1282)+$Y$4</f>
        <v>-44.639843068043824</v>
      </c>
      <c r="E1288" s="7">
        <f>SUMPRODUCT($C$5:$X$5,'batch tool'!$B1282:$W1282)+$Y$5</f>
        <v>-51.578889182477603</v>
      </c>
      <c r="F1288" s="7">
        <f>SUMPRODUCT($C$6:$X$6,'batch tool'!$B1282:$W1282)+$Y$6</f>
        <v>-47.741473633885199</v>
      </c>
      <c r="G1288" s="7">
        <f>SUMPRODUCT($C$7:$X$7,'batch tool'!$B1282:$W1282)+$Y$7</f>
        <v>-19.739516238059196</v>
      </c>
      <c r="H1288" s="7">
        <f t="shared" si="38"/>
        <v>-19.739516238059196</v>
      </c>
      <c r="I1288">
        <f t="shared" si="39"/>
        <v>6</v>
      </c>
      <c r="J1288" t="str" cm="1">
        <f t="array" ref="J1288">INDEX($A$2:$A$7,I1288)</f>
        <v>Segment 6- Self-Conscious Male</v>
      </c>
    </row>
    <row r="1289" spans="1:10" x14ac:dyDescent="0.25">
      <c r="A1289" s="1">
        <f>'batch tool'!A1283</f>
        <v>0</v>
      </c>
      <c r="B1289" s="7">
        <f>SUMPRODUCT($C$2:$X$2,'batch tool'!$B1283:$W1283)+$Y$2</f>
        <v>-49.12272534143483</v>
      </c>
      <c r="C1289" s="7">
        <f>SUMPRODUCT($C$3:$X$3,'batch tool'!$B1283:$W1283)+$Y$3</f>
        <v>-36.514029388465531</v>
      </c>
      <c r="D1289" s="7">
        <f>SUMPRODUCT($C$4:$X$4,'batch tool'!$B1283:$W1283)+$Y$4</f>
        <v>-44.639843068043824</v>
      </c>
      <c r="E1289" s="7">
        <f>SUMPRODUCT($C$5:$X$5,'batch tool'!$B1283:$W1283)+$Y$5</f>
        <v>-51.578889182477603</v>
      </c>
      <c r="F1289" s="7">
        <f>SUMPRODUCT($C$6:$X$6,'batch tool'!$B1283:$W1283)+$Y$6</f>
        <v>-47.741473633885199</v>
      </c>
      <c r="G1289" s="7">
        <f>SUMPRODUCT($C$7:$X$7,'batch tool'!$B1283:$W1283)+$Y$7</f>
        <v>-19.739516238059196</v>
      </c>
      <c r="H1289" s="7">
        <f t="shared" si="38"/>
        <v>-19.739516238059196</v>
      </c>
      <c r="I1289">
        <f t="shared" si="39"/>
        <v>6</v>
      </c>
      <c r="J1289" t="str" cm="1">
        <f t="array" ref="J1289">INDEX($A$2:$A$7,I1289)</f>
        <v>Segment 6- Self-Conscious Male</v>
      </c>
    </row>
    <row r="1290" spans="1:10" x14ac:dyDescent="0.25">
      <c r="A1290" s="1">
        <f>'batch tool'!A1284</f>
        <v>0</v>
      </c>
      <c r="B1290" s="7">
        <f>SUMPRODUCT($C$2:$X$2,'batch tool'!$B1284:$W1284)+$Y$2</f>
        <v>-49.12272534143483</v>
      </c>
      <c r="C1290" s="7">
        <f>SUMPRODUCT($C$3:$X$3,'batch tool'!$B1284:$W1284)+$Y$3</f>
        <v>-36.514029388465531</v>
      </c>
      <c r="D1290" s="7">
        <f>SUMPRODUCT($C$4:$X$4,'batch tool'!$B1284:$W1284)+$Y$4</f>
        <v>-44.639843068043824</v>
      </c>
      <c r="E1290" s="7">
        <f>SUMPRODUCT($C$5:$X$5,'batch tool'!$B1284:$W1284)+$Y$5</f>
        <v>-51.578889182477603</v>
      </c>
      <c r="F1290" s="7">
        <f>SUMPRODUCT($C$6:$X$6,'batch tool'!$B1284:$W1284)+$Y$6</f>
        <v>-47.741473633885199</v>
      </c>
      <c r="G1290" s="7">
        <f>SUMPRODUCT($C$7:$X$7,'batch tool'!$B1284:$W1284)+$Y$7</f>
        <v>-19.739516238059196</v>
      </c>
      <c r="H1290" s="7">
        <f t="shared" si="38"/>
        <v>-19.739516238059196</v>
      </c>
      <c r="I1290">
        <f t="shared" si="39"/>
        <v>6</v>
      </c>
      <c r="J1290" t="str" cm="1">
        <f t="array" ref="J1290">INDEX($A$2:$A$7,I1290)</f>
        <v>Segment 6- Self-Conscious Male</v>
      </c>
    </row>
    <row r="1291" spans="1:10" x14ac:dyDescent="0.25">
      <c r="A1291" s="1">
        <f>'batch tool'!A1285</f>
        <v>0</v>
      </c>
      <c r="B1291" s="7">
        <f>SUMPRODUCT($C$2:$X$2,'batch tool'!$B1285:$W1285)+$Y$2</f>
        <v>-49.12272534143483</v>
      </c>
      <c r="C1291" s="7">
        <f>SUMPRODUCT($C$3:$X$3,'batch tool'!$B1285:$W1285)+$Y$3</f>
        <v>-36.514029388465531</v>
      </c>
      <c r="D1291" s="7">
        <f>SUMPRODUCT($C$4:$X$4,'batch tool'!$B1285:$W1285)+$Y$4</f>
        <v>-44.639843068043824</v>
      </c>
      <c r="E1291" s="7">
        <f>SUMPRODUCT($C$5:$X$5,'batch tool'!$B1285:$W1285)+$Y$5</f>
        <v>-51.578889182477603</v>
      </c>
      <c r="F1291" s="7">
        <f>SUMPRODUCT($C$6:$X$6,'batch tool'!$B1285:$W1285)+$Y$6</f>
        <v>-47.741473633885199</v>
      </c>
      <c r="G1291" s="7">
        <f>SUMPRODUCT($C$7:$X$7,'batch tool'!$B1285:$W1285)+$Y$7</f>
        <v>-19.739516238059196</v>
      </c>
      <c r="H1291" s="7">
        <f t="shared" ref="H1291:H1354" si="40">MAX(B1291:G1291)</f>
        <v>-19.739516238059196</v>
      </c>
      <c r="I1291">
        <f t="shared" ref="I1291:I1354" si="41">MATCH(H1291,B1291:G1291,0)</f>
        <v>6</v>
      </c>
      <c r="J1291" t="str" cm="1">
        <f t="array" ref="J1291">INDEX($A$2:$A$7,I1291)</f>
        <v>Segment 6- Self-Conscious Male</v>
      </c>
    </row>
    <row r="1292" spans="1:10" x14ac:dyDescent="0.25">
      <c r="A1292" s="1">
        <f>'batch tool'!A1286</f>
        <v>0</v>
      </c>
      <c r="B1292" s="7">
        <f>SUMPRODUCT($C$2:$X$2,'batch tool'!$B1286:$W1286)+$Y$2</f>
        <v>-49.12272534143483</v>
      </c>
      <c r="C1292" s="7">
        <f>SUMPRODUCT($C$3:$X$3,'batch tool'!$B1286:$W1286)+$Y$3</f>
        <v>-36.514029388465531</v>
      </c>
      <c r="D1292" s="7">
        <f>SUMPRODUCT($C$4:$X$4,'batch tool'!$B1286:$W1286)+$Y$4</f>
        <v>-44.639843068043824</v>
      </c>
      <c r="E1292" s="7">
        <f>SUMPRODUCT($C$5:$X$5,'batch tool'!$B1286:$W1286)+$Y$5</f>
        <v>-51.578889182477603</v>
      </c>
      <c r="F1292" s="7">
        <f>SUMPRODUCT($C$6:$X$6,'batch tool'!$B1286:$W1286)+$Y$6</f>
        <v>-47.741473633885199</v>
      </c>
      <c r="G1292" s="7">
        <f>SUMPRODUCT($C$7:$X$7,'batch tool'!$B1286:$W1286)+$Y$7</f>
        <v>-19.739516238059196</v>
      </c>
      <c r="H1292" s="7">
        <f t="shared" si="40"/>
        <v>-19.739516238059196</v>
      </c>
      <c r="I1292">
        <f t="shared" si="41"/>
        <v>6</v>
      </c>
      <c r="J1292" t="str" cm="1">
        <f t="array" ref="J1292">INDEX($A$2:$A$7,I1292)</f>
        <v>Segment 6- Self-Conscious Male</v>
      </c>
    </row>
    <row r="1293" spans="1:10" x14ac:dyDescent="0.25">
      <c r="A1293" s="1">
        <f>'batch tool'!A1287</f>
        <v>0</v>
      </c>
      <c r="B1293" s="7">
        <f>SUMPRODUCT($C$2:$X$2,'batch tool'!$B1287:$W1287)+$Y$2</f>
        <v>-49.12272534143483</v>
      </c>
      <c r="C1293" s="7">
        <f>SUMPRODUCT($C$3:$X$3,'batch tool'!$B1287:$W1287)+$Y$3</f>
        <v>-36.514029388465531</v>
      </c>
      <c r="D1293" s="7">
        <f>SUMPRODUCT($C$4:$X$4,'batch tool'!$B1287:$W1287)+$Y$4</f>
        <v>-44.639843068043824</v>
      </c>
      <c r="E1293" s="7">
        <f>SUMPRODUCT($C$5:$X$5,'batch tool'!$B1287:$W1287)+$Y$5</f>
        <v>-51.578889182477603</v>
      </c>
      <c r="F1293" s="7">
        <f>SUMPRODUCT($C$6:$X$6,'batch tool'!$B1287:$W1287)+$Y$6</f>
        <v>-47.741473633885199</v>
      </c>
      <c r="G1293" s="7">
        <f>SUMPRODUCT($C$7:$X$7,'batch tool'!$B1287:$W1287)+$Y$7</f>
        <v>-19.739516238059196</v>
      </c>
      <c r="H1293" s="7">
        <f t="shared" si="40"/>
        <v>-19.739516238059196</v>
      </c>
      <c r="I1293">
        <f t="shared" si="41"/>
        <v>6</v>
      </c>
      <c r="J1293" t="str" cm="1">
        <f t="array" ref="J1293">INDEX($A$2:$A$7,I1293)</f>
        <v>Segment 6- Self-Conscious Male</v>
      </c>
    </row>
    <row r="1294" spans="1:10" x14ac:dyDescent="0.25">
      <c r="A1294" s="1">
        <f>'batch tool'!A1288</f>
        <v>0</v>
      </c>
      <c r="B1294" s="7">
        <f>SUMPRODUCT($C$2:$X$2,'batch tool'!$B1288:$W1288)+$Y$2</f>
        <v>-49.12272534143483</v>
      </c>
      <c r="C1294" s="7">
        <f>SUMPRODUCT($C$3:$X$3,'batch tool'!$B1288:$W1288)+$Y$3</f>
        <v>-36.514029388465531</v>
      </c>
      <c r="D1294" s="7">
        <f>SUMPRODUCT($C$4:$X$4,'batch tool'!$B1288:$W1288)+$Y$4</f>
        <v>-44.639843068043824</v>
      </c>
      <c r="E1294" s="7">
        <f>SUMPRODUCT($C$5:$X$5,'batch tool'!$B1288:$W1288)+$Y$5</f>
        <v>-51.578889182477603</v>
      </c>
      <c r="F1294" s="7">
        <f>SUMPRODUCT($C$6:$X$6,'batch tool'!$B1288:$W1288)+$Y$6</f>
        <v>-47.741473633885199</v>
      </c>
      <c r="G1294" s="7">
        <f>SUMPRODUCT($C$7:$X$7,'batch tool'!$B1288:$W1288)+$Y$7</f>
        <v>-19.739516238059196</v>
      </c>
      <c r="H1294" s="7">
        <f t="shared" si="40"/>
        <v>-19.739516238059196</v>
      </c>
      <c r="I1294">
        <f t="shared" si="41"/>
        <v>6</v>
      </c>
      <c r="J1294" t="str" cm="1">
        <f t="array" ref="J1294">INDEX($A$2:$A$7,I1294)</f>
        <v>Segment 6- Self-Conscious Male</v>
      </c>
    </row>
    <row r="1295" spans="1:10" x14ac:dyDescent="0.25">
      <c r="A1295" s="1">
        <f>'batch tool'!A1289</f>
        <v>0</v>
      </c>
      <c r="B1295" s="7">
        <f>SUMPRODUCT($C$2:$X$2,'batch tool'!$B1289:$W1289)+$Y$2</f>
        <v>-49.12272534143483</v>
      </c>
      <c r="C1295" s="7">
        <f>SUMPRODUCT($C$3:$X$3,'batch tool'!$B1289:$W1289)+$Y$3</f>
        <v>-36.514029388465531</v>
      </c>
      <c r="D1295" s="7">
        <f>SUMPRODUCT($C$4:$X$4,'batch tool'!$B1289:$W1289)+$Y$4</f>
        <v>-44.639843068043824</v>
      </c>
      <c r="E1295" s="7">
        <f>SUMPRODUCT($C$5:$X$5,'batch tool'!$B1289:$W1289)+$Y$5</f>
        <v>-51.578889182477603</v>
      </c>
      <c r="F1295" s="7">
        <f>SUMPRODUCT($C$6:$X$6,'batch tool'!$B1289:$W1289)+$Y$6</f>
        <v>-47.741473633885199</v>
      </c>
      <c r="G1295" s="7">
        <f>SUMPRODUCT($C$7:$X$7,'batch tool'!$B1289:$W1289)+$Y$7</f>
        <v>-19.739516238059196</v>
      </c>
      <c r="H1295" s="7">
        <f t="shared" si="40"/>
        <v>-19.739516238059196</v>
      </c>
      <c r="I1295">
        <f t="shared" si="41"/>
        <v>6</v>
      </c>
      <c r="J1295" t="str" cm="1">
        <f t="array" ref="J1295">INDEX($A$2:$A$7,I1295)</f>
        <v>Segment 6- Self-Conscious Male</v>
      </c>
    </row>
    <row r="1296" spans="1:10" x14ac:dyDescent="0.25">
      <c r="A1296" s="1">
        <f>'batch tool'!A1290</f>
        <v>0</v>
      </c>
      <c r="B1296" s="7">
        <f>SUMPRODUCT($C$2:$X$2,'batch tool'!$B1290:$W1290)+$Y$2</f>
        <v>-49.12272534143483</v>
      </c>
      <c r="C1296" s="7">
        <f>SUMPRODUCT($C$3:$X$3,'batch tool'!$B1290:$W1290)+$Y$3</f>
        <v>-36.514029388465531</v>
      </c>
      <c r="D1296" s="7">
        <f>SUMPRODUCT($C$4:$X$4,'batch tool'!$B1290:$W1290)+$Y$4</f>
        <v>-44.639843068043824</v>
      </c>
      <c r="E1296" s="7">
        <f>SUMPRODUCT($C$5:$X$5,'batch tool'!$B1290:$W1290)+$Y$5</f>
        <v>-51.578889182477603</v>
      </c>
      <c r="F1296" s="7">
        <f>SUMPRODUCT($C$6:$X$6,'batch tool'!$B1290:$W1290)+$Y$6</f>
        <v>-47.741473633885199</v>
      </c>
      <c r="G1296" s="7">
        <f>SUMPRODUCT($C$7:$X$7,'batch tool'!$B1290:$W1290)+$Y$7</f>
        <v>-19.739516238059196</v>
      </c>
      <c r="H1296" s="7">
        <f t="shared" si="40"/>
        <v>-19.739516238059196</v>
      </c>
      <c r="I1296">
        <f t="shared" si="41"/>
        <v>6</v>
      </c>
      <c r="J1296" t="str" cm="1">
        <f t="array" ref="J1296">INDEX($A$2:$A$7,I1296)</f>
        <v>Segment 6- Self-Conscious Male</v>
      </c>
    </row>
    <row r="1297" spans="1:10" x14ac:dyDescent="0.25">
      <c r="A1297" s="1">
        <f>'batch tool'!A1291</f>
        <v>0</v>
      </c>
      <c r="B1297" s="7">
        <f>SUMPRODUCT($C$2:$X$2,'batch tool'!$B1291:$W1291)+$Y$2</f>
        <v>-49.12272534143483</v>
      </c>
      <c r="C1297" s="7">
        <f>SUMPRODUCT($C$3:$X$3,'batch tool'!$B1291:$W1291)+$Y$3</f>
        <v>-36.514029388465531</v>
      </c>
      <c r="D1297" s="7">
        <f>SUMPRODUCT($C$4:$X$4,'batch tool'!$B1291:$W1291)+$Y$4</f>
        <v>-44.639843068043824</v>
      </c>
      <c r="E1297" s="7">
        <f>SUMPRODUCT($C$5:$X$5,'batch tool'!$B1291:$W1291)+$Y$5</f>
        <v>-51.578889182477603</v>
      </c>
      <c r="F1297" s="7">
        <f>SUMPRODUCT($C$6:$X$6,'batch tool'!$B1291:$W1291)+$Y$6</f>
        <v>-47.741473633885199</v>
      </c>
      <c r="G1297" s="7">
        <f>SUMPRODUCT($C$7:$X$7,'batch tool'!$B1291:$W1291)+$Y$7</f>
        <v>-19.739516238059196</v>
      </c>
      <c r="H1297" s="7">
        <f t="shared" si="40"/>
        <v>-19.739516238059196</v>
      </c>
      <c r="I1297">
        <f t="shared" si="41"/>
        <v>6</v>
      </c>
      <c r="J1297" t="str" cm="1">
        <f t="array" ref="J1297">INDEX($A$2:$A$7,I1297)</f>
        <v>Segment 6- Self-Conscious Male</v>
      </c>
    </row>
    <row r="1298" spans="1:10" x14ac:dyDescent="0.25">
      <c r="A1298" s="1">
        <f>'batch tool'!A1292</f>
        <v>0</v>
      </c>
      <c r="B1298" s="7">
        <f>SUMPRODUCT($C$2:$X$2,'batch tool'!$B1292:$W1292)+$Y$2</f>
        <v>-49.12272534143483</v>
      </c>
      <c r="C1298" s="7">
        <f>SUMPRODUCT($C$3:$X$3,'batch tool'!$B1292:$W1292)+$Y$3</f>
        <v>-36.514029388465531</v>
      </c>
      <c r="D1298" s="7">
        <f>SUMPRODUCT($C$4:$X$4,'batch tool'!$B1292:$W1292)+$Y$4</f>
        <v>-44.639843068043824</v>
      </c>
      <c r="E1298" s="7">
        <f>SUMPRODUCT($C$5:$X$5,'batch tool'!$B1292:$W1292)+$Y$5</f>
        <v>-51.578889182477603</v>
      </c>
      <c r="F1298" s="7">
        <f>SUMPRODUCT($C$6:$X$6,'batch tool'!$B1292:$W1292)+$Y$6</f>
        <v>-47.741473633885199</v>
      </c>
      <c r="G1298" s="7">
        <f>SUMPRODUCT($C$7:$X$7,'batch tool'!$B1292:$W1292)+$Y$7</f>
        <v>-19.739516238059196</v>
      </c>
      <c r="H1298" s="7">
        <f t="shared" si="40"/>
        <v>-19.739516238059196</v>
      </c>
      <c r="I1298">
        <f t="shared" si="41"/>
        <v>6</v>
      </c>
      <c r="J1298" t="str" cm="1">
        <f t="array" ref="J1298">INDEX($A$2:$A$7,I1298)</f>
        <v>Segment 6- Self-Conscious Male</v>
      </c>
    </row>
    <row r="1299" spans="1:10" x14ac:dyDescent="0.25">
      <c r="A1299" s="1">
        <f>'batch tool'!A1293</f>
        <v>0</v>
      </c>
      <c r="B1299" s="7">
        <f>SUMPRODUCT($C$2:$X$2,'batch tool'!$B1293:$W1293)+$Y$2</f>
        <v>-49.12272534143483</v>
      </c>
      <c r="C1299" s="7">
        <f>SUMPRODUCT($C$3:$X$3,'batch tool'!$B1293:$W1293)+$Y$3</f>
        <v>-36.514029388465531</v>
      </c>
      <c r="D1299" s="7">
        <f>SUMPRODUCT($C$4:$X$4,'batch tool'!$B1293:$W1293)+$Y$4</f>
        <v>-44.639843068043824</v>
      </c>
      <c r="E1299" s="7">
        <f>SUMPRODUCT($C$5:$X$5,'batch tool'!$B1293:$W1293)+$Y$5</f>
        <v>-51.578889182477603</v>
      </c>
      <c r="F1299" s="7">
        <f>SUMPRODUCT($C$6:$X$6,'batch tool'!$B1293:$W1293)+$Y$6</f>
        <v>-47.741473633885199</v>
      </c>
      <c r="G1299" s="7">
        <f>SUMPRODUCT($C$7:$X$7,'batch tool'!$B1293:$W1293)+$Y$7</f>
        <v>-19.739516238059196</v>
      </c>
      <c r="H1299" s="7">
        <f t="shared" si="40"/>
        <v>-19.739516238059196</v>
      </c>
      <c r="I1299">
        <f t="shared" si="41"/>
        <v>6</v>
      </c>
      <c r="J1299" t="str" cm="1">
        <f t="array" ref="J1299">INDEX($A$2:$A$7,I1299)</f>
        <v>Segment 6- Self-Conscious Male</v>
      </c>
    </row>
    <row r="1300" spans="1:10" x14ac:dyDescent="0.25">
      <c r="A1300" s="1">
        <f>'batch tool'!A1294</f>
        <v>0</v>
      </c>
      <c r="B1300" s="7">
        <f>SUMPRODUCT($C$2:$X$2,'batch tool'!$B1294:$W1294)+$Y$2</f>
        <v>-49.12272534143483</v>
      </c>
      <c r="C1300" s="7">
        <f>SUMPRODUCT($C$3:$X$3,'batch tool'!$B1294:$W1294)+$Y$3</f>
        <v>-36.514029388465531</v>
      </c>
      <c r="D1300" s="7">
        <f>SUMPRODUCT($C$4:$X$4,'batch tool'!$B1294:$W1294)+$Y$4</f>
        <v>-44.639843068043824</v>
      </c>
      <c r="E1300" s="7">
        <f>SUMPRODUCT($C$5:$X$5,'batch tool'!$B1294:$W1294)+$Y$5</f>
        <v>-51.578889182477603</v>
      </c>
      <c r="F1300" s="7">
        <f>SUMPRODUCT($C$6:$X$6,'batch tool'!$B1294:$W1294)+$Y$6</f>
        <v>-47.741473633885199</v>
      </c>
      <c r="G1300" s="7">
        <f>SUMPRODUCT($C$7:$X$7,'batch tool'!$B1294:$W1294)+$Y$7</f>
        <v>-19.739516238059196</v>
      </c>
      <c r="H1300" s="7">
        <f t="shared" si="40"/>
        <v>-19.739516238059196</v>
      </c>
      <c r="I1300">
        <f t="shared" si="41"/>
        <v>6</v>
      </c>
      <c r="J1300" t="str" cm="1">
        <f t="array" ref="J1300">INDEX($A$2:$A$7,I1300)</f>
        <v>Segment 6- Self-Conscious Male</v>
      </c>
    </row>
    <row r="1301" spans="1:10" x14ac:dyDescent="0.25">
      <c r="A1301" s="1">
        <f>'batch tool'!A1295</f>
        <v>0</v>
      </c>
      <c r="B1301" s="7">
        <f>SUMPRODUCT($C$2:$X$2,'batch tool'!$B1295:$W1295)+$Y$2</f>
        <v>-49.12272534143483</v>
      </c>
      <c r="C1301" s="7">
        <f>SUMPRODUCT($C$3:$X$3,'batch tool'!$B1295:$W1295)+$Y$3</f>
        <v>-36.514029388465531</v>
      </c>
      <c r="D1301" s="7">
        <f>SUMPRODUCT($C$4:$X$4,'batch tool'!$B1295:$W1295)+$Y$4</f>
        <v>-44.639843068043824</v>
      </c>
      <c r="E1301" s="7">
        <f>SUMPRODUCT($C$5:$X$5,'batch tool'!$B1295:$W1295)+$Y$5</f>
        <v>-51.578889182477603</v>
      </c>
      <c r="F1301" s="7">
        <f>SUMPRODUCT($C$6:$X$6,'batch tool'!$B1295:$W1295)+$Y$6</f>
        <v>-47.741473633885199</v>
      </c>
      <c r="G1301" s="7">
        <f>SUMPRODUCT($C$7:$X$7,'batch tool'!$B1295:$W1295)+$Y$7</f>
        <v>-19.739516238059196</v>
      </c>
      <c r="H1301" s="7">
        <f t="shared" si="40"/>
        <v>-19.739516238059196</v>
      </c>
      <c r="I1301">
        <f t="shared" si="41"/>
        <v>6</v>
      </c>
      <c r="J1301" t="str" cm="1">
        <f t="array" ref="J1301">INDEX($A$2:$A$7,I1301)</f>
        <v>Segment 6- Self-Conscious Male</v>
      </c>
    </row>
    <row r="1302" spans="1:10" x14ac:dyDescent="0.25">
      <c r="A1302" s="1">
        <f>'batch tool'!A1296</f>
        <v>0</v>
      </c>
      <c r="B1302" s="7">
        <f>SUMPRODUCT($C$2:$X$2,'batch tool'!$B1296:$W1296)+$Y$2</f>
        <v>-49.12272534143483</v>
      </c>
      <c r="C1302" s="7">
        <f>SUMPRODUCT($C$3:$X$3,'batch tool'!$B1296:$W1296)+$Y$3</f>
        <v>-36.514029388465531</v>
      </c>
      <c r="D1302" s="7">
        <f>SUMPRODUCT($C$4:$X$4,'batch tool'!$B1296:$W1296)+$Y$4</f>
        <v>-44.639843068043824</v>
      </c>
      <c r="E1302" s="7">
        <f>SUMPRODUCT($C$5:$X$5,'batch tool'!$B1296:$W1296)+$Y$5</f>
        <v>-51.578889182477603</v>
      </c>
      <c r="F1302" s="7">
        <f>SUMPRODUCT($C$6:$X$6,'batch tool'!$B1296:$W1296)+$Y$6</f>
        <v>-47.741473633885199</v>
      </c>
      <c r="G1302" s="7">
        <f>SUMPRODUCT($C$7:$X$7,'batch tool'!$B1296:$W1296)+$Y$7</f>
        <v>-19.739516238059196</v>
      </c>
      <c r="H1302" s="7">
        <f t="shared" si="40"/>
        <v>-19.739516238059196</v>
      </c>
      <c r="I1302">
        <f t="shared" si="41"/>
        <v>6</v>
      </c>
      <c r="J1302" t="str" cm="1">
        <f t="array" ref="J1302">INDEX($A$2:$A$7,I1302)</f>
        <v>Segment 6- Self-Conscious Male</v>
      </c>
    </row>
    <row r="1303" spans="1:10" x14ac:dyDescent="0.25">
      <c r="A1303" s="1">
        <f>'batch tool'!A1297</f>
        <v>0</v>
      </c>
      <c r="B1303" s="7">
        <f>SUMPRODUCT($C$2:$X$2,'batch tool'!$B1297:$W1297)+$Y$2</f>
        <v>-49.12272534143483</v>
      </c>
      <c r="C1303" s="7">
        <f>SUMPRODUCT($C$3:$X$3,'batch tool'!$B1297:$W1297)+$Y$3</f>
        <v>-36.514029388465531</v>
      </c>
      <c r="D1303" s="7">
        <f>SUMPRODUCT($C$4:$X$4,'batch tool'!$B1297:$W1297)+$Y$4</f>
        <v>-44.639843068043824</v>
      </c>
      <c r="E1303" s="7">
        <f>SUMPRODUCT($C$5:$X$5,'batch tool'!$B1297:$W1297)+$Y$5</f>
        <v>-51.578889182477603</v>
      </c>
      <c r="F1303" s="7">
        <f>SUMPRODUCT($C$6:$X$6,'batch tool'!$B1297:$W1297)+$Y$6</f>
        <v>-47.741473633885199</v>
      </c>
      <c r="G1303" s="7">
        <f>SUMPRODUCT($C$7:$X$7,'batch tool'!$B1297:$W1297)+$Y$7</f>
        <v>-19.739516238059196</v>
      </c>
      <c r="H1303" s="7">
        <f t="shared" si="40"/>
        <v>-19.739516238059196</v>
      </c>
      <c r="I1303">
        <f t="shared" si="41"/>
        <v>6</v>
      </c>
      <c r="J1303" t="str" cm="1">
        <f t="array" ref="J1303">INDEX($A$2:$A$7,I1303)</f>
        <v>Segment 6- Self-Conscious Male</v>
      </c>
    </row>
    <row r="1304" spans="1:10" x14ac:dyDescent="0.25">
      <c r="A1304" s="1">
        <f>'batch tool'!A1298</f>
        <v>0</v>
      </c>
      <c r="B1304" s="7">
        <f>SUMPRODUCT($C$2:$X$2,'batch tool'!$B1298:$W1298)+$Y$2</f>
        <v>-49.12272534143483</v>
      </c>
      <c r="C1304" s="7">
        <f>SUMPRODUCT($C$3:$X$3,'batch tool'!$B1298:$W1298)+$Y$3</f>
        <v>-36.514029388465531</v>
      </c>
      <c r="D1304" s="7">
        <f>SUMPRODUCT($C$4:$X$4,'batch tool'!$B1298:$W1298)+$Y$4</f>
        <v>-44.639843068043824</v>
      </c>
      <c r="E1304" s="7">
        <f>SUMPRODUCT($C$5:$X$5,'batch tool'!$B1298:$W1298)+$Y$5</f>
        <v>-51.578889182477603</v>
      </c>
      <c r="F1304" s="7">
        <f>SUMPRODUCT($C$6:$X$6,'batch tool'!$B1298:$W1298)+$Y$6</f>
        <v>-47.741473633885199</v>
      </c>
      <c r="G1304" s="7">
        <f>SUMPRODUCT($C$7:$X$7,'batch tool'!$B1298:$W1298)+$Y$7</f>
        <v>-19.739516238059196</v>
      </c>
      <c r="H1304" s="7">
        <f t="shared" si="40"/>
        <v>-19.739516238059196</v>
      </c>
      <c r="I1304">
        <f t="shared" si="41"/>
        <v>6</v>
      </c>
      <c r="J1304" t="str" cm="1">
        <f t="array" ref="J1304">INDEX($A$2:$A$7,I1304)</f>
        <v>Segment 6- Self-Conscious Male</v>
      </c>
    </row>
    <row r="1305" spans="1:10" x14ac:dyDescent="0.25">
      <c r="A1305" s="1">
        <f>'batch tool'!A1299</f>
        <v>0</v>
      </c>
      <c r="B1305" s="7">
        <f>SUMPRODUCT($C$2:$X$2,'batch tool'!$B1299:$W1299)+$Y$2</f>
        <v>-49.12272534143483</v>
      </c>
      <c r="C1305" s="7">
        <f>SUMPRODUCT($C$3:$X$3,'batch tool'!$B1299:$W1299)+$Y$3</f>
        <v>-36.514029388465531</v>
      </c>
      <c r="D1305" s="7">
        <f>SUMPRODUCT($C$4:$X$4,'batch tool'!$B1299:$W1299)+$Y$4</f>
        <v>-44.639843068043824</v>
      </c>
      <c r="E1305" s="7">
        <f>SUMPRODUCT($C$5:$X$5,'batch tool'!$B1299:$W1299)+$Y$5</f>
        <v>-51.578889182477603</v>
      </c>
      <c r="F1305" s="7">
        <f>SUMPRODUCT($C$6:$X$6,'batch tool'!$B1299:$W1299)+$Y$6</f>
        <v>-47.741473633885199</v>
      </c>
      <c r="G1305" s="7">
        <f>SUMPRODUCT($C$7:$X$7,'batch tool'!$B1299:$W1299)+$Y$7</f>
        <v>-19.739516238059196</v>
      </c>
      <c r="H1305" s="7">
        <f t="shared" si="40"/>
        <v>-19.739516238059196</v>
      </c>
      <c r="I1305">
        <f t="shared" si="41"/>
        <v>6</v>
      </c>
      <c r="J1305" t="str" cm="1">
        <f t="array" ref="J1305">INDEX($A$2:$A$7,I1305)</f>
        <v>Segment 6- Self-Conscious Male</v>
      </c>
    </row>
    <row r="1306" spans="1:10" x14ac:dyDescent="0.25">
      <c r="A1306" s="1">
        <f>'batch tool'!A1300</f>
        <v>0</v>
      </c>
      <c r="B1306" s="7">
        <f>SUMPRODUCT($C$2:$X$2,'batch tool'!$B1300:$W1300)+$Y$2</f>
        <v>-49.12272534143483</v>
      </c>
      <c r="C1306" s="7">
        <f>SUMPRODUCT($C$3:$X$3,'batch tool'!$B1300:$W1300)+$Y$3</f>
        <v>-36.514029388465531</v>
      </c>
      <c r="D1306" s="7">
        <f>SUMPRODUCT($C$4:$X$4,'batch tool'!$B1300:$W1300)+$Y$4</f>
        <v>-44.639843068043824</v>
      </c>
      <c r="E1306" s="7">
        <f>SUMPRODUCT($C$5:$X$5,'batch tool'!$B1300:$W1300)+$Y$5</f>
        <v>-51.578889182477603</v>
      </c>
      <c r="F1306" s="7">
        <f>SUMPRODUCT($C$6:$X$6,'batch tool'!$B1300:$W1300)+$Y$6</f>
        <v>-47.741473633885199</v>
      </c>
      <c r="G1306" s="7">
        <f>SUMPRODUCT($C$7:$X$7,'batch tool'!$B1300:$W1300)+$Y$7</f>
        <v>-19.739516238059196</v>
      </c>
      <c r="H1306" s="7">
        <f t="shared" si="40"/>
        <v>-19.739516238059196</v>
      </c>
      <c r="I1306">
        <f t="shared" si="41"/>
        <v>6</v>
      </c>
      <c r="J1306" t="str" cm="1">
        <f t="array" ref="J1306">INDEX($A$2:$A$7,I1306)</f>
        <v>Segment 6- Self-Conscious Male</v>
      </c>
    </row>
    <row r="1307" spans="1:10" x14ac:dyDescent="0.25">
      <c r="A1307" s="1">
        <f>'batch tool'!A1301</f>
        <v>0</v>
      </c>
      <c r="B1307" s="7">
        <f>SUMPRODUCT($C$2:$X$2,'batch tool'!$B1301:$W1301)+$Y$2</f>
        <v>-49.12272534143483</v>
      </c>
      <c r="C1307" s="7">
        <f>SUMPRODUCT($C$3:$X$3,'batch tool'!$B1301:$W1301)+$Y$3</f>
        <v>-36.514029388465531</v>
      </c>
      <c r="D1307" s="7">
        <f>SUMPRODUCT($C$4:$X$4,'batch tool'!$B1301:$W1301)+$Y$4</f>
        <v>-44.639843068043824</v>
      </c>
      <c r="E1307" s="7">
        <f>SUMPRODUCT($C$5:$X$5,'batch tool'!$B1301:$W1301)+$Y$5</f>
        <v>-51.578889182477603</v>
      </c>
      <c r="F1307" s="7">
        <f>SUMPRODUCT($C$6:$X$6,'batch tool'!$B1301:$W1301)+$Y$6</f>
        <v>-47.741473633885199</v>
      </c>
      <c r="G1307" s="7">
        <f>SUMPRODUCT($C$7:$X$7,'batch tool'!$B1301:$W1301)+$Y$7</f>
        <v>-19.739516238059196</v>
      </c>
      <c r="H1307" s="7">
        <f t="shared" si="40"/>
        <v>-19.739516238059196</v>
      </c>
      <c r="I1307">
        <f t="shared" si="41"/>
        <v>6</v>
      </c>
      <c r="J1307" t="str" cm="1">
        <f t="array" ref="J1307">INDEX($A$2:$A$7,I1307)</f>
        <v>Segment 6- Self-Conscious Male</v>
      </c>
    </row>
    <row r="1308" spans="1:10" x14ac:dyDescent="0.25">
      <c r="A1308" s="1">
        <f>'batch tool'!A1302</f>
        <v>0</v>
      </c>
      <c r="B1308" s="7">
        <f>SUMPRODUCT($C$2:$X$2,'batch tool'!$B1302:$W1302)+$Y$2</f>
        <v>-49.12272534143483</v>
      </c>
      <c r="C1308" s="7">
        <f>SUMPRODUCT($C$3:$X$3,'batch tool'!$B1302:$W1302)+$Y$3</f>
        <v>-36.514029388465531</v>
      </c>
      <c r="D1308" s="7">
        <f>SUMPRODUCT($C$4:$X$4,'batch tool'!$B1302:$W1302)+$Y$4</f>
        <v>-44.639843068043824</v>
      </c>
      <c r="E1308" s="7">
        <f>SUMPRODUCT($C$5:$X$5,'batch tool'!$B1302:$W1302)+$Y$5</f>
        <v>-51.578889182477603</v>
      </c>
      <c r="F1308" s="7">
        <f>SUMPRODUCT($C$6:$X$6,'batch tool'!$B1302:$W1302)+$Y$6</f>
        <v>-47.741473633885199</v>
      </c>
      <c r="G1308" s="7">
        <f>SUMPRODUCT($C$7:$X$7,'batch tool'!$B1302:$W1302)+$Y$7</f>
        <v>-19.739516238059196</v>
      </c>
      <c r="H1308" s="7">
        <f t="shared" si="40"/>
        <v>-19.739516238059196</v>
      </c>
      <c r="I1308">
        <f t="shared" si="41"/>
        <v>6</v>
      </c>
      <c r="J1308" t="str" cm="1">
        <f t="array" ref="J1308">INDEX($A$2:$A$7,I1308)</f>
        <v>Segment 6- Self-Conscious Male</v>
      </c>
    </row>
    <row r="1309" spans="1:10" x14ac:dyDescent="0.25">
      <c r="A1309" s="1">
        <f>'batch tool'!A1303</f>
        <v>0</v>
      </c>
      <c r="B1309" s="7">
        <f>SUMPRODUCT($C$2:$X$2,'batch tool'!$B1303:$W1303)+$Y$2</f>
        <v>-49.12272534143483</v>
      </c>
      <c r="C1309" s="7">
        <f>SUMPRODUCT($C$3:$X$3,'batch tool'!$B1303:$W1303)+$Y$3</f>
        <v>-36.514029388465531</v>
      </c>
      <c r="D1309" s="7">
        <f>SUMPRODUCT($C$4:$X$4,'batch tool'!$B1303:$W1303)+$Y$4</f>
        <v>-44.639843068043824</v>
      </c>
      <c r="E1309" s="7">
        <f>SUMPRODUCT($C$5:$X$5,'batch tool'!$B1303:$W1303)+$Y$5</f>
        <v>-51.578889182477603</v>
      </c>
      <c r="F1309" s="7">
        <f>SUMPRODUCT($C$6:$X$6,'batch tool'!$B1303:$W1303)+$Y$6</f>
        <v>-47.741473633885199</v>
      </c>
      <c r="G1309" s="7">
        <f>SUMPRODUCT($C$7:$X$7,'batch tool'!$B1303:$W1303)+$Y$7</f>
        <v>-19.739516238059196</v>
      </c>
      <c r="H1309" s="7">
        <f t="shared" si="40"/>
        <v>-19.739516238059196</v>
      </c>
      <c r="I1309">
        <f t="shared" si="41"/>
        <v>6</v>
      </c>
      <c r="J1309" t="str" cm="1">
        <f t="array" ref="J1309">INDEX($A$2:$A$7,I1309)</f>
        <v>Segment 6- Self-Conscious Male</v>
      </c>
    </row>
    <row r="1310" spans="1:10" x14ac:dyDescent="0.25">
      <c r="A1310" s="1">
        <f>'batch tool'!A1304</f>
        <v>0</v>
      </c>
      <c r="B1310" s="7">
        <f>SUMPRODUCT($C$2:$X$2,'batch tool'!$B1304:$W1304)+$Y$2</f>
        <v>-49.12272534143483</v>
      </c>
      <c r="C1310" s="7">
        <f>SUMPRODUCT($C$3:$X$3,'batch tool'!$B1304:$W1304)+$Y$3</f>
        <v>-36.514029388465531</v>
      </c>
      <c r="D1310" s="7">
        <f>SUMPRODUCT($C$4:$X$4,'batch tool'!$B1304:$W1304)+$Y$4</f>
        <v>-44.639843068043824</v>
      </c>
      <c r="E1310" s="7">
        <f>SUMPRODUCT($C$5:$X$5,'batch tool'!$B1304:$W1304)+$Y$5</f>
        <v>-51.578889182477603</v>
      </c>
      <c r="F1310" s="7">
        <f>SUMPRODUCT($C$6:$X$6,'batch tool'!$B1304:$W1304)+$Y$6</f>
        <v>-47.741473633885199</v>
      </c>
      <c r="G1310" s="7">
        <f>SUMPRODUCT($C$7:$X$7,'batch tool'!$B1304:$W1304)+$Y$7</f>
        <v>-19.739516238059196</v>
      </c>
      <c r="H1310" s="7">
        <f t="shared" si="40"/>
        <v>-19.739516238059196</v>
      </c>
      <c r="I1310">
        <f t="shared" si="41"/>
        <v>6</v>
      </c>
      <c r="J1310" t="str" cm="1">
        <f t="array" ref="J1310">INDEX($A$2:$A$7,I1310)</f>
        <v>Segment 6- Self-Conscious Male</v>
      </c>
    </row>
    <row r="1311" spans="1:10" x14ac:dyDescent="0.25">
      <c r="A1311" s="1">
        <f>'batch tool'!A1305</f>
        <v>0</v>
      </c>
      <c r="B1311" s="7">
        <f>SUMPRODUCT($C$2:$X$2,'batch tool'!$B1305:$W1305)+$Y$2</f>
        <v>-49.12272534143483</v>
      </c>
      <c r="C1311" s="7">
        <f>SUMPRODUCT($C$3:$X$3,'batch tool'!$B1305:$W1305)+$Y$3</f>
        <v>-36.514029388465531</v>
      </c>
      <c r="D1311" s="7">
        <f>SUMPRODUCT($C$4:$X$4,'batch tool'!$B1305:$W1305)+$Y$4</f>
        <v>-44.639843068043824</v>
      </c>
      <c r="E1311" s="7">
        <f>SUMPRODUCT($C$5:$X$5,'batch tool'!$B1305:$W1305)+$Y$5</f>
        <v>-51.578889182477603</v>
      </c>
      <c r="F1311" s="7">
        <f>SUMPRODUCT($C$6:$X$6,'batch tool'!$B1305:$W1305)+$Y$6</f>
        <v>-47.741473633885199</v>
      </c>
      <c r="G1311" s="7">
        <f>SUMPRODUCT($C$7:$X$7,'batch tool'!$B1305:$W1305)+$Y$7</f>
        <v>-19.739516238059196</v>
      </c>
      <c r="H1311" s="7">
        <f t="shared" si="40"/>
        <v>-19.739516238059196</v>
      </c>
      <c r="I1311">
        <f t="shared" si="41"/>
        <v>6</v>
      </c>
      <c r="J1311" t="str" cm="1">
        <f t="array" ref="J1311">INDEX($A$2:$A$7,I1311)</f>
        <v>Segment 6- Self-Conscious Male</v>
      </c>
    </row>
    <row r="1312" spans="1:10" x14ac:dyDescent="0.25">
      <c r="A1312" s="1">
        <f>'batch tool'!A1306</f>
        <v>0</v>
      </c>
      <c r="B1312" s="7">
        <f>SUMPRODUCT($C$2:$X$2,'batch tool'!$B1306:$W1306)+$Y$2</f>
        <v>-49.12272534143483</v>
      </c>
      <c r="C1312" s="7">
        <f>SUMPRODUCT($C$3:$X$3,'batch tool'!$B1306:$W1306)+$Y$3</f>
        <v>-36.514029388465531</v>
      </c>
      <c r="D1312" s="7">
        <f>SUMPRODUCT($C$4:$X$4,'batch tool'!$B1306:$W1306)+$Y$4</f>
        <v>-44.639843068043824</v>
      </c>
      <c r="E1312" s="7">
        <f>SUMPRODUCT($C$5:$X$5,'batch tool'!$B1306:$W1306)+$Y$5</f>
        <v>-51.578889182477603</v>
      </c>
      <c r="F1312" s="7">
        <f>SUMPRODUCT($C$6:$X$6,'batch tool'!$B1306:$W1306)+$Y$6</f>
        <v>-47.741473633885199</v>
      </c>
      <c r="G1312" s="7">
        <f>SUMPRODUCT($C$7:$X$7,'batch tool'!$B1306:$W1306)+$Y$7</f>
        <v>-19.739516238059196</v>
      </c>
      <c r="H1312" s="7">
        <f t="shared" si="40"/>
        <v>-19.739516238059196</v>
      </c>
      <c r="I1312">
        <f t="shared" si="41"/>
        <v>6</v>
      </c>
      <c r="J1312" t="str" cm="1">
        <f t="array" ref="J1312">INDEX($A$2:$A$7,I1312)</f>
        <v>Segment 6- Self-Conscious Male</v>
      </c>
    </row>
    <row r="1313" spans="1:10" x14ac:dyDescent="0.25">
      <c r="A1313" s="1">
        <f>'batch tool'!A1307</f>
        <v>0</v>
      </c>
      <c r="B1313" s="7">
        <f>SUMPRODUCT($C$2:$X$2,'batch tool'!$B1307:$W1307)+$Y$2</f>
        <v>-49.12272534143483</v>
      </c>
      <c r="C1313" s="7">
        <f>SUMPRODUCT($C$3:$X$3,'batch tool'!$B1307:$W1307)+$Y$3</f>
        <v>-36.514029388465531</v>
      </c>
      <c r="D1313" s="7">
        <f>SUMPRODUCT($C$4:$X$4,'batch tool'!$B1307:$W1307)+$Y$4</f>
        <v>-44.639843068043824</v>
      </c>
      <c r="E1313" s="7">
        <f>SUMPRODUCT($C$5:$X$5,'batch tool'!$B1307:$W1307)+$Y$5</f>
        <v>-51.578889182477603</v>
      </c>
      <c r="F1313" s="7">
        <f>SUMPRODUCT($C$6:$X$6,'batch tool'!$B1307:$W1307)+$Y$6</f>
        <v>-47.741473633885199</v>
      </c>
      <c r="G1313" s="7">
        <f>SUMPRODUCT($C$7:$X$7,'batch tool'!$B1307:$W1307)+$Y$7</f>
        <v>-19.739516238059196</v>
      </c>
      <c r="H1313" s="7">
        <f t="shared" si="40"/>
        <v>-19.739516238059196</v>
      </c>
      <c r="I1313">
        <f t="shared" si="41"/>
        <v>6</v>
      </c>
      <c r="J1313" t="str" cm="1">
        <f t="array" ref="J1313">INDEX($A$2:$A$7,I1313)</f>
        <v>Segment 6- Self-Conscious Male</v>
      </c>
    </row>
    <row r="1314" spans="1:10" x14ac:dyDescent="0.25">
      <c r="A1314" s="1">
        <f>'batch tool'!A1308</f>
        <v>0</v>
      </c>
      <c r="B1314" s="7">
        <f>SUMPRODUCT($C$2:$X$2,'batch tool'!$B1308:$W1308)+$Y$2</f>
        <v>-49.12272534143483</v>
      </c>
      <c r="C1314" s="7">
        <f>SUMPRODUCT($C$3:$X$3,'batch tool'!$B1308:$W1308)+$Y$3</f>
        <v>-36.514029388465531</v>
      </c>
      <c r="D1314" s="7">
        <f>SUMPRODUCT($C$4:$X$4,'batch tool'!$B1308:$W1308)+$Y$4</f>
        <v>-44.639843068043824</v>
      </c>
      <c r="E1314" s="7">
        <f>SUMPRODUCT($C$5:$X$5,'batch tool'!$B1308:$W1308)+$Y$5</f>
        <v>-51.578889182477603</v>
      </c>
      <c r="F1314" s="7">
        <f>SUMPRODUCT($C$6:$X$6,'batch tool'!$B1308:$W1308)+$Y$6</f>
        <v>-47.741473633885199</v>
      </c>
      <c r="G1314" s="7">
        <f>SUMPRODUCT($C$7:$X$7,'batch tool'!$B1308:$W1308)+$Y$7</f>
        <v>-19.739516238059196</v>
      </c>
      <c r="H1314" s="7">
        <f t="shared" si="40"/>
        <v>-19.739516238059196</v>
      </c>
      <c r="I1314">
        <f t="shared" si="41"/>
        <v>6</v>
      </c>
      <c r="J1314" t="str" cm="1">
        <f t="array" ref="J1314">INDEX($A$2:$A$7,I1314)</f>
        <v>Segment 6- Self-Conscious Male</v>
      </c>
    </row>
    <row r="1315" spans="1:10" x14ac:dyDescent="0.25">
      <c r="A1315" s="1">
        <f>'batch tool'!A1309</f>
        <v>0</v>
      </c>
      <c r="B1315" s="7">
        <f>SUMPRODUCT($C$2:$X$2,'batch tool'!$B1309:$W1309)+$Y$2</f>
        <v>-49.12272534143483</v>
      </c>
      <c r="C1315" s="7">
        <f>SUMPRODUCT($C$3:$X$3,'batch tool'!$B1309:$W1309)+$Y$3</f>
        <v>-36.514029388465531</v>
      </c>
      <c r="D1315" s="7">
        <f>SUMPRODUCT($C$4:$X$4,'batch tool'!$B1309:$W1309)+$Y$4</f>
        <v>-44.639843068043824</v>
      </c>
      <c r="E1315" s="7">
        <f>SUMPRODUCT($C$5:$X$5,'batch tool'!$B1309:$W1309)+$Y$5</f>
        <v>-51.578889182477603</v>
      </c>
      <c r="F1315" s="7">
        <f>SUMPRODUCT($C$6:$X$6,'batch tool'!$B1309:$W1309)+$Y$6</f>
        <v>-47.741473633885199</v>
      </c>
      <c r="G1315" s="7">
        <f>SUMPRODUCT($C$7:$X$7,'batch tool'!$B1309:$W1309)+$Y$7</f>
        <v>-19.739516238059196</v>
      </c>
      <c r="H1315" s="7">
        <f t="shared" si="40"/>
        <v>-19.739516238059196</v>
      </c>
      <c r="I1315">
        <f t="shared" si="41"/>
        <v>6</v>
      </c>
      <c r="J1315" t="str" cm="1">
        <f t="array" ref="J1315">INDEX($A$2:$A$7,I1315)</f>
        <v>Segment 6- Self-Conscious Male</v>
      </c>
    </row>
    <row r="1316" spans="1:10" x14ac:dyDescent="0.25">
      <c r="A1316" s="1">
        <f>'batch tool'!A1310</f>
        <v>0</v>
      </c>
      <c r="B1316" s="7">
        <f>SUMPRODUCT($C$2:$X$2,'batch tool'!$B1310:$W1310)+$Y$2</f>
        <v>-49.12272534143483</v>
      </c>
      <c r="C1316" s="7">
        <f>SUMPRODUCT($C$3:$X$3,'batch tool'!$B1310:$W1310)+$Y$3</f>
        <v>-36.514029388465531</v>
      </c>
      <c r="D1316" s="7">
        <f>SUMPRODUCT($C$4:$X$4,'batch tool'!$B1310:$W1310)+$Y$4</f>
        <v>-44.639843068043824</v>
      </c>
      <c r="E1316" s="7">
        <f>SUMPRODUCT($C$5:$X$5,'batch tool'!$B1310:$W1310)+$Y$5</f>
        <v>-51.578889182477603</v>
      </c>
      <c r="F1316" s="7">
        <f>SUMPRODUCT($C$6:$X$6,'batch tool'!$B1310:$W1310)+$Y$6</f>
        <v>-47.741473633885199</v>
      </c>
      <c r="G1316" s="7">
        <f>SUMPRODUCT($C$7:$X$7,'batch tool'!$B1310:$W1310)+$Y$7</f>
        <v>-19.739516238059196</v>
      </c>
      <c r="H1316" s="7">
        <f t="shared" si="40"/>
        <v>-19.739516238059196</v>
      </c>
      <c r="I1316">
        <f t="shared" si="41"/>
        <v>6</v>
      </c>
      <c r="J1316" t="str" cm="1">
        <f t="array" ref="J1316">INDEX($A$2:$A$7,I1316)</f>
        <v>Segment 6- Self-Conscious Male</v>
      </c>
    </row>
    <row r="1317" spans="1:10" x14ac:dyDescent="0.25">
      <c r="A1317" s="1">
        <f>'batch tool'!A1311</f>
        <v>0</v>
      </c>
      <c r="B1317" s="7">
        <f>SUMPRODUCT($C$2:$X$2,'batch tool'!$B1311:$W1311)+$Y$2</f>
        <v>-49.12272534143483</v>
      </c>
      <c r="C1317" s="7">
        <f>SUMPRODUCT($C$3:$X$3,'batch tool'!$B1311:$W1311)+$Y$3</f>
        <v>-36.514029388465531</v>
      </c>
      <c r="D1317" s="7">
        <f>SUMPRODUCT($C$4:$X$4,'batch tool'!$B1311:$W1311)+$Y$4</f>
        <v>-44.639843068043824</v>
      </c>
      <c r="E1317" s="7">
        <f>SUMPRODUCT($C$5:$X$5,'batch tool'!$B1311:$W1311)+$Y$5</f>
        <v>-51.578889182477603</v>
      </c>
      <c r="F1317" s="7">
        <f>SUMPRODUCT($C$6:$X$6,'batch tool'!$B1311:$W1311)+$Y$6</f>
        <v>-47.741473633885199</v>
      </c>
      <c r="G1317" s="7">
        <f>SUMPRODUCT($C$7:$X$7,'batch tool'!$B1311:$W1311)+$Y$7</f>
        <v>-19.739516238059196</v>
      </c>
      <c r="H1317" s="7">
        <f t="shared" si="40"/>
        <v>-19.739516238059196</v>
      </c>
      <c r="I1317">
        <f t="shared" si="41"/>
        <v>6</v>
      </c>
      <c r="J1317" t="str" cm="1">
        <f t="array" ref="J1317">INDEX($A$2:$A$7,I1317)</f>
        <v>Segment 6- Self-Conscious Male</v>
      </c>
    </row>
    <row r="1318" spans="1:10" x14ac:dyDescent="0.25">
      <c r="A1318" s="1">
        <f>'batch tool'!A1312</f>
        <v>0</v>
      </c>
      <c r="B1318" s="7">
        <f>SUMPRODUCT($C$2:$X$2,'batch tool'!$B1312:$W1312)+$Y$2</f>
        <v>-49.12272534143483</v>
      </c>
      <c r="C1318" s="7">
        <f>SUMPRODUCT($C$3:$X$3,'batch tool'!$B1312:$W1312)+$Y$3</f>
        <v>-36.514029388465531</v>
      </c>
      <c r="D1318" s="7">
        <f>SUMPRODUCT($C$4:$X$4,'batch tool'!$B1312:$W1312)+$Y$4</f>
        <v>-44.639843068043824</v>
      </c>
      <c r="E1318" s="7">
        <f>SUMPRODUCT($C$5:$X$5,'batch tool'!$B1312:$W1312)+$Y$5</f>
        <v>-51.578889182477603</v>
      </c>
      <c r="F1318" s="7">
        <f>SUMPRODUCT($C$6:$X$6,'batch tool'!$B1312:$W1312)+$Y$6</f>
        <v>-47.741473633885199</v>
      </c>
      <c r="G1318" s="7">
        <f>SUMPRODUCT($C$7:$X$7,'batch tool'!$B1312:$W1312)+$Y$7</f>
        <v>-19.739516238059196</v>
      </c>
      <c r="H1318" s="7">
        <f t="shared" si="40"/>
        <v>-19.739516238059196</v>
      </c>
      <c r="I1318">
        <f t="shared" si="41"/>
        <v>6</v>
      </c>
      <c r="J1318" t="str" cm="1">
        <f t="array" ref="J1318">INDEX($A$2:$A$7,I1318)</f>
        <v>Segment 6- Self-Conscious Male</v>
      </c>
    </row>
    <row r="1319" spans="1:10" x14ac:dyDescent="0.25">
      <c r="A1319" s="1">
        <f>'batch tool'!A1313</f>
        <v>0</v>
      </c>
      <c r="B1319" s="7">
        <f>SUMPRODUCT($C$2:$X$2,'batch tool'!$B1313:$W1313)+$Y$2</f>
        <v>-49.12272534143483</v>
      </c>
      <c r="C1319" s="7">
        <f>SUMPRODUCT($C$3:$X$3,'batch tool'!$B1313:$W1313)+$Y$3</f>
        <v>-36.514029388465531</v>
      </c>
      <c r="D1319" s="7">
        <f>SUMPRODUCT($C$4:$X$4,'batch tool'!$B1313:$W1313)+$Y$4</f>
        <v>-44.639843068043824</v>
      </c>
      <c r="E1319" s="7">
        <f>SUMPRODUCT($C$5:$X$5,'batch tool'!$B1313:$W1313)+$Y$5</f>
        <v>-51.578889182477603</v>
      </c>
      <c r="F1319" s="7">
        <f>SUMPRODUCT($C$6:$X$6,'batch tool'!$B1313:$W1313)+$Y$6</f>
        <v>-47.741473633885199</v>
      </c>
      <c r="G1319" s="7">
        <f>SUMPRODUCT($C$7:$X$7,'batch tool'!$B1313:$W1313)+$Y$7</f>
        <v>-19.739516238059196</v>
      </c>
      <c r="H1319" s="7">
        <f t="shared" si="40"/>
        <v>-19.739516238059196</v>
      </c>
      <c r="I1319">
        <f t="shared" si="41"/>
        <v>6</v>
      </c>
      <c r="J1319" t="str" cm="1">
        <f t="array" ref="J1319">INDEX($A$2:$A$7,I1319)</f>
        <v>Segment 6- Self-Conscious Male</v>
      </c>
    </row>
    <row r="1320" spans="1:10" x14ac:dyDescent="0.25">
      <c r="A1320" s="1">
        <f>'batch tool'!A1314</f>
        <v>0</v>
      </c>
      <c r="B1320" s="7">
        <f>SUMPRODUCT($C$2:$X$2,'batch tool'!$B1314:$W1314)+$Y$2</f>
        <v>-49.12272534143483</v>
      </c>
      <c r="C1320" s="7">
        <f>SUMPRODUCT($C$3:$X$3,'batch tool'!$B1314:$W1314)+$Y$3</f>
        <v>-36.514029388465531</v>
      </c>
      <c r="D1320" s="7">
        <f>SUMPRODUCT($C$4:$X$4,'batch tool'!$B1314:$W1314)+$Y$4</f>
        <v>-44.639843068043824</v>
      </c>
      <c r="E1320" s="7">
        <f>SUMPRODUCT($C$5:$X$5,'batch tool'!$B1314:$W1314)+$Y$5</f>
        <v>-51.578889182477603</v>
      </c>
      <c r="F1320" s="7">
        <f>SUMPRODUCT($C$6:$X$6,'batch tool'!$B1314:$W1314)+$Y$6</f>
        <v>-47.741473633885199</v>
      </c>
      <c r="G1320" s="7">
        <f>SUMPRODUCT($C$7:$X$7,'batch tool'!$B1314:$W1314)+$Y$7</f>
        <v>-19.739516238059196</v>
      </c>
      <c r="H1320" s="7">
        <f t="shared" si="40"/>
        <v>-19.739516238059196</v>
      </c>
      <c r="I1320">
        <f t="shared" si="41"/>
        <v>6</v>
      </c>
      <c r="J1320" t="str" cm="1">
        <f t="array" ref="J1320">INDEX($A$2:$A$7,I1320)</f>
        <v>Segment 6- Self-Conscious Male</v>
      </c>
    </row>
    <row r="1321" spans="1:10" x14ac:dyDescent="0.25">
      <c r="A1321" s="1">
        <f>'batch tool'!A1315</f>
        <v>0</v>
      </c>
      <c r="B1321" s="7">
        <f>SUMPRODUCT($C$2:$X$2,'batch tool'!$B1315:$W1315)+$Y$2</f>
        <v>-49.12272534143483</v>
      </c>
      <c r="C1321" s="7">
        <f>SUMPRODUCT($C$3:$X$3,'batch tool'!$B1315:$W1315)+$Y$3</f>
        <v>-36.514029388465531</v>
      </c>
      <c r="D1321" s="7">
        <f>SUMPRODUCT($C$4:$X$4,'batch tool'!$B1315:$W1315)+$Y$4</f>
        <v>-44.639843068043824</v>
      </c>
      <c r="E1321" s="7">
        <f>SUMPRODUCT($C$5:$X$5,'batch tool'!$B1315:$W1315)+$Y$5</f>
        <v>-51.578889182477603</v>
      </c>
      <c r="F1321" s="7">
        <f>SUMPRODUCT($C$6:$X$6,'batch tool'!$B1315:$W1315)+$Y$6</f>
        <v>-47.741473633885199</v>
      </c>
      <c r="G1321" s="7">
        <f>SUMPRODUCT($C$7:$X$7,'batch tool'!$B1315:$W1315)+$Y$7</f>
        <v>-19.739516238059196</v>
      </c>
      <c r="H1321" s="7">
        <f t="shared" si="40"/>
        <v>-19.739516238059196</v>
      </c>
      <c r="I1321">
        <f t="shared" si="41"/>
        <v>6</v>
      </c>
      <c r="J1321" t="str" cm="1">
        <f t="array" ref="J1321">INDEX($A$2:$A$7,I1321)</f>
        <v>Segment 6- Self-Conscious Male</v>
      </c>
    </row>
    <row r="1322" spans="1:10" x14ac:dyDescent="0.25">
      <c r="A1322" s="1">
        <f>'batch tool'!A1316</f>
        <v>0</v>
      </c>
      <c r="B1322" s="7">
        <f>SUMPRODUCT($C$2:$X$2,'batch tool'!$B1316:$W1316)+$Y$2</f>
        <v>-49.12272534143483</v>
      </c>
      <c r="C1322" s="7">
        <f>SUMPRODUCT($C$3:$X$3,'batch tool'!$B1316:$W1316)+$Y$3</f>
        <v>-36.514029388465531</v>
      </c>
      <c r="D1322" s="7">
        <f>SUMPRODUCT($C$4:$X$4,'batch tool'!$B1316:$W1316)+$Y$4</f>
        <v>-44.639843068043824</v>
      </c>
      <c r="E1322" s="7">
        <f>SUMPRODUCT($C$5:$X$5,'batch tool'!$B1316:$W1316)+$Y$5</f>
        <v>-51.578889182477603</v>
      </c>
      <c r="F1322" s="7">
        <f>SUMPRODUCT($C$6:$X$6,'batch tool'!$B1316:$W1316)+$Y$6</f>
        <v>-47.741473633885199</v>
      </c>
      <c r="G1322" s="7">
        <f>SUMPRODUCT($C$7:$X$7,'batch tool'!$B1316:$W1316)+$Y$7</f>
        <v>-19.739516238059196</v>
      </c>
      <c r="H1322" s="7">
        <f t="shared" si="40"/>
        <v>-19.739516238059196</v>
      </c>
      <c r="I1322">
        <f t="shared" si="41"/>
        <v>6</v>
      </c>
      <c r="J1322" t="str" cm="1">
        <f t="array" ref="J1322">INDEX($A$2:$A$7,I1322)</f>
        <v>Segment 6- Self-Conscious Male</v>
      </c>
    </row>
    <row r="1323" spans="1:10" x14ac:dyDescent="0.25">
      <c r="A1323" s="1">
        <f>'batch tool'!A1317</f>
        <v>0</v>
      </c>
      <c r="B1323" s="7">
        <f>SUMPRODUCT($C$2:$X$2,'batch tool'!$B1317:$W1317)+$Y$2</f>
        <v>-49.12272534143483</v>
      </c>
      <c r="C1323" s="7">
        <f>SUMPRODUCT($C$3:$X$3,'batch tool'!$B1317:$W1317)+$Y$3</f>
        <v>-36.514029388465531</v>
      </c>
      <c r="D1323" s="7">
        <f>SUMPRODUCT($C$4:$X$4,'batch tool'!$B1317:$W1317)+$Y$4</f>
        <v>-44.639843068043824</v>
      </c>
      <c r="E1323" s="7">
        <f>SUMPRODUCT($C$5:$X$5,'batch tool'!$B1317:$W1317)+$Y$5</f>
        <v>-51.578889182477603</v>
      </c>
      <c r="F1323" s="7">
        <f>SUMPRODUCT($C$6:$X$6,'batch tool'!$B1317:$W1317)+$Y$6</f>
        <v>-47.741473633885199</v>
      </c>
      <c r="G1323" s="7">
        <f>SUMPRODUCT($C$7:$X$7,'batch tool'!$B1317:$W1317)+$Y$7</f>
        <v>-19.739516238059196</v>
      </c>
      <c r="H1323" s="7">
        <f t="shared" si="40"/>
        <v>-19.739516238059196</v>
      </c>
      <c r="I1323">
        <f t="shared" si="41"/>
        <v>6</v>
      </c>
      <c r="J1323" t="str" cm="1">
        <f t="array" ref="J1323">INDEX($A$2:$A$7,I1323)</f>
        <v>Segment 6- Self-Conscious Male</v>
      </c>
    </row>
    <row r="1324" spans="1:10" x14ac:dyDescent="0.25">
      <c r="A1324" s="1">
        <f>'batch tool'!A1318</f>
        <v>0</v>
      </c>
      <c r="B1324" s="7">
        <f>SUMPRODUCT($C$2:$X$2,'batch tool'!$B1318:$W1318)+$Y$2</f>
        <v>-49.12272534143483</v>
      </c>
      <c r="C1324" s="7">
        <f>SUMPRODUCT($C$3:$X$3,'batch tool'!$B1318:$W1318)+$Y$3</f>
        <v>-36.514029388465531</v>
      </c>
      <c r="D1324" s="7">
        <f>SUMPRODUCT($C$4:$X$4,'batch tool'!$B1318:$W1318)+$Y$4</f>
        <v>-44.639843068043824</v>
      </c>
      <c r="E1324" s="7">
        <f>SUMPRODUCT($C$5:$X$5,'batch tool'!$B1318:$W1318)+$Y$5</f>
        <v>-51.578889182477603</v>
      </c>
      <c r="F1324" s="7">
        <f>SUMPRODUCT($C$6:$X$6,'batch tool'!$B1318:$W1318)+$Y$6</f>
        <v>-47.741473633885199</v>
      </c>
      <c r="G1324" s="7">
        <f>SUMPRODUCT($C$7:$X$7,'batch tool'!$B1318:$W1318)+$Y$7</f>
        <v>-19.739516238059196</v>
      </c>
      <c r="H1324" s="7">
        <f t="shared" si="40"/>
        <v>-19.739516238059196</v>
      </c>
      <c r="I1324">
        <f t="shared" si="41"/>
        <v>6</v>
      </c>
      <c r="J1324" t="str" cm="1">
        <f t="array" ref="J1324">INDEX($A$2:$A$7,I1324)</f>
        <v>Segment 6- Self-Conscious Male</v>
      </c>
    </row>
    <row r="1325" spans="1:10" x14ac:dyDescent="0.25">
      <c r="A1325" s="1">
        <f>'batch tool'!A1319</f>
        <v>0</v>
      </c>
      <c r="B1325" s="7">
        <f>SUMPRODUCT($C$2:$X$2,'batch tool'!$B1319:$W1319)+$Y$2</f>
        <v>-49.12272534143483</v>
      </c>
      <c r="C1325" s="7">
        <f>SUMPRODUCT($C$3:$X$3,'batch tool'!$B1319:$W1319)+$Y$3</f>
        <v>-36.514029388465531</v>
      </c>
      <c r="D1325" s="7">
        <f>SUMPRODUCT($C$4:$X$4,'batch tool'!$B1319:$W1319)+$Y$4</f>
        <v>-44.639843068043824</v>
      </c>
      <c r="E1325" s="7">
        <f>SUMPRODUCT($C$5:$X$5,'batch tool'!$B1319:$W1319)+$Y$5</f>
        <v>-51.578889182477603</v>
      </c>
      <c r="F1325" s="7">
        <f>SUMPRODUCT($C$6:$X$6,'batch tool'!$B1319:$W1319)+$Y$6</f>
        <v>-47.741473633885199</v>
      </c>
      <c r="G1325" s="7">
        <f>SUMPRODUCT($C$7:$X$7,'batch tool'!$B1319:$W1319)+$Y$7</f>
        <v>-19.739516238059196</v>
      </c>
      <c r="H1325" s="7">
        <f t="shared" si="40"/>
        <v>-19.739516238059196</v>
      </c>
      <c r="I1325">
        <f t="shared" si="41"/>
        <v>6</v>
      </c>
      <c r="J1325" t="str" cm="1">
        <f t="array" ref="J1325">INDEX($A$2:$A$7,I1325)</f>
        <v>Segment 6- Self-Conscious Male</v>
      </c>
    </row>
    <row r="1326" spans="1:10" x14ac:dyDescent="0.25">
      <c r="A1326" s="1">
        <f>'batch tool'!A1320</f>
        <v>0</v>
      </c>
      <c r="B1326" s="7">
        <f>SUMPRODUCT($C$2:$X$2,'batch tool'!$B1320:$W1320)+$Y$2</f>
        <v>-49.12272534143483</v>
      </c>
      <c r="C1326" s="7">
        <f>SUMPRODUCT($C$3:$X$3,'batch tool'!$B1320:$W1320)+$Y$3</f>
        <v>-36.514029388465531</v>
      </c>
      <c r="D1326" s="7">
        <f>SUMPRODUCT($C$4:$X$4,'batch tool'!$B1320:$W1320)+$Y$4</f>
        <v>-44.639843068043824</v>
      </c>
      <c r="E1326" s="7">
        <f>SUMPRODUCT($C$5:$X$5,'batch tool'!$B1320:$W1320)+$Y$5</f>
        <v>-51.578889182477603</v>
      </c>
      <c r="F1326" s="7">
        <f>SUMPRODUCT($C$6:$X$6,'batch tool'!$B1320:$W1320)+$Y$6</f>
        <v>-47.741473633885199</v>
      </c>
      <c r="G1326" s="7">
        <f>SUMPRODUCT($C$7:$X$7,'batch tool'!$B1320:$W1320)+$Y$7</f>
        <v>-19.739516238059196</v>
      </c>
      <c r="H1326" s="7">
        <f t="shared" si="40"/>
        <v>-19.739516238059196</v>
      </c>
      <c r="I1326">
        <f t="shared" si="41"/>
        <v>6</v>
      </c>
      <c r="J1326" t="str" cm="1">
        <f t="array" ref="J1326">INDEX($A$2:$A$7,I1326)</f>
        <v>Segment 6- Self-Conscious Male</v>
      </c>
    </row>
    <row r="1327" spans="1:10" x14ac:dyDescent="0.25">
      <c r="A1327" s="1">
        <f>'batch tool'!A1321</f>
        <v>0</v>
      </c>
      <c r="B1327" s="7">
        <f>SUMPRODUCT($C$2:$X$2,'batch tool'!$B1321:$W1321)+$Y$2</f>
        <v>-49.12272534143483</v>
      </c>
      <c r="C1327" s="7">
        <f>SUMPRODUCT($C$3:$X$3,'batch tool'!$B1321:$W1321)+$Y$3</f>
        <v>-36.514029388465531</v>
      </c>
      <c r="D1327" s="7">
        <f>SUMPRODUCT($C$4:$X$4,'batch tool'!$B1321:$W1321)+$Y$4</f>
        <v>-44.639843068043824</v>
      </c>
      <c r="E1327" s="7">
        <f>SUMPRODUCT($C$5:$X$5,'batch tool'!$B1321:$W1321)+$Y$5</f>
        <v>-51.578889182477603</v>
      </c>
      <c r="F1327" s="7">
        <f>SUMPRODUCT($C$6:$X$6,'batch tool'!$B1321:$W1321)+$Y$6</f>
        <v>-47.741473633885199</v>
      </c>
      <c r="G1327" s="7">
        <f>SUMPRODUCT($C$7:$X$7,'batch tool'!$B1321:$W1321)+$Y$7</f>
        <v>-19.739516238059196</v>
      </c>
      <c r="H1327" s="7">
        <f t="shared" si="40"/>
        <v>-19.739516238059196</v>
      </c>
      <c r="I1327">
        <f t="shared" si="41"/>
        <v>6</v>
      </c>
      <c r="J1327" t="str" cm="1">
        <f t="array" ref="J1327">INDEX($A$2:$A$7,I1327)</f>
        <v>Segment 6- Self-Conscious Male</v>
      </c>
    </row>
    <row r="1328" spans="1:10" x14ac:dyDescent="0.25">
      <c r="A1328" s="1">
        <f>'batch tool'!A1322</f>
        <v>0</v>
      </c>
      <c r="B1328" s="7">
        <f>SUMPRODUCT($C$2:$X$2,'batch tool'!$B1322:$W1322)+$Y$2</f>
        <v>-49.12272534143483</v>
      </c>
      <c r="C1328" s="7">
        <f>SUMPRODUCT($C$3:$X$3,'batch tool'!$B1322:$W1322)+$Y$3</f>
        <v>-36.514029388465531</v>
      </c>
      <c r="D1328" s="7">
        <f>SUMPRODUCT($C$4:$X$4,'batch tool'!$B1322:$W1322)+$Y$4</f>
        <v>-44.639843068043824</v>
      </c>
      <c r="E1328" s="7">
        <f>SUMPRODUCT($C$5:$X$5,'batch tool'!$B1322:$W1322)+$Y$5</f>
        <v>-51.578889182477603</v>
      </c>
      <c r="F1328" s="7">
        <f>SUMPRODUCT($C$6:$X$6,'batch tool'!$B1322:$W1322)+$Y$6</f>
        <v>-47.741473633885199</v>
      </c>
      <c r="G1328" s="7">
        <f>SUMPRODUCT($C$7:$X$7,'batch tool'!$B1322:$W1322)+$Y$7</f>
        <v>-19.739516238059196</v>
      </c>
      <c r="H1328" s="7">
        <f t="shared" si="40"/>
        <v>-19.739516238059196</v>
      </c>
      <c r="I1328">
        <f t="shared" si="41"/>
        <v>6</v>
      </c>
      <c r="J1328" t="str" cm="1">
        <f t="array" ref="J1328">INDEX($A$2:$A$7,I1328)</f>
        <v>Segment 6- Self-Conscious Male</v>
      </c>
    </row>
    <row r="1329" spans="1:10" x14ac:dyDescent="0.25">
      <c r="A1329" s="1">
        <f>'batch tool'!A1323</f>
        <v>0</v>
      </c>
      <c r="B1329" s="7">
        <f>SUMPRODUCT($C$2:$X$2,'batch tool'!$B1323:$W1323)+$Y$2</f>
        <v>-49.12272534143483</v>
      </c>
      <c r="C1329" s="7">
        <f>SUMPRODUCT($C$3:$X$3,'batch tool'!$B1323:$W1323)+$Y$3</f>
        <v>-36.514029388465531</v>
      </c>
      <c r="D1329" s="7">
        <f>SUMPRODUCT($C$4:$X$4,'batch tool'!$B1323:$W1323)+$Y$4</f>
        <v>-44.639843068043824</v>
      </c>
      <c r="E1329" s="7">
        <f>SUMPRODUCT($C$5:$X$5,'batch tool'!$B1323:$W1323)+$Y$5</f>
        <v>-51.578889182477603</v>
      </c>
      <c r="F1329" s="7">
        <f>SUMPRODUCT($C$6:$X$6,'batch tool'!$B1323:$W1323)+$Y$6</f>
        <v>-47.741473633885199</v>
      </c>
      <c r="G1329" s="7">
        <f>SUMPRODUCT($C$7:$X$7,'batch tool'!$B1323:$W1323)+$Y$7</f>
        <v>-19.739516238059196</v>
      </c>
      <c r="H1329" s="7">
        <f t="shared" si="40"/>
        <v>-19.739516238059196</v>
      </c>
      <c r="I1329">
        <f t="shared" si="41"/>
        <v>6</v>
      </c>
      <c r="J1329" t="str" cm="1">
        <f t="array" ref="J1329">INDEX($A$2:$A$7,I1329)</f>
        <v>Segment 6- Self-Conscious Male</v>
      </c>
    </row>
    <row r="1330" spans="1:10" x14ac:dyDescent="0.25">
      <c r="A1330" s="1">
        <f>'batch tool'!A1324</f>
        <v>0</v>
      </c>
      <c r="B1330" s="7">
        <f>SUMPRODUCT($C$2:$X$2,'batch tool'!$B1324:$W1324)+$Y$2</f>
        <v>-49.12272534143483</v>
      </c>
      <c r="C1330" s="7">
        <f>SUMPRODUCT($C$3:$X$3,'batch tool'!$B1324:$W1324)+$Y$3</f>
        <v>-36.514029388465531</v>
      </c>
      <c r="D1330" s="7">
        <f>SUMPRODUCT($C$4:$X$4,'batch tool'!$B1324:$W1324)+$Y$4</f>
        <v>-44.639843068043824</v>
      </c>
      <c r="E1330" s="7">
        <f>SUMPRODUCT($C$5:$X$5,'batch tool'!$B1324:$W1324)+$Y$5</f>
        <v>-51.578889182477603</v>
      </c>
      <c r="F1330" s="7">
        <f>SUMPRODUCT($C$6:$X$6,'batch tool'!$B1324:$W1324)+$Y$6</f>
        <v>-47.741473633885199</v>
      </c>
      <c r="G1330" s="7">
        <f>SUMPRODUCT($C$7:$X$7,'batch tool'!$B1324:$W1324)+$Y$7</f>
        <v>-19.739516238059196</v>
      </c>
      <c r="H1330" s="7">
        <f t="shared" si="40"/>
        <v>-19.739516238059196</v>
      </c>
      <c r="I1330">
        <f t="shared" si="41"/>
        <v>6</v>
      </c>
      <c r="J1330" t="str" cm="1">
        <f t="array" ref="J1330">INDEX($A$2:$A$7,I1330)</f>
        <v>Segment 6- Self-Conscious Male</v>
      </c>
    </row>
    <row r="1331" spans="1:10" x14ac:dyDescent="0.25">
      <c r="A1331" s="1">
        <f>'batch tool'!A1325</f>
        <v>0</v>
      </c>
      <c r="B1331" s="7">
        <f>SUMPRODUCT($C$2:$X$2,'batch tool'!$B1325:$W1325)+$Y$2</f>
        <v>-49.12272534143483</v>
      </c>
      <c r="C1331" s="7">
        <f>SUMPRODUCT($C$3:$X$3,'batch tool'!$B1325:$W1325)+$Y$3</f>
        <v>-36.514029388465531</v>
      </c>
      <c r="D1331" s="7">
        <f>SUMPRODUCT($C$4:$X$4,'batch tool'!$B1325:$W1325)+$Y$4</f>
        <v>-44.639843068043824</v>
      </c>
      <c r="E1331" s="7">
        <f>SUMPRODUCT($C$5:$X$5,'batch tool'!$B1325:$W1325)+$Y$5</f>
        <v>-51.578889182477603</v>
      </c>
      <c r="F1331" s="7">
        <f>SUMPRODUCT($C$6:$X$6,'batch tool'!$B1325:$W1325)+$Y$6</f>
        <v>-47.741473633885199</v>
      </c>
      <c r="G1331" s="7">
        <f>SUMPRODUCT($C$7:$X$7,'batch tool'!$B1325:$W1325)+$Y$7</f>
        <v>-19.739516238059196</v>
      </c>
      <c r="H1331" s="7">
        <f t="shared" si="40"/>
        <v>-19.739516238059196</v>
      </c>
      <c r="I1331">
        <f t="shared" si="41"/>
        <v>6</v>
      </c>
      <c r="J1331" t="str" cm="1">
        <f t="array" ref="J1331">INDEX($A$2:$A$7,I1331)</f>
        <v>Segment 6- Self-Conscious Male</v>
      </c>
    </row>
    <row r="1332" spans="1:10" x14ac:dyDescent="0.25">
      <c r="A1332" s="1">
        <f>'batch tool'!A1326</f>
        <v>0</v>
      </c>
      <c r="B1332" s="7">
        <f>SUMPRODUCT($C$2:$X$2,'batch tool'!$B1326:$W1326)+$Y$2</f>
        <v>-49.12272534143483</v>
      </c>
      <c r="C1332" s="7">
        <f>SUMPRODUCT($C$3:$X$3,'batch tool'!$B1326:$W1326)+$Y$3</f>
        <v>-36.514029388465531</v>
      </c>
      <c r="D1332" s="7">
        <f>SUMPRODUCT($C$4:$X$4,'batch tool'!$B1326:$W1326)+$Y$4</f>
        <v>-44.639843068043824</v>
      </c>
      <c r="E1332" s="7">
        <f>SUMPRODUCT($C$5:$X$5,'batch tool'!$B1326:$W1326)+$Y$5</f>
        <v>-51.578889182477603</v>
      </c>
      <c r="F1332" s="7">
        <f>SUMPRODUCT($C$6:$X$6,'batch tool'!$B1326:$W1326)+$Y$6</f>
        <v>-47.741473633885199</v>
      </c>
      <c r="G1332" s="7">
        <f>SUMPRODUCT($C$7:$X$7,'batch tool'!$B1326:$W1326)+$Y$7</f>
        <v>-19.739516238059196</v>
      </c>
      <c r="H1332" s="7">
        <f t="shared" si="40"/>
        <v>-19.739516238059196</v>
      </c>
      <c r="I1332">
        <f t="shared" si="41"/>
        <v>6</v>
      </c>
      <c r="J1332" t="str" cm="1">
        <f t="array" ref="J1332">INDEX($A$2:$A$7,I1332)</f>
        <v>Segment 6- Self-Conscious Male</v>
      </c>
    </row>
    <row r="1333" spans="1:10" x14ac:dyDescent="0.25">
      <c r="A1333" s="1">
        <f>'batch tool'!A1327</f>
        <v>0</v>
      </c>
      <c r="B1333" s="7">
        <f>SUMPRODUCT($C$2:$X$2,'batch tool'!$B1327:$W1327)+$Y$2</f>
        <v>-49.12272534143483</v>
      </c>
      <c r="C1333" s="7">
        <f>SUMPRODUCT($C$3:$X$3,'batch tool'!$B1327:$W1327)+$Y$3</f>
        <v>-36.514029388465531</v>
      </c>
      <c r="D1333" s="7">
        <f>SUMPRODUCT($C$4:$X$4,'batch tool'!$B1327:$W1327)+$Y$4</f>
        <v>-44.639843068043824</v>
      </c>
      <c r="E1333" s="7">
        <f>SUMPRODUCT($C$5:$X$5,'batch tool'!$B1327:$W1327)+$Y$5</f>
        <v>-51.578889182477603</v>
      </c>
      <c r="F1333" s="7">
        <f>SUMPRODUCT($C$6:$X$6,'batch tool'!$B1327:$W1327)+$Y$6</f>
        <v>-47.741473633885199</v>
      </c>
      <c r="G1333" s="7">
        <f>SUMPRODUCT($C$7:$X$7,'batch tool'!$B1327:$W1327)+$Y$7</f>
        <v>-19.739516238059196</v>
      </c>
      <c r="H1333" s="7">
        <f t="shared" si="40"/>
        <v>-19.739516238059196</v>
      </c>
      <c r="I1333">
        <f t="shared" si="41"/>
        <v>6</v>
      </c>
      <c r="J1333" t="str" cm="1">
        <f t="array" ref="J1333">INDEX($A$2:$A$7,I1333)</f>
        <v>Segment 6- Self-Conscious Male</v>
      </c>
    </row>
    <row r="1334" spans="1:10" x14ac:dyDescent="0.25">
      <c r="A1334" s="1">
        <f>'batch tool'!A1328</f>
        <v>0</v>
      </c>
      <c r="B1334" s="7">
        <f>SUMPRODUCT($C$2:$X$2,'batch tool'!$B1328:$W1328)+$Y$2</f>
        <v>-49.12272534143483</v>
      </c>
      <c r="C1334" s="7">
        <f>SUMPRODUCT($C$3:$X$3,'batch tool'!$B1328:$W1328)+$Y$3</f>
        <v>-36.514029388465531</v>
      </c>
      <c r="D1334" s="7">
        <f>SUMPRODUCT($C$4:$X$4,'batch tool'!$B1328:$W1328)+$Y$4</f>
        <v>-44.639843068043824</v>
      </c>
      <c r="E1334" s="7">
        <f>SUMPRODUCT($C$5:$X$5,'batch tool'!$B1328:$W1328)+$Y$5</f>
        <v>-51.578889182477603</v>
      </c>
      <c r="F1334" s="7">
        <f>SUMPRODUCT($C$6:$X$6,'batch tool'!$B1328:$W1328)+$Y$6</f>
        <v>-47.741473633885199</v>
      </c>
      <c r="G1334" s="7">
        <f>SUMPRODUCT($C$7:$X$7,'batch tool'!$B1328:$W1328)+$Y$7</f>
        <v>-19.739516238059196</v>
      </c>
      <c r="H1334" s="7">
        <f t="shared" si="40"/>
        <v>-19.739516238059196</v>
      </c>
      <c r="I1334">
        <f t="shared" si="41"/>
        <v>6</v>
      </c>
      <c r="J1334" t="str" cm="1">
        <f t="array" ref="J1334">INDEX($A$2:$A$7,I1334)</f>
        <v>Segment 6- Self-Conscious Male</v>
      </c>
    </row>
    <row r="1335" spans="1:10" x14ac:dyDescent="0.25">
      <c r="A1335" s="1">
        <f>'batch tool'!A1329</f>
        <v>0</v>
      </c>
      <c r="B1335" s="7">
        <f>SUMPRODUCT($C$2:$X$2,'batch tool'!$B1329:$W1329)+$Y$2</f>
        <v>-49.12272534143483</v>
      </c>
      <c r="C1335" s="7">
        <f>SUMPRODUCT($C$3:$X$3,'batch tool'!$B1329:$W1329)+$Y$3</f>
        <v>-36.514029388465531</v>
      </c>
      <c r="D1335" s="7">
        <f>SUMPRODUCT($C$4:$X$4,'batch tool'!$B1329:$W1329)+$Y$4</f>
        <v>-44.639843068043824</v>
      </c>
      <c r="E1335" s="7">
        <f>SUMPRODUCT($C$5:$X$5,'batch tool'!$B1329:$W1329)+$Y$5</f>
        <v>-51.578889182477603</v>
      </c>
      <c r="F1335" s="7">
        <f>SUMPRODUCT($C$6:$X$6,'batch tool'!$B1329:$W1329)+$Y$6</f>
        <v>-47.741473633885199</v>
      </c>
      <c r="G1335" s="7">
        <f>SUMPRODUCT($C$7:$X$7,'batch tool'!$B1329:$W1329)+$Y$7</f>
        <v>-19.739516238059196</v>
      </c>
      <c r="H1335" s="7">
        <f t="shared" si="40"/>
        <v>-19.739516238059196</v>
      </c>
      <c r="I1335">
        <f t="shared" si="41"/>
        <v>6</v>
      </c>
      <c r="J1335" t="str" cm="1">
        <f t="array" ref="J1335">INDEX($A$2:$A$7,I1335)</f>
        <v>Segment 6- Self-Conscious Male</v>
      </c>
    </row>
    <row r="1336" spans="1:10" x14ac:dyDescent="0.25">
      <c r="A1336" s="1">
        <f>'batch tool'!A1330</f>
        <v>0</v>
      </c>
      <c r="B1336" s="7">
        <f>SUMPRODUCT($C$2:$X$2,'batch tool'!$B1330:$W1330)+$Y$2</f>
        <v>-49.12272534143483</v>
      </c>
      <c r="C1336" s="7">
        <f>SUMPRODUCT($C$3:$X$3,'batch tool'!$B1330:$W1330)+$Y$3</f>
        <v>-36.514029388465531</v>
      </c>
      <c r="D1336" s="7">
        <f>SUMPRODUCT($C$4:$X$4,'batch tool'!$B1330:$W1330)+$Y$4</f>
        <v>-44.639843068043824</v>
      </c>
      <c r="E1336" s="7">
        <f>SUMPRODUCT($C$5:$X$5,'batch tool'!$B1330:$W1330)+$Y$5</f>
        <v>-51.578889182477603</v>
      </c>
      <c r="F1336" s="7">
        <f>SUMPRODUCT($C$6:$X$6,'batch tool'!$B1330:$W1330)+$Y$6</f>
        <v>-47.741473633885199</v>
      </c>
      <c r="G1336" s="7">
        <f>SUMPRODUCT($C$7:$X$7,'batch tool'!$B1330:$W1330)+$Y$7</f>
        <v>-19.739516238059196</v>
      </c>
      <c r="H1336" s="7">
        <f t="shared" si="40"/>
        <v>-19.739516238059196</v>
      </c>
      <c r="I1336">
        <f t="shared" si="41"/>
        <v>6</v>
      </c>
      <c r="J1336" t="str" cm="1">
        <f t="array" ref="J1336">INDEX($A$2:$A$7,I1336)</f>
        <v>Segment 6- Self-Conscious Male</v>
      </c>
    </row>
    <row r="1337" spans="1:10" x14ac:dyDescent="0.25">
      <c r="A1337" s="1">
        <f>'batch tool'!A1331</f>
        <v>0</v>
      </c>
      <c r="B1337" s="7">
        <f>SUMPRODUCT($C$2:$X$2,'batch tool'!$B1331:$W1331)+$Y$2</f>
        <v>-49.12272534143483</v>
      </c>
      <c r="C1337" s="7">
        <f>SUMPRODUCT($C$3:$X$3,'batch tool'!$B1331:$W1331)+$Y$3</f>
        <v>-36.514029388465531</v>
      </c>
      <c r="D1337" s="7">
        <f>SUMPRODUCT($C$4:$X$4,'batch tool'!$B1331:$W1331)+$Y$4</f>
        <v>-44.639843068043824</v>
      </c>
      <c r="E1337" s="7">
        <f>SUMPRODUCT($C$5:$X$5,'batch tool'!$B1331:$W1331)+$Y$5</f>
        <v>-51.578889182477603</v>
      </c>
      <c r="F1337" s="7">
        <f>SUMPRODUCT($C$6:$X$6,'batch tool'!$B1331:$W1331)+$Y$6</f>
        <v>-47.741473633885199</v>
      </c>
      <c r="G1337" s="7">
        <f>SUMPRODUCT($C$7:$X$7,'batch tool'!$B1331:$W1331)+$Y$7</f>
        <v>-19.739516238059196</v>
      </c>
      <c r="H1337" s="7">
        <f t="shared" si="40"/>
        <v>-19.739516238059196</v>
      </c>
      <c r="I1337">
        <f t="shared" si="41"/>
        <v>6</v>
      </c>
      <c r="J1337" t="str" cm="1">
        <f t="array" ref="J1337">INDEX($A$2:$A$7,I1337)</f>
        <v>Segment 6- Self-Conscious Male</v>
      </c>
    </row>
    <row r="1338" spans="1:10" x14ac:dyDescent="0.25">
      <c r="A1338" s="1">
        <f>'batch tool'!A1332</f>
        <v>0</v>
      </c>
      <c r="B1338" s="7">
        <f>SUMPRODUCT($C$2:$X$2,'batch tool'!$B1332:$W1332)+$Y$2</f>
        <v>-49.12272534143483</v>
      </c>
      <c r="C1338" s="7">
        <f>SUMPRODUCT($C$3:$X$3,'batch tool'!$B1332:$W1332)+$Y$3</f>
        <v>-36.514029388465531</v>
      </c>
      <c r="D1338" s="7">
        <f>SUMPRODUCT($C$4:$X$4,'batch tool'!$B1332:$W1332)+$Y$4</f>
        <v>-44.639843068043824</v>
      </c>
      <c r="E1338" s="7">
        <f>SUMPRODUCT($C$5:$X$5,'batch tool'!$B1332:$W1332)+$Y$5</f>
        <v>-51.578889182477603</v>
      </c>
      <c r="F1338" s="7">
        <f>SUMPRODUCT($C$6:$X$6,'batch tool'!$B1332:$W1332)+$Y$6</f>
        <v>-47.741473633885199</v>
      </c>
      <c r="G1338" s="7">
        <f>SUMPRODUCT($C$7:$X$7,'batch tool'!$B1332:$W1332)+$Y$7</f>
        <v>-19.739516238059196</v>
      </c>
      <c r="H1338" s="7">
        <f t="shared" si="40"/>
        <v>-19.739516238059196</v>
      </c>
      <c r="I1338">
        <f t="shared" si="41"/>
        <v>6</v>
      </c>
      <c r="J1338" t="str" cm="1">
        <f t="array" ref="J1338">INDEX($A$2:$A$7,I1338)</f>
        <v>Segment 6- Self-Conscious Male</v>
      </c>
    </row>
    <row r="1339" spans="1:10" x14ac:dyDescent="0.25">
      <c r="A1339" s="1">
        <f>'batch tool'!A1333</f>
        <v>0</v>
      </c>
      <c r="B1339" s="7">
        <f>SUMPRODUCT($C$2:$X$2,'batch tool'!$B1333:$W1333)+$Y$2</f>
        <v>-49.12272534143483</v>
      </c>
      <c r="C1339" s="7">
        <f>SUMPRODUCT($C$3:$X$3,'batch tool'!$B1333:$W1333)+$Y$3</f>
        <v>-36.514029388465531</v>
      </c>
      <c r="D1339" s="7">
        <f>SUMPRODUCT($C$4:$X$4,'batch tool'!$B1333:$W1333)+$Y$4</f>
        <v>-44.639843068043824</v>
      </c>
      <c r="E1339" s="7">
        <f>SUMPRODUCT($C$5:$X$5,'batch tool'!$B1333:$W1333)+$Y$5</f>
        <v>-51.578889182477603</v>
      </c>
      <c r="F1339" s="7">
        <f>SUMPRODUCT($C$6:$X$6,'batch tool'!$B1333:$W1333)+$Y$6</f>
        <v>-47.741473633885199</v>
      </c>
      <c r="G1339" s="7">
        <f>SUMPRODUCT($C$7:$X$7,'batch tool'!$B1333:$W1333)+$Y$7</f>
        <v>-19.739516238059196</v>
      </c>
      <c r="H1339" s="7">
        <f t="shared" si="40"/>
        <v>-19.739516238059196</v>
      </c>
      <c r="I1339">
        <f t="shared" si="41"/>
        <v>6</v>
      </c>
      <c r="J1339" t="str" cm="1">
        <f t="array" ref="J1339">INDEX($A$2:$A$7,I1339)</f>
        <v>Segment 6- Self-Conscious Male</v>
      </c>
    </row>
    <row r="1340" spans="1:10" x14ac:dyDescent="0.25">
      <c r="A1340" s="1">
        <f>'batch tool'!A1334</f>
        <v>0</v>
      </c>
      <c r="B1340" s="7">
        <f>SUMPRODUCT($C$2:$X$2,'batch tool'!$B1334:$W1334)+$Y$2</f>
        <v>-49.12272534143483</v>
      </c>
      <c r="C1340" s="7">
        <f>SUMPRODUCT($C$3:$X$3,'batch tool'!$B1334:$W1334)+$Y$3</f>
        <v>-36.514029388465531</v>
      </c>
      <c r="D1340" s="7">
        <f>SUMPRODUCT($C$4:$X$4,'batch tool'!$B1334:$W1334)+$Y$4</f>
        <v>-44.639843068043824</v>
      </c>
      <c r="E1340" s="7">
        <f>SUMPRODUCT($C$5:$X$5,'batch tool'!$B1334:$W1334)+$Y$5</f>
        <v>-51.578889182477603</v>
      </c>
      <c r="F1340" s="7">
        <f>SUMPRODUCT($C$6:$X$6,'batch tool'!$B1334:$W1334)+$Y$6</f>
        <v>-47.741473633885199</v>
      </c>
      <c r="G1340" s="7">
        <f>SUMPRODUCT($C$7:$X$7,'batch tool'!$B1334:$W1334)+$Y$7</f>
        <v>-19.739516238059196</v>
      </c>
      <c r="H1340" s="7">
        <f t="shared" si="40"/>
        <v>-19.739516238059196</v>
      </c>
      <c r="I1340">
        <f t="shared" si="41"/>
        <v>6</v>
      </c>
      <c r="J1340" t="str" cm="1">
        <f t="array" ref="J1340">INDEX($A$2:$A$7,I1340)</f>
        <v>Segment 6- Self-Conscious Male</v>
      </c>
    </row>
    <row r="1341" spans="1:10" x14ac:dyDescent="0.25">
      <c r="A1341" s="1">
        <f>'batch tool'!A1335</f>
        <v>0</v>
      </c>
      <c r="B1341" s="7">
        <f>SUMPRODUCT($C$2:$X$2,'batch tool'!$B1335:$W1335)+$Y$2</f>
        <v>-49.12272534143483</v>
      </c>
      <c r="C1341" s="7">
        <f>SUMPRODUCT($C$3:$X$3,'batch tool'!$B1335:$W1335)+$Y$3</f>
        <v>-36.514029388465531</v>
      </c>
      <c r="D1341" s="7">
        <f>SUMPRODUCT($C$4:$X$4,'batch tool'!$B1335:$W1335)+$Y$4</f>
        <v>-44.639843068043824</v>
      </c>
      <c r="E1341" s="7">
        <f>SUMPRODUCT($C$5:$X$5,'batch tool'!$B1335:$W1335)+$Y$5</f>
        <v>-51.578889182477603</v>
      </c>
      <c r="F1341" s="7">
        <f>SUMPRODUCT($C$6:$X$6,'batch tool'!$B1335:$W1335)+$Y$6</f>
        <v>-47.741473633885199</v>
      </c>
      <c r="G1341" s="7">
        <f>SUMPRODUCT($C$7:$X$7,'batch tool'!$B1335:$W1335)+$Y$7</f>
        <v>-19.739516238059196</v>
      </c>
      <c r="H1341" s="7">
        <f t="shared" si="40"/>
        <v>-19.739516238059196</v>
      </c>
      <c r="I1341">
        <f t="shared" si="41"/>
        <v>6</v>
      </c>
      <c r="J1341" t="str" cm="1">
        <f t="array" ref="J1341">INDEX($A$2:$A$7,I1341)</f>
        <v>Segment 6- Self-Conscious Male</v>
      </c>
    </row>
    <row r="1342" spans="1:10" x14ac:dyDescent="0.25">
      <c r="A1342" s="1">
        <f>'batch tool'!A1336</f>
        <v>0</v>
      </c>
      <c r="B1342" s="7">
        <f>SUMPRODUCT($C$2:$X$2,'batch tool'!$B1336:$W1336)+$Y$2</f>
        <v>-49.12272534143483</v>
      </c>
      <c r="C1342" s="7">
        <f>SUMPRODUCT($C$3:$X$3,'batch tool'!$B1336:$W1336)+$Y$3</f>
        <v>-36.514029388465531</v>
      </c>
      <c r="D1342" s="7">
        <f>SUMPRODUCT($C$4:$X$4,'batch tool'!$B1336:$W1336)+$Y$4</f>
        <v>-44.639843068043824</v>
      </c>
      <c r="E1342" s="7">
        <f>SUMPRODUCT($C$5:$X$5,'batch tool'!$B1336:$W1336)+$Y$5</f>
        <v>-51.578889182477603</v>
      </c>
      <c r="F1342" s="7">
        <f>SUMPRODUCT($C$6:$X$6,'batch tool'!$B1336:$W1336)+$Y$6</f>
        <v>-47.741473633885199</v>
      </c>
      <c r="G1342" s="7">
        <f>SUMPRODUCT($C$7:$X$7,'batch tool'!$B1336:$W1336)+$Y$7</f>
        <v>-19.739516238059196</v>
      </c>
      <c r="H1342" s="7">
        <f t="shared" si="40"/>
        <v>-19.739516238059196</v>
      </c>
      <c r="I1342">
        <f t="shared" si="41"/>
        <v>6</v>
      </c>
      <c r="J1342" t="str" cm="1">
        <f t="array" ref="J1342">INDEX($A$2:$A$7,I1342)</f>
        <v>Segment 6- Self-Conscious Male</v>
      </c>
    </row>
    <row r="1343" spans="1:10" x14ac:dyDescent="0.25">
      <c r="A1343" s="1">
        <f>'batch tool'!A1337</f>
        <v>0</v>
      </c>
      <c r="B1343" s="7">
        <f>SUMPRODUCT($C$2:$X$2,'batch tool'!$B1337:$W1337)+$Y$2</f>
        <v>-49.12272534143483</v>
      </c>
      <c r="C1343" s="7">
        <f>SUMPRODUCT($C$3:$X$3,'batch tool'!$B1337:$W1337)+$Y$3</f>
        <v>-36.514029388465531</v>
      </c>
      <c r="D1343" s="7">
        <f>SUMPRODUCT($C$4:$X$4,'batch tool'!$B1337:$W1337)+$Y$4</f>
        <v>-44.639843068043824</v>
      </c>
      <c r="E1343" s="7">
        <f>SUMPRODUCT($C$5:$X$5,'batch tool'!$B1337:$W1337)+$Y$5</f>
        <v>-51.578889182477603</v>
      </c>
      <c r="F1343" s="7">
        <f>SUMPRODUCT($C$6:$X$6,'batch tool'!$B1337:$W1337)+$Y$6</f>
        <v>-47.741473633885199</v>
      </c>
      <c r="G1343" s="7">
        <f>SUMPRODUCT($C$7:$X$7,'batch tool'!$B1337:$W1337)+$Y$7</f>
        <v>-19.739516238059196</v>
      </c>
      <c r="H1343" s="7">
        <f t="shared" si="40"/>
        <v>-19.739516238059196</v>
      </c>
      <c r="I1343">
        <f t="shared" si="41"/>
        <v>6</v>
      </c>
      <c r="J1343" t="str" cm="1">
        <f t="array" ref="J1343">INDEX($A$2:$A$7,I1343)</f>
        <v>Segment 6- Self-Conscious Male</v>
      </c>
    </row>
    <row r="1344" spans="1:10" x14ac:dyDescent="0.25">
      <c r="A1344" s="1">
        <f>'batch tool'!A1338</f>
        <v>0</v>
      </c>
      <c r="B1344" s="7">
        <f>SUMPRODUCT($C$2:$X$2,'batch tool'!$B1338:$W1338)+$Y$2</f>
        <v>-49.12272534143483</v>
      </c>
      <c r="C1344" s="7">
        <f>SUMPRODUCT($C$3:$X$3,'batch tool'!$B1338:$W1338)+$Y$3</f>
        <v>-36.514029388465531</v>
      </c>
      <c r="D1344" s="7">
        <f>SUMPRODUCT($C$4:$X$4,'batch tool'!$B1338:$W1338)+$Y$4</f>
        <v>-44.639843068043824</v>
      </c>
      <c r="E1344" s="7">
        <f>SUMPRODUCT($C$5:$X$5,'batch tool'!$B1338:$W1338)+$Y$5</f>
        <v>-51.578889182477603</v>
      </c>
      <c r="F1344" s="7">
        <f>SUMPRODUCT($C$6:$X$6,'batch tool'!$B1338:$W1338)+$Y$6</f>
        <v>-47.741473633885199</v>
      </c>
      <c r="G1344" s="7">
        <f>SUMPRODUCT($C$7:$X$7,'batch tool'!$B1338:$W1338)+$Y$7</f>
        <v>-19.739516238059196</v>
      </c>
      <c r="H1344" s="7">
        <f t="shared" si="40"/>
        <v>-19.739516238059196</v>
      </c>
      <c r="I1344">
        <f t="shared" si="41"/>
        <v>6</v>
      </c>
      <c r="J1344" t="str" cm="1">
        <f t="array" ref="J1344">INDEX($A$2:$A$7,I1344)</f>
        <v>Segment 6- Self-Conscious Male</v>
      </c>
    </row>
    <row r="1345" spans="1:10" x14ac:dyDescent="0.25">
      <c r="A1345" s="1">
        <f>'batch tool'!A1339</f>
        <v>0</v>
      </c>
      <c r="B1345" s="7">
        <f>SUMPRODUCT($C$2:$X$2,'batch tool'!$B1339:$W1339)+$Y$2</f>
        <v>-49.12272534143483</v>
      </c>
      <c r="C1345" s="7">
        <f>SUMPRODUCT($C$3:$X$3,'batch tool'!$B1339:$W1339)+$Y$3</f>
        <v>-36.514029388465531</v>
      </c>
      <c r="D1345" s="7">
        <f>SUMPRODUCT($C$4:$X$4,'batch tool'!$B1339:$W1339)+$Y$4</f>
        <v>-44.639843068043824</v>
      </c>
      <c r="E1345" s="7">
        <f>SUMPRODUCT($C$5:$X$5,'batch tool'!$B1339:$W1339)+$Y$5</f>
        <v>-51.578889182477603</v>
      </c>
      <c r="F1345" s="7">
        <f>SUMPRODUCT($C$6:$X$6,'batch tool'!$B1339:$W1339)+$Y$6</f>
        <v>-47.741473633885199</v>
      </c>
      <c r="G1345" s="7">
        <f>SUMPRODUCT($C$7:$X$7,'batch tool'!$B1339:$W1339)+$Y$7</f>
        <v>-19.739516238059196</v>
      </c>
      <c r="H1345" s="7">
        <f t="shared" si="40"/>
        <v>-19.739516238059196</v>
      </c>
      <c r="I1345">
        <f t="shared" si="41"/>
        <v>6</v>
      </c>
      <c r="J1345" t="str" cm="1">
        <f t="array" ref="J1345">INDEX($A$2:$A$7,I1345)</f>
        <v>Segment 6- Self-Conscious Male</v>
      </c>
    </row>
    <row r="1346" spans="1:10" x14ac:dyDescent="0.25">
      <c r="A1346" s="1">
        <f>'batch tool'!A1340</f>
        <v>0</v>
      </c>
      <c r="B1346" s="7">
        <f>SUMPRODUCT($C$2:$X$2,'batch tool'!$B1340:$W1340)+$Y$2</f>
        <v>-49.12272534143483</v>
      </c>
      <c r="C1346" s="7">
        <f>SUMPRODUCT($C$3:$X$3,'batch tool'!$B1340:$W1340)+$Y$3</f>
        <v>-36.514029388465531</v>
      </c>
      <c r="D1346" s="7">
        <f>SUMPRODUCT($C$4:$X$4,'batch tool'!$B1340:$W1340)+$Y$4</f>
        <v>-44.639843068043824</v>
      </c>
      <c r="E1346" s="7">
        <f>SUMPRODUCT($C$5:$X$5,'batch tool'!$B1340:$W1340)+$Y$5</f>
        <v>-51.578889182477603</v>
      </c>
      <c r="F1346" s="7">
        <f>SUMPRODUCT($C$6:$X$6,'batch tool'!$B1340:$W1340)+$Y$6</f>
        <v>-47.741473633885199</v>
      </c>
      <c r="G1346" s="7">
        <f>SUMPRODUCT($C$7:$X$7,'batch tool'!$B1340:$W1340)+$Y$7</f>
        <v>-19.739516238059196</v>
      </c>
      <c r="H1346" s="7">
        <f t="shared" si="40"/>
        <v>-19.739516238059196</v>
      </c>
      <c r="I1346">
        <f t="shared" si="41"/>
        <v>6</v>
      </c>
      <c r="J1346" t="str" cm="1">
        <f t="array" ref="J1346">INDEX($A$2:$A$7,I1346)</f>
        <v>Segment 6- Self-Conscious Male</v>
      </c>
    </row>
    <row r="1347" spans="1:10" x14ac:dyDescent="0.25">
      <c r="A1347" s="1">
        <f>'batch tool'!A1341</f>
        <v>0</v>
      </c>
      <c r="B1347" s="7">
        <f>SUMPRODUCT($C$2:$X$2,'batch tool'!$B1341:$W1341)+$Y$2</f>
        <v>-49.12272534143483</v>
      </c>
      <c r="C1347" s="7">
        <f>SUMPRODUCT($C$3:$X$3,'batch tool'!$B1341:$W1341)+$Y$3</f>
        <v>-36.514029388465531</v>
      </c>
      <c r="D1347" s="7">
        <f>SUMPRODUCT($C$4:$X$4,'batch tool'!$B1341:$W1341)+$Y$4</f>
        <v>-44.639843068043824</v>
      </c>
      <c r="E1347" s="7">
        <f>SUMPRODUCT($C$5:$X$5,'batch tool'!$B1341:$W1341)+$Y$5</f>
        <v>-51.578889182477603</v>
      </c>
      <c r="F1347" s="7">
        <f>SUMPRODUCT($C$6:$X$6,'batch tool'!$B1341:$W1341)+$Y$6</f>
        <v>-47.741473633885199</v>
      </c>
      <c r="G1347" s="7">
        <f>SUMPRODUCT($C$7:$X$7,'batch tool'!$B1341:$W1341)+$Y$7</f>
        <v>-19.739516238059196</v>
      </c>
      <c r="H1347" s="7">
        <f t="shared" si="40"/>
        <v>-19.739516238059196</v>
      </c>
      <c r="I1347">
        <f t="shared" si="41"/>
        <v>6</v>
      </c>
      <c r="J1347" t="str" cm="1">
        <f t="array" ref="J1347">INDEX($A$2:$A$7,I1347)</f>
        <v>Segment 6- Self-Conscious Male</v>
      </c>
    </row>
    <row r="1348" spans="1:10" x14ac:dyDescent="0.25">
      <c r="A1348" s="1">
        <f>'batch tool'!A1342</f>
        <v>0</v>
      </c>
      <c r="B1348" s="7">
        <f>SUMPRODUCT($C$2:$X$2,'batch tool'!$B1342:$W1342)+$Y$2</f>
        <v>-49.12272534143483</v>
      </c>
      <c r="C1348" s="7">
        <f>SUMPRODUCT($C$3:$X$3,'batch tool'!$B1342:$W1342)+$Y$3</f>
        <v>-36.514029388465531</v>
      </c>
      <c r="D1348" s="7">
        <f>SUMPRODUCT($C$4:$X$4,'batch tool'!$B1342:$W1342)+$Y$4</f>
        <v>-44.639843068043824</v>
      </c>
      <c r="E1348" s="7">
        <f>SUMPRODUCT($C$5:$X$5,'batch tool'!$B1342:$W1342)+$Y$5</f>
        <v>-51.578889182477603</v>
      </c>
      <c r="F1348" s="7">
        <f>SUMPRODUCT($C$6:$X$6,'batch tool'!$B1342:$W1342)+$Y$6</f>
        <v>-47.741473633885199</v>
      </c>
      <c r="G1348" s="7">
        <f>SUMPRODUCT($C$7:$X$7,'batch tool'!$B1342:$W1342)+$Y$7</f>
        <v>-19.739516238059196</v>
      </c>
      <c r="H1348" s="7">
        <f t="shared" si="40"/>
        <v>-19.739516238059196</v>
      </c>
      <c r="I1348">
        <f t="shared" si="41"/>
        <v>6</v>
      </c>
      <c r="J1348" t="str" cm="1">
        <f t="array" ref="J1348">INDEX($A$2:$A$7,I1348)</f>
        <v>Segment 6- Self-Conscious Male</v>
      </c>
    </row>
    <row r="1349" spans="1:10" x14ac:dyDescent="0.25">
      <c r="A1349" s="1">
        <f>'batch tool'!A1343</f>
        <v>0</v>
      </c>
      <c r="B1349" s="7">
        <f>SUMPRODUCT($C$2:$X$2,'batch tool'!$B1343:$W1343)+$Y$2</f>
        <v>-49.12272534143483</v>
      </c>
      <c r="C1349" s="7">
        <f>SUMPRODUCT($C$3:$X$3,'batch tool'!$B1343:$W1343)+$Y$3</f>
        <v>-36.514029388465531</v>
      </c>
      <c r="D1349" s="7">
        <f>SUMPRODUCT($C$4:$X$4,'batch tool'!$B1343:$W1343)+$Y$4</f>
        <v>-44.639843068043824</v>
      </c>
      <c r="E1349" s="7">
        <f>SUMPRODUCT($C$5:$X$5,'batch tool'!$B1343:$W1343)+$Y$5</f>
        <v>-51.578889182477603</v>
      </c>
      <c r="F1349" s="7">
        <f>SUMPRODUCT($C$6:$X$6,'batch tool'!$B1343:$W1343)+$Y$6</f>
        <v>-47.741473633885199</v>
      </c>
      <c r="G1349" s="7">
        <f>SUMPRODUCT($C$7:$X$7,'batch tool'!$B1343:$W1343)+$Y$7</f>
        <v>-19.739516238059196</v>
      </c>
      <c r="H1349" s="7">
        <f t="shared" si="40"/>
        <v>-19.739516238059196</v>
      </c>
      <c r="I1349">
        <f t="shared" si="41"/>
        <v>6</v>
      </c>
      <c r="J1349" t="str" cm="1">
        <f t="array" ref="J1349">INDEX($A$2:$A$7,I1349)</f>
        <v>Segment 6- Self-Conscious Male</v>
      </c>
    </row>
    <row r="1350" spans="1:10" x14ac:dyDescent="0.25">
      <c r="A1350" s="1">
        <f>'batch tool'!A1344</f>
        <v>0</v>
      </c>
      <c r="B1350" s="7">
        <f>SUMPRODUCT($C$2:$X$2,'batch tool'!$B1344:$W1344)+$Y$2</f>
        <v>-49.12272534143483</v>
      </c>
      <c r="C1350" s="7">
        <f>SUMPRODUCT($C$3:$X$3,'batch tool'!$B1344:$W1344)+$Y$3</f>
        <v>-36.514029388465531</v>
      </c>
      <c r="D1350" s="7">
        <f>SUMPRODUCT($C$4:$X$4,'batch tool'!$B1344:$W1344)+$Y$4</f>
        <v>-44.639843068043824</v>
      </c>
      <c r="E1350" s="7">
        <f>SUMPRODUCT($C$5:$X$5,'batch tool'!$B1344:$W1344)+$Y$5</f>
        <v>-51.578889182477603</v>
      </c>
      <c r="F1350" s="7">
        <f>SUMPRODUCT($C$6:$X$6,'batch tool'!$B1344:$W1344)+$Y$6</f>
        <v>-47.741473633885199</v>
      </c>
      <c r="G1350" s="7">
        <f>SUMPRODUCT($C$7:$X$7,'batch tool'!$B1344:$W1344)+$Y$7</f>
        <v>-19.739516238059196</v>
      </c>
      <c r="H1350" s="7">
        <f t="shared" si="40"/>
        <v>-19.739516238059196</v>
      </c>
      <c r="I1350">
        <f t="shared" si="41"/>
        <v>6</v>
      </c>
      <c r="J1350" t="str" cm="1">
        <f t="array" ref="J1350">INDEX($A$2:$A$7,I1350)</f>
        <v>Segment 6- Self-Conscious Male</v>
      </c>
    </row>
    <row r="1351" spans="1:10" x14ac:dyDescent="0.25">
      <c r="A1351" s="1">
        <f>'batch tool'!A1345</f>
        <v>0</v>
      </c>
      <c r="B1351" s="7">
        <f>SUMPRODUCT($C$2:$X$2,'batch tool'!$B1345:$W1345)+$Y$2</f>
        <v>-49.12272534143483</v>
      </c>
      <c r="C1351" s="7">
        <f>SUMPRODUCT($C$3:$X$3,'batch tool'!$B1345:$W1345)+$Y$3</f>
        <v>-36.514029388465531</v>
      </c>
      <c r="D1351" s="7">
        <f>SUMPRODUCT($C$4:$X$4,'batch tool'!$B1345:$W1345)+$Y$4</f>
        <v>-44.639843068043824</v>
      </c>
      <c r="E1351" s="7">
        <f>SUMPRODUCT($C$5:$X$5,'batch tool'!$B1345:$W1345)+$Y$5</f>
        <v>-51.578889182477603</v>
      </c>
      <c r="F1351" s="7">
        <f>SUMPRODUCT($C$6:$X$6,'batch tool'!$B1345:$W1345)+$Y$6</f>
        <v>-47.741473633885199</v>
      </c>
      <c r="G1351" s="7">
        <f>SUMPRODUCT($C$7:$X$7,'batch tool'!$B1345:$W1345)+$Y$7</f>
        <v>-19.739516238059196</v>
      </c>
      <c r="H1351" s="7">
        <f t="shared" si="40"/>
        <v>-19.739516238059196</v>
      </c>
      <c r="I1351">
        <f t="shared" si="41"/>
        <v>6</v>
      </c>
      <c r="J1351" t="str" cm="1">
        <f t="array" ref="J1351">INDEX($A$2:$A$7,I1351)</f>
        <v>Segment 6- Self-Conscious Male</v>
      </c>
    </row>
    <row r="1352" spans="1:10" x14ac:dyDescent="0.25">
      <c r="A1352" s="1">
        <f>'batch tool'!A1346</f>
        <v>0</v>
      </c>
      <c r="B1352" s="7">
        <f>SUMPRODUCT($C$2:$X$2,'batch tool'!$B1346:$W1346)+$Y$2</f>
        <v>-49.12272534143483</v>
      </c>
      <c r="C1352" s="7">
        <f>SUMPRODUCT($C$3:$X$3,'batch tool'!$B1346:$W1346)+$Y$3</f>
        <v>-36.514029388465531</v>
      </c>
      <c r="D1352" s="7">
        <f>SUMPRODUCT($C$4:$X$4,'batch tool'!$B1346:$W1346)+$Y$4</f>
        <v>-44.639843068043824</v>
      </c>
      <c r="E1352" s="7">
        <f>SUMPRODUCT($C$5:$X$5,'batch tool'!$B1346:$W1346)+$Y$5</f>
        <v>-51.578889182477603</v>
      </c>
      <c r="F1352" s="7">
        <f>SUMPRODUCT($C$6:$X$6,'batch tool'!$B1346:$W1346)+$Y$6</f>
        <v>-47.741473633885199</v>
      </c>
      <c r="G1352" s="7">
        <f>SUMPRODUCT($C$7:$X$7,'batch tool'!$B1346:$W1346)+$Y$7</f>
        <v>-19.739516238059196</v>
      </c>
      <c r="H1352" s="7">
        <f t="shared" si="40"/>
        <v>-19.739516238059196</v>
      </c>
      <c r="I1352">
        <f t="shared" si="41"/>
        <v>6</v>
      </c>
      <c r="J1352" t="str" cm="1">
        <f t="array" ref="J1352">INDEX($A$2:$A$7,I1352)</f>
        <v>Segment 6- Self-Conscious Male</v>
      </c>
    </row>
    <row r="1353" spans="1:10" x14ac:dyDescent="0.25">
      <c r="A1353" s="1">
        <f>'batch tool'!A1347</f>
        <v>0</v>
      </c>
      <c r="B1353" s="7">
        <f>SUMPRODUCT($C$2:$X$2,'batch tool'!$B1347:$W1347)+$Y$2</f>
        <v>-49.12272534143483</v>
      </c>
      <c r="C1353" s="7">
        <f>SUMPRODUCT($C$3:$X$3,'batch tool'!$B1347:$W1347)+$Y$3</f>
        <v>-36.514029388465531</v>
      </c>
      <c r="D1353" s="7">
        <f>SUMPRODUCT($C$4:$X$4,'batch tool'!$B1347:$W1347)+$Y$4</f>
        <v>-44.639843068043824</v>
      </c>
      <c r="E1353" s="7">
        <f>SUMPRODUCT($C$5:$X$5,'batch tool'!$B1347:$W1347)+$Y$5</f>
        <v>-51.578889182477603</v>
      </c>
      <c r="F1353" s="7">
        <f>SUMPRODUCT($C$6:$X$6,'batch tool'!$B1347:$W1347)+$Y$6</f>
        <v>-47.741473633885199</v>
      </c>
      <c r="G1353" s="7">
        <f>SUMPRODUCT($C$7:$X$7,'batch tool'!$B1347:$W1347)+$Y$7</f>
        <v>-19.739516238059196</v>
      </c>
      <c r="H1353" s="7">
        <f t="shared" si="40"/>
        <v>-19.739516238059196</v>
      </c>
      <c r="I1353">
        <f t="shared" si="41"/>
        <v>6</v>
      </c>
      <c r="J1353" t="str" cm="1">
        <f t="array" ref="J1353">INDEX($A$2:$A$7,I1353)</f>
        <v>Segment 6- Self-Conscious Male</v>
      </c>
    </row>
    <row r="1354" spans="1:10" x14ac:dyDescent="0.25">
      <c r="A1354" s="1">
        <f>'batch tool'!A1348</f>
        <v>0</v>
      </c>
      <c r="B1354" s="7">
        <f>SUMPRODUCT($C$2:$X$2,'batch tool'!$B1348:$W1348)+$Y$2</f>
        <v>-49.12272534143483</v>
      </c>
      <c r="C1354" s="7">
        <f>SUMPRODUCT($C$3:$X$3,'batch tool'!$B1348:$W1348)+$Y$3</f>
        <v>-36.514029388465531</v>
      </c>
      <c r="D1354" s="7">
        <f>SUMPRODUCT($C$4:$X$4,'batch tool'!$B1348:$W1348)+$Y$4</f>
        <v>-44.639843068043824</v>
      </c>
      <c r="E1354" s="7">
        <f>SUMPRODUCT($C$5:$X$5,'batch tool'!$B1348:$W1348)+$Y$5</f>
        <v>-51.578889182477603</v>
      </c>
      <c r="F1354" s="7">
        <f>SUMPRODUCT($C$6:$X$6,'batch tool'!$B1348:$W1348)+$Y$6</f>
        <v>-47.741473633885199</v>
      </c>
      <c r="G1354" s="7">
        <f>SUMPRODUCT($C$7:$X$7,'batch tool'!$B1348:$W1348)+$Y$7</f>
        <v>-19.739516238059196</v>
      </c>
      <c r="H1354" s="7">
        <f t="shared" si="40"/>
        <v>-19.739516238059196</v>
      </c>
      <c r="I1354">
        <f t="shared" si="41"/>
        <v>6</v>
      </c>
      <c r="J1354" t="str" cm="1">
        <f t="array" ref="J1354">INDEX($A$2:$A$7,I1354)</f>
        <v>Segment 6- Self-Conscious Male</v>
      </c>
    </row>
    <row r="1355" spans="1:10" x14ac:dyDescent="0.25">
      <c r="A1355" s="1">
        <f>'batch tool'!A1349</f>
        <v>0</v>
      </c>
      <c r="B1355" s="7">
        <f>SUMPRODUCT($C$2:$X$2,'batch tool'!$B1349:$W1349)+$Y$2</f>
        <v>-49.12272534143483</v>
      </c>
      <c r="C1355" s="7">
        <f>SUMPRODUCT($C$3:$X$3,'batch tool'!$B1349:$W1349)+$Y$3</f>
        <v>-36.514029388465531</v>
      </c>
      <c r="D1355" s="7">
        <f>SUMPRODUCT($C$4:$X$4,'batch tool'!$B1349:$W1349)+$Y$4</f>
        <v>-44.639843068043824</v>
      </c>
      <c r="E1355" s="7">
        <f>SUMPRODUCT($C$5:$X$5,'batch tool'!$B1349:$W1349)+$Y$5</f>
        <v>-51.578889182477603</v>
      </c>
      <c r="F1355" s="7">
        <f>SUMPRODUCT($C$6:$X$6,'batch tool'!$B1349:$W1349)+$Y$6</f>
        <v>-47.741473633885199</v>
      </c>
      <c r="G1355" s="7">
        <f>SUMPRODUCT($C$7:$X$7,'batch tool'!$B1349:$W1349)+$Y$7</f>
        <v>-19.739516238059196</v>
      </c>
      <c r="H1355" s="7">
        <f t="shared" ref="H1355:H1418" si="42">MAX(B1355:G1355)</f>
        <v>-19.739516238059196</v>
      </c>
      <c r="I1355">
        <f t="shared" ref="I1355:I1418" si="43">MATCH(H1355,B1355:G1355,0)</f>
        <v>6</v>
      </c>
      <c r="J1355" t="str" cm="1">
        <f t="array" ref="J1355">INDEX($A$2:$A$7,I1355)</f>
        <v>Segment 6- Self-Conscious Male</v>
      </c>
    </row>
    <row r="1356" spans="1:10" x14ac:dyDescent="0.25">
      <c r="A1356" s="1">
        <f>'batch tool'!A1350</f>
        <v>0</v>
      </c>
      <c r="B1356" s="7">
        <f>SUMPRODUCT($C$2:$X$2,'batch tool'!$B1350:$W1350)+$Y$2</f>
        <v>-49.12272534143483</v>
      </c>
      <c r="C1356" s="7">
        <f>SUMPRODUCT($C$3:$X$3,'batch tool'!$B1350:$W1350)+$Y$3</f>
        <v>-36.514029388465531</v>
      </c>
      <c r="D1356" s="7">
        <f>SUMPRODUCT($C$4:$X$4,'batch tool'!$B1350:$W1350)+$Y$4</f>
        <v>-44.639843068043824</v>
      </c>
      <c r="E1356" s="7">
        <f>SUMPRODUCT($C$5:$X$5,'batch tool'!$B1350:$W1350)+$Y$5</f>
        <v>-51.578889182477603</v>
      </c>
      <c r="F1356" s="7">
        <f>SUMPRODUCT($C$6:$X$6,'batch tool'!$B1350:$W1350)+$Y$6</f>
        <v>-47.741473633885199</v>
      </c>
      <c r="G1356" s="7">
        <f>SUMPRODUCT($C$7:$X$7,'batch tool'!$B1350:$W1350)+$Y$7</f>
        <v>-19.739516238059196</v>
      </c>
      <c r="H1356" s="7">
        <f t="shared" si="42"/>
        <v>-19.739516238059196</v>
      </c>
      <c r="I1356">
        <f t="shared" si="43"/>
        <v>6</v>
      </c>
      <c r="J1356" t="str" cm="1">
        <f t="array" ref="J1356">INDEX($A$2:$A$7,I1356)</f>
        <v>Segment 6- Self-Conscious Male</v>
      </c>
    </row>
    <row r="1357" spans="1:10" x14ac:dyDescent="0.25">
      <c r="A1357" s="1">
        <f>'batch tool'!A1351</f>
        <v>0</v>
      </c>
      <c r="B1357" s="7">
        <f>SUMPRODUCT($C$2:$X$2,'batch tool'!$B1351:$W1351)+$Y$2</f>
        <v>-49.12272534143483</v>
      </c>
      <c r="C1357" s="7">
        <f>SUMPRODUCT($C$3:$X$3,'batch tool'!$B1351:$W1351)+$Y$3</f>
        <v>-36.514029388465531</v>
      </c>
      <c r="D1357" s="7">
        <f>SUMPRODUCT($C$4:$X$4,'batch tool'!$B1351:$W1351)+$Y$4</f>
        <v>-44.639843068043824</v>
      </c>
      <c r="E1357" s="7">
        <f>SUMPRODUCT($C$5:$X$5,'batch tool'!$B1351:$W1351)+$Y$5</f>
        <v>-51.578889182477603</v>
      </c>
      <c r="F1357" s="7">
        <f>SUMPRODUCT($C$6:$X$6,'batch tool'!$B1351:$W1351)+$Y$6</f>
        <v>-47.741473633885199</v>
      </c>
      <c r="G1357" s="7">
        <f>SUMPRODUCT($C$7:$X$7,'batch tool'!$B1351:$W1351)+$Y$7</f>
        <v>-19.739516238059196</v>
      </c>
      <c r="H1357" s="7">
        <f t="shared" si="42"/>
        <v>-19.739516238059196</v>
      </c>
      <c r="I1357">
        <f t="shared" si="43"/>
        <v>6</v>
      </c>
      <c r="J1357" t="str" cm="1">
        <f t="array" ref="J1357">INDEX($A$2:$A$7,I1357)</f>
        <v>Segment 6- Self-Conscious Male</v>
      </c>
    </row>
    <row r="1358" spans="1:10" x14ac:dyDescent="0.25">
      <c r="A1358" s="1">
        <f>'batch tool'!A1352</f>
        <v>0</v>
      </c>
      <c r="B1358" s="7">
        <f>SUMPRODUCT($C$2:$X$2,'batch tool'!$B1352:$W1352)+$Y$2</f>
        <v>-49.12272534143483</v>
      </c>
      <c r="C1358" s="7">
        <f>SUMPRODUCT($C$3:$X$3,'batch tool'!$B1352:$W1352)+$Y$3</f>
        <v>-36.514029388465531</v>
      </c>
      <c r="D1358" s="7">
        <f>SUMPRODUCT($C$4:$X$4,'batch tool'!$B1352:$W1352)+$Y$4</f>
        <v>-44.639843068043824</v>
      </c>
      <c r="E1358" s="7">
        <f>SUMPRODUCT($C$5:$X$5,'batch tool'!$B1352:$W1352)+$Y$5</f>
        <v>-51.578889182477603</v>
      </c>
      <c r="F1358" s="7">
        <f>SUMPRODUCT($C$6:$X$6,'batch tool'!$B1352:$W1352)+$Y$6</f>
        <v>-47.741473633885199</v>
      </c>
      <c r="G1358" s="7">
        <f>SUMPRODUCT($C$7:$X$7,'batch tool'!$B1352:$W1352)+$Y$7</f>
        <v>-19.739516238059196</v>
      </c>
      <c r="H1358" s="7">
        <f t="shared" si="42"/>
        <v>-19.739516238059196</v>
      </c>
      <c r="I1358">
        <f t="shared" si="43"/>
        <v>6</v>
      </c>
      <c r="J1358" t="str" cm="1">
        <f t="array" ref="J1358">INDEX($A$2:$A$7,I1358)</f>
        <v>Segment 6- Self-Conscious Male</v>
      </c>
    </row>
    <row r="1359" spans="1:10" x14ac:dyDescent="0.25">
      <c r="A1359" s="1">
        <f>'batch tool'!A1353</f>
        <v>0</v>
      </c>
      <c r="B1359" s="7">
        <f>SUMPRODUCT($C$2:$X$2,'batch tool'!$B1353:$W1353)+$Y$2</f>
        <v>-49.12272534143483</v>
      </c>
      <c r="C1359" s="7">
        <f>SUMPRODUCT($C$3:$X$3,'batch tool'!$B1353:$W1353)+$Y$3</f>
        <v>-36.514029388465531</v>
      </c>
      <c r="D1359" s="7">
        <f>SUMPRODUCT($C$4:$X$4,'batch tool'!$B1353:$W1353)+$Y$4</f>
        <v>-44.639843068043824</v>
      </c>
      <c r="E1359" s="7">
        <f>SUMPRODUCT($C$5:$X$5,'batch tool'!$B1353:$W1353)+$Y$5</f>
        <v>-51.578889182477603</v>
      </c>
      <c r="F1359" s="7">
        <f>SUMPRODUCT($C$6:$X$6,'batch tool'!$B1353:$W1353)+$Y$6</f>
        <v>-47.741473633885199</v>
      </c>
      <c r="G1359" s="7">
        <f>SUMPRODUCT($C$7:$X$7,'batch tool'!$B1353:$W1353)+$Y$7</f>
        <v>-19.739516238059196</v>
      </c>
      <c r="H1359" s="7">
        <f t="shared" si="42"/>
        <v>-19.739516238059196</v>
      </c>
      <c r="I1359">
        <f t="shared" si="43"/>
        <v>6</v>
      </c>
      <c r="J1359" t="str" cm="1">
        <f t="array" ref="J1359">INDEX($A$2:$A$7,I1359)</f>
        <v>Segment 6- Self-Conscious Male</v>
      </c>
    </row>
    <row r="1360" spans="1:10" x14ac:dyDescent="0.25">
      <c r="A1360" s="1">
        <f>'batch tool'!A1354</f>
        <v>0</v>
      </c>
      <c r="B1360" s="7">
        <f>SUMPRODUCT($C$2:$X$2,'batch tool'!$B1354:$W1354)+$Y$2</f>
        <v>-49.12272534143483</v>
      </c>
      <c r="C1360" s="7">
        <f>SUMPRODUCT($C$3:$X$3,'batch tool'!$B1354:$W1354)+$Y$3</f>
        <v>-36.514029388465531</v>
      </c>
      <c r="D1360" s="7">
        <f>SUMPRODUCT($C$4:$X$4,'batch tool'!$B1354:$W1354)+$Y$4</f>
        <v>-44.639843068043824</v>
      </c>
      <c r="E1360" s="7">
        <f>SUMPRODUCT($C$5:$X$5,'batch tool'!$B1354:$W1354)+$Y$5</f>
        <v>-51.578889182477603</v>
      </c>
      <c r="F1360" s="7">
        <f>SUMPRODUCT($C$6:$X$6,'batch tool'!$B1354:$W1354)+$Y$6</f>
        <v>-47.741473633885199</v>
      </c>
      <c r="G1360" s="7">
        <f>SUMPRODUCT($C$7:$X$7,'batch tool'!$B1354:$W1354)+$Y$7</f>
        <v>-19.739516238059196</v>
      </c>
      <c r="H1360" s="7">
        <f t="shared" si="42"/>
        <v>-19.739516238059196</v>
      </c>
      <c r="I1360">
        <f t="shared" si="43"/>
        <v>6</v>
      </c>
      <c r="J1360" t="str" cm="1">
        <f t="array" ref="J1360">INDEX($A$2:$A$7,I1360)</f>
        <v>Segment 6- Self-Conscious Male</v>
      </c>
    </row>
    <row r="1361" spans="1:10" x14ac:dyDescent="0.25">
      <c r="A1361" s="1">
        <f>'batch tool'!A1355</f>
        <v>0</v>
      </c>
      <c r="B1361" s="7">
        <f>SUMPRODUCT($C$2:$X$2,'batch tool'!$B1355:$W1355)+$Y$2</f>
        <v>-49.12272534143483</v>
      </c>
      <c r="C1361" s="7">
        <f>SUMPRODUCT($C$3:$X$3,'batch tool'!$B1355:$W1355)+$Y$3</f>
        <v>-36.514029388465531</v>
      </c>
      <c r="D1361" s="7">
        <f>SUMPRODUCT($C$4:$X$4,'batch tool'!$B1355:$W1355)+$Y$4</f>
        <v>-44.639843068043824</v>
      </c>
      <c r="E1361" s="7">
        <f>SUMPRODUCT($C$5:$X$5,'batch tool'!$B1355:$W1355)+$Y$5</f>
        <v>-51.578889182477603</v>
      </c>
      <c r="F1361" s="7">
        <f>SUMPRODUCT($C$6:$X$6,'batch tool'!$B1355:$W1355)+$Y$6</f>
        <v>-47.741473633885199</v>
      </c>
      <c r="G1361" s="7">
        <f>SUMPRODUCT($C$7:$X$7,'batch tool'!$B1355:$W1355)+$Y$7</f>
        <v>-19.739516238059196</v>
      </c>
      <c r="H1361" s="7">
        <f t="shared" si="42"/>
        <v>-19.739516238059196</v>
      </c>
      <c r="I1361">
        <f t="shared" si="43"/>
        <v>6</v>
      </c>
      <c r="J1361" t="str" cm="1">
        <f t="array" ref="J1361">INDEX($A$2:$A$7,I1361)</f>
        <v>Segment 6- Self-Conscious Male</v>
      </c>
    </row>
    <row r="1362" spans="1:10" x14ac:dyDescent="0.25">
      <c r="A1362" s="1">
        <f>'batch tool'!A1356</f>
        <v>0</v>
      </c>
      <c r="B1362" s="7">
        <f>SUMPRODUCT($C$2:$X$2,'batch tool'!$B1356:$W1356)+$Y$2</f>
        <v>-49.12272534143483</v>
      </c>
      <c r="C1362" s="7">
        <f>SUMPRODUCT($C$3:$X$3,'batch tool'!$B1356:$W1356)+$Y$3</f>
        <v>-36.514029388465531</v>
      </c>
      <c r="D1362" s="7">
        <f>SUMPRODUCT($C$4:$X$4,'batch tool'!$B1356:$W1356)+$Y$4</f>
        <v>-44.639843068043824</v>
      </c>
      <c r="E1362" s="7">
        <f>SUMPRODUCT($C$5:$X$5,'batch tool'!$B1356:$W1356)+$Y$5</f>
        <v>-51.578889182477603</v>
      </c>
      <c r="F1362" s="7">
        <f>SUMPRODUCT($C$6:$X$6,'batch tool'!$B1356:$W1356)+$Y$6</f>
        <v>-47.741473633885199</v>
      </c>
      <c r="G1362" s="7">
        <f>SUMPRODUCT($C$7:$X$7,'batch tool'!$B1356:$W1356)+$Y$7</f>
        <v>-19.739516238059196</v>
      </c>
      <c r="H1362" s="7">
        <f t="shared" si="42"/>
        <v>-19.739516238059196</v>
      </c>
      <c r="I1362">
        <f t="shared" si="43"/>
        <v>6</v>
      </c>
      <c r="J1362" t="str" cm="1">
        <f t="array" ref="J1362">INDEX($A$2:$A$7,I1362)</f>
        <v>Segment 6- Self-Conscious Male</v>
      </c>
    </row>
    <row r="1363" spans="1:10" x14ac:dyDescent="0.25">
      <c r="A1363" s="1">
        <f>'batch tool'!A1357</f>
        <v>0</v>
      </c>
      <c r="B1363" s="7">
        <f>SUMPRODUCT($C$2:$X$2,'batch tool'!$B1357:$W1357)+$Y$2</f>
        <v>-49.12272534143483</v>
      </c>
      <c r="C1363" s="7">
        <f>SUMPRODUCT($C$3:$X$3,'batch tool'!$B1357:$W1357)+$Y$3</f>
        <v>-36.514029388465531</v>
      </c>
      <c r="D1363" s="7">
        <f>SUMPRODUCT($C$4:$X$4,'batch tool'!$B1357:$W1357)+$Y$4</f>
        <v>-44.639843068043824</v>
      </c>
      <c r="E1363" s="7">
        <f>SUMPRODUCT($C$5:$X$5,'batch tool'!$B1357:$W1357)+$Y$5</f>
        <v>-51.578889182477603</v>
      </c>
      <c r="F1363" s="7">
        <f>SUMPRODUCT($C$6:$X$6,'batch tool'!$B1357:$W1357)+$Y$6</f>
        <v>-47.741473633885199</v>
      </c>
      <c r="G1363" s="7">
        <f>SUMPRODUCT($C$7:$X$7,'batch tool'!$B1357:$W1357)+$Y$7</f>
        <v>-19.739516238059196</v>
      </c>
      <c r="H1363" s="7">
        <f t="shared" si="42"/>
        <v>-19.739516238059196</v>
      </c>
      <c r="I1363">
        <f t="shared" si="43"/>
        <v>6</v>
      </c>
      <c r="J1363" t="str" cm="1">
        <f t="array" ref="J1363">INDEX($A$2:$A$7,I1363)</f>
        <v>Segment 6- Self-Conscious Male</v>
      </c>
    </row>
    <row r="1364" spans="1:10" x14ac:dyDescent="0.25">
      <c r="A1364" s="1">
        <f>'batch tool'!A1358</f>
        <v>0</v>
      </c>
      <c r="B1364" s="7">
        <f>SUMPRODUCT($C$2:$X$2,'batch tool'!$B1358:$W1358)+$Y$2</f>
        <v>-49.12272534143483</v>
      </c>
      <c r="C1364" s="7">
        <f>SUMPRODUCT($C$3:$X$3,'batch tool'!$B1358:$W1358)+$Y$3</f>
        <v>-36.514029388465531</v>
      </c>
      <c r="D1364" s="7">
        <f>SUMPRODUCT($C$4:$X$4,'batch tool'!$B1358:$W1358)+$Y$4</f>
        <v>-44.639843068043824</v>
      </c>
      <c r="E1364" s="7">
        <f>SUMPRODUCT($C$5:$X$5,'batch tool'!$B1358:$W1358)+$Y$5</f>
        <v>-51.578889182477603</v>
      </c>
      <c r="F1364" s="7">
        <f>SUMPRODUCT($C$6:$X$6,'batch tool'!$B1358:$W1358)+$Y$6</f>
        <v>-47.741473633885199</v>
      </c>
      <c r="G1364" s="7">
        <f>SUMPRODUCT($C$7:$X$7,'batch tool'!$B1358:$W1358)+$Y$7</f>
        <v>-19.739516238059196</v>
      </c>
      <c r="H1364" s="7">
        <f t="shared" si="42"/>
        <v>-19.739516238059196</v>
      </c>
      <c r="I1364">
        <f t="shared" si="43"/>
        <v>6</v>
      </c>
      <c r="J1364" t="str" cm="1">
        <f t="array" ref="J1364">INDEX($A$2:$A$7,I1364)</f>
        <v>Segment 6- Self-Conscious Male</v>
      </c>
    </row>
    <row r="1365" spans="1:10" x14ac:dyDescent="0.25">
      <c r="A1365" s="1">
        <f>'batch tool'!A1359</f>
        <v>0</v>
      </c>
      <c r="B1365" s="7">
        <f>SUMPRODUCT($C$2:$X$2,'batch tool'!$B1359:$W1359)+$Y$2</f>
        <v>-49.12272534143483</v>
      </c>
      <c r="C1365" s="7">
        <f>SUMPRODUCT($C$3:$X$3,'batch tool'!$B1359:$W1359)+$Y$3</f>
        <v>-36.514029388465531</v>
      </c>
      <c r="D1365" s="7">
        <f>SUMPRODUCT($C$4:$X$4,'batch tool'!$B1359:$W1359)+$Y$4</f>
        <v>-44.639843068043824</v>
      </c>
      <c r="E1365" s="7">
        <f>SUMPRODUCT($C$5:$X$5,'batch tool'!$B1359:$W1359)+$Y$5</f>
        <v>-51.578889182477603</v>
      </c>
      <c r="F1365" s="7">
        <f>SUMPRODUCT($C$6:$X$6,'batch tool'!$B1359:$W1359)+$Y$6</f>
        <v>-47.741473633885199</v>
      </c>
      <c r="G1365" s="7">
        <f>SUMPRODUCT($C$7:$X$7,'batch tool'!$B1359:$W1359)+$Y$7</f>
        <v>-19.739516238059196</v>
      </c>
      <c r="H1365" s="7">
        <f t="shared" si="42"/>
        <v>-19.739516238059196</v>
      </c>
      <c r="I1365">
        <f t="shared" si="43"/>
        <v>6</v>
      </c>
      <c r="J1365" t="str" cm="1">
        <f t="array" ref="J1365">INDEX($A$2:$A$7,I1365)</f>
        <v>Segment 6- Self-Conscious Male</v>
      </c>
    </row>
    <row r="1366" spans="1:10" x14ac:dyDescent="0.25">
      <c r="A1366" s="1">
        <f>'batch tool'!A1360</f>
        <v>0</v>
      </c>
      <c r="B1366" s="7">
        <f>SUMPRODUCT($C$2:$X$2,'batch tool'!$B1360:$W1360)+$Y$2</f>
        <v>-49.12272534143483</v>
      </c>
      <c r="C1366" s="7">
        <f>SUMPRODUCT($C$3:$X$3,'batch tool'!$B1360:$W1360)+$Y$3</f>
        <v>-36.514029388465531</v>
      </c>
      <c r="D1366" s="7">
        <f>SUMPRODUCT($C$4:$X$4,'batch tool'!$B1360:$W1360)+$Y$4</f>
        <v>-44.639843068043824</v>
      </c>
      <c r="E1366" s="7">
        <f>SUMPRODUCT($C$5:$X$5,'batch tool'!$B1360:$W1360)+$Y$5</f>
        <v>-51.578889182477603</v>
      </c>
      <c r="F1366" s="7">
        <f>SUMPRODUCT($C$6:$X$6,'batch tool'!$B1360:$W1360)+$Y$6</f>
        <v>-47.741473633885199</v>
      </c>
      <c r="G1366" s="7">
        <f>SUMPRODUCT($C$7:$X$7,'batch tool'!$B1360:$W1360)+$Y$7</f>
        <v>-19.739516238059196</v>
      </c>
      <c r="H1366" s="7">
        <f t="shared" si="42"/>
        <v>-19.739516238059196</v>
      </c>
      <c r="I1366">
        <f t="shared" si="43"/>
        <v>6</v>
      </c>
      <c r="J1366" t="str" cm="1">
        <f t="array" ref="J1366">INDEX($A$2:$A$7,I1366)</f>
        <v>Segment 6- Self-Conscious Male</v>
      </c>
    </row>
    <row r="1367" spans="1:10" x14ac:dyDescent="0.25">
      <c r="A1367" s="1">
        <f>'batch tool'!A1361</f>
        <v>0</v>
      </c>
      <c r="B1367" s="7">
        <f>SUMPRODUCT($C$2:$X$2,'batch tool'!$B1361:$W1361)+$Y$2</f>
        <v>-49.12272534143483</v>
      </c>
      <c r="C1367" s="7">
        <f>SUMPRODUCT($C$3:$X$3,'batch tool'!$B1361:$W1361)+$Y$3</f>
        <v>-36.514029388465531</v>
      </c>
      <c r="D1367" s="7">
        <f>SUMPRODUCT($C$4:$X$4,'batch tool'!$B1361:$W1361)+$Y$4</f>
        <v>-44.639843068043824</v>
      </c>
      <c r="E1367" s="7">
        <f>SUMPRODUCT($C$5:$X$5,'batch tool'!$B1361:$W1361)+$Y$5</f>
        <v>-51.578889182477603</v>
      </c>
      <c r="F1367" s="7">
        <f>SUMPRODUCT($C$6:$X$6,'batch tool'!$B1361:$W1361)+$Y$6</f>
        <v>-47.741473633885199</v>
      </c>
      <c r="G1367" s="7">
        <f>SUMPRODUCT($C$7:$X$7,'batch tool'!$B1361:$W1361)+$Y$7</f>
        <v>-19.739516238059196</v>
      </c>
      <c r="H1367" s="7">
        <f t="shared" si="42"/>
        <v>-19.739516238059196</v>
      </c>
      <c r="I1367">
        <f t="shared" si="43"/>
        <v>6</v>
      </c>
      <c r="J1367" t="str" cm="1">
        <f t="array" ref="J1367">INDEX($A$2:$A$7,I1367)</f>
        <v>Segment 6- Self-Conscious Male</v>
      </c>
    </row>
    <row r="1368" spans="1:10" x14ac:dyDescent="0.25">
      <c r="A1368" s="1">
        <f>'batch tool'!A1362</f>
        <v>0</v>
      </c>
      <c r="B1368" s="7">
        <f>SUMPRODUCT($C$2:$X$2,'batch tool'!$B1362:$W1362)+$Y$2</f>
        <v>-49.12272534143483</v>
      </c>
      <c r="C1368" s="7">
        <f>SUMPRODUCT($C$3:$X$3,'batch tool'!$B1362:$W1362)+$Y$3</f>
        <v>-36.514029388465531</v>
      </c>
      <c r="D1368" s="7">
        <f>SUMPRODUCT($C$4:$X$4,'batch tool'!$B1362:$W1362)+$Y$4</f>
        <v>-44.639843068043824</v>
      </c>
      <c r="E1368" s="7">
        <f>SUMPRODUCT($C$5:$X$5,'batch tool'!$B1362:$W1362)+$Y$5</f>
        <v>-51.578889182477603</v>
      </c>
      <c r="F1368" s="7">
        <f>SUMPRODUCT($C$6:$X$6,'batch tool'!$B1362:$W1362)+$Y$6</f>
        <v>-47.741473633885199</v>
      </c>
      <c r="G1368" s="7">
        <f>SUMPRODUCT($C$7:$X$7,'batch tool'!$B1362:$W1362)+$Y$7</f>
        <v>-19.739516238059196</v>
      </c>
      <c r="H1368" s="7">
        <f t="shared" si="42"/>
        <v>-19.739516238059196</v>
      </c>
      <c r="I1368">
        <f t="shared" si="43"/>
        <v>6</v>
      </c>
      <c r="J1368" t="str" cm="1">
        <f t="array" ref="J1368">INDEX($A$2:$A$7,I1368)</f>
        <v>Segment 6- Self-Conscious Male</v>
      </c>
    </row>
    <row r="1369" spans="1:10" x14ac:dyDescent="0.25">
      <c r="A1369" s="1">
        <f>'batch tool'!A1363</f>
        <v>0</v>
      </c>
      <c r="B1369" s="7">
        <f>SUMPRODUCT($C$2:$X$2,'batch tool'!$B1363:$W1363)+$Y$2</f>
        <v>-49.12272534143483</v>
      </c>
      <c r="C1369" s="7">
        <f>SUMPRODUCT($C$3:$X$3,'batch tool'!$B1363:$W1363)+$Y$3</f>
        <v>-36.514029388465531</v>
      </c>
      <c r="D1369" s="7">
        <f>SUMPRODUCT($C$4:$X$4,'batch tool'!$B1363:$W1363)+$Y$4</f>
        <v>-44.639843068043824</v>
      </c>
      <c r="E1369" s="7">
        <f>SUMPRODUCT($C$5:$X$5,'batch tool'!$B1363:$W1363)+$Y$5</f>
        <v>-51.578889182477603</v>
      </c>
      <c r="F1369" s="7">
        <f>SUMPRODUCT($C$6:$X$6,'batch tool'!$B1363:$W1363)+$Y$6</f>
        <v>-47.741473633885199</v>
      </c>
      <c r="G1369" s="7">
        <f>SUMPRODUCT($C$7:$X$7,'batch tool'!$B1363:$W1363)+$Y$7</f>
        <v>-19.739516238059196</v>
      </c>
      <c r="H1369" s="7">
        <f t="shared" si="42"/>
        <v>-19.739516238059196</v>
      </c>
      <c r="I1369">
        <f t="shared" si="43"/>
        <v>6</v>
      </c>
      <c r="J1369" t="str" cm="1">
        <f t="array" ref="J1369">INDEX($A$2:$A$7,I1369)</f>
        <v>Segment 6- Self-Conscious Male</v>
      </c>
    </row>
    <row r="1370" spans="1:10" x14ac:dyDescent="0.25">
      <c r="A1370" s="1">
        <f>'batch tool'!A1364</f>
        <v>0</v>
      </c>
      <c r="B1370" s="7">
        <f>SUMPRODUCT($C$2:$X$2,'batch tool'!$B1364:$W1364)+$Y$2</f>
        <v>-49.12272534143483</v>
      </c>
      <c r="C1370" s="7">
        <f>SUMPRODUCT($C$3:$X$3,'batch tool'!$B1364:$W1364)+$Y$3</f>
        <v>-36.514029388465531</v>
      </c>
      <c r="D1370" s="7">
        <f>SUMPRODUCT($C$4:$X$4,'batch tool'!$B1364:$W1364)+$Y$4</f>
        <v>-44.639843068043824</v>
      </c>
      <c r="E1370" s="7">
        <f>SUMPRODUCT($C$5:$X$5,'batch tool'!$B1364:$W1364)+$Y$5</f>
        <v>-51.578889182477603</v>
      </c>
      <c r="F1370" s="7">
        <f>SUMPRODUCT($C$6:$X$6,'batch tool'!$B1364:$W1364)+$Y$6</f>
        <v>-47.741473633885199</v>
      </c>
      <c r="G1370" s="7">
        <f>SUMPRODUCT($C$7:$X$7,'batch tool'!$B1364:$W1364)+$Y$7</f>
        <v>-19.739516238059196</v>
      </c>
      <c r="H1370" s="7">
        <f t="shared" si="42"/>
        <v>-19.739516238059196</v>
      </c>
      <c r="I1370">
        <f t="shared" si="43"/>
        <v>6</v>
      </c>
      <c r="J1370" t="str" cm="1">
        <f t="array" ref="J1370">INDEX($A$2:$A$7,I1370)</f>
        <v>Segment 6- Self-Conscious Male</v>
      </c>
    </row>
    <row r="1371" spans="1:10" x14ac:dyDescent="0.25">
      <c r="A1371" s="1">
        <f>'batch tool'!A1365</f>
        <v>0</v>
      </c>
      <c r="B1371" s="7">
        <f>SUMPRODUCT($C$2:$X$2,'batch tool'!$B1365:$W1365)+$Y$2</f>
        <v>-49.12272534143483</v>
      </c>
      <c r="C1371" s="7">
        <f>SUMPRODUCT($C$3:$X$3,'batch tool'!$B1365:$W1365)+$Y$3</f>
        <v>-36.514029388465531</v>
      </c>
      <c r="D1371" s="7">
        <f>SUMPRODUCT($C$4:$X$4,'batch tool'!$B1365:$W1365)+$Y$4</f>
        <v>-44.639843068043824</v>
      </c>
      <c r="E1371" s="7">
        <f>SUMPRODUCT($C$5:$X$5,'batch tool'!$B1365:$W1365)+$Y$5</f>
        <v>-51.578889182477603</v>
      </c>
      <c r="F1371" s="7">
        <f>SUMPRODUCT($C$6:$X$6,'batch tool'!$B1365:$W1365)+$Y$6</f>
        <v>-47.741473633885199</v>
      </c>
      <c r="G1371" s="7">
        <f>SUMPRODUCT($C$7:$X$7,'batch tool'!$B1365:$W1365)+$Y$7</f>
        <v>-19.739516238059196</v>
      </c>
      <c r="H1371" s="7">
        <f t="shared" si="42"/>
        <v>-19.739516238059196</v>
      </c>
      <c r="I1371">
        <f t="shared" si="43"/>
        <v>6</v>
      </c>
      <c r="J1371" t="str" cm="1">
        <f t="array" ref="J1371">INDEX($A$2:$A$7,I1371)</f>
        <v>Segment 6- Self-Conscious Male</v>
      </c>
    </row>
    <row r="1372" spans="1:10" x14ac:dyDescent="0.25">
      <c r="A1372" s="1">
        <f>'batch tool'!A1366</f>
        <v>0</v>
      </c>
      <c r="B1372" s="7">
        <f>SUMPRODUCT($C$2:$X$2,'batch tool'!$B1366:$W1366)+$Y$2</f>
        <v>-49.12272534143483</v>
      </c>
      <c r="C1372" s="7">
        <f>SUMPRODUCT($C$3:$X$3,'batch tool'!$B1366:$W1366)+$Y$3</f>
        <v>-36.514029388465531</v>
      </c>
      <c r="D1372" s="7">
        <f>SUMPRODUCT($C$4:$X$4,'batch tool'!$B1366:$W1366)+$Y$4</f>
        <v>-44.639843068043824</v>
      </c>
      <c r="E1372" s="7">
        <f>SUMPRODUCT($C$5:$X$5,'batch tool'!$B1366:$W1366)+$Y$5</f>
        <v>-51.578889182477603</v>
      </c>
      <c r="F1372" s="7">
        <f>SUMPRODUCT($C$6:$X$6,'batch tool'!$B1366:$W1366)+$Y$6</f>
        <v>-47.741473633885199</v>
      </c>
      <c r="G1372" s="7">
        <f>SUMPRODUCT($C$7:$X$7,'batch tool'!$B1366:$W1366)+$Y$7</f>
        <v>-19.739516238059196</v>
      </c>
      <c r="H1372" s="7">
        <f t="shared" si="42"/>
        <v>-19.739516238059196</v>
      </c>
      <c r="I1372">
        <f t="shared" si="43"/>
        <v>6</v>
      </c>
      <c r="J1372" t="str" cm="1">
        <f t="array" ref="J1372">INDEX($A$2:$A$7,I1372)</f>
        <v>Segment 6- Self-Conscious Male</v>
      </c>
    </row>
    <row r="1373" spans="1:10" x14ac:dyDescent="0.25">
      <c r="A1373" s="1">
        <f>'batch tool'!A1367</f>
        <v>0</v>
      </c>
      <c r="B1373" s="7">
        <f>SUMPRODUCT($C$2:$X$2,'batch tool'!$B1367:$W1367)+$Y$2</f>
        <v>-49.12272534143483</v>
      </c>
      <c r="C1373" s="7">
        <f>SUMPRODUCT($C$3:$X$3,'batch tool'!$B1367:$W1367)+$Y$3</f>
        <v>-36.514029388465531</v>
      </c>
      <c r="D1373" s="7">
        <f>SUMPRODUCT($C$4:$X$4,'batch tool'!$B1367:$W1367)+$Y$4</f>
        <v>-44.639843068043824</v>
      </c>
      <c r="E1373" s="7">
        <f>SUMPRODUCT($C$5:$X$5,'batch tool'!$B1367:$W1367)+$Y$5</f>
        <v>-51.578889182477603</v>
      </c>
      <c r="F1373" s="7">
        <f>SUMPRODUCT($C$6:$X$6,'batch tool'!$B1367:$W1367)+$Y$6</f>
        <v>-47.741473633885199</v>
      </c>
      <c r="G1373" s="7">
        <f>SUMPRODUCT($C$7:$X$7,'batch tool'!$B1367:$W1367)+$Y$7</f>
        <v>-19.739516238059196</v>
      </c>
      <c r="H1373" s="7">
        <f t="shared" si="42"/>
        <v>-19.739516238059196</v>
      </c>
      <c r="I1373">
        <f t="shared" si="43"/>
        <v>6</v>
      </c>
      <c r="J1373" t="str" cm="1">
        <f t="array" ref="J1373">INDEX($A$2:$A$7,I1373)</f>
        <v>Segment 6- Self-Conscious Male</v>
      </c>
    </row>
    <row r="1374" spans="1:10" x14ac:dyDescent="0.25">
      <c r="A1374" s="1">
        <f>'batch tool'!A1368</f>
        <v>0</v>
      </c>
      <c r="B1374" s="7">
        <f>SUMPRODUCT($C$2:$X$2,'batch tool'!$B1368:$W1368)+$Y$2</f>
        <v>-49.12272534143483</v>
      </c>
      <c r="C1374" s="7">
        <f>SUMPRODUCT($C$3:$X$3,'batch tool'!$B1368:$W1368)+$Y$3</f>
        <v>-36.514029388465531</v>
      </c>
      <c r="D1374" s="7">
        <f>SUMPRODUCT($C$4:$X$4,'batch tool'!$B1368:$W1368)+$Y$4</f>
        <v>-44.639843068043824</v>
      </c>
      <c r="E1374" s="7">
        <f>SUMPRODUCT($C$5:$X$5,'batch tool'!$B1368:$W1368)+$Y$5</f>
        <v>-51.578889182477603</v>
      </c>
      <c r="F1374" s="7">
        <f>SUMPRODUCT($C$6:$X$6,'batch tool'!$B1368:$W1368)+$Y$6</f>
        <v>-47.741473633885199</v>
      </c>
      <c r="G1374" s="7">
        <f>SUMPRODUCT($C$7:$X$7,'batch tool'!$B1368:$W1368)+$Y$7</f>
        <v>-19.739516238059196</v>
      </c>
      <c r="H1374" s="7">
        <f t="shared" si="42"/>
        <v>-19.739516238059196</v>
      </c>
      <c r="I1374">
        <f t="shared" si="43"/>
        <v>6</v>
      </c>
      <c r="J1374" t="str" cm="1">
        <f t="array" ref="J1374">INDEX($A$2:$A$7,I1374)</f>
        <v>Segment 6- Self-Conscious Male</v>
      </c>
    </row>
    <row r="1375" spans="1:10" x14ac:dyDescent="0.25">
      <c r="A1375" s="1">
        <f>'batch tool'!A1369</f>
        <v>0</v>
      </c>
      <c r="B1375" s="7">
        <f>SUMPRODUCT($C$2:$X$2,'batch tool'!$B1369:$W1369)+$Y$2</f>
        <v>-49.12272534143483</v>
      </c>
      <c r="C1375" s="7">
        <f>SUMPRODUCT($C$3:$X$3,'batch tool'!$B1369:$W1369)+$Y$3</f>
        <v>-36.514029388465531</v>
      </c>
      <c r="D1375" s="7">
        <f>SUMPRODUCT($C$4:$X$4,'batch tool'!$B1369:$W1369)+$Y$4</f>
        <v>-44.639843068043824</v>
      </c>
      <c r="E1375" s="7">
        <f>SUMPRODUCT($C$5:$X$5,'batch tool'!$B1369:$W1369)+$Y$5</f>
        <v>-51.578889182477603</v>
      </c>
      <c r="F1375" s="7">
        <f>SUMPRODUCT($C$6:$X$6,'batch tool'!$B1369:$W1369)+$Y$6</f>
        <v>-47.741473633885199</v>
      </c>
      <c r="G1375" s="7">
        <f>SUMPRODUCT($C$7:$X$7,'batch tool'!$B1369:$W1369)+$Y$7</f>
        <v>-19.739516238059196</v>
      </c>
      <c r="H1375" s="7">
        <f t="shared" si="42"/>
        <v>-19.739516238059196</v>
      </c>
      <c r="I1375">
        <f t="shared" si="43"/>
        <v>6</v>
      </c>
      <c r="J1375" t="str" cm="1">
        <f t="array" ref="J1375">INDEX($A$2:$A$7,I1375)</f>
        <v>Segment 6- Self-Conscious Male</v>
      </c>
    </row>
    <row r="1376" spans="1:10" x14ac:dyDescent="0.25">
      <c r="A1376" s="1">
        <f>'batch tool'!A1370</f>
        <v>0</v>
      </c>
      <c r="B1376" s="7">
        <f>SUMPRODUCT($C$2:$X$2,'batch tool'!$B1370:$W1370)+$Y$2</f>
        <v>-49.12272534143483</v>
      </c>
      <c r="C1376" s="7">
        <f>SUMPRODUCT($C$3:$X$3,'batch tool'!$B1370:$W1370)+$Y$3</f>
        <v>-36.514029388465531</v>
      </c>
      <c r="D1376" s="7">
        <f>SUMPRODUCT($C$4:$X$4,'batch tool'!$B1370:$W1370)+$Y$4</f>
        <v>-44.639843068043824</v>
      </c>
      <c r="E1376" s="7">
        <f>SUMPRODUCT($C$5:$X$5,'batch tool'!$B1370:$W1370)+$Y$5</f>
        <v>-51.578889182477603</v>
      </c>
      <c r="F1376" s="7">
        <f>SUMPRODUCT($C$6:$X$6,'batch tool'!$B1370:$W1370)+$Y$6</f>
        <v>-47.741473633885199</v>
      </c>
      <c r="G1376" s="7">
        <f>SUMPRODUCT($C$7:$X$7,'batch tool'!$B1370:$W1370)+$Y$7</f>
        <v>-19.739516238059196</v>
      </c>
      <c r="H1376" s="7">
        <f t="shared" si="42"/>
        <v>-19.739516238059196</v>
      </c>
      <c r="I1376">
        <f t="shared" si="43"/>
        <v>6</v>
      </c>
      <c r="J1376" t="str" cm="1">
        <f t="array" ref="J1376">INDEX($A$2:$A$7,I1376)</f>
        <v>Segment 6- Self-Conscious Male</v>
      </c>
    </row>
    <row r="1377" spans="1:10" x14ac:dyDescent="0.25">
      <c r="A1377" s="1">
        <f>'batch tool'!A1371</f>
        <v>0</v>
      </c>
      <c r="B1377" s="7">
        <f>SUMPRODUCT($C$2:$X$2,'batch tool'!$B1371:$W1371)+$Y$2</f>
        <v>-49.12272534143483</v>
      </c>
      <c r="C1377" s="7">
        <f>SUMPRODUCT($C$3:$X$3,'batch tool'!$B1371:$W1371)+$Y$3</f>
        <v>-36.514029388465531</v>
      </c>
      <c r="D1377" s="7">
        <f>SUMPRODUCT($C$4:$X$4,'batch tool'!$B1371:$W1371)+$Y$4</f>
        <v>-44.639843068043824</v>
      </c>
      <c r="E1377" s="7">
        <f>SUMPRODUCT($C$5:$X$5,'batch tool'!$B1371:$W1371)+$Y$5</f>
        <v>-51.578889182477603</v>
      </c>
      <c r="F1377" s="7">
        <f>SUMPRODUCT($C$6:$X$6,'batch tool'!$B1371:$W1371)+$Y$6</f>
        <v>-47.741473633885199</v>
      </c>
      <c r="G1377" s="7">
        <f>SUMPRODUCT($C$7:$X$7,'batch tool'!$B1371:$W1371)+$Y$7</f>
        <v>-19.739516238059196</v>
      </c>
      <c r="H1377" s="7">
        <f t="shared" si="42"/>
        <v>-19.739516238059196</v>
      </c>
      <c r="I1377">
        <f t="shared" si="43"/>
        <v>6</v>
      </c>
      <c r="J1377" t="str" cm="1">
        <f t="array" ref="J1377">INDEX($A$2:$A$7,I1377)</f>
        <v>Segment 6- Self-Conscious Male</v>
      </c>
    </row>
    <row r="1378" spans="1:10" x14ac:dyDescent="0.25">
      <c r="A1378" s="1">
        <f>'batch tool'!A1372</f>
        <v>0</v>
      </c>
      <c r="B1378" s="7">
        <f>SUMPRODUCT($C$2:$X$2,'batch tool'!$B1372:$W1372)+$Y$2</f>
        <v>-49.12272534143483</v>
      </c>
      <c r="C1378" s="7">
        <f>SUMPRODUCT($C$3:$X$3,'batch tool'!$B1372:$W1372)+$Y$3</f>
        <v>-36.514029388465531</v>
      </c>
      <c r="D1378" s="7">
        <f>SUMPRODUCT($C$4:$X$4,'batch tool'!$B1372:$W1372)+$Y$4</f>
        <v>-44.639843068043824</v>
      </c>
      <c r="E1378" s="7">
        <f>SUMPRODUCT($C$5:$X$5,'batch tool'!$B1372:$W1372)+$Y$5</f>
        <v>-51.578889182477603</v>
      </c>
      <c r="F1378" s="7">
        <f>SUMPRODUCT($C$6:$X$6,'batch tool'!$B1372:$W1372)+$Y$6</f>
        <v>-47.741473633885199</v>
      </c>
      <c r="G1378" s="7">
        <f>SUMPRODUCT($C$7:$X$7,'batch tool'!$B1372:$W1372)+$Y$7</f>
        <v>-19.739516238059196</v>
      </c>
      <c r="H1378" s="7">
        <f t="shared" si="42"/>
        <v>-19.739516238059196</v>
      </c>
      <c r="I1378">
        <f t="shared" si="43"/>
        <v>6</v>
      </c>
      <c r="J1378" t="str" cm="1">
        <f t="array" ref="J1378">INDEX($A$2:$A$7,I1378)</f>
        <v>Segment 6- Self-Conscious Male</v>
      </c>
    </row>
    <row r="1379" spans="1:10" x14ac:dyDescent="0.25">
      <c r="A1379" s="1">
        <f>'batch tool'!A1373</f>
        <v>0</v>
      </c>
      <c r="B1379" s="7">
        <f>SUMPRODUCT($C$2:$X$2,'batch tool'!$B1373:$W1373)+$Y$2</f>
        <v>-49.12272534143483</v>
      </c>
      <c r="C1379" s="7">
        <f>SUMPRODUCT($C$3:$X$3,'batch tool'!$B1373:$W1373)+$Y$3</f>
        <v>-36.514029388465531</v>
      </c>
      <c r="D1379" s="7">
        <f>SUMPRODUCT($C$4:$X$4,'batch tool'!$B1373:$W1373)+$Y$4</f>
        <v>-44.639843068043824</v>
      </c>
      <c r="E1379" s="7">
        <f>SUMPRODUCT($C$5:$X$5,'batch tool'!$B1373:$W1373)+$Y$5</f>
        <v>-51.578889182477603</v>
      </c>
      <c r="F1379" s="7">
        <f>SUMPRODUCT($C$6:$X$6,'batch tool'!$B1373:$W1373)+$Y$6</f>
        <v>-47.741473633885199</v>
      </c>
      <c r="G1379" s="7">
        <f>SUMPRODUCT($C$7:$X$7,'batch tool'!$B1373:$W1373)+$Y$7</f>
        <v>-19.739516238059196</v>
      </c>
      <c r="H1379" s="7">
        <f t="shared" si="42"/>
        <v>-19.739516238059196</v>
      </c>
      <c r="I1379">
        <f t="shared" si="43"/>
        <v>6</v>
      </c>
      <c r="J1379" t="str" cm="1">
        <f t="array" ref="J1379">INDEX($A$2:$A$7,I1379)</f>
        <v>Segment 6- Self-Conscious Male</v>
      </c>
    </row>
    <row r="1380" spans="1:10" x14ac:dyDescent="0.25">
      <c r="A1380" s="1">
        <f>'batch tool'!A1374</f>
        <v>0</v>
      </c>
      <c r="B1380" s="7">
        <f>SUMPRODUCT($C$2:$X$2,'batch tool'!$B1374:$W1374)+$Y$2</f>
        <v>-49.12272534143483</v>
      </c>
      <c r="C1380" s="7">
        <f>SUMPRODUCT($C$3:$X$3,'batch tool'!$B1374:$W1374)+$Y$3</f>
        <v>-36.514029388465531</v>
      </c>
      <c r="D1380" s="7">
        <f>SUMPRODUCT($C$4:$X$4,'batch tool'!$B1374:$W1374)+$Y$4</f>
        <v>-44.639843068043824</v>
      </c>
      <c r="E1380" s="7">
        <f>SUMPRODUCT($C$5:$X$5,'batch tool'!$B1374:$W1374)+$Y$5</f>
        <v>-51.578889182477603</v>
      </c>
      <c r="F1380" s="7">
        <f>SUMPRODUCT($C$6:$X$6,'batch tool'!$B1374:$W1374)+$Y$6</f>
        <v>-47.741473633885199</v>
      </c>
      <c r="G1380" s="7">
        <f>SUMPRODUCT($C$7:$X$7,'batch tool'!$B1374:$W1374)+$Y$7</f>
        <v>-19.739516238059196</v>
      </c>
      <c r="H1380" s="7">
        <f t="shared" si="42"/>
        <v>-19.739516238059196</v>
      </c>
      <c r="I1380">
        <f t="shared" si="43"/>
        <v>6</v>
      </c>
      <c r="J1380" t="str" cm="1">
        <f t="array" ref="J1380">INDEX($A$2:$A$7,I1380)</f>
        <v>Segment 6- Self-Conscious Male</v>
      </c>
    </row>
    <row r="1381" spans="1:10" x14ac:dyDescent="0.25">
      <c r="A1381" s="1">
        <f>'batch tool'!A1375</f>
        <v>0</v>
      </c>
      <c r="B1381" s="7">
        <f>SUMPRODUCT($C$2:$X$2,'batch tool'!$B1375:$W1375)+$Y$2</f>
        <v>-49.12272534143483</v>
      </c>
      <c r="C1381" s="7">
        <f>SUMPRODUCT($C$3:$X$3,'batch tool'!$B1375:$W1375)+$Y$3</f>
        <v>-36.514029388465531</v>
      </c>
      <c r="D1381" s="7">
        <f>SUMPRODUCT($C$4:$X$4,'batch tool'!$B1375:$W1375)+$Y$4</f>
        <v>-44.639843068043824</v>
      </c>
      <c r="E1381" s="7">
        <f>SUMPRODUCT($C$5:$X$5,'batch tool'!$B1375:$W1375)+$Y$5</f>
        <v>-51.578889182477603</v>
      </c>
      <c r="F1381" s="7">
        <f>SUMPRODUCT($C$6:$X$6,'batch tool'!$B1375:$W1375)+$Y$6</f>
        <v>-47.741473633885199</v>
      </c>
      <c r="G1381" s="7">
        <f>SUMPRODUCT($C$7:$X$7,'batch tool'!$B1375:$W1375)+$Y$7</f>
        <v>-19.739516238059196</v>
      </c>
      <c r="H1381" s="7">
        <f t="shared" si="42"/>
        <v>-19.739516238059196</v>
      </c>
      <c r="I1381">
        <f t="shared" si="43"/>
        <v>6</v>
      </c>
      <c r="J1381" t="str" cm="1">
        <f t="array" ref="J1381">INDEX($A$2:$A$7,I1381)</f>
        <v>Segment 6- Self-Conscious Male</v>
      </c>
    </row>
    <row r="1382" spans="1:10" x14ac:dyDescent="0.25">
      <c r="A1382" s="1">
        <f>'batch tool'!A1376</f>
        <v>0</v>
      </c>
      <c r="B1382" s="7">
        <f>SUMPRODUCT($C$2:$X$2,'batch tool'!$B1376:$W1376)+$Y$2</f>
        <v>-49.12272534143483</v>
      </c>
      <c r="C1382" s="7">
        <f>SUMPRODUCT($C$3:$X$3,'batch tool'!$B1376:$W1376)+$Y$3</f>
        <v>-36.514029388465531</v>
      </c>
      <c r="D1382" s="7">
        <f>SUMPRODUCT($C$4:$X$4,'batch tool'!$B1376:$W1376)+$Y$4</f>
        <v>-44.639843068043824</v>
      </c>
      <c r="E1382" s="7">
        <f>SUMPRODUCT($C$5:$X$5,'batch tool'!$B1376:$W1376)+$Y$5</f>
        <v>-51.578889182477603</v>
      </c>
      <c r="F1382" s="7">
        <f>SUMPRODUCT($C$6:$X$6,'batch tool'!$B1376:$W1376)+$Y$6</f>
        <v>-47.741473633885199</v>
      </c>
      <c r="G1382" s="7">
        <f>SUMPRODUCT($C$7:$X$7,'batch tool'!$B1376:$W1376)+$Y$7</f>
        <v>-19.739516238059196</v>
      </c>
      <c r="H1382" s="7">
        <f t="shared" si="42"/>
        <v>-19.739516238059196</v>
      </c>
      <c r="I1382">
        <f t="shared" si="43"/>
        <v>6</v>
      </c>
      <c r="J1382" t="str" cm="1">
        <f t="array" ref="J1382">INDEX($A$2:$A$7,I1382)</f>
        <v>Segment 6- Self-Conscious Male</v>
      </c>
    </row>
    <row r="1383" spans="1:10" x14ac:dyDescent="0.25">
      <c r="A1383" s="1">
        <f>'batch tool'!A1377</f>
        <v>0</v>
      </c>
      <c r="B1383" s="7">
        <f>SUMPRODUCT($C$2:$X$2,'batch tool'!$B1377:$W1377)+$Y$2</f>
        <v>-49.12272534143483</v>
      </c>
      <c r="C1383" s="7">
        <f>SUMPRODUCT($C$3:$X$3,'batch tool'!$B1377:$W1377)+$Y$3</f>
        <v>-36.514029388465531</v>
      </c>
      <c r="D1383" s="7">
        <f>SUMPRODUCT($C$4:$X$4,'batch tool'!$B1377:$W1377)+$Y$4</f>
        <v>-44.639843068043824</v>
      </c>
      <c r="E1383" s="7">
        <f>SUMPRODUCT($C$5:$X$5,'batch tool'!$B1377:$W1377)+$Y$5</f>
        <v>-51.578889182477603</v>
      </c>
      <c r="F1383" s="7">
        <f>SUMPRODUCT($C$6:$X$6,'batch tool'!$B1377:$W1377)+$Y$6</f>
        <v>-47.741473633885199</v>
      </c>
      <c r="G1383" s="7">
        <f>SUMPRODUCT($C$7:$X$7,'batch tool'!$B1377:$W1377)+$Y$7</f>
        <v>-19.739516238059196</v>
      </c>
      <c r="H1383" s="7">
        <f t="shared" si="42"/>
        <v>-19.739516238059196</v>
      </c>
      <c r="I1383">
        <f t="shared" si="43"/>
        <v>6</v>
      </c>
      <c r="J1383" t="str" cm="1">
        <f t="array" ref="J1383">INDEX($A$2:$A$7,I1383)</f>
        <v>Segment 6- Self-Conscious Male</v>
      </c>
    </row>
    <row r="1384" spans="1:10" x14ac:dyDescent="0.25">
      <c r="A1384" s="1">
        <f>'batch tool'!A1378</f>
        <v>0</v>
      </c>
      <c r="B1384" s="7">
        <f>SUMPRODUCT($C$2:$X$2,'batch tool'!$B1378:$W1378)+$Y$2</f>
        <v>-49.12272534143483</v>
      </c>
      <c r="C1384" s="7">
        <f>SUMPRODUCT($C$3:$X$3,'batch tool'!$B1378:$W1378)+$Y$3</f>
        <v>-36.514029388465531</v>
      </c>
      <c r="D1384" s="7">
        <f>SUMPRODUCT($C$4:$X$4,'batch tool'!$B1378:$W1378)+$Y$4</f>
        <v>-44.639843068043824</v>
      </c>
      <c r="E1384" s="7">
        <f>SUMPRODUCT($C$5:$X$5,'batch tool'!$B1378:$W1378)+$Y$5</f>
        <v>-51.578889182477603</v>
      </c>
      <c r="F1384" s="7">
        <f>SUMPRODUCT($C$6:$X$6,'batch tool'!$B1378:$W1378)+$Y$6</f>
        <v>-47.741473633885199</v>
      </c>
      <c r="G1384" s="7">
        <f>SUMPRODUCT($C$7:$X$7,'batch tool'!$B1378:$W1378)+$Y$7</f>
        <v>-19.739516238059196</v>
      </c>
      <c r="H1384" s="7">
        <f t="shared" si="42"/>
        <v>-19.739516238059196</v>
      </c>
      <c r="I1384">
        <f t="shared" si="43"/>
        <v>6</v>
      </c>
      <c r="J1384" t="str" cm="1">
        <f t="array" ref="J1384">INDEX($A$2:$A$7,I1384)</f>
        <v>Segment 6- Self-Conscious Male</v>
      </c>
    </row>
    <row r="1385" spans="1:10" x14ac:dyDescent="0.25">
      <c r="A1385" s="1">
        <f>'batch tool'!A1379</f>
        <v>0</v>
      </c>
      <c r="B1385" s="7">
        <f>SUMPRODUCT($C$2:$X$2,'batch tool'!$B1379:$W1379)+$Y$2</f>
        <v>-49.12272534143483</v>
      </c>
      <c r="C1385" s="7">
        <f>SUMPRODUCT($C$3:$X$3,'batch tool'!$B1379:$W1379)+$Y$3</f>
        <v>-36.514029388465531</v>
      </c>
      <c r="D1385" s="7">
        <f>SUMPRODUCT($C$4:$X$4,'batch tool'!$B1379:$W1379)+$Y$4</f>
        <v>-44.639843068043824</v>
      </c>
      <c r="E1385" s="7">
        <f>SUMPRODUCT($C$5:$X$5,'batch tool'!$B1379:$W1379)+$Y$5</f>
        <v>-51.578889182477603</v>
      </c>
      <c r="F1385" s="7">
        <f>SUMPRODUCT($C$6:$X$6,'batch tool'!$B1379:$W1379)+$Y$6</f>
        <v>-47.741473633885199</v>
      </c>
      <c r="G1385" s="7">
        <f>SUMPRODUCT($C$7:$X$7,'batch tool'!$B1379:$W1379)+$Y$7</f>
        <v>-19.739516238059196</v>
      </c>
      <c r="H1385" s="7">
        <f t="shared" si="42"/>
        <v>-19.739516238059196</v>
      </c>
      <c r="I1385">
        <f t="shared" si="43"/>
        <v>6</v>
      </c>
      <c r="J1385" t="str" cm="1">
        <f t="array" ref="J1385">INDEX($A$2:$A$7,I1385)</f>
        <v>Segment 6- Self-Conscious Male</v>
      </c>
    </row>
    <row r="1386" spans="1:10" x14ac:dyDescent="0.25">
      <c r="A1386" s="1">
        <f>'batch tool'!A1380</f>
        <v>0</v>
      </c>
      <c r="B1386" s="7">
        <f>SUMPRODUCT($C$2:$X$2,'batch tool'!$B1380:$W1380)+$Y$2</f>
        <v>-49.12272534143483</v>
      </c>
      <c r="C1386" s="7">
        <f>SUMPRODUCT($C$3:$X$3,'batch tool'!$B1380:$W1380)+$Y$3</f>
        <v>-36.514029388465531</v>
      </c>
      <c r="D1386" s="7">
        <f>SUMPRODUCT($C$4:$X$4,'batch tool'!$B1380:$W1380)+$Y$4</f>
        <v>-44.639843068043824</v>
      </c>
      <c r="E1386" s="7">
        <f>SUMPRODUCT($C$5:$X$5,'batch tool'!$B1380:$W1380)+$Y$5</f>
        <v>-51.578889182477603</v>
      </c>
      <c r="F1386" s="7">
        <f>SUMPRODUCT($C$6:$X$6,'batch tool'!$B1380:$W1380)+$Y$6</f>
        <v>-47.741473633885199</v>
      </c>
      <c r="G1386" s="7">
        <f>SUMPRODUCT($C$7:$X$7,'batch tool'!$B1380:$W1380)+$Y$7</f>
        <v>-19.739516238059196</v>
      </c>
      <c r="H1386" s="7">
        <f t="shared" si="42"/>
        <v>-19.739516238059196</v>
      </c>
      <c r="I1386">
        <f t="shared" si="43"/>
        <v>6</v>
      </c>
      <c r="J1386" t="str" cm="1">
        <f t="array" ref="J1386">INDEX($A$2:$A$7,I1386)</f>
        <v>Segment 6- Self-Conscious Male</v>
      </c>
    </row>
    <row r="1387" spans="1:10" x14ac:dyDescent="0.25">
      <c r="A1387" s="1">
        <f>'batch tool'!A1381</f>
        <v>0</v>
      </c>
      <c r="B1387" s="7">
        <f>SUMPRODUCT($C$2:$X$2,'batch tool'!$B1381:$W1381)+$Y$2</f>
        <v>-49.12272534143483</v>
      </c>
      <c r="C1387" s="7">
        <f>SUMPRODUCT($C$3:$X$3,'batch tool'!$B1381:$W1381)+$Y$3</f>
        <v>-36.514029388465531</v>
      </c>
      <c r="D1387" s="7">
        <f>SUMPRODUCT($C$4:$X$4,'batch tool'!$B1381:$W1381)+$Y$4</f>
        <v>-44.639843068043824</v>
      </c>
      <c r="E1387" s="7">
        <f>SUMPRODUCT($C$5:$X$5,'batch tool'!$B1381:$W1381)+$Y$5</f>
        <v>-51.578889182477603</v>
      </c>
      <c r="F1387" s="7">
        <f>SUMPRODUCT($C$6:$X$6,'batch tool'!$B1381:$W1381)+$Y$6</f>
        <v>-47.741473633885199</v>
      </c>
      <c r="G1387" s="7">
        <f>SUMPRODUCT($C$7:$X$7,'batch tool'!$B1381:$W1381)+$Y$7</f>
        <v>-19.739516238059196</v>
      </c>
      <c r="H1387" s="7">
        <f t="shared" si="42"/>
        <v>-19.739516238059196</v>
      </c>
      <c r="I1387">
        <f t="shared" si="43"/>
        <v>6</v>
      </c>
      <c r="J1387" t="str" cm="1">
        <f t="array" ref="J1387">INDEX($A$2:$A$7,I1387)</f>
        <v>Segment 6- Self-Conscious Male</v>
      </c>
    </row>
    <row r="1388" spans="1:10" x14ac:dyDescent="0.25">
      <c r="A1388" s="1">
        <f>'batch tool'!A1382</f>
        <v>0</v>
      </c>
      <c r="B1388" s="7">
        <f>SUMPRODUCT($C$2:$X$2,'batch tool'!$B1382:$W1382)+$Y$2</f>
        <v>-49.12272534143483</v>
      </c>
      <c r="C1388" s="7">
        <f>SUMPRODUCT($C$3:$X$3,'batch tool'!$B1382:$W1382)+$Y$3</f>
        <v>-36.514029388465531</v>
      </c>
      <c r="D1388" s="7">
        <f>SUMPRODUCT($C$4:$X$4,'batch tool'!$B1382:$W1382)+$Y$4</f>
        <v>-44.639843068043824</v>
      </c>
      <c r="E1388" s="7">
        <f>SUMPRODUCT($C$5:$X$5,'batch tool'!$B1382:$W1382)+$Y$5</f>
        <v>-51.578889182477603</v>
      </c>
      <c r="F1388" s="7">
        <f>SUMPRODUCT($C$6:$X$6,'batch tool'!$B1382:$W1382)+$Y$6</f>
        <v>-47.741473633885199</v>
      </c>
      <c r="G1388" s="7">
        <f>SUMPRODUCT($C$7:$X$7,'batch tool'!$B1382:$W1382)+$Y$7</f>
        <v>-19.739516238059196</v>
      </c>
      <c r="H1388" s="7">
        <f t="shared" si="42"/>
        <v>-19.739516238059196</v>
      </c>
      <c r="I1388">
        <f t="shared" si="43"/>
        <v>6</v>
      </c>
      <c r="J1388" t="str" cm="1">
        <f t="array" ref="J1388">INDEX($A$2:$A$7,I1388)</f>
        <v>Segment 6- Self-Conscious Male</v>
      </c>
    </row>
    <row r="1389" spans="1:10" x14ac:dyDescent="0.25">
      <c r="A1389" s="1">
        <f>'batch tool'!A1383</f>
        <v>0</v>
      </c>
      <c r="B1389" s="7">
        <f>SUMPRODUCT($C$2:$X$2,'batch tool'!$B1383:$W1383)+$Y$2</f>
        <v>-49.12272534143483</v>
      </c>
      <c r="C1389" s="7">
        <f>SUMPRODUCT($C$3:$X$3,'batch tool'!$B1383:$W1383)+$Y$3</f>
        <v>-36.514029388465531</v>
      </c>
      <c r="D1389" s="7">
        <f>SUMPRODUCT($C$4:$X$4,'batch tool'!$B1383:$W1383)+$Y$4</f>
        <v>-44.639843068043824</v>
      </c>
      <c r="E1389" s="7">
        <f>SUMPRODUCT($C$5:$X$5,'batch tool'!$B1383:$W1383)+$Y$5</f>
        <v>-51.578889182477603</v>
      </c>
      <c r="F1389" s="7">
        <f>SUMPRODUCT($C$6:$X$6,'batch tool'!$B1383:$W1383)+$Y$6</f>
        <v>-47.741473633885199</v>
      </c>
      <c r="G1389" s="7">
        <f>SUMPRODUCT($C$7:$X$7,'batch tool'!$B1383:$W1383)+$Y$7</f>
        <v>-19.739516238059196</v>
      </c>
      <c r="H1389" s="7">
        <f t="shared" si="42"/>
        <v>-19.739516238059196</v>
      </c>
      <c r="I1389">
        <f t="shared" si="43"/>
        <v>6</v>
      </c>
      <c r="J1389" t="str" cm="1">
        <f t="array" ref="J1389">INDEX($A$2:$A$7,I1389)</f>
        <v>Segment 6- Self-Conscious Male</v>
      </c>
    </row>
    <row r="1390" spans="1:10" x14ac:dyDescent="0.25">
      <c r="A1390" s="1">
        <f>'batch tool'!A1384</f>
        <v>0</v>
      </c>
      <c r="B1390" s="7">
        <f>SUMPRODUCT($C$2:$X$2,'batch tool'!$B1384:$W1384)+$Y$2</f>
        <v>-49.12272534143483</v>
      </c>
      <c r="C1390" s="7">
        <f>SUMPRODUCT($C$3:$X$3,'batch tool'!$B1384:$W1384)+$Y$3</f>
        <v>-36.514029388465531</v>
      </c>
      <c r="D1390" s="7">
        <f>SUMPRODUCT($C$4:$X$4,'batch tool'!$B1384:$W1384)+$Y$4</f>
        <v>-44.639843068043824</v>
      </c>
      <c r="E1390" s="7">
        <f>SUMPRODUCT($C$5:$X$5,'batch tool'!$B1384:$W1384)+$Y$5</f>
        <v>-51.578889182477603</v>
      </c>
      <c r="F1390" s="7">
        <f>SUMPRODUCT($C$6:$X$6,'batch tool'!$B1384:$W1384)+$Y$6</f>
        <v>-47.741473633885199</v>
      </c>
      <c r="G1390" s="7">
        <f>SUMPRODUCT($C$7:$X$7,'batch tool'!$B1384:$W1384)+$Y$7</f>
        <v>-19.739516238059196</v>
      </c>
      <c r="H1390" s="7">
        <f t="shared" si="42"/>
        <v>-19.739516238059196</v>
      </c>
      <c r="I1390">
        <f t="shared" si="43"/>
        <v>6</v>
      </c>
      <c r="J1390" t="str" cm="1">
        <f t="array" ref="J1390">INDEX($A$2:$A$7,I1390)</f>
        <v>Segment 6- Self-Conscious Male</v>
      </c>
    </row>
    <row r="1391" spans="1:10" x14ac:dyDescent="0.25">
      <c r="A1391" s="1">
        <f>'batch tool'!A1385</f>
        <v>0</v>
      </c>
      <c r="B1391" s="7">
        <f>SUMPRODUCT($C$2:$X$2,'batch tool'!$B1385:$W1385)+$Y$2</f>
        <v>-49.12272534143483</v>
      </c>
      <c r="C1391" s="7">
        <f>SUMPRODUCT($C$3:$X$3,'batch tool'!$B1385:$W1385)+$Y$3</f>
        <v>-36.514029388465531</v>
      </c>
      <c r="D1391" s="7">
        <f>SUMPRODUCT($C$4:$X$4,'batch tool'!$B1385:$W1385)+$Y$4</f>
        <v>-44.639843068043824</v>
      </c>
      <c r="E1391" s="7">
        <f>SUMPRODUCT($C$5:$X$5,'batch tool'!$B1385:$W1385)+$Y$5</f>
        <v>-51.578889182477603</v>
      </c>
      <c r="F1391" s="7">
        <f>SUMPRODUCT($C$6:$X$6,'batch tool'!$B1385:$W1385)+$Y$6</f>
        <v>-47.741473633885199</v>
      </c>
      <c r="G1391" s="7">
        <f>SUMPRODUCT($C$7:$X$7,'batch tool'!$B1385:$W1385)+$Y$7</f>
        <v>-19.739516238059196</v>
      </c>
      <c r="H1391" s="7">
        <f t="shared" si="42"/>
        <v>-19.739516238059196</v>
      </c>
      <c r="I1391">
        <f t="shared" si="43"/>
        <v>6</v>
      </c>
      <c r="J1391" t="str" cm="1">
        <f t="array" ref="J1391">INDEX($A$2:$A$7,I1391)</f>
        <v>Segment 6- Self-Conscious Male</v>
      </c>
    </row>
    <row r="1392" spans="1:10" x14ac:dyDescent="0.25">
      <c r="A1392" s="1">
        <f>'batch tool'!A1386</f>
        <v>0</v>
      </c>
      <c r="B1392" s="7">
        <f>SUMPRODUCT($C$2:$X$2,'batch tool'!$B1386:$W1386)+$Y$2</f>
        <v>-49.12272534143483</v>
      </c>
      <c r="C1392" s="7">
        <f>SUMPRODUCT($C$3:$X$3,'batch tool'!$B1386:$W1386)+$Y$3</f>
        <v>-36.514029388465531</v>
      </c>
      <c r="D1392" s="7">
        <f>SUMPRODUCT($C$4:$X$4,'batch tool'!$B1386:$W1386)+$Y$4</f>
        <v>-44.639843068043824</v>
      </c>
      <c r="E1392" s="7">
        <f>SUMPRODUCT($C$5:$X$5,'batch tool'!$B1386:$W1386)+$Y$5</f>
        <v>-51.578889182477603</v>
      </c>
      <c r="F1392" s="7">
        <f>SUMPRODUCT($C$6:$X$6,'batch tool'!$B1386:$W1386)+$Y$6</f>
        <v>-47.741473633885199</v>
      </c>
      <c r="G1392" s="7">
        <f>SUMPRODUCT($C$7:$X$7,'batch tool'!$B1386:$W1386)+$Y$7</f>
        <v>-19.739516238059196</v>
      </c>
      <c r="H1392" s="7">
        <f t="shared" si="42"/>
        <v>-19.739516238059196</v>
      </c>
      <c r="I1392">
        <f t="shared" si="43"/>
        <v>6</v>
      </c>
      <c r="J1392" t="str" cm="1">
        <f t="array" ref="J1392">INDEX($A$2:$A$7,I1392)</f>
        <v>Segment 6- Self-Conscious Male</v>
      </c>
    </row>
    <row r="1393" spans="1:10" x14ac:dyDescent="0.25">
      <c r="A1393" s="1">
        <f>'batch tool'!A1387</f>
        <v>0</v>
      </c>
      <c r="B1393" s="7">
        <f>SUMPRODUCT($C$2:$X$2,'batch tool'!$B1387:$W1387)+$Y$2</f>
        <v>-49.12272534143483</v>
      </c>
      <c r="C1393" s="7">
        <f>SUMPRODUCT($C$3:$X$3,'batch tool'!$B1387:$W1387)+$Y$3</f>
        <v>-36.514029388465531</v>
      </c>
      <c r="D1393" s="7">
        <f>SUMPRODUCT($C$4:$X$4,'batch tool'!$B1387:$W1387)+$Y$4</f>
        <v>-44.639843068043824</v>
      </c>
      <c r="E1393" s="7">
        <f>SUMPRODUCT($C$5:$X$5,'batch tool'!$B1387:$W1387)+$Y$5</f>
        <v>-51.578889182477603</v>
      </c>
      <c r="F1393" s="7">
        <f>SUMPRODUCT($C$6:$X$6,'batch tool'!$B1387:$W1387)+$Y$6</f>
        <v>-47.741473633885199</v>
      </c>
      <c r="G1393" s="7">
        <f>SUMPRODUCT($C$7:$X$7,'batch tool'!$B1387:$W1387)+$Y$7</f>
        <v>-19.739516238059196</v>
      </c>
      <c r="H1393" s="7">
        <f t="shared" si="42"/>
        <v>-19.739516238059196</v>
      </c>
      <c r="I1393">
        <f t="shared" si="43"/>
        <v>6</v>
      </c>
      <c r="J1393" t="str" cm="1">
        <f t="array" ref="J1393">INDEX($A$2:$A$7,I1393)</f>
        <v>Segment 6- Self-Conscious Male</v>
      </c>
    </row>
    <row r="1394" spans="1:10" x14ac:dyDescent="0.25">
      <c r="A1394" s="1">
        <f>'batch tool'!A1388</f>
        <v>0</v>
      </c>
      <c r="B1394" s="7">
        <f>SUMPRODUCT($C$2:$X$2,'batch tool'!$B1388:$W1388)+$Y$2</f>
        <v>-49.12272534143483</v>
      </c>
      <c r="C1394" s="7">
        <f>SUMPRODUCT($C$3:$X$3,'batch tool'!$B1388:$W1388)+$Y$3</f>
        <v>-36.514029388465531</v>
      </c>
      <c r="D1394" s="7">
        <f>SUMPRODUCT($C$4:$X$4,'batch tool'!$B1388:$W1388)+$Y$4</f>
        <v>-44.639843068043824</v>
      </c>
      <c r="E1394" s="7">
        <f>SUMPRODUCT($C$5:$X$5,'batch tool'!$B1388:$W1388)+$Y$5</f>
        <v>-51.578889182477603</v>
      </c>
      <c r="F1394" s="7">
        <f>SUMPRODUCT($C$6:$X$6,'batch tool'!$B1388:$W1388)+$Y$6</f>
        <v>-47.741473633885199</v>
      </c>
      <c r="G1394" s="7">
        <f>SUMPRODUCT($C$7:$X$7,'batch tool'!$B1388:$W1388)+$Y$7</f>
        <v>-19.739516238059196</v>
      </c>
      <c r="H1394" s="7">
        <f t="shared" si="42"/>
        <v>-19.739516238059196</v>
      </c>
      <c r="I1394">
        <f t="shared" si="43"/>
        <v>6</v>
      </c>
      <c r="J1394" t="str" cm="1">
        <f t="array" ref="J1394">INDEX($A$2:$A$7,I1394)</f>
        <v>Segment 6- Self-Conscious Male</v>
      </c>
    </row>
    <row r="1395" spans="1:10" x14ac:dyDescent="0.25">
      <c r="A1395" s="1">
        <f>'batch tool'!A1389</f>
        <v>0</v>
      </c>
      <c r="B1395" s="7">
        <f>SUMPRODUCT($C$2:$X$2,'batch tool'!$B1389:$W1389)+$Y$2</f>
        <v>-49.12272534143483</v>
      </c>
      <c r="C1395" s="7">
        <f>SUMPRODUCT($C$3:$X$3,'batch tool'!$B1389:$W1389)+$Y$3</f>
        <v>-36.514029388465531</v>
      </c>
      <c r="D1395" s="7">
        <f>SUMPRODUCT($C$4:$X$4,'batch tool'!$B1389:$W1389)+$Y$4</f>
        <v>-44.639843068043824</v>
      </c>
      <c r="E1395" s="7">
        <f>SUMPRODUCT($C$5:$X$5,'batch tool'!$B1389:$W1389)+$Y$5</f>
        <v>-51.578889182477603</v>
      </c>
      <c r="F1395" s="7">
        <f>SUMPRODUCT($C$6:$X$6,'batch tool'!$B1389:$W1389)+$Y$6</f>
        <v>-47.741473633885199</v>
      </c>
      <c r="G1395" s="7">
        <f>SUMPRODUCT($C$7:$X$7,'batch tool'!$B1389:$W1389)+$Y$7</f>
        <v>-19.739516238059196</v>
      </c>
      <c r="H1395" s="7">
        <f t="shared" si="42"/>
        <v>-19.739516238059196</v>
      </c>
      <c r="I1395">
        <f t="shared" si="43"/>
        <v>6</v>
      </c>
      <c r="J1395" t="str" cm="1">
        <f t="array" ref="J1395">INDEX($A$2:$A$7,I1395)</f>
        <v>Segment 6- Self-Conscious Male</v>
      </c>
    </row>
    <row r="1396" spans="1:10" x14ac:dyDescent="0.25">
      <c r="A1396" s="1">
        <f>'batch tool'!A1390</f>
        <v>0</v>
      </c>
      <c r="B1396" s="7">
        <f>SUMPRODUCT($C$2:$X$2,'batch tool'!$B1390:$W1390)+$Y$2</f>
        <v>-49.12272534143483</v>
      </c>
      <c r="C1396" s="7">
        <f>SUMPRODUCT($C$3:$X$3,'batch tool'!$B1390:$W1390)+$Y$3</f>
        <v>-36.514029388465531</v>
      </c>
      <c r="D1396" s="7">
        <f>SUMPRODUCT($C$4:$X$4,'batch tool'!$B1390:$W1390)+$Y$4</f>
        <v>-44.639843068043824</v>
      </c>
      <c r="E1396" s="7">
        <f>SUMPRODUCT($C$5:$X$5,'batch tool'!$B1390:$W1390)+$Y$5</f>
        <v>-51.578889182477603</v>
      </c>
      <c r="F1396" s="7">
        <f>SUMPRODUCT($C$6:$X$6,'batch tool'!$B1390:$W1390)+$Y$6</f>
        <v>-47.741473633885199</v>
      </c>
      <c r="G1396" s="7">
        <f>SUMPRODUCT($C$7:$X$7,'batch tool'!$B1390:$W1390)+$Y$7</f>
        <v>-19.739516238059196</v>
      </c>
      <c r="H1396" s="7">
        <f t="shared" si="42"/>
        <v>-19.739516238059196</v>
      </c>
      <c r="I1396">
        <f t="shared" si="43"/>
        <v>6</v>
      </c>
      <c r="J1396" t="str" cm="1">
        <f t="array" ref="J1396">INDEX($A$2:$A$7,I1396)</f>
        <v>Segment 6- Self-Conscious Male</v>
      </c>
    </row>
    <row r="1397" spans="1:10" x14ac:dyDescent="0.25">
      <c r="A1397" s="1">
        <f>'batch tool'!A1391</f>
        <v>0</v>
      </c>
      <c r="B1397" s="7">
        <f>SUMPRODUCT($C$2:$X$2,'batch tool'!$B1391:$W1391)+$Y$2</f>
        <v>-49.12272534143483</v>
      </c>
      <c r="C1397" s="7">
        <f>SUMPRODUCT($C$3:$X$3,'batch tool'!$B1391:$W1391)+$Y$3</f>
        <v>-36.514029388465531</v>
      </c>
      <c r="D1397" s="7">
        <f>SUMPRODUCT($C$4:$X$4,'batch tool'!$B1391:$W1391)+$Y$4</f>
        <v>-44.639843068043824</v>
      </c>
      <c r="E1397" s="7">
        <f>SUMPRODUCT($C$5:$X$5,'batch tool'!$B1391:$W1391)+$Y$5</f>
        <v>-51.578889182477603</v>
      </c>
      <c r="F1397" s="7">
        <f>SUMPRODUCT($C$6:$X$6,'batch tool'!$B1391:$W1391)+$Y$6</f>
        <v>-47.741473633885199</v>
      </c>
      <c r="G1397" s="7">
        <f>SUMPRODUCT($C$7:$X$7,'batch tool'!$B1391:$W1391)+$Y$7</f>
        <v>-19.739516238059196</v>
      </c>
      <c r="H1397" s="7">
        <f t="shared" si="42"/>
        <v>-19.739516238059196</v>
      </c>
      <c r="I1397">
        <f t="shared" si="43"/>
        <v>6</v>
      </c>
      <c r="J1397" t="str" cm="1">
        <f t="array" ref="J1397">INDEX($A$2:$A$7,I1397)</f>
        <v>Segment 6- Self-Conscious Male</v>
      </c>
    </row>
    <row r="1398" spans="1:10" x14ac:dyDescent="0.25">
      <c r="A1398" s="1">
        <f>'batch tool'!A1392</f>
        <v>0</v>
      </c>
      <c r="B1398" s="7">
        <f>SUMPRODUCT($C$2:$X$2,'batch tool'!$B1392:$W1392)+$Y$2</f>
        <v>-49.12272534143483</v>
      </c>
      <c r="C1398" s="7">
        <f>SUMPRODUCT($C$3:$X$3,'batch tool'!$B1392:$W1392)+$Y$3</f>
        <v>-36.514029388465531</v>
      </c>
      <c r="D1398" s="7">
        <f>SUMPRODUCT($C$4:$X$4,'batch tool'!$B1392:$W1392)+$Y$4</f>
        <v>-44.639843068043824</v>
      </c>
      <c r="E1398" s="7">
        <f>SUMPRODUCT($C$5:$X$5,'batch tool'!$B1392:$W1392)+$Y$5</f>
        <v>-51.578889182477603</v>
      </c>
      <c r="F1398" s="7">
        <f>SUMPRODUCT($C$6:$X$6,'batch tool'!$B1392:$W1392)+$Y$6</f>
        <v>-47.741473633885199</v>
      </c>
      <c r="G1398" s="7">
        <f>SUMPRODUCT($C$7:$X$7,'batch tool'!$B1392:$W1392)+$Y$7</f>
        <v>-19.739516238059196</v>
      </c>
      <c r="H1398" s="7">
        <f t="shared" si="42"/>
        <v>-19.739516238059196</v>
      </c>
      <c r="I1398">
        <f t="shared" si="43"/>
        <v>6</v>
      </c>
      <c r="J1398" t="str" cm="1">
        <f t="array" ref="J1398">INDEX($A$2:$A$7,I1398)</f>
        <v>Segment 6- Self-Conscious Male</v>
      </c>
    </row>
    <row r="1399" spans="1:10" x14ac:dyDescent="0.25">
      <c r="A1399" s="1">
        <f>'batch tool'!A1393</f>
        <v>0</v>
      </c>
      <c r="B1399" s="7">
        <f>SUMPRODUCT($C$2:$X$2,'batch tool'!$B1393:$W1393)+$Y$2</f>
        <v>-49.12272534143483</v>
      </c>
      <c r="C1399" s="7">
        <f>SUMPRODUCT($C$3:$X$3,'batch tool'!$B1393:$W1393)+$Y$3</f>
        <v>-36.514029388465531</v>
      </c>
      <c r="D1399" s="7">
        <f>SUMPRODUCT($C$4:$X$4,'batch tool'!$B1393:$W1393)+$Y$4</f>
        <v>-44.639843068043824</v>
      </c>
      <c r="E1399" s="7">
        <f>SUMPRODUCT($C$5:$X$5,'batch tool'!$B1393:$W1393)+$Y$5</f>
        <v>-51.578889182477603</v>
      </c>
      <c r="F1399" s="7">
        <f>SUMPRODUCT($C$6:$X$6,'batch tool'!$B1393:$W1393)+$Y$6</f>
        <v>-47.741473633885199</v>
      </c>
      <c r="G1399" s="7">
        <f>SUMPRODUCT($C$7:$X$7,'batch tool'!$B1393:$W1393)+$Y$7</f>
        <v>-19.739516238059196</v>
      </c>
      <c r="H1399" s="7">
        <f t="shared" si="42"/>
        <v>-19.739516238059196</v>
      </c>
      <c r="I1399">
        <f t="shared" si="43"/>
        <v>6</v>
      </c>
      <c r="J1399" t="str" cm="1">
        <f t="array" ref="J1399">INDEX($A$2:$A$7,I1399)</f>
        <v>Segment 6- Self-Conscious Male</v>
      </c>
    </row>
    <row r="1400" spans="1:10" x14ac:dyDescent="0.25">
      <c r="A1400" s="1">
        <f>'batch tool'!A1394</f>
        <v>0</v>
      </c>
      <c r="B1400" s="7">
        <f>SUMPRODUCT($C$2:$X$2,'batch tool'!$B1394:$W1394)+$Y$2</f>
        <v>-49.12272534143483</v>
      </c>
      <c r="C1400" s="7">
        <f>SUMPRODUCT($C$3:$X$3,'batch tool'!$B1394:$W1394)+$Y$3</f>
        <v>-36.514029388465531</v>
      </c>
      <c r="D1400" s="7">
        <f>SUMPRODUCT($C$4:$X$4,'batch tool'!$B1394:$W1394)+$Y$4</f>
        <v>-44.639843068043824</v>
      </c>
      <c r="E1400" s="7">
        <f>SUMPRODUCT($C$5:$X$5,'batch tool'!$B1394:$W1394)+$Y$5</f>
        <v>-51.578889182477603</v>
      </c>
      <c r="F1400" s="7">
        <f>SUMPRODUCT($C$6:$X$6,'batch tool'!$B1394:$W1394)+$Y$6</f>
        <v>-47.741473633885199</v>
      </c>
      <c r="G1400" s="7">
        <f>SUMPRODUCT($C$7:$X$7,'batch tool'!$B1394:$W1394)+$Y$7</f>
        <v>-19.739516238059196</v>
      </c>
      <c r="H1400" s="7">
        <f t="shared" si="42"/>
        <v>-19.739516238059196</v>
      </c>
      <c r="I1400">
        <f t="shared" si="43"/>
        <v>6</v>
      </c>
      <c r="J1400" t="str" cm="1">
        <f t="array" ref="J1400">INDEX($A$2:$A$7,I1400)</f>
        <v>Segment 6- Self-Conscious Male</v>
      </c>
    </row>
    <row r="1401" spans="1:10" x14ac:dyDescent="0.25">
      <c r="A1401" s="1">
        <f>'batch tool'!A1395</f>
        <v>0</v>
      </c>
      <c r="B1401" s="7">
        <f>SUMPRODUCT($C$2:$X$2,'batch tool'!$B1395:$W1395)+$Y$2</f>
        <v>-49.12272534143483</v>
      </c>
      <c r="C1401" s="7">
        <f>SUMPRODUCT($C$3:$X$3,'batch tool'!$B1395:$W1395)+$Y$3</f>
        <v>-36.514029388465531</v>
      </c>
      <c r="D1401" s="7">
        <f>SUMPRODUCT($C$4:$X$4,'batch tool'!$B1395:$W1395)+$Y$4</f>
        <v>-44.639843068043824</v>
      </c>
      <c r="E1401" s="7">
        <f>SUMPRODUCT($C$5:$X$5,'batch tool'!$B1395:$W1395)+$Y$5</f>
        <v>-51.578889182477603</v>
      </c>
      <c r="F1401" s="7">
        <f>SUMPRODUCT($C$6:$X$6,'batch tool'!$B1395:$W1395)+$Y$6</f>
        <v>-47.741473633885199</v>
      </c>
      <c r="G1401" s="7">
        <f>SUMPRODUCT($C$7:$X$7,'batch tool'!$B1395:$W1395)+$Y$7</f>
        <v>-19.739516238059196</v>
      </c>
      <c r="H1401" s="7">
        <f t="shared" si="42"/>
        <v>-19.739516238059196</v>
      </c>
      <c r="I1401">
        <f t="shared" si="43"/>
        <v>6</v>
      </c>
      <c r="J1401" t="str" cm="1">
        <f t="array" ref="J1401">INDEX($A$2:$A$7,I1401)</f>
        <v>Segment 6- Self-Conscious Male</v>
      </c>
    </row>
    <row r="1402" spans="1:10" x14ac:dyDescent="0.25">
      <c r="A1402" s="1">
        <f>'batch tool'!A1396</f>
        <v>0</v>
      </c>
      <c r="B1402" s="7">
        <f>SUMPRODUCT($C$2:$X$2,'batch tool'!$B1396:$W1396)+$Y$2</f>
        <v>-49.12272534143483</v>
      </c>
      <c r="C1402" s="7">
        <f>SUMPRODUCT($C$3:$X$3,'batch tool'!$B1396:$W1396)+$Y$3</f>
        <v>-36.514029388465531</v>
      </c>
      <c r="D1402" s="7">
        <f>SUMPRODUCT($C$4:$X$4,'batch tool'!$B1396:$W1396)+$Y$4</f>
        <v>-44.639843068043824</v>
      </c>
      <c r="E1402" s="7">
        <f>SUMPRODUCT($C$5:$X$5,'batch tool'!$B1396:$W1396)+$Y$5</f>
        <v>-51.578889182477603</v>
      </c>
      <c r="F1402" s="7">
        <f>SUMPRODUCT($C$6:$X$6,'batch tool'!$B1396:$W1396)+$Y$6</f>
        <v>-47.741473633885199</v>
      </c>
      <c r="G1402" s="7">
        <f>SUMPRODUCT($C$7:$X$7,'batch tool'!$B1396:$W1396)+$Y$7</f>
        <v>-19.739516238059196</v>
      </c>
      <c r="H1402" s="7">
        <f t="shared" si="42"/>
        <v>-19.739516238059196</v>
      </c>
      <c r="I1402">
        <f t="shared" si="43"/>
        <v>6</v>
      </c>
      <c r="J1402" t="str" cm="1">
        <f t="array" ref="J1402">INDEX($A$2:$A$7,I1402)</f>
        <v>Segment 6- Self-Conscious Male</v>
      </c>
    </row>
    <row r="1403" spans="1:10" x14ac:dyDescent="0.25">
      <c r="A1403" s="1">
        <f>'batch tool'!A1397</f>
        <v>0</v>
      </c>
      <c r="B1403" s="7">
        <f>SUMPRODUCT($C$2:$X$2,'batch tool'!$B1397:$W1397)+$Y$2</f>
        <v>-49.12272534143483</v>
      </c>
      <c r="C1403" s="7">
        <f>SUMPRODUCT($C$3:$X$3,'batch tool'!$B1397:$W1397)+$Y$3</f>
        <v>-36.514029388465531</v>
      </c>
      <c r="D1403" s="7">
        <f>SUMPRODUCT($C$4:$X$4,'batch tool'!$B1397:$W1397)+$Y$4</f>
        <v>-44.639843068043824</v>
      </c>
      <c r="E1403" s="7">
        <f>SUMPRODUCT($C$5:$X$5,'batch tool'!$B1397:$W1397)+$Y$5</f>
        <v>-51.578889182477603</v>
      </c>
      <c r="F1403" s="7">
        <f>SUMPRODUCT($C$6:$X$6,'batch tool'!$B1397:$W1397)+$Y$6</f>
        <v>-47.741473633885199</v>
      </c>
      <c r="G1403" s="7">
        <f>SUMPRODUCT($C$7:$X$7,'batch tool'!$B1397:$W1397)+$Y$7</f>
        <v>-19.739516238059196</v>
      </c>
      <c r="H1403" s="7">
        <f t="shared" si="42"/>
        <v>-19.739516238059196</v>
      </c>
      <c r="I1403">
        <f t="shared" si="43"/>
        <v>6</v>
      </c>
      <c r="J1403" t="str" cm="1">
        <f t="array" ref="J1403">INDEX($A$2:$A$7,I1403)</f>
        <v>Segment 6- Self-Conscious Male</v>
      </c>
    </row>
    <row r="1404" spans="1:10" x14ac:dyDescent="0.25">
      <c r="A1404" s="1">
        <f>'batch tool'!A1398</f>
        <v>0</v>
      </c>
      <c r="B1404" s="7">
        <f>SUMPRODUCT($C$2:$X$2,'batch tool'!$B1398:$W1398)+$Y$2</f>
        <v>-49.12272534143483</v>
      </c>
      <c r="C1404" s="7">
        <f>SUMPRODUCT($C$3:$X$3,'batch tool'!$B1398:$W1398)+$Y$3</f>
        <v>-36.514029388465531</v>
      </c>
      <c r="D1404" s="7">
        <f>SUMPRODUCT($C$4:$X$4,'batch tool'!$B1398:$W1398)+$Y$4</f>
        <v>-44.639843068043824</v>
      </c>
      <c r="E1404" s="7">
        <f>SUMPRODUCT($C$5:$X$5,'batch tool'!$B1398:$W1398)+$Y$5</f>
        <v>-51.578889182477603</v>
      </c>
      <c r="F1404" s="7">
        <f>SUMPRODUCT($C$6:$X$6,'batch tool'!$B1398:$W1398)+$Y$6</f>
        <v>-47.741473633885199</v>
      </c>
      <c r="G1404" s="7">
        <f>SUMPRODUCT($C$7:$X$7,'batch tool'!$B1398:$W1398)+$Y$7</f>
        <v>-19.739516238059196</v>
      </c>
      <c r="H1404" s="7">
        <f t="shared" si="42"/>
        <v>-19.739516238059196</v>
      </c>
      <c r="I1404">
        <f t="shared" si="43"/>
        <v>6</v>
      </c>
      <c r="J1404" t="str" cm="1">
        <f t="array" ref="J1404">INDEX($A$2:$A$7,I1404)</f>
        <v>Segment 6- Self-Conscious Male</v>
      </c>
    </row>
    <row r="1405" spans="1:10" x14ac:dyDescent="0.25">
      <c r="A1405" s="1">
        <f>'batch tool'!A1399</f>
        <v>0</v>
      </c>
      <c r="B1405" s="7">
        <f>SUMPRODUCT($C$2:$X$2,'batch tool'!$B1399:$W1399)+$Y$2</f>
        <v>-49.12272534143483</v>
      </c>
      <c r="C1405" s="7">
        <f>SUMPRODUCT($C$3:$X$3,'batch tool'!$B1399:$W1399)+$Y$3</f>
        <v>-36.514029388465531</v>
      </c>
      <c r="D1405" s="7">
        <f>SUMPRODUCT($C$4:$X$4,'batch tool'!$B1399:$W1399)+$Y$4</f>
        <v>-44.639843068043824</v>
      </c>
      <c r="E1405" s="7">
        <f>SUMPRODUCT($C$5:$X$5,'batch tool'!$B1399:$W1399)+$Y$5</f>
        <v>-51.578889182477603</v>
      </c>
      <c r="F1405" s="7">
        <f>SUMPRODUCT($C$6:$X$6,'batch tool'!$B1399:$W1399)+$Y$6</f>
        <v>-47.741473633885199</v>
      </c>
      <c r="G1405" s="7">
        <f>SUMPRODUCT($C$7:$X$7,'batch tool'!$B1399:$W1399)+$Y$7</f>
        <v>-19.739516238059196</v>
      </c>
      <c r="H1405" s="7">
        <f t="shared" si="42"/>
        <v>-19.739516238059196</v>
      </c>
      <c r="I1405">
        <f t="shared" si="43"/>
        <v>6</v>
      </c>
      <c r="J1405" t="str" cm="1">
        <f t="array" ref="J1405">INDEX($A$2:$A$7,I1405)</f>
        <v>Segment 6- Self-Conscious Male</v>
      </c>
    </row>
    <row r="1406" spans="1:10" x14ac:dyDescent="0.25">
      <c r="A1406" s="1">
        <f>'batch tool'!A1400</f>
        <v>0</v>
      </c>
      <c r="B1406" s="7">
        <f>SUMPRODUCT($C$2:$X$2,'batch tool'!$B1400:$W1400)+$Y$2</f>
        <v>-49.12272534143483</v>
      </c>
      <c r="C1406" s="7">
        <f>SUMPRODUCT($C$3:$X$3,'batch tool'!$B1400:$W1400)+$Y$3</f>
        <v>-36.514029388465531</v>
      </c>
      <c r="D1406" s="7">
        <f>SUMPRODUCT($C$4:$X$4,'batch tool'!$B1400:$W1400)+$Y$4</f>
        <v>-44.639843068043824</v>
      </c>
      <c r="E1406" s="7">
        <f>SUMPRODUCT($C$5:$X$5,'batch tool'!$B1400:$W1400)+$Y$5</f>
        <v>-51.578889182477603</v>
      </c>
      <c r="F1406" s="7">
        <f>SUMPRODUCT($C$6:$X$6,'batch tool'!$B1400:$W1400)+$Y$6</f>
        <v>-47.741473633885199</v>
      </c>
      <c r="G1406" s="7">
        <f>SUMPRODUCT($C$7:$X$7,'batch tool'!$B1400:$W1400)+$Y$7</f>
        <v>-19.739516238059196</v>
      </c>
      <c r="H1406" s="7">
        <f t="shared" si="42"/>
        <v>-19.739516238059196</v>
      </c>
      <c r="I1406">
        <f t="shared" si="43"/>
        <v>6</v>
      </c>
      <c r="J1406" t="str" cm="1">
        <f t="array" ref="J1406">INDEX($A$2:$A$7,I1406)</f>
        <v>Segment 6- Self-Conscious Male</v>
      </c>
    </row>
    <row r="1407" spans="1:10" x14ac:dyDescent="0.25">
      <c r="A1407" s="1">
        <f>'batch tool'!A1401</f>
        <v>0</v>
      </c>
      <c r="B1407" s="7">
        <f>SUMPRODUCT($C$2:$X$2,'batch tool'!$B1401:$W1401)+$Y$2</f>
        <v>-49.12272534143483</v>
      </c>
      <c r="C1407" s="7">
        <f>SUMPRODUCT($C$3:$X$3,'batch tool'!$B1401:$W1401)+$Y$3</f>
        <v>-36.514029388465531</v>
      </c>
      <c r="D1407" s="7">
        <f>SUMPRODUCT($C$4:$X$4,'batch tool'!$B1401:$W1401)+$Y$4</f>
        <v>-44.639843068043824</v>
      </c>
      <c r="E1407" s="7">
        <f>SUMPRODUCT($C$5:$X$5,'batch tool'!$B1401:$W1401)+$Y$5</f>
        <v>-51.578889182477603</v>
      </c>
      <c r="F1407" s="7">
        <f>SUMPRODUCT($C$6:$X$6,'batch tool'!$B1401:$W1401)+$Y$6</f>
        <v>-47.741473633885199</v>
      </c>
      <c r="G1407" s="7">
        <f>SUMPRODUCT($C$7:$X$7,'batch tool'!$B1401:$W1401)+$Y$7</f>
        <v>-19.739516238059196</v>
      </c>
      <c r="H1407" s="7">
        <f t="shared" si="42"/>
        <v>-19.739516238059196</v>
      </c>
      <c r="I1407">
        <f t="shared" si="43"/>
        <v>6</v>
      </c>
      <c r="J1407" t="str" cm="1">
        <f t="array" ref="J1407">INDEX($A$2:$A$7,I1407)</f>
        <v>Segment 6- Self-Conscious Male</v>
      </c>
    </row>
    <row r="1408" spans="1:10" x14ac:dyDescent="0.25">
      <c r="A1408" s="1">
        <f>'batch tool'!A1402</f>
        <v>0</v>
      </c>
      <c r="B1408" s="7">
        <f>SUMPRODUCT($C$2:$X$2,'batch tool'!$B1402:$W1402)+$Y$2</f>
        <v>-49.12272534143483</v>
      </c>
      <c r="C1408" s="7">
        <f>SUMPRODUCT($C$3:$X$3,'batch tool'!$B1402:$W1402)+$Y$3</f>
        <v>-36.514029388465531</v>
      </c>
      <c r="D1408" s="7">
        <f>SUMPRODUCT($C$4:$X$4,'batch tool'!$B1402:$W1402)+$Y$4</f>
        <v>-44.639843068043824</v>
      </c>
      <c r="E1408" s="7">
        <f>SUMPRODUCT($C$5:$X$5,'batch tool'!$B1402:$W1402)+$Y$5</f>
        <v>-51.578889182477603</v>
      </c>
      <c r="F1408" s="7">
        <f>SUMPRODUCT($C$6:$X$6,'batch tool'!$B1402:$W1402)+$Y$6</f>
        <v>-47.741473633885199</v>
      </c>
      <c r="G1408" s="7">
        <f>SUMPRODUCT($C$7:$X$7,'batch tool'!$B1402:$W1402)+$Y$7</f>
        <v>-19.739516238059196</v>
      </c>
      <c r="H1408" s="7">
        <f t="shared" si="42"/>
        <v>-19.739516238059196</v>
      </c>
      <c r="I1408">
        <f t="shared" si="43"/>
        <v>6</v>
      </c>
      <c r="J1408" t="str" cm="1">
        <f t="array" ref="J1408">INDEX($A$2:$A$7,I1408)</f>
        <v>Segment 6- Self-Conscious Male</v>
      </c>
    </row>
    <row r="1409" spans="1:10" x14ac:dyDescent="0.25">
      <c r="A1409" s="1">
        <f>'batch tool'!A1403</f>
        <v>0</v>
      </c>
      <c r="B1409" s="7">
        <f>SUMPRODUCT($C$2:$X$2,'batch tool'!$B1403:$W1403)+$Y$2</f>
        <v>-49.12272534143483</v>
      </c>
      <c r="C1409" s="7">
        <f>SUMPRODUCT($C$3:$X$3,'batch tool'!$B1403:$W1403)+$Y$3</f>
        <v>-36.514029388465531</v>
      </c>
      <c r="D1409" s="7">
        <f>SUMPRODUCT($C$4:$X$4,'batch tool'!$B1403:$W1403)+$Y$4</f>
        <v>-44.639843068043824</v>
      </c>
      <c r="E1409" s="7">
        <f>SUMPRODUCT($C$5:$X$5,'batch tool'!$B1403:$W1403)+$Y$5</f>
        <v>-51.578889182477603</v>
      </c>
      <c r="F1409" s="7">
        <f>SUMPRODUCT($C$6:$X$6,'batch tool'!$B1403:$W1403)+$Y$6</f>
        <v>-47.741473633885199</v>
      </c>
      <c r="G1409" s="7">
        <f>SUMPRODUCT($C$7:$X$7,'batch tool'!$B1403:$W1403)+$Y$7</f>
        <v>-19.739516238059196</v>
      </c>
      <c r="H1409" s="7">
        <f t="shared" si="42"/>
        <v>-19.739516238059196</v>
      </c>
      <c r="I1409">
        <f t="shared" si="43"/>
        <v>6</v>
      </c>
      <c r="J1409" t="str" cm="1">
        <f t="array" ref="J1409">INDEX($A$2:$A$7,I1409)</f>
        <v>Segment 6- Self-Conscious Male</v>
      </c>
    </row>
    <row r="1410" spans="1:10" x14ac:dyDescent="0.25">
      <c r="A1410" s="1">
        <f>'batch tool'!A1404</f>
        <v>0</v>
      </c>
      <c r="B1410" s="7">
        <f>SUMPRODUCT($C$2:$X$2,'batch tool'!$B1404:$W1404)+$Y$2</f>
        <v>-49.12272534143483</v>
      </c>
      <c r="C1410" s="7">
        <f>SUMPRODUCT($C$3:$X$3,'batch tool'!$B1404:$W1404)+$Y$3</f>
        <v>-36.514029388465531</v>
      </c>
      <c r="D1410" s="7">
        <f>SUMPRODUCT($C$4:$X$4,'batch tool'!$B1404:$W1404)+$Y$4</f>
        <v>-44.639843068043824</v>
      </c>
      <c r="E1410" s="7">
        <f>SUMPRODUCT($C$5:$X$5,'batch tool'!$B1404:$W1404)+$Y$5</f>
        <v>-51.578889182477603</v>
      </c>
      <c r="F1410" s="7">
        <f>SUMPRODUCT($C$6:$X$6,'batch tool'!$B1404:$W1404)+$Y$6</f>
        <v>-47.741473633885199</v>
      </c>
      <c r="G1410" s="7">
        <f>SUMPRODUCT($C$7:$X$7,'batch tool'!$B1404:$W1404)+$Y$7</f>
        <v>-19.739516238059196</v>
      </c>
      <c r="H1410" s="7">
        <f t="shared" si="42"/>
        <v>-19.739516238059196</v>
      </c>
      <c r="I1410">
        <f t="shared" si="43"/>
        <v>6</v>
      </c>
      <c r="J1410" t="str" cm="1">
        <f t="array" ref="J1410">INDEX($A$2:$A$7,I1410)</f>
        <v>Segment 6- Self-Conscious Male</v>
      </c>
    </row>
    <row r="1411" spans="1:10" x14ac:dyDescent="0.25">
      <c r="A1411" s="1">
        <f>'batch tool'!A1405</f>
        <v>0</v>
      </c>
      <c r="B1411" s="7">
        <f>SUMPRODUCT($C$2:$X$2,'batch tool'!$B1405:$W1405)+$Y$2</f>
        <v>-49.12272534143483</v>
      </c>
      <c r="C1411" s="7">
        <f>SUMPRODUCT($C$3:$X$3,'batch tool'!$B1405:$W1405)+$Y$3</f>
        <v>-36.514029388465531</v>
      </c>
      <c r="D1411" s="7">
        <f>SUMPRODUCT($C$4:$X$4,'batch tool'!$B1405:$W1405)+$Y$4</f>
        <v>-44.639843068043824</v>
      </c>
      <c r="E1411" s="7">
        <f>SUMPRODUCT($C$5:$X$5,'batch tool'!$B1405:$W1405)+$Y$5</f>
        <v>-51.578889182477603</v>
      </c>
      <c r="F1411" s="7">
        <f>SUMPRODUCT($C$6:$X$6,'batch tool'!$B1405:$W1405)+$Y$6</f>
        <v>-47.741473633885199</v>
      </c>
      <c r="G1411" s="7">
        <f>SUMPRODUCT($C$7:$X$7,'batch tool'!$B1405:$W1405)+$Y$7</f>
        <v>-19.739516238059196</v>
      </c>
      <c r="H1411" s="7">
        <f t="shared" si="42"/>
        <v>-19.739516238059196</v>
      </c>
      <c r="I1411">
        <f t="shared" si="43"/>
        <v>6</v>
      </c>
      <c r="J1411" t="str" cm="1">
        <f t="array" ref="J1411">INDEX($A$2:$A$7,I1411)</f>
        <v>Segment 6- Self-Conscious Male</v>
      </c>
    </row>
    <row r="1412" spans="1:10" x14ac:dyDescent="0.25">
      <c r="A1412" s="1">
        <f>'batch tool'!A1406</f>
        <v>0</v>
      </c>
      <c r="B1412" s="7">
        <f>SUMPRODUCT($C$2:$X$2,'batch tool'!$B1406:$W1406)+$Y$2</f>
        <v>-49.12272534143483</v>
      </c>
      <c r="C1412" s="7">
        <f>SUMPRODUCT($C$3:$X$3,'batch tool'!$B1406:$W1406)+$Y$3</f>
        <v>-36.514029388465531</v>
      </c>
      <c r="D1412" s="7">
        <f>SUMPRODUCT($C$4:$X$4,'batch tool'!$B1406:$W1406)+$Y$4</f>
        <v>-44.639843068043824</v>
      </c>
      <c r="E1412" s="7">
        <f>SUMPRODUCT($C$5:$X$5,'batch tool'!$B1406:$W1406)+$Y$5</f>
        <v>-51.578889182477603</v>
      </c>
      <c r="F1412" s="7">
        <f>SUMPRODUCT($C$6:$X$6,'batch tool'!$B1406:$W1406)+$Y$6</f>
        <v>-47.741473633885199</v>
      </c>
      <c r="G1412" s="7">
        <f>SUMPRODUCT($C$7:$X$7,'batch tool'!$B1406:$W1406)+$Y$7</f>
        <v>-19.739516238059196</v>
      </c>
      <c r="H1412" s="7">
        <f t="shared" si="42"/>
        <v>-19.739516238059196</v>
      </c>
      <c r="I1412">
        <f t="shared" si="43"/>
        <v>6</v>
      </c>
      <c r="J1412" t="str" cm="1">
        <f t="array" ref="J1412">INDEX($A$2:$A$7,I1412)</f>
        <v>Segment 6- Self-Conscious Male</v>
      </c>
    </row>
    <row r="1413" spans="1:10" x14ac:dyDescent="0.25">
      <c r="A1413" s="1">
        <f>'batch tool'!A1407</f>
        <v>0</v>
      </c>
      <c r="B1413" s="7">
        <f>SUMPRODUCT($C$2:$X$2,'batch tool'!$B1407:$W1407)+$Y$2</f>
        <v>-49.12272534143483</v>
      </c>
      <c r="C1413" s="7">
        <f>SUMPRODUCT($C$3:$X$3,'batch tool'!$B1407:$W1407)+$Y$3</f>
        <v>-36.514029388465531</v>
      </c>
      <c r="D1413" s="7">
        <f>SUMPRODUCT($C$4:$X$4,'batch tool'!$B1407:$W1407)+$Y$4</f>
        <v>-44.639843068043824</v>
      </c>
      <c r="E1413" s="7">
        <f>SUMPRODUCT($C$5:$X$5,'batch tool'!$B1407:$W1407)+$Y$5</f>
        <v>-51.578889182477603</v>
      </c>
      <c r="F1413" s="7">
        <f>SUMPRODUCT($C$6:$X$6,'batch tool'!$B1407:$W1407)+$Y$6</f>
        <v>-47.741473633885199</v>
      </c>
      <c r="G1413" s="7">
        <f>SUMPRODUCT($C$7:$X$7,'batch tool'!$B1407:$W1407)+$Y$7</f>
        <v>-19.739516238059196</v>
      </c>
      <c r="H1413" s="7">
        <f t="shared" si="42"/>
        <v>-19.739516238059196</v>
      </c>
      <c r="I1413">
        <f t="shared" si="43"/>
        <v>6</v>
      </c>
      <c r="J1413" t="str" cm="1">
        <f t="array" ref="J1413">INDEX($A$2:$A$7,I1413)</f>
        <v>Segment 6- Self-Conscious Male</v>
      </c>
    </row>
    <row r="1414" spans="1:10" x14ac:dyDescent="0.25">
      <c r="A1414" s="1">
        <f>'batch tool'!A1408</f>
        <v>0</v>
      </c>
      <c r="B1414" s="7">
        <f>SUMPRODUCT($C$2:$X$2,'batch tool'!$B1408:$W1408)+$Y$2</f>
        <v>-49.12272534143483</v>
      </c>
      <c r="C1414" s="7">
        <f>SUMPRODUCT($C$3:$X$3,'batch tool'!$B1408:$W1408)+$Y$3</f>
        <v>-36.514029388465531</v>
      </c>
      <c r="D1414" s="7">
        <f>SUMPRODUCT($C$4:$X$4,'batch tool'!$B1408:$W1408)+$Y$4</f>
        <v>-44.639843068043824</v>
      </c>
      <c r="E1414" s="7">
        <f>SUMPRODUCT($C$5:$X$5,'batch tool'!$B1408:$W1408)+$Y$5</f>
        <v>-51.578889182477603</v>
      </c>
      <c r="F1414" s="7">
        <f>SUMPRODUCT($C$6:$X$6,'batch tool'!$B1408:$W1408)+$Y$6</f>
        <v>-47.741473633885199</v>
      </c>
      <c r="G1414" s="7">
        <f>SUMPRODUCT($C$7:$X$7,'batch tool'!$B1408:$W1408)+$Y$7</f>
        <v>-19.739516238059196</v>
      </c>
      <c r="H1414" s="7">
        <f t="shared" si="42"/>
        <v>-19.739516238059196</v>
      </c>
      <c r="I1414">
        <f t="shared" si="43"/>
        <v>6</v>
      </c>
      <c r="J1414" t="str" cm="1">
        <f t="array" ref="J1414">INDEX($A$2:$A$7,I1414)</f>
        <v>Segment 6- Self-Conscious Male</v>
      </c>
    </row>
    <row r="1415" spans="1:10" x14ac:dyDescent="0.25">
      <c r="A1415" s="1">
        <f>'batch tool'!A1409</f>
        <v>0</v>
      </c>
      <c r="B1415" s="7">
        <f>SUMPRODUCT($C$2:$X$2,'batch tool'!$B1409:$W1409)+$Y$2</f>
        <v>-49.12272534143483</v>
      </c>
      <c r="C1415" s="7">
        <f>SUMPRODUCT($C$3:$X$3,'batch tool'!$B1409:$W1409)+$Y$3</f>
        <v>-36.514029388465531</v>
      </c>
      <c r="D1415" s="7">
        <f>SUMPRODUCT($C$4:$X$4,'batch tool'!$B1409:$W1409)+$Y$4</f>
        <v>-44.639843068043824</v>
      </c>
      <c r="E1415" s="7">
        <f>SUMPRODUCT($C$5:$X$5,'batch tool'!$B1409:$W1409)+$Y$5</f>
        <v>-51.578889182477603</v>
      </c>
      <c r="F1415" s="7">
        <f>SUMPRODUCT($C$6:$X$6,'batch tool'!$B1409:$W1409)+$Y$6</f>
        <v>-47.741473633885199</v>
      </c>
      <c r="G1415" s="7">
        <f>SUMPRODUCT($C$7:$X$7,'batch tool'!$B1409:$W1409)+$Y$7</f>
        <v>-19.739516238059196</v>
      </c>
      <c r="H1415" s="7">
        <f t="shared" si="42"/>
        <v>-19.739516238059196</v>
      </c>
      <c r="I1415">
        <f t="shared" si="43"/>
        <v>6</v>
      </c>
      <c r="J1415" t="str" cm="1">
        <f t="array" ref="J1415">INDEX($A$2:$A$7,I1415)</f>
        <v>Segment 6- Self-Conscious Male</v>
      </c>
    </row>
    <row r="1416" spans="1:10" x14ac:dyDescent="0.25">
      <c r="A1416" s="1">
        <f>'batch tool'!A1410</f>
        <v>0</v>
      </c>
      <c r="B1416" s="7">
        <f>SUMPRODUCT($C$2:$X$2,'batch tool'!$B1410:$W1410)+$Y$2</f>
        <v>-49.12272534143483</v>
      </c>
      <c r="C1416" s="7">
        <f>SUMPRODUCT($C$3:$X$3,'batch tool'!$B1410:$W1410)+$Y$3</f>
        <v>-36.514029388465531</v>
      </c>
      <c r="D1416" s="7">
        <f>SUMPRODUCT($C$4:$X$4,'batch tool'!$B1410:$W1410)+$Y$4</f>
        <v>-44.639843068043824</v>
      </c>
      <c r="E1416" s="7">
        <f>SUMPRODUCT($C$5:$X$5,'batch tool'!$B1410:$W1410)+$Y$5</f>
        <v>-51.578889182477603</v>
      </c>
      <c r="F1416" s="7">
        <f>SUMPRODUCT($C$6:$X$6,'batch tool'!$B1410:$W1410)+$Y$6</f>
        <v>-47.741473633885199</v>
      </c>
      <c r="G1416" s="7">
        <f>SUMPRODUCT($C$7:$X$7,'batch tool'!$B1410:$W1410)+$Y$7</f>
        <v>-19.739516238059196</v>
      </c>
      <c r="H1416" s="7">
        <f t="shared" si="42"/>
        <v>-19.739516238059196</v>
      </c>
      <c r="I1416">
        <f t="shared" si="43"/>
        <v>6</v>
      </c>
      <c r="J1416" t="str" cm="1">
        <f t="array" ref="J1416">INDEX($A$2:$A$7,I1416)</f>
        <v>Segment 6- Self-Conscious Male</v>
      </c>
    </row>
    <row r="1417" spans="1:10" x14ac:dyDescent="0.25">
      <c r="A1417" s="1">
        <f>'batch tool'!A1411</f>
        <v>0</v>
      </c>
      <c r="B1417" s="7">
        <f>SUMPRODUCT($C$2:$X$2,'batch tool'!$B1411:$W1411)+$Y$2</f>
        <v>-49.12272534143483</v>
      </c>
      <c r="C1417" s="7">
        <f>SUMPRODUCT($C$3:$X$3,'batch tool'!$B1411:$W1411)+$Y$3</f>
        <v>-36.514029388465531</v>
      </c>
      <c r="D1417" s="7">
        <f>SUMPRODUCT($C$4:$X$4,'batch tool'!$B1411:$W1411)+$Y$4</f>
        <v>-44.639843068043824</v>
      </c>
      <c r="E1417" s="7">
        <f>SUMPRODUCT($C$5:$X$5,'batch tool'!$B1411:$W1411)+$Y$5</f>
        <v>-51.578889182477603</v>
      </c>
      <c r="F1417" s="7">
        <f>SUMPRODUCT($C$6:$X$6,'batch tool'!$B1411:$W1411)+$Y$6</f>
        <v>-47.741473633885199</v>
      </c>
      <c r="G1417" s="7">
        <f>SUMPRODUCT($C$7:$X$7,'batch tool'!$B1411:$W1411)+$Y$7</f>
        <v>-19.739516238059196</v>
      </c>
      <c r="H1417" s="7">
        <f t="shared" si="42"/>
        <v>-19.739516238059196</v>
      </c>
      <c r="I1417">
        <f t="shared" si="43"/>
        <v>6</v>
      </c>
      <c r="J1417" t="str" cm="1">
        <f t="array" ref="J1417">INDEX($A$2:$A$7,I1417)</f>
        <v>Segment 6- Self-Conscious Male</v>
      </c>
    </row>
    <row r="1418" spans="1:10" x14ac:dyDescent="0.25">
      <c r="A1418" s="1">
        <f>'batch tool'!A1412</f>
        <v>0</v>
      </c>
      <c r="B1418" s="7">
        <f>SUMPRODUCT($C$2:$X$2,'batch tool'!$B1412:$W1412)+$Y$2</f>
        <v>-49.12272534143483</v>
      </c>
      <c r="C1418" s="7">
        <f>SUMPRODUCT($C$3:$X$3,'batch tool'!$B1412:$W1412)+$Y$3</f>
        <v>-36.514029388465531</v>
      </c>
      <c r="D1418" s="7">
        <f>SUMPRODUCT($C$4:$X$4,'batch tool'!$B1412:$W1412)+$Y$4</f>
        <v>-44.639843068043824</v>
      </c>
      <c r="E1418" s="7">
        <f>SUMPRODUCT($C$5:$X$5,'batch tool'!$B1412:$W1412)+$Y$5</f>
        <v>-51.578889182477603</v>
      </c>
      <c r="F1418" s="7">
        <f>SUMPRODUCT($C$6:$X$6,'batch tool'!$B1412:$W1412)+$Y$6</f>
        <v>-47.741473633885199</v>
      </c>
      <c r="G1418" s="7">
        <f>SUMPRODUCT($C$7:$X$7,'batch tool'!$B1412:$W1412)+$Y$7</f>
        <v>-19.739516238059196</v>
      </c>
      <c r="H1418" s="7">
        <f t="shared" si="42"/>
        <v>-19.739516238059196</v>
      </c>
      <c r="I1418">
        <f t="shared" si="43"/>
        <v>6</v>
      </c>
      <c r="J1418" t="str" cm="1">
        <f t="array" ref="J1418">INDEX($A$2:$A$7,I1418)</f>
        <v>Segment 6- Self-Conscious Male</v>
      </c>
    </row>
    <row r="1419" spans="1:10" x14ac:dyDescent="0.25">
      <c r="A1419" s="1">
        <f>'batch tool'!A1413</f>
        <v>0</v>
      </c>
      <c r="B1419" s="7">
        <f>SUMPRODUCT($C$2:$X$2,'batch tool'!$B1413:$W1413)+$Y$2</f>
        <v>-49.12272534143483</v>
      </c>
      <c r="C1419" s="7">
        <f>SUMPRODUCT($C$3:$X$3,'batch tool'!$B1413:$W1413)+$Y$3</f>
        <v>-36.514029388465531</v>
      </c>
      <c r="D1419" s="7">
        <f>SUMPRODUCT($C$4:$X$4,'batch tool'!$B1413:$W1413)+$Y$4</f>
        <v>-44.639843068043824</v>
      </c>
      <c r="E1419" s="7">
        <f>SUMPRODUCT($C$5:$X$5,'batch tool'!$B1413:$W1413)+$Y$5</f>
        <v>-51.578889182477603</v>
      </c>
      <c r="F1419" s="7">
        <f>SUMPRODUCT($C$6:$X$6,'batch tool'!$B1413:$W1413)+$Y$6</f>
        <v>-47.741473633885199</v>
      </c>
      <c r="G1419" s="7">
        <f>SUMPRODUCT($C$7:$X$7,'batch tool'!$B1413:$W1413)+$Y$7</f>
        <v>-19.739516238059196</v>
      </c>
      <c r="H1419" s="7">
        <f t="shared" ref="H1419:H1482" si="44">MAX(B1419:G1419)</f>
        <v>-19.739516238059196</v>
      </c>
      <c r="I1419">
        <f t="shared" ref="I1419:I1482" si="45">MATCH(H1419,B1419:G1419,0)</f>
        <v>6</v>
      </c>
      <c r="J1419" t="str" cm="1">
        <f t="array" ref="J1419">INDEX($A$2:$A$7,I1419)</f>
        <v>Segment 6- Self-Conscious Male</v>
      </c>
    </row>
    <row r="1420" spans="1:10" x14ac:dyDescent="0.25">
      <c r="A1420" s="1">
        <f>'batch tool'!A1414</f>
        <v>0</v>
      </c>
      <c r="B1420" s="7">
        <f>SUMPRODUCT($C$2:$X$2,'batch tool'!$B1414:$W1414)+$Y$2</f>
        <v>-49.12272534143483</v>
      </c>
      <c r="C1420" s="7">
        <f>SUMPRODUCT($C$3:$X$3,'batch tool'!$B1414:$W1414)+$Y$3</f>
        <v>-36.514029388465531</v>
      </c>
      <c r="D1420" s="7">
        <f>SUMPRODUCT($C$4:$X$4,'batch tool'!$B1414:$W1414)+$Y$4</f>
        <v>-44.639843068043824</v>
      </c>
      <c r="E1420" s="7">
        <f>SUMPRODUCT($C$5:$X$5,'batch tool'!$B1414:$W1414)+$Y$5</f>
        <v>-51.578889182477603</v>
      </c>
      <c r="F1420" s="7">
        <f>SUMPRODUCT($C$6:$X$6,'batch tool'!$B1414:$W1414)+$Y$6</f>
        <v>-47.741473633885199</v>
      </c>
      <c r="G1420" s="7">
        <f>SUMPRODUCT($C$7:$X$7,'batch tool'!$B1414:$W1414)+$Y$7</f>
        <v>-19.739516238059196</v>
      </c>
      <c r="H1420" s="7">
        <f t="shared" si="44"/>
        <v>-19.739516238059196</v>
      </c>
      <c r="I1420">
        <f t="shared" si="45"/>
        <v>6</v>
      </c>
      <c r="J1420" t="str" cm="1">
        <f t="array" ref="J1420">INDEX($A$2:$A$7,I1420)</f>
        <v>Segment 6- Self-Conscious Male</v>
      </c>
    </row>
    <row r="1421" spans="1:10" x14ac:dyDescent="0.25">
      <c r="A1421" s="1">
        <f>'batch tool'!A1415</f>
        <v>0</v>
      </c>
      <c r="B1421" s="7">
        <f>SUMPRODUCT($C$2:$X$2,'batch tool'!$B1415:$W1415)+$Y$2</f>
        <v>-49.12272534143483</v>
      </c>
      <c r="C1421" s="7">
        <f>SUMPRODUCT($C$3:$X$3,'batch tool'!$B1415:$W1415)+$Y$3</f>
        <v>-36.514029388465531</v>
      </c>
      <c r="D1421" s="7">
        <f>SUMPRODUCT($C$4:$X$4,'batch tool'!$B1415:$W1415)+$Y$4</f>
        <v>-44.639843068043824</v>
      </c>
      <c r="E1421" s="7">
        <f>SUMPRODUCT($C$5:$X$5,'batch tool'!$B1415:$W1415)+$Y$5</f>
        <v>-51.578889182477603</v>
      </c>
      <c r="F1421" s="7">
        <f>SUMPRODUCT($C$6:$X$6,'batch tool'!$B1415:$W1415)+$Y$6</f>
        <v>-47.741473633885199</v>
      </c>
      <c r="G1421" s="7">
        <f>SUMPRODUCT($C$7:$X$7,'batch tool'!$B1415:$W1415)+$Y$7</f>
        <v>-19.739516238059196</v>
      </c>
      <c r="H1421" s="7">
        <f t="shared" si="44"/>
        <v>-19.739516238059196</v>
      </c>
      <c r="I1421">
        <f t="shared" si="45"/>
        <v>6</v>
      </c>
      <c r="J1421" t="str" cm="1">
        <f t="array" ref="J1421">INDEX($A$2:$A$7,I1421)</f>
        <v>Segment 6- Self-Conscious Male</v>
      </c>
    </row>
    <row r="1422" spans="1:10" x14ac:dyDescent="0.25">
      <c r="A1422" s="1">
        <f>'batch tool'!A1416</f>
        <v>0</v>
      </c>
      <c r="B1422" s="7">
        <f>SUMPRODUCT($C$2:$X$2,'batch tool'!$B1416:$W1416)+$Y$2</f>
        <v>-49.12272534143483</v>
      </c>
      <c r="C1422" s="7">
        <f>SUMPRODUCT($C$3:$X$3,'batch tool'!$B1416:$W1416)+$Y$3</f>
        <v>-36.514029388465531</v>
      </c>
      <c r="D1422" s="7">
        <f>SUMPRODUCT($C$4:$X$4,'batch tool'!$B1416:$W1416)+$Y$4</f>
        <v>-44.639843068043824</v>
      </c>
      <c r="E1422" s="7">
        <f>SUMPRODUCT($C$5:$X$5,'batch tool'!$B1416:$W1416)+$Y$5</f>
        <v>-51.578889182477603</v>
      </c>
      <c r="F1422" s="7">
        <f>SUMPRODUCT($C$6:$X$6,'batch tool'!$B1416:$W1416)+$Y$6</f>
        <v>-47.741473633885199</v>
      </c>
      <c r="G1422" s="7">
        <f>SUMPRODUCT($C$7:$X$7,'batch tool'!$B1416:$W1416)+$Y$7</f>
        <v>-19.739516238059196</v>
      </c>
      <c r="H1422" s="7">
        <f t="shared" si="44"/>
        <v>-19.739516238059196</v>
      </c>
      <c r="I1422">
        <f t="shared" si="45"/>
        <v>6</v>
      </c>
      <c r="J1422" t="str" cm="1">
        <f t="array" ref="J1422">INDEX($A$2:$A$7,I1422)</f>
        <v>Segment 6- Self-Conscious Male</v>
      </c>
    </row>
    <row r="1423" spans="1:10" x14ac:dyDescent="0.25">
      <c r="A1423" s="1">
        <f>'batch tool'!A1417</f>
        <v>0</v>
      </c>
      <c r="B1423" s="7">
        <f>SUMPRODUCT($C$2:$X$2,'batch tool'!$B1417:$W1417)+$Y$2</f>
        <v>-49.12272534143483</v>
      </c>
      <c r="C1423" s="7">
        <f>SUMPRODUCT($C$3:$X$3,'batch tool'!$B1417:$W1417)+$Y$3</f>
        <v>-36.514029388465531</v>
      </c>
      <c r="D1423" s="7">
        <f>SUMPRODUCT($C$4:$X$4,'batch tool'!$B1417:$W1417)+$Y$4</f>
        <v>-44.639843068043824</v>
      </c>
      <c r="E1423" s="7">
        <f>SUMPRODUCT($C$5:$X$5,'batch tool'!$B1417:$W1417)+$Y$5</f>
        <v>-51.578889182477603</v>
      </c>
      <c r="F1423" s="7">
        <f>SUMPRODUCT($C$6:$X$6,'batch tool'!$B1417:$W1417)+$Y$6</f>
        <v>-47.741473633885199</v>
      </c>
      <c r="G1423" s="7">
        <f>SUMPRODUCT($C$7:$X$7,'batch tool'!$B1417:$W1417)+$Y$7</f>
        <v>-19.739516238059196</v>
      </c>
      <c r="H1423" s="7">
        <f t="shared" si="44"/>
        <v>-19.739516238059196</v>
      </c>
      <c r="I1423">
        <f t="shared" si="45"/>
        <v>6</v>
      </c>
      <c r="J1423" t="str" cm="1">
        <f t="array" ref="J1423">INDEX($A$2:$A$7,I1423)</f>
        <v>Segment 6- Self-Conscious Male</v>
      </c>
    </row>
    <row r="1424" spans="1:10" x14ac:dyDescent="0.25">
      <c r="A1424" s="1">
        <f>'batch tool'!A1418</f>
        <v>0</v>
      </c>
      <c r="B1424" s="7">
        <f>SUMPRODUCT($C$2:$X$2,'batch tool'!$B1418:$W1418)+$Y$2</f>
        <v>-49.12272534143483</v>
      </c>
      <c r="C1424" s="7">
        <f>SUMPRODUCT($C$3:$X$3,'batch tool'!$B1418:$W1418)+$Y$3</f>
        <v>-36.514029388465531</v>
      </c>
      <c r="D1424" s="7">
        <f>SUMPRODUCT($C$4:$X$4,'batch tool'!$B1418:$W1418)+$Y$4</f>
        <v>-44.639843068043824</v>
      </c>
      <c r="E1424" s="7">
        <f>SUMPRODUCT($C$5:$X$5,'batch tool'!$B1418:$W1418)+$Y$5</f>
        <v>-51.578889182477603</v>
      </c>
      <c r="F1424" s="7">
        <f>SUMPRODUCT($C$6:$X$6,'batch tool'!$B1418:$W1418)+$Y$6</f>
        <v>-47.741473633885199</v>
      </c>
      <c r="G1424" s="7">
        <f>SUMPRODUCT($C$7:$X$7,'batch tool'!$B1418:$W1418)+$Y$7</f>
        <v>-19.739516238059196</v>
      </c>
      <c r="H1424" s="7">
        <f t="shared" si="44"/>
        <v>-19.739516238059196</v>
      </c>
      <c r="I1424">
        <f t="shared" si="45"/>
        <v>6</v>
      </c>
      <c r="J1424" t="str" cm="1">
        <f t="array" ref="J1424">INDEX($A$2:$A$7,I1424)</f>
        <v>Segment 6- Self-Conscious Male</v>
      </c>
    </row>
    <row r="1425" spans="1:10" x14ac:dyDescent="0.25">
      <c r="A1425" s="1">
        <f>'batch tool'!A1419</f>
        <v>0</v>
      </c>
      <c r="B1425" s="7">
        <f>SUMPRODUCT($C$2:$X$2,'batch tool'!$B1419:$W1419)+$Y$2</f>
        <v>-49.12272534143483</v>
      </c>
      <c r="C1425" s="7">
        <f>SUMPRODUCT($C$3:$X$3,'batch tool'!$B1419:$W1419)+$Y$3</f>
        <v>-36.514029388465531</v>
      </c>
      <c r="D1425" s="7">
        <f>SUMPRODUCT($C$4:$X$4,'batch tool'!$B1419:$W1419)+$Y$4</f>
        <v>-44.639843068043824</v>
      </c>
      <c r="E1425" s="7">
        <f>SUMPRODUCT($C$5:$X$5,'batch tool'!$B1419:$W1419)+$Y$5</f>
        <v>-51.578889182477603</v>
      </c>
      <c r="F1425" s="7">
        <f>SUMPRODUCT($C$6:$X$6,'batch tool'!$B1419:$W1419)+$Y$6</f>
        <v>-47.741473633885199</v>
      </c>
      <c r="G1425" s="7">
        <f>SUMPRODUCT($C$7:$X$7,'batch tool'!$B1419:$W1419)+$Y$7</f>
        <v>-19.739516238059196</v>
      </c>
      <c r="H1425" s="7">
        <f t="shared" si="44"/>
        <v>-19.739516238059196</v>
      </c>
      <c r="I1425">
        <f t="shared" si="45"/>
        <v>6</v>
      </c>
      <c r="J1425" t="str" cm="1">
        <f t="array" ref="J1425">INDEX($A$2:$A$7,I1425)</f>
        <v>Segment 6- Self-Conscious Male</v>
      </c>
    </row>
    <row r="1426" spans="1:10" x14ac:dyDescent="0.25">
      <c r="A1426" s="1">
        <f>'batch tool'!A1420</f>
        <v>0</v>
      </c>
      <c r="B1426" s="7">
        <f>SUMPRODUCT($C$2:$X$2,'batch tool'!$B1420:$W1420)+$Y$2</f>
        <v>-49.12272534143483</v>
      </c>
      <c r="C1426" s="7">
        <f>SUMPRODUCT($C$3:$X$3,'batch tool'!$B1420:$W1420)+$Y$3</f>
        <v>-36.514029388465531</v>
      </c>
      <c r="D1426" s="7">
        <f>SUMPRODUCT($C$4:$X$4,'batch tool'!$B1420:$W1420)+$Y$4</f>
        <v>-44.639843068043824</v>
      </c>
      <c r="E1426" s="7">
        <f>SUMPRODUCT($C$5:$X$5,'batch tool'!$B1420:$W1420)+$Y$5</f>
        <v>-51.578889182477603</v>
      </c>
      <c r="F1426" s="7">
        <f>SUMPRODUCT($C$6:$X$6,'batch tool'!$B1420:$W1420)+$Y$6</f>
        <v>-47.741473633885199</v>
      </c>
      <c r="G1426" s="7">
        <f>SUMPRODUCT($C$7:$X$7,'batch tool'!$B1420:$W1420)+$Y$7</f>
        <v>-19.739516238059196</v>
      </c>
      <c r="H1426" s="7">
        <f t="shared" si="44"/>
        <v>-19.739516238059196</v>
      </c>
      <c r="I1426">
        <f t="shared" si="45"/>
        <v>6</v>
      </c>
      <c r="J1426" t="str" cm="1">
        <f t="array" ref="J1426">INDEX($A$2:$A$7,I1426)</f>
        <v>Segment 6- Self-Conscious Male</v>
      </c>
    </row>
    <row r="1427" spans="1:10" x14ac:dyDescent="0.25">
      <c r="A1427" s="1">
        <f>'batch tool'!A1421</f>
        <v>0</v>
      </c>
      <c r="B1427" s="7">
        <f>SUMPRODUCT($C$2:$X$2,'batch tool'!$B1421:$W1421)+$Y$2</f>
        <v>-49.12272534143483</v>
      </c>
      <c r="C1427" s="7">
        <f>SUMPRODUCT($C$3:$X$3,'batch tool'!$B1421:$W1421)+$Y$3</f>
        <v>-36.514029388465531</v>
      </c>
      <c r="D1427" s="7">
        <f>SUMPRODUCT($C$4:$X$4,'batch tool'!$B1421:$W1421)+$Y$4</f>
        <v>-44.639843068043824</v>
      </c>
      <c r="E1427" s="7">
        <f>SUMPRODUCT($C$5:$X$5,'batch tool'!$B1421:$W1421)+$Y$5</f>
        <v>-51.578889182477603</v>
      </c>
      <c r="F1427" s="7">
        <f>SUMPRODUCT($C$6:$X$6,'batch tool'!$B1421:$W1421)+$Y$6</f>
        <v>-47.741473633885199</v>
      </c>
      <c r="G1427" s="7">
        <f>SUMPRODUCT($C$7:$X$7,'batch tool'!$B1421:$W1421)+$Y$7</f>
        <v>-19.739516238059196</v>
      </c>
      <c r="H1427" s="7">
        <f t="shared" si="44"/>
        <v>-19.739516238059196</v>
      </c>
      <c r="I1427">
        <f t="shared" si="45"/>
        <v>6</v>
      </c>
      <c r="J1427" t="str" cm="1">
        <f t="array" ref="J1427">INDEX($A$2:$A$7,I1427)</f>
        <v>Segment 6- Self-Conscious Male</v>
      </c>
    </row>
    <row r="1428" spans="1:10" x14ac:dyDescent="0.25">
      <c r="A1428" s="1">
        <f>'batch tool'!A1422</f>
        <v>0</v>
      </c>
      <c r="B1428" s="7">
        <f>SUMPRODUCT($C$2:$X$2,'batch tool'!$B1422:$W1422)+$Y$2</f>
        <v>-49.12272534143483</v>
      </c>
      <c r="C1428" s="7">
        <f>SUMPRODUCT($C$3:$X$3,'batch tool'!$B1422:$W1422)+$Y$3</f>
        <v>-36.514029388465531</v>
      </c>
      <c r="D1428" s="7">
        <f>SUMPRODUCT($C$4:$X$4,'batch tool'!$B1422:$W1422)+$Y$4</f>
        <v>-44.639843068043824</v>
      </c>
      <c r="E1428" s="7">
        <f>SUMPRODUCT($C$5:$X$5,'batch tool'!$B1422:$W1422)+$Y$5</f>
        <v>-51.578889182477603</v>
      </c>
      <c r="F1428" s="7">
        <f>SUMPRODUCT($C$6:$X$6,'batch tool'!$B1422:$W1422)+$Y$6</f>
        <v>-47.741473633885199</v>
      </c>
      <c r="G1428" s="7">
        <f>SUMPRODUCT($C$7:$X$7,'batch tool'!$B1422:$W1422)+$Y$7</f>
        <v>-19.739516238059196</v>
      </c>
      <c r="H1428" s="7">
        <f t="shared" si="44"/>
        <v>-19.739516238059196</v>
      </c>
      <c r="I1428">
        <f t="shared" si="45"/>
        <v>6</v>
      </c>
      <c r="J1428" t="str" cm="1">
        <f t="array" ref="J1428">INDEX($A$2:$A$7,I1428)</f>
        <v>Segment 6- Self-Conscious Male</v>
      </c>
    </row>
    <row r="1429" spans="1:10" x14ac:dyDescent="0.25">
      <c r="A1429" s="1">
        <f>'batch tool'!A1423</f>
        <v>0</v>
      </c>
      <c r="B1429" s="7">
        <f>SUMPRODUCT($C$2:$X$2,'batch tool'!$B1423:$W1423)+$Y$2</f>
        <v>-49.12272534143483</v>
      </c>
      <c r="C1429" s="7">
        <f>SUMPRODUCT($C$3:$X$3,'batch tool'!$B1423:$W1423)+$Y$3</f>
        <v>-36.514029388465531</v>
      </c>
      <c r="D1429" s="7">
        <f>SUMPRODUCT($C$4:$X$4,'batch tool'!$B1423:$W1423)+$Y$4</f>
        <v>-44.639843068043824</v>
      </c>
      <c r="E1429" s="7">
        <f>SUMPRODUCT($C$5:$X$5,'batch tool'!$B1423:$W1423)+$Y$5</f>
        <v>-51.578889182477603</v>
      </c>
      <c r="F1429" s="7">
        <f>SUMPRODUCT($C$6:$X$6,'batch tool'!$B1423:$W1423)+$Y$6</f>
        <v>-47.741473633885199</v>
      </c>
      <c r="G1429" s="7">
        <f>SUMPRODUCT($C$7:$X$7,'batch tool'!$B1423:$W1423)+$Y$7</f>
        <v>-19.739516238059196</v>
      </c>
      <c r="H1429" s="7">
        <f t="shared" si="44"/>
        <v>-19.739516238059196</v>
      </c>
      <c r="I1429">
        <f t="shared" si="45"/>
        <v>6</v>
      </c>
      <c r="J1429" t="str" cm="1">
        <f t="array" ref="J1429">INDEX($A$2:$A$7,I1429)</f>
        <v>Segment 6- Self-Conscious Male</v>
      </c>
    </row>
    <row r="1430" spans="1:10" x14ac:dyDescent="0.25">
      <c r="A1430" s="1">
        <f>'batch tool'!A1424</f>
        <v>0</v>
      </c>
      <c r="B1430" s="7">
        <f>SUMPRODUCT($C$2:$X$2,'batch tool'!$B1424:$W1424)+$Y$2</f>
        <v>-49.12272534143483</v>
      </c>
      <c r="C1430" s="7">
        <f>SUMPRODUCT($C$3:$X$3,'batch tool'!$B1424:$W1424)+$Y$3</f>
        <v>-36.514029388465531</v>
      </c>
      <c r="D1430" s="7">
        <f>SUMPRODUCT($C$4:$X$4,'batch tool'!$B1424:$W1424)+$Y$4</f>
        <v>-44.639843068043824</v>
      </c>
      <c r="E1430" s="7">
        <f>SUMPRODUCT($C$5:$X$5,'batch tool'!$B1424:$W1424)+$Y$5</f>
        <v>-51.578889182477603</v>
      </c>
      <c r="F1430" s="7">
        <f>SUMPRODUCT($C$6:$X$6,'batch tool'!$B1424:$W1424)+$Y$6</f>
        <v>-47.741473633885199</v>
      </c>
      <c r="G1430" s="7">
        <f>SUMPRODUCT($C$7:$X$7,'batch tool'!$B1424:$W1424)+$Y$7</f>
        <v>-19.739516238059196</v>
      </c>
      <c r="H1430" s="7">
        <f t="shared" si="44"/>
        <v>-19.739516238059196</v>
      </c>
      <c r="I1430">
        <f t="shared" si="45"/>
        <v>6</v>
      </c>
      <c r="J1430" t="str" cm="1">
        <f t="array" ref="J1430">INDEX($A$2:$A$7,I1430)</f>
        <v>Segment 6- Self-Conscious Male</v>
      </c>
    </row>
    <row r="1431" spans="1:10" x14ac:dyDescent="0.25">
      <c r="A1431" s="1">
        <f>'batch tool'!A1425</f>
        <v>0</v>
      </c>
      <c r="B1431" s="7">
        <f>SUMPRODUCT($C$2:$X$2,'batch tool'!$B1425:$W1425)+$Y$2</f>
        <v>-49.12272534143483</v>
      </c>
      <c r="C1431" s="7">
        <f>SUMPRODUCT($C$3:$X$3,'batch tool'!$B1425:$W1425)+$Y$3</f>
        <v>-36.514029388465531</v>
      </c>
      <c r="D1431" s="7">
        <f>SUMPRODUCT($C$4:$X$4,'batch tool'!$B1425:$W1425)+$Y$4</f>
        <v>-44.639843068043824</v>
      </c>
      <c r="E1431" s="7">
        <f>SUMPRODUCT($C$5:$X$5,'batch tool'!$B1425:$W1425)+$Y$5</f>
        <v>-51.578889182477603</v>
      </c>
      <c r="F1431" s="7">
        <f>SUMPRODUCT($C$6:$X$6,'batch tool'!$B1425:$W1425)+$Y$6</f>
        <v>-47.741473633885199</v>
      </c>
      <c r="G1431" s="7">
        <f>SUMPRODUCT($C$7:$X$7,'batch tool'!$B1425:$W1425)+$Y$7</f>
        <v>-19.739516238059196</v>
      </c>
      <c r="H1431" s="7">
        <f t="shared" si="44"/>
        <v>-19.739516238059196</v>
      </c>
      <c r="I1431">
        <f t="shared" si="45"/>
        <v>6</v>
      </c>
      <c r="J1431" t="str" cm="1">
        <f t="array" ref="J1431">INDEX($A$2:$A$7,I1431)</f>
        <v>Segment 6- Self-Conscious Male</v>
      </c>
    </row>
    <row r="1432" spans="1:10" x14ac:dyDescent="0.25">
      <c r="A1432" s="1">
        <f>'batch tool'!A1426</f>
        <v>0</v>
      </c>
      <c r="B1432" s="7">
        <f>SUMPRODUCT($C$2:$X$2,'batch tool'!$B1426:$W1426)+$Y$2</f>
        <v>-49.12272534143483</v>
      </c>
      <c r="C1432" s="7">
        <f>SUMPRODUCT($C$3:$X$3,'batch tool'!$B1426:$W1426)+$Y$3</f>
        <v>-36.514029388465531</v>
      </c>
      <c r="D1432" s="7">
        <f>SUMPRODUCT($C$4:$X$4,'batch tool'!$B1426:$W1426)+$Y$4</f>
        <v>-44.639843068043824</v>
      </c>
      <c r="E1432" s="7">
        <f>SUMPRODUCT($C$5:$X$5,'batch tool'!$B1426:$W1426)+$Y$5</f>
        <v>-51.578889182477603</v>
      </c>
      <c r="F1432" s="7">
        <f>SUMPRODUCT($C$6:$X$6,'batch tool'!$B1426:$W1426)+$Y$6</f>
        <v>-47.741473633885199</v>
      </c>
      <c r="G1432" s="7">
        <f>SUMPRODUCT($C$7:$X$7,'batch tool'!$B1426:$W1426)+$Y$7</f>
        <v>-19.739516238059196</v>
      </c>
      <c r="H1432" s="7">
        <f t="shared" si="44"/>
        <v>-19.739516238059196</v>
      </c>
      <c r="I1432">
        <f t="shared" si="45"/>
        <v>6</v>
      </c>
      <c r="J1432" t="str" cm="1">
        <f t="array" ref="J1432">INDEX($A$2:$A$7,I1432)</f>
        <v>Segment 6- Self-Conscious Male</v>
      </c>
    </row>
    <row r="1433" spans="1:10" x14ac:dyDescent="0.25">
      <c r="A1433" s="1">
        <f>'batch tool'!A1427</f>
        <v>0</v>
      </c>
      <c r="B1433" s="7">
        <f>SUMPRODUCT($C$2:$X$2,'batch tool'!$B1427:$W1427)+$Y$2</f>
        <v>-49.12272534143483</v>
      </c>
      <c r="C1433" s="7">
        <f>SUMPRODUCT($C$3:$X$3,'batch tool'!$B1427:$W1427)+$Y$3</f>
        <v>-36.514029388465531</v>
      </c>
      <c r="D1433" s="7">
        <f>SUMPRODUCT($C$4:$X$4,'batch tool'!$B1427:$W1427)+$Y$4</f>
        <v>-44.639843068043824</v>
      </c>
      <c r="E1433" s="7">
        <f>SUMPRODUCT($C$5:$X$5,'batch tool'!$B1427:$W1427)+$Y$5</f>
        <v>-51.578889182477603</v>
      </c>
      <c r="F1433" s="7">
        <f>SUMPRODUCT($C$6:$X$6,'batch tool'!$B1427:$W1427)+$Y$6</f>
        <v>-47.741473633885199</v>
      </c>
      <c r="G1433" s="7">
        <f>SUMPRODUCT($C$7:$X$7,'batch tool'!$B1427:$W1427)+$Y$7</f>
        <v>-19.739516238059196</v>
      </c>
      <c r="H1433" s="7">
        <f t="shared" si="44"/>
        <v>-19.739516238059196</v>
      </c>
      <c r="I1433">
        <f t="shared" si="45"/>
        <v>6</v>
      </c>
      <c r="J1433" t="str" cm="1">
        <f t="array" ref="J1433">INDEX($A$2:$A$7,I1433)</f>
        <v>Segment 6- Self-Conscious Male</v>
      </c>
    </row>
    <row r="1434" spans="1:10" x14ac:dyDescent="0.25">
      <c r="A1434" s="1">
        <f>'batch tool'!A1428</f>
        <v>0</v>
      </c>
      <c r="B1434" s="7">
        <f>SUMPRODUCT($C$2:$X$2,'batch tool'!$B1428:$W1428)+$Y$2</f>
        <v>-49.12272534143483</v>
      </c>
      <c r="C1434" s="7">
        <f>SUMPRODUCT($C$3:$X$3,'batch tool'!$B1428:$W1428)+$Y$3</f>
        <v>-36.514029388465531</v>
      </c>
      <c r="D1434" s="7">
        <f>SUMPRODUCT($C$4:$X$4,'batch tool'!$B1428:$W1428)+$Y$4</f>
        <v>-44.639843068043824</v>
      </c>
      <c r="E1434" s="7">
        <f>SUMPRODUCT($C$5:$X$5,'batch tool'!$B1428:$W1428)+$Y$5</f>
        <v>-51.578889182477603</v>
      </c>
      <c r="F1434" s="7">
        <f>SUMPRODUCT($C$6:$X$6,'batch tool'!$B1428:$W1428)+$Y$6</f>
        <v>-47.741473633885199</v>
      </c>
      <c r="G1434" s="7">
        <f>SUMPRODUCT($C$7:$X$7,'batch tool'!$B1428:$W1428)+$Y$7</f>
        <v>-19.739516238059196</v>
      </c>
      <c r="H1434" s="7">
        <f t="shared" si="44"/>
        <v>-19.739516238059196</v>
      </c>
      <c r="I1434">
        <f t="shared" si="45"/>
        <v>6</v>
      </c>
      <c r="J1434" t="str" cm="1">
        <f t="array" ref="J1434">INDEX($A$2:$A$7,I1434)</f>
        <v>Segment 6- Self-Conscious Male</v>
      </c>
    </row>
    <row r="1435" spans="1:10" x14ac:dyDescent="0.25">
      <c r="A1435" s="1">
        <f>'batch tool'!A1429</f>
        <v>0</v>
      </c>
      <c r="B1435" s="7">
        <f>SUMPRODUCT($C$2:$X$2,'batch tool'!$B1429:$W1429)+$Y$2</f>
        <v>-49.12272534143483</v>
      </c>
      <c r="C1435" s="7">
        <f>SUMPRODUCT($C$3:$X$3,'batch tool'!$B1429:$W1429)+$Y$3</f>
        <v>-36.514029388465531</v>
      </c>
      <c r="D1435" s="7">
        <f>SUMPRODUCT($C$4:$X$4,'batch tool'!$B1429:$W1429)+$Y$4</f>
        <v>-44.639843068043824</v>
      </c>
      <c r="E1435" s="7">
        <f>SUMPRODUCT($C$5:$X$5,'batch tool'!$B1429:$W1429)+$Y$5</f>
        <v>-51.578889182477603</v>
      </c>
      <c r="F1435" s="7">
        <f>SUMPRODUCT($C$6:$X$6,'batch tool'!$B1429:$W1429)+$Y$6</f>
        <v>-47.741473633885199</v>
      </c>
      <c r="G1435" s="7">
        <f>SUMPRODUCT($C$7:$X$7,'batch tool'!$B1429:$W1429)+$Y$7</f>
        <v>-19.739516238059196</v>
      </c>
      <c r="H1435" s="7">
        <f t="shared" si="44"/>
        <v>-19.739516238059196</v>
      </c>
      <c r="I1435">
        <f t="shared" si="45"/>
        <v>6</v>
      </c>
      <c r="J1435" t="str" cm="1">
        <f t="array" ref="J1435">INDEX($A$2:$A$7,I1435)</f>
        <v>Segment 6- Self-Conscious Male</v>
      </c>
    </row>
    <row r="1436" spans="1:10" x14ac:dyDescent="0.25">
      <c r="A1436" s="1">
        <f>'batch tool'!A1430</f>
        <v>0</v>
      </c>
      <c r="B1436" s="7">
        <f>SUMPRODUCT($C$2:$X$2,'batch tool'!$B1430:$W1430)+$Y$2</f>
        <v>-49.12272534143483</v>
      </c>
      <c r="C1436" s="7">
        <f>SUMPRODUCT($C$3:$X$3,'batch tool'!$B1430:$W1430)+$Y$3</f>
        <v>-36.514029388465531</v>
      </c>
      <c r="D1436" s="7">
        <f>SUMPRODUCT($C$4:$X$4,'batch tool'!$B1430:$W1430)+$Y$4</f>
        <v>-44.639843068043824</v>
      </c>
      <c r="E1436" s="7">
        <f>SUMPRODUCT($C$5:$X$5,'batch tool'!$B1430:$W1430)+$Y$5</f>
        <v>-51.578889182477603</v>
      </c>
      <c r="F1436" s="7">
        <f>SUMPRODUCT($C$6:$X$6,'batch tool'!$B1430:$W1430)+$Y$6</f>
        <v>-47.741473633885199</v>
      </c>
      <c r="G1436" s="7">
        <f>SUMPRODUCT($C$7:$X$7,'batch tool'!$B1430:$W1430)+$Y$7</f>
        <v>-19.739516238059196</v>
      </c>
      <c r="H1436" s="7">
        <f t="shared" si="44"/>
        <v>-19.739516238059196</v>
      </c>
      <c r="I1436">
        <f t="shared" si="45"/>
        <v>6</v>
      </c>
      <c r="J1436" t="str" cm="1">
        <f t="array" ref="J1436">INDEX($A$2:$A$7,I1436)</f>
        <v>Segment 6- Self-Conscious Male</v>
      </c>
    </row>
    <row r="1437" spans="1:10" x14ac:dyDescent="0.25">
      <c r="A1437" s="1">
        <f>'batch tool'!A1431</f>
        <v>0</v>
      </c>
      <c r="B1437" s="7">
        <f>SUMPRODUCT($C$2:$X$2,'batch tool'!$B1431:$W1431)+$Y$2</f>
        <v>-49.12272534143483</v>
      </c>
      <c r="C1437" s="7">
        <f>SUMPRODUCT($C$3:$X$3,'batch tool'!$B1431:$W1431)+$Y$3</f>
        <v>-36.514029388465531</v>
      </c>
      <c r="D1437" s="7">
        <f>SUMPRODUCT($C$4:$X$4,'batch tool'!$B1431:$W1431)+$Y$4</f>
        <v>-44.639843068043824</v>
      </c>
      <c r="E1437" s="7">
        <f>SUMPRODUCT($C$5:$X$5,'batch tool'!$B1431:$W1431)+$Y$5</f>
        <v>-51.578889182477603</v>
      </c>
      <c r="F1437" s="7">
        <f>SUMPRODUCT($C$6:$X$6,'batch tool'!$B1431:$W1431)+$Y$6</f>
        <v>-47.741473633885199</v>
      </c>
      <c r="G1437" s="7">
        <f>SUMPRODUCT($C$7:$X$7,'batch tool'!$B1431:$W1431)+$Y$7</f>
        <v>-19.739516238059196</v>
      </c>
      <c r="H1437" s="7">
        <f t="shared" si="44"/>
        <v>-19.739516238059196</v>
      </c>
      <c r="I1437">
        <f t="shared" si="45"/>
        <v>6</v>
      </c>
      <c r="J1437" t="str" cm="1">
        <f t="array" ref="J1437">INDEX($A$2:$A$7,I1437)</f>
        <v>Segment 6- Self-Conscious Male</v>
      </c>
    </row>
    <row r="1438" spans="1:10" x14ac:dyDescent="0.25">
      <c r="A1438" s="1">
        <f>'batch tool'!A1432</f>
        <v>0</v>
      </c>
      <c r="B1438" s="7">
        <f>SUMPRODUCT($C$2:$X$2,'batch tool'!$B1432:$W1432)+$Y$2</f>
        <v>-49.12272534143483</v>
      </c>
      <c r="C1438" s="7">
        <f>SUMPRODUCT($C$3:$X$3,'batch tool'!$B1432:$W1432)+$Y$3</f>
        <v>-36.514029388465531</v>
      </c>
      <c r="D1438" s="7">
        <f>SUMPRODUCT($C$4:$X$4,'batch tool'!$B1432:$W1432)+$Y$4</f>
        <v>-44.639843068043824</v>
      </c>
      <c r="E1438" s="7">
        <f>SUMPRODUCT($C$5:$X$5,'batch tool'!$B1432:$W1432)+$Y$5</f>
        <v>-51.578889182477603</v>
      </c>
      <c r="F1438" s="7">
        <f>SUMPRODUCT($C$6:$X$6,'batch tool'!$B1432:$W1432)+$Y$6</f>
        <v>-47.741473633885199</v>
      </c>
      <c r="G1438" s="7">
        <f>SUMPRODUCT($C$7:$X$7,'batch tool'!$B1432:$W1432)+$Y$7</f>
        <v>-19.739516238059196</v>
      </c>
      <c r="H1438" s="7">
        <f t="shared" si="44"/>
        <v>-19.739516238059196</v>
      </c>
      <c r="I1438">
        <f t="shared" si="45"/>
        <v>6</v>
      </c>
      <c r="J1438" t="str" cm="1">
        <f t="array" ref="J1438">INDEX($A$2:$A$7,I1438)</f>
        <v>Segment 6- Self-Conscious Male</v>
      </c>
    </row>
    <row r="1439" spans="1:10" x14ac:dyDescent="0.25">
      <c r="A1439" s="1">
        <f>'batch tool'!A1433</f>
        <v>0</v>
      </c>
      <c r="B1439" s="7">
        <f>SUMPRODUCT($C$2:$X$2,'batch tool'!$B1433:$W1433)+$Y$2</f>
        <v>-49.12272534143483</v>
      </c>
      <c r="C1439" s="7">
        <f>SUMPRODUCT($C$3:$X$3,'batch tool'!$B1433:$W1433)+$Y$3</f>
        <v>-36.514029388465531</v>
      </c>
      <c r="D1439" s="7">
        <f>SUMPRODUCT($C$4:$X$4,'batch tool'!$B1433:$W1433)+$Y$4</f>
        <v>-44.639843068043824</v>
      </c>
      <c r="E1439" s="7">
        <f>SUMPRODUCT($C$5:$X$5,'batch tool'!$B1433:$W1433)+$Y$5</f>
        <v>-51.578889182477603</v>
      </c>
      <c r="F1439" s="7">
        <f>SUMPRODUCT($C$6:$X$6,'batch tool'!$B1433:$W1433)+$Y$6</f>
        <v>-47.741473633885199</v>
      </c>
      <c r="G1439" s="7">
        <f>SUMPRODUCT($C$7:$X$7,'batch tool'!$B1433:$W1433)+$Y$7</f>
        <v>-19.739516238059196</v>
      </c>
      <c r="H1439" s="7">
        <f t="shared" si="44"/>
        <v>-19.739516238059196</v>
      </c>
      <c r="I1439">
        <f t="shared" si="45"/>
        <v>6</v>
      </c>
      <c r="J1439" t="str" cm="1">
        <f t="array" ref="J1439">INDEX($A$2:$A$7,I1439)</f>
        <v>Segment 6- Self-Conscious Male</v>
      </c>
    </row>
    <row r="1440" spans="1:10" x14ac:dyDescent="0.25">
      <c r="A1440" s="1">
        <f>'batch tool'!A1434</f>
        <v>0</v>
      </c>
      <c r="B1440" s="7">
        <f>SUMPRODUCT($C$2:$X$2,'batch tool'!$B1434:$W1434)+$Y$2</f>
        <v>-49.12272534143483</v>
      </c>
      <c r="C1440" s="7">
        <f>SUMPRODUCT($C$3:$X$3,'batch tool'!$B1434:$W1434)+$Y$3</f>
        <v>-36.514029388465531</v>
      </c>
      <c r="D1440" s="7">
        <f>SUMPRODUCT($C$4:$X$4,'batch tool'!$B1434:$W1434)+$Y$4</f>
        <v>-44.639843068043824</v>
      </c>
      <c r="E1440" s="7">
        <f>SUMPRODUCT($C$5:$X$5,'batch tool'!$B1434:$W1434)+$Y$5</f>
        <v>-51.578889182477603</v>
      </c>
      <c r="F1440" s="7">
        <f>SUMPRODUCT($C$6:$X$6,'batch tool'!$B1434:$W1434)+$Y$6</f>
        <v>-47.741473633885199</v>
      </c>
      <c r="G1440" s="7">
        <f>SUMPRODUCT($C$7:$X$7,'batch tool'!$B1434:$W1434)+$Y$7</f>
        <v>-19.739516238059196</v>
      </c>
      <c r="H1440" s="7">
        <f t="shared" si="44"/>
        <v>-19.739516238059196</v>
      </c>
      <c r="I1440">
        <f t="shared" si="45"/>
        <v>6</v>
      </c>
      <c r="J1440" t="str" cm="1">
        <f t="array" ref="J1440">INDEX($A$2:$A$7,I1440)</f>
        <v>Segment 6- Self-Conscious Male</v>
      </c>
    </row>
    <row r="1441" spans="1:10" x14ac:dyDescent="0.25">
      <c r="A1441" s="1">
        <f>'batch tool'!A1435</f>
        <v>0</v>
      </c>
      <c r="B1441" s="7">
        <f>SUMPRODUCT($C$2:$X$2,'batch tool'!$B1435:$W1435)+$Y$2</f>
        <v>-49.12272534143483</v>
      </c>
      <c r="C1441" s="7">
        <f>SUMPRODUCT($C$3:$X$3,'batch tool'!$B1435:$W1435)+$Y$3</f>
        <v>-36.514029388465531</v>
      </c>
      <c r="D1441" s="7">
        <f>SUMPRODUCT($C$4:$X$4,'batch tool'!$B1435:$W1435)+$Y$4</f>
        <v>-44.639843068043824</v>
      </c>
      <c r="E1441" s="7">
        <f>SUMPRODUCT($C$5:$X$5,'batch tool'!$B1435:$W1435)+$Y$5</f>
        <v>-51.578889182477603</v>
      </c>
      <c r="F1441" s="7">
        <f>SUMPRODUCT($C$6:$X$6,'batch tool'!$B1435:$W1435)+$Y$6</f>
        <v>-47.741473633885199</v>
      </c>
      <c r="G1441" s="7">
        <f>SUMPRODUCT($C$7:$X$7,'batch tool'!$B1435:$W1435)+$Y$7</f>
        <v>-19.739516238059196</v>
      </c>
      <c r="H1441" s="7">
        <f t="shared" si="44"/>
        <v>-19.739516238059196</v>
      </c>
      <c r="I1441">
        <f t="shared" si="45"/>
        <v>6</v>
      </c>
      <c r="J1441" t="str" cm="1">
        <f t="array" ref="J1441">INDEX($A$2:$A$7,I1441)</f>
        <v>Segment 6- Self-Conscious Male</v>
      </c>
    </row>
    <row r="1442" spans="1:10" x14ac:dyDescent="0.25">
      <c r="A1442" s="1">
        <f>'batch tool'!A1436</f>
        <v>0</v>
      </c>
      <c r="B1442" s="7">
        <f>SUMPRODUCT($C$2:$X$2,'batch tool'!$B1436:$W1436)+$Y$2</f>
        <v>-49.12272534143483</v>
      </c>
      <c r="C1442" s="7">
        <f>SUMPRODUCT($C$3:$X$3,'batch tool'!$B1436:$W1436)+$Y$3</f>
        <v>-36.514029388465531</v>
      </c>
      <c r="D1442" s="7">
        <f>SUMPRODUCT($C$4:$X$4,'batch tool'!$B1436:$W1436)+$Y$4</f>
        <v>-44.639843068043824</v>
      </c>
      <c r="E1442" s="7">
        <f>SUMPRODUCT($C$5:$X$5,'batch tool'!$B1436:$W1436)+$Y$5</f>
        <v>-51.578889182477603</v>
      </c>
      <c r="F1442" s="7">
        <f>SUMPRODUCT($C$6:$X$6,'batch tool'!$B1436:$W1436)+$Y$6</f>
        <v>-47.741473633885199</v>
      </c>
      <c r="G1442" s="7">
        <f>SUMPRODUCT($C$7:$X$7,'batch tool'!$B1436:$W1436)+$Y$7</f>
        <v>-19.739516238059196</v>
      </c>
      <c r="H1442" s="7">
        <f t="shared" si="44"/>
        <v>-19.739516238059196</v>
      </c>
      <c r="I1442">
        <f t="shared" si="45"/>
        <v>6</v>
      </c>
      <c r="J1442" t="str" cm="1">
        <f t="array" ref="J1442">INDEX($A$2:$A$7,I1442)</f>
        <v>Segment 6- Self-Conscious Male</v>
      </c>
    </row>
    <row r="1443" spans="1:10" x14ac:dyDescent="0.25">
      <c r="A1443" s="1">
        <f>'batch tool'!A1437</f>
        <v>0</v>
      </c>
      <c r="B1443" s="7">
        <f>SUMPRODUCT($C$2:$X$2,'batch tool'!$B1437:$W1437)+$Y$2</f>
        <v>-49.12272534143483</v>
      </c>
      <c r="C1443" s="7">
        <f>SUMPRODUCT($C$3:$X$3,'batch tool'!$B1437:$W1437)+$Y$3</f>
        <v>-36.514029388465531</v>
      </c>
      <c r="D1443" s="7">
        <f>SUMPRODUCT($C$4:$X$4,'batch tool'!$B1437:$W1437)+$Y$4</f>
        <v>-44.639843068043824</v>
      </c>
      <c r="E1443" s="7">
        <f>SUMPRODUCT($C$5:$X$5,'batch tool'!$B1437:$W1437)+$Y$5</f>
        <v>-51.578889182477603</v>
      </c>
      <c r="F1443" s="7">
        <f>SUMPRODUCT($C$6:$X$6,'batch tool'!$B1437:$W1437)+$Y$6</f>
        <v>-47.741473633885199</v>
      </c>
      <c r="G1443" s="7">
        <f>SUMPRODUCT($C$7:$X$7,'batch tool'!$B1437:$W1437)+$Y$7</f>
        <v>-19.739516238059196</v>
      </c>
      <c r="H1443" s="7">
        <f t="shared" si="44"/>
        <v>-19.739516238059196</v>
      </c>
      <c r="I1443">
        <f t="shared" si="45"/>
        <v>6</v>
      </c>
      <c r="J1443" t="str" cm="1">
        <f t="array" ref="J1443">INDEX($A$2:$A$7,I1443)</f>
        <v>Segment 6- Self-Conscious Male</v>
      </c>
    </row>
    <row r="1444" spans="1:10" x14ac:dyDescent="0.25">
      <c r="A1444" s="1">
        <f>'batch tool'!A1438</f>
        <v>0</v>
      </c>
      <c r="B1444" s="7">
        <f>SUMPRODUCT($C$2:$X$2,'batch tool'!$B1438:$W1438)+$Y$2</f>
        <v>-49.12272534143483</v>
      </c>
      <c r="C1444" s="7">
        <f>SUMPRODUCT($C$3:$X$3,'batch tool'!$B1438:$W1438)+$Y$3</f>
        <v>-36.514029388465531</v>
      </c>
      <c r="D1444" s="7">
        <f>SUMPRODUCT($C$4:$X$4,'batch tool'!$B1438:$W1438)+$Y$4</f>
        <v>-44.639843068043824</v>
      </c>
      <c r="E1444" s="7">
        <f>SUMPRODUCT($C$5:$X$5,'batch tool'!$B1438:$W1438)+$Y$5</f>
        <v>-51.578889182477603</v>
      </c>
      <c r="F1444" s="7">
        <f>SUMPRODUCT($C$6:$X$6,'batch tool'!$B1438:$W1438)+$Y$6</f>
        <v>-47.741473633885199</v>
      </c>
      <c r="G1444" s="7">
        <f>SUMPRODUCT($C$7:$X$7,'batch tool'!$B1438:$W1438)+$Y$7</f>
        <v>-19.739516238059196</v>
      </c>
      <c r="H1444" s="7">
        <f t="shared" si="44"/>
        <v>-19.739516238059196</v>
      </c>
      <c r="I1444">
        <f t="shared" si="45"/>
        <v>6</v>
      </c>
      <c r="J1444" t="str" cm="1">
        <f t="array" ref="J1444">INDEX($A$2:$A$7,I1444)</f>
        <v>Segment 6- Self-Conscious Male</v>
      </c>
    </row>
    <row r="1445" spans="1:10" x14ac:dyDescent="0.25">
      <c r="A1445" s="1">
        <f>'batch tool'!A1439</f>
        <v>0</v>
      </c>
      <c r="B1445" s="7">
        <f>SUMPRODUCT($C$2:$X$2,'batch tool'!$B1439:$W1439)+$Y$2</f>
        <v>-49.12272534143483</v>
      </c>
      <c r="C1445" s="7">
        <f>SUMPRODUCT($C$3:$X$3,'batch tool'!$B1439:$W1439)+$Y$3</f>
        <v>-36.514029388465531</v>
      </c>
      <c r="D1445" s="7">
        <f>SUMPRODUCT($C$4:$X$4,'batch tool'!$B1439:$W1439)+$Y$4</f>
        <v>-44.639843068043824</v>
      </c>
      <c r="E1445" s="7">
        <f>SUMPRODUCT($C$5:$X$5,'batch tool'!$B1439:$W1439)+$Y$5</f>
        <v>-51.578889182477603</v>
      </c>
      <c r="F1445" s="7">
        <f>SUMPRODUCT($C$6:$X$6,'batch tool'!$B1439:$W1439)+$Y$6</f>
        <v>-47.741473633885199</v>
      </c>
      <c r="G1445" s="7">
        <f>SUMPRODUCT($C$7:$X$7,'batch tool'!$B1439:$W1439)+$Y$7</f>
        <v>-19.739516238059196</v>
      </c>
      <c r="H1445" s="7">
        <f t="shared" si="44"/>
        <v>-19.739516238059196</v>
      </c>
      <c r="I1445">
        <f t="shared" si="45"/>
        <v>6</v>
      </c>
      <c r="J1445" t="str" cm="1">
        <f t="array" ref="J1445">INDEX($A$2:$A$7,I1445)</f>
        <v>Segment 6- Self-Conscious Male</v>
      </c>
    </row>
    <row r="1446" spans="1:10" x14ac:dyDescent="0.25">
      <c r="A1446" s="1">
        <f>'batch tool'!A1440</f>
        <v>0</v>
      </c>
      <c r="B1446" s="7">
        <f>SUMPRODUCT($C$2:$X$2,'batch tool'!$B1440:$W1440)+$Y$2</f>
        <v>-49.12272534143483</v>
      </c>
      <c r="C1446" s="7">
        <f>SUMPRODUCT($C$3:$X$3,'batch tool'!$B1440:$W1440)+$Y$3</f>
        <v>-36.514029388465531</v>
      </c>
      <c r="D1446" s="7">
        <f>SUMPRODUCT($C$4:$X$4,'batch tool'!$B1440:$W1440)+$Y$4</f>
        <v>-44.639843068043824</v>
      </c>
      <c r="E1446" s="7">
        <f>SUMPRODUCT($C$5:$X$5,'batch tool'!$B1440:$W1440)+$Y$5</f>
        <v>-51.578889182477603</v>
      </c>
      <c r="F1446" s="7">
        <f>SUMPRODUCT($C$6:$X$6,'batch tool'!$B1440:$W1440)+$Y$6</f>
        <v>-47.741473633885199</v>
      </c>
      <c r="G1446" s="7">
        <f>SUMPRODUCT($C$7:$X$7,'batch tool'!$B1440:$W1440)+$Y$7</f>
        <v>-19.739516238059196</v>
      </c>
      <c r="H1446" s="7">
        <f t="shared" si="44"/>
        <v>-19.739516238059196</v>
      </c>
      <c r="I1446">
        <f t="shared" si="45"/>
        <v>6</v>
      </c>
      <c r="J1446" t="str" cm="1">
        <f t="array" ref="J1446">INDEX($A$2:$A$7,I1446)</f>
        <v>Segment 6- Self-Conscious Male</v>
      </c>
    </row>
    <row r="1447" spans="1:10" x14ac:dyDescent="0.25">
      <c r="A1447" s="1">
        <f>'batch tool'!A1441</f>
        <v>0</v>
      </c>
      <c r="B1447" s="7">
        <f>SUMPRODUCT($C$2:$X$2,'batch tool'!$B1441:$W1441)+$Y$2</f>
        <v>-49.12272534143483</v>
      </c>
      <c r="C1447" s="7">
        <f>SUMPRODUCT($C$3:$X$3,'batch tool'!$B1441:$W1441)+$Y$3</f>
        <v>-36.514029388465531</v>
      </c>
      <c r="D1447" s="7">
        <f>SUMPRODUCT($C$4:$X$4,'batch tool'!$B1441:$W1441)+$Y$4</f>
        <v>-44.639843068043824</v>
      </c>
      <c r="E1447" s="7">
        <f>SUMPRODUCT($C$5:$X$5,'batch tool'!$B1441:$W1441)+$Y$5</f>
        <v>-51.578889182477603</v>
      </c>
      <c r="F1447" s="7">
        <f>SUMPRODUCT($C$6:$X$6,'batch tool'!$B1441:$W1441)+$Y$6</f>
        <v>-47.741473633885199</v>
      </c>
      <c r="G1447" s="7">
        <f>SUMPRODUCT($C$7:$X$7,'batch tool'!$B1441:$W1441)+$Y$7</f>
        <v>-19.739516238059196</v>
      </c>
      <c r="H1447" s="7">
        <f t="shared" si="44"/>
        <v>-19.739516238059196</v>
      </c>
      <c r="I1447">
        <f t="shared" si="45"/>
        <v>6</v>
      </c>
      <c r="J1447" t="str" cm="1">
        <f t="array" ref="J1447">INDEX($A$2:$A$7,I1447)</f>
        <v>Segment 6- Self-Conscious Male</v>
      </c>
    </row>
    <row r="1448" spans="1:10" x14ac:dyDescent="0.25">
      <c r="A1448" s="1">
        <f>'batch tool'!A1442</f>
        <v>0</v>
      </c>
      <c r="B1448" s="7">
        <f>SUMPRODUCT($C$2:$X$2,'batch tool'!$B1442:$W1442)+$Y$2</f>
        <v>-49.12272534143483</v>
      </c>
      <c r="C1448" s="7">
        <f>SUMPRODUCT($C$3:$X$3,'batch tool'!$B1442:$W1442)+$Y$3</f>
        <v>-36.514029388465531</v>
      </c>
      <c r="D1448" s="7">
        <f>SUMPRODUCT($C$4:$X$4,'batch tool'!$B1442:$W1442)+$Y$4</f>
        <v>-44.639843068043824</v>
      </c>
      <c r="E1448" s="7">
        <f>SUMPRODUCT($C$5:$X$5,'batch tool'!$B1442:$W1442)+$Y$5</f>
        <v>-51.578889182477603</v>
      </c>
      <c r="F1448" s="7">
        <f>SUMPRODUCT($C$6:$X$6,'batch tool'!$B1442:$W1442)+$Y$6</f>
        <v>-47.741473633885199</v>
      </c>
      <c r="G1448" s="7">
        <f>SUMPRODUCT($C$7:$X$7,'batch tool'!$B1442:$W1442)+$Y$7</f>
        <v>-19.739516238059196</v>
      </c>
      <c r="H1448" s="7">
        <f t="shared" si="44"/>
        <v>-19.739516238059196</v>
      </c>
      <c r="I1448">
        <f t="shared" si="45"/>
        <v>6</v>
      </c>
      <c r="J1448" t="str" cm="1">
        <f t="array" ref="J1448">INDEX($A$2:$A$7,I1448)</f>
        <v>Segment 6- Self-Conscious Male</v>
      </c>
    </row>
    <row r="1449" spans="1:10" x14ac:dyDescent="0.25">
      <c r="A1449" s="1">
        <f>'batch tool'!A1443</f>
        <v>0</v>
      </c>
      <c r="B1449" s="7">
        <f>SUMPRODUCT($C$2:$X$2,'batch tool'!$B1443:$W1443)+$Y$2</f>
        <v>-49.12272534143483</v>
      </c>
      <c r="C1449" s="7">
        <f>SUMPRODUCT($C$3:$X$3,'batch tool'!$B1443:$W1443)+$Y$3</f>
        <v>-36.514029388465531</v>
      </c>
      <c r="D1449" s="7">
        <f>SUMPRODUCT($C$4:$X$4,'batch tool'!$B1443:$W1443)+$Y$4</f>
        <v>-44.639843068043824</v>
      </c>
      <c r="E1449" s="7">
        <f>SUMPRODUCT($C$5:$X$5,'batch tool'!$B1443:$W1443)+$Y$5</f>
        <v>-51.578889182477603</v>
      </c>
      <c r="F1449" s="7">
        <f>SUMPRODUCT($C$6:$X$6,'batch tool'!$B1443:$W1443)+$Y$6</f>
        <v>-47.741473633885199</v>
      </c>
      <c r="G1449" s="7">
        <f>SUMPRODUCT($C$7:$X$7,'batch tool'!$B1443:$W1443)+$Y$7</f>
        <v>-19.739516238059196</v>
      </c>
      <c r="H1449" s="7">
        <f t="shared" si="44"/>
        <v>-19.739516238059196</v>
      </c>
      <c r="I1449">
        <f t="shared" si="45"/>
        <v>6</v>
      </c>
      <c r="J1449" t="str" cm="1">
        <f t="array" ref="J1449">INDEX($A$2:$A$7,I1449)</f>
        <v>Segment 6- Self-Conscious Male</v>
      </c>
    </row>
    <row r="1450" spans="1:10" x14ac:dyDescent="0.25">
      <c r="A1450" s="1">
        <f>'batch tool'!A1444</f>
        <v>0</v>
      </c>
      <c r="B1450" s="7">
        <f>SUMPRODUCT($C$2:$X$2,'batch tool'!$B1444:$W1444)+$Y$2</f>
        <v>-49.12272534143483</v>
      </c>
      <c r="C1450" s="7">
        <f>SUMPRODUCT($C$3:$X$3,'batch tool'!$B1444:$W1444)+$Y$3</f>
        <v>-36.514029388465531</v>
      </c>
      <c r="D1450" s="7">
        <f>SUMPRODUCT($C$4:$X$4,'batch tool'!$B1444:$W1444)+$Y$4</f>
        <v>-44.639843068043824</v>
      </c>
      <c r="E1450" s="7">
        <f>SUMPRODUCT($C$5:$X$5,'batch tool'!$B1444:$W1444)+$Y$5</f>
        <v>-51.578889182477603</v>
      </c>
      <c r="F1450" s="7">
        <f>SUMPRODUCT($C$6:$X$6,'batch tool'!$B1444:$W1444)+$Y$6</f>
        <v>-47.741473633885199</v>
      </c>
      <c r="G1450" s="7">
        <f>SUMPRODUCT($C$7:$X$7,'batch tool'!$B1444:$W1444)+$Y$7</f>
        <v>-19.739516238059196</v>
      </c>
      <c r="H1450" s="7">
        <f t="shared" si="44"/>
        <v>-19.739516238059196</v>
      </c>
      <c r="I1450">
        <f t="shared" si="45"/>
        <v>6</v>
      </c>
      <c r="J1450" t="str" cm="1">
        <f t="array" ref="J1450">INDEX($A$2:$A$7,I1450)</f>
        <v>Segment 6- Self-Conscious Male</v>
      </c>
    </row>
    <row r="1451" spans="1:10" x14ac:dyDescent="0.25">
      <c r="A1451" s="1">
        <f>'batch tool'!A1445</f>
        <v>0</v>
      </c>
      <c r="B1451" s="7">
        <f>SUMPRODUCT($C$2:$X$2,'batch tool'!$B1445:$W1445)+$Y$2</f>
        <v>-49.12272534143483</v>
      </c>
      <c r="C1451" s="7">
        <f>SUMPRODUCT($C$3:$X$3,'batch tool'!$B1445:$W1445)+$Y$3</f>
        <v>-36.514029388465531</v>
      </c>
      <c r="D1451" s="7">
        <f>SUMPRODUCT($C$4:$X$4,'batch tool'!$B1445:$W1445)+$Y$4</f>
        <v>-44.639843068043824</v>
      </c>
      <c r="E1451" s="7">
        <f>SUMPRODUCT($C$5:$X$5,'batch tool'!$B1445:$W1445)+$Y$5</f>
        <v>-51.578889182477603</v>
      </c>
      <c r="F1451" s="7">
        <f>SUMPRODUCT($C$6:$X$6,'batch tool'!$B1445:$W1445)+$Y$6</f>
        <v>-47.741473633885199</v>
      </c>
      <c r="G1451" s="7">
        <f>SUMPRODUCT($C$7:$X$7,'batch tool'!$B1445:$W1445)+$Y$7</f>
        <v>-19.739516238059196</v>
      </c>
      <c r="H1451" s="7">
        <f t="shared" si="44"/>
        <v>-19.739516238059196</v>
      </c>
      <c r="I1451">
        <f t="shared" si="45"/>
        <v>6</v>
      </c>
      <c r="J1451" t="str" cm="1">
        <f t="array" ref="J1451">INDEX($A$2:$A$7,I1451)</f>
        <v>Segment 6- Self-Conscious Male</v>
      </c>
    </row>
    <row r="1452" spans="1:10" x14ac:dyDescent="0.25">
      <c r="A1452" s="1">
        <f>'batch tool'!A1446</f>
        <v>0</v>
      </c>
      <c r="B1452" s="7">
        <f>SUMPRODUCT($C$2:$X$2,'batch tool'!$B1446:$W1446)+$Y$2</f>
        <v>-49.12272534143483</v>
      </c>
      <c r="C1452" s="7">
        <f>SUMPRODUCT($C$3:$X$3,'batch tool'!$B1446:$W1446)+$Y$3</f>
        <v>-36.514029388465531</v>
      </c>
      <c r="D1452" s="7">
        <f>SUMPRODUCT($C$4:$X$4,'batch tool'!$B1446:$W1446)+$Y$4</f>
        <v>-44.639843068043824</v>
      </c>
      <c r="E1452" s="7">
        <f>SUMPRODUCT($C$5:$X$5,'batch tool'!$B1446:$W1446)+$Y$5</f>
        <v>-51.578889182477603</v>
      </c>
      <c r="F1452" s="7">
        <f>SUMPRODUCT($C$6:$X$6,'batch tool'!$B1446:$W1446)+$Y$6</f>
        <v>-47.741473633885199</v>
      </c>
      <c r="G1452" s="7">
        <f>SUMPRODUCT($C$7:$X$7,'batch tool'!$B1446:$W1446)+$Y$7</f>
        <v>-19.739516238059196</v>
      </c>
      <c r="H1452" s="7">
        <f t="shared" si="44"/>
        <v>-19.739516238059196</v>
      </c>
      <c r="I1452">
        <f t="shared" si="45"/>
        <v>6</v>
      </c>
      <c r="J1452" t="str" cm="1">
        <f t="array" ref="J1452">INDEX($A$2:$A$7,I1452)</f>
        <v>Segment 6- Self-Conscious Male</v>
      </c>
    </row>
    <row r="1453" spans="1:10" x14ac:dyDescent="0.25">
      <c r="A1453" s="1">
        <f>'batch tool'!A1447</f>
        <v>0</v>
      </c>
      <c r="B1453" s="7">
        <f>SUMPRODUCT($C$2:$X$2,'batch tool'!$B1447:$W1447)+$Y$2</f>
        <v>-49.12272534143483</v>
      </c>
      <c r="C1453" s="7">
        <f>SUMPRODUCT($C$3:$X$3,'batch tool'!$B1447:$W1447)+$Y$3</f>
        <v>-36.514029388465531</v>
      </c>
      <c r="D1453" s="7">
        <f>SUMPRODUCT($C$4:$X$4,'batch tool'!$B1447:$W1447)+$Y$4</f>
        <v>-44.639843068043824</v>
      </c>
      <c r="E1453" s="7">
        <f>SUMPRODUCT($C$5:$X$5,'batch tool'!$B1447:$W1447)+$Y$5</f>
        <v>-51.578889182477603</v>
      </c>
      <c r="F1453" s="7">
        <f>SUMPRODUCT($C$6:$X$6,'batch tool'!$B1447:$W1447)+$Y$6</f>
        <v>-47.741473633885199</v>
      </c>
      <c r="G1453" s="7">
        <f>SUMPRODUCT($C$7:$X$7,'batch tool'!$B1447:$W1447)+$Y$7</f>
        <v>-19.739516238059196</v>
      </c>
      <c r="H1453" s="7">
        <f t="shared" si="44"/>
        <v>-19.739516238059196</v>
      </c>
      <c r="I1453">
        <f t="shared" si="45"/>
        <v>6</v>
      </c>
      <c r="J1453" t="str" cm="1">
        <f t="array" ref="J1453">INDEX($A$2:$A$7,I1453)</f>
        <v>Segment 6- Self-Conscious Male</v>
      </c>
    </row>
    <row r="1454" spans="1:10" x14ac:dyDescent="0.25">
      <c r="A1454" s="1">
        <f>'batch tool'!A1448</f>
        <v>0</v>
      </c>
      <c r="B1454" s="7">
        <f>SUMPRODUCT($C$2:$X$2,'batch tool'!$B1448:$W1448)+$Y$2</f>
        <v>-49.12272534143483</v>
      </c>
      <c r="C1454" s="7">
        <f>SUMPRODUCT($C$3:$X$3,'batch tool'!$B1448:$W1448)+$Y$3</f>
        <v>-36.514029388465531</v>
      </c>
      <c r="D1454" s="7">
        <f>SUMPRODUCT($C$4:$X$4,'batch tool'!$B1448:$W1448)+$Y$4</f>
        <v>-44.639843068043824</v>
      </c>
      <c r="E1454" s="7">
        <f>SUMPRODUCT($C$5:$X$5,'batch tool'!$B1448:$W1448)+$Y$5</f>
        <v>-51.578889182477603</v>
      </c>
      <c r="F1454" s="7">
        <f>SUMPRODUCT($C$6:$X$6,'batch tool'!$B1448:$W1448)+$Y$6</f>
        <v>-47.741473633885199</v>
      </c>
      <c r="G1454" s="7">
        <f>SUMPRODUCT($C$7:$X$7,'batch tool'!$B1448:$W1448)+$Y$7</f>
        <v>-19.739516238059196</v>
      </c>
      <c r="H1454" s="7">
        <f t="shared" si="44"/>
        <v>-19.739516238059196</v>
      </c>
      <c r="I1454">
        <f t="shared" si="45"/>
        <v>6</v>
      </c>
      <c r="J1454" t="str" cm="1">
        <f t="array" ref="J1454">INDEX($A$2:$A$7,I1454)</f>
        <v>Segment 6- Self-Conscious Male</v>
      </c>
    </row>
    <row r="1455" spans="1:10" x14ac:dyDescent="0.25">
      <c r="A1455" s="1">
        <f>'batch tool'!A1449</f>
        <v>0</v>
      </c>
      <c r="B1455" s="7">
        <f>SUMPRODUCT($C$2:$X$2,'batch tool'!$B1449:$W1449)+$Y$2</f>
        <v>-49.12272534143483</v>
      </c>
      <c r="C1455" s="7">
        <f>SUMPRODUCT($C$3:$X$3,'batch tool'!$B1449:$W1449)+$Y$3</f>
        <v>-36.514029388465531</v>
      </c>
      <c r="D1455" s="7">
        <f>SUMPRODUCT($C$4:$X$4,'batch tool'!$B1449:$W1449)+$Y$4</f>
        <v>-44.639843068043824</v>
      </c>
      <c r="E1455" s="7">
        <f>SUMPRODUCT($C$5:$X$5,'batch tool'!$B1449:$W1449)+$Y$5</f>
        <v>-51.578889182477603</v>
      </c>
      <c r="F1455" s="7">
        <f>SUMPRODUCT($C$6:$X$6,'batch tool'!$B1449:$W1449)+$Y$6</f>
        <v>-47.741473633885199</v>
      </c>
      <c r="G1455" s="7">
        <f>SUMPRODUCT($C$7:$X$7,'batch tool'!$B1449:$W1449)+$Y$7</f>
        <v>-19.739516238059196</v>
      </c>
      <c r="H1455" s="7">
        <f t="shared" si="44"/>
        <v>-19.739516238059196</v>
      </c>
      <c r="I1455">
        <f t="shared" si="45"/>
        <v>6</v>
      </c>
      <c r="J1455" t="str" cm="1">
        <f t="array" ref="J1455">INDEX($A$2:$A$7,I1455)</f>
        <v>Segment 6- Self-Conscious Male</v>
      </c>
    </row>
    <row r="1456" spans="1:10" x14ac:dyDescent="0.25">
      <c r="A1456" s="1">
        <f>'batch tool'!A1450</f>
        <v>0</v>
      </c>
      <c r="B1456" s="7">
        <f>SUMPRODUCT($C$2:$X$2,'batch tool'!$B1450:$W1450)+$Y$2</f>
        <v>-49.12272534143483</v>
      </c>
      <c r="C1456" s="7">
        <f>SUMPRODUCT($C$3:$X$3,'batch tool'!$B1450:$W1450)+$Y$3</f>
        <v>-36.514029388465531</v>
      </c>
      <c r="D1456" s="7">
        <f>SUMPRODUCT($C$4:$X$4,'batch tool'!$B1450:$W1450)+$Y$4</f>
        <v>-44.639843068043824</v>
      </c>
      <c r="E1456" s="7">
        <f>SUMPRODUCT($C$5:$X$5,'batch tool'!$B1450:$W1450)+$Y$5</f>
        <v>-51.578889182477603</v>
      </c>
      <c r="F1456" s="7">
        <f>SUMPRODUCT($C$6:$X$6,'batch tool'!$B1450:$W1450)+$Y$6</f>
        <v>-47.741473633885199</v>
      </c>
      <c r="G1456" s="7">
        <f>SUMPRODUCT($C$7:$X$7,'batch tool'!$B1450:$W1450)+$Y$7</f>
        <v>-19.739516238059196</v>
      </c>
      <c r="H1456" s="7">
        <f t="shared" si="44"/>
        <v>-19.739516238059196</v>
      </c>
      <c r="I1456">
        <f t="shared" si="45"/>
        <v>6</v>
      </c>
      <c r="J1456" t="str" cm="1">
        <f t="array" ref="J1456">INDEX($A$2:$A$7,I1456)</f>
        <v>Segment 6- Self-Conscious Male</v>
      </c>
    </row>
    <row r="1457" spans="1:10" x14ac:dyDescent="0.25">
      <c r="A1457" s="1">
        <f>'batch tool'!A1451</f>
        <v>0</v>
      </c>
      <c r="B1457" s="7">
        <f>SUMPRODUCT($C$2:$X$2,'batch tool'!$B1451:$W1451)+$Y$2</f>
        <v>-49.12272534143483</v>
      </c>
      <c r="C1457" s="7">
        <f>SUMPRODUCT($C$3:$X$3,'batch tool'!$B1451:$W1451)+$Y$3</f>
        <v>-36.514029388465531</v>
      </c>
      <c r="D1457" s="7">
        <f>SUMPRODUCT($C$4:$X$4,'batch tool'!$B1451:$W1451)+$Y$4</f>
        <v>-44.639843068043824</v>
      </c>
      <c r="E1457" s="7">
        <f>SUMPRODUCT($C$5:$X$5,'batch tool'!$B1451:$W1451)+$Y$5</f>
        <v>-51.578889182477603</v>
      </c>
      <c r="F1457" s="7">
        <f>SUMPRODUCT($C$6:$X$6,'batch tool'!$B1451:$W1451)+$Y$6</f>
        <v>-47.741473633885199</v>
      </c>
      <c r="G1457" s="7">
        <f>SUMPRODUCT($C$7:$X$7,'batch tool'!$B1451:$W1451)+$Y$7</f>
        <v>-19.739516238059196</v>
      </c>
      <c r="H1457" s="7">
        <f t="shared" si="44"/>
        <v>-19.739516238059196</v>
      </c>
      <c r="I1457">
        <f t="shared" si="45"/>
        <v>6</v>
      </c>
      <c r="J1457" t="str" cm="1">
        <f t="array" ref="J1457">INDEX($A$2:$A$7,I1457)</f>
        <v>Segment 6- Self-Conscious Male</v>
      </c>
    </row>
    <row r="1458" spans="1:10" x14ac:dyDescent="0.25">
      <c r="A1458" s="1">
        <f>'batch tool'!A1452</f>
        <v>0</v>
      </c>
      <c r="B1458" s="7">
        <f>SUMPRODUCT($C$2:$X$2,'batch tool'!$B1452:$W1452)+$Y$2</f>
        <v>-49.12272534143483</v>
      </c>
      <c r="C1458" s="7">
        <f>SUMPRODUCT($C$3:$X$3,'batch tool'!$B1452:$W1452)+$Y$3</f>
        <v>-36.514029388465531</v>
      </c>
      <c r="D1458" s="7">
        <f>SUMPRODUCT($C$4:$X$4,'batch tool'!$B1452:$W1452)+$Y$4</f>
        <v>-44.639843068043824</v>
      </c>
      <c r="E1458" s="7">
        <f>SUMPRODUCT($C$5:$X$5,'batch tool'!$B1452:$W1452)+$Y$5</f>
        <v>-51.578889182477603</v>
      </c>
      <c r="F1458" s="7">
        <f>SUMPRODUCT($C$6:$X$6,'batch tool'!$B1452:$W1452)+$Y$6</f>
        <v>-47.741473633885199</v>
      </c>
      <c r="G1458" s="7">
        <f>SUMPRODUCT($C$7:$X$7,'batch tool'!$B1452:$W1452)+$Y$7</f>
        <v>-19.739516238059196</v>
      </c>
      <c r="H1458" s="7">
        <f t="shared" si="44"/>
        <v>-19.739516238059196</v>
      </c>
      <c r="I1458">
        <f t="shared" si="45"/>
        <v>6</v>
      </c>
      <c r="J1458" t="str" cm="1">
        <f t="array" ref="J1458">INDEX($A$2:$A$7,I1458)</f>
        <v>Segment 6- Self-Conscious Male</v>
      </c>
    </row>
    <row r="1459" spans="1:10" x14ac:dyDescent="0.25">
      <c r="A1459" s="1">
        <f>'batch tool'!A1453</f>
        <v>0</v>
      </c>
      <c r="B1459" s="7">
        <f>SUMPRODUCT($C$2:$X$2,'batch tool'!$B1453:$W1453)+$Y$2</f>
        <v>-49.12272534143483</v>
      </c>
      <c r="C1459" s="7">
        <f>SUMPRODUCT($C$3:$X$3,'batch tool'!$B1453:$W1453)+$Y$3</f>
        <v>-36.514029388465531</v>
      </c>
      <c r="D1459" s="7">
        <f>SUMPRODUCT($C$4:$X$4,'batch tool'!$B1453:$W1453)+$Y$4</f>
        <v>-44.639843068043824</v>
      </c>
      <c r="E1459" s="7">
        <f>SUMPRODUCT($C$5:$X$5,'batch tool'!$B1453:$W1453)+$Y$5</f>
        <v>-51.578889182477603</v>
      </c>
      <c r="F1459" s="7">
        <f>SUMPRODUCT($C$6:$X$6,'batch tool'!$B1453:$W1453)+$Y$6</f>
        <v>-47.741473633885199</v>
      </c>
      <c r="G1459" s="7">
        <f>SUMPRODUCT($C$7:$X$7,'batch tool'!$B1453:$W1453)+$Y$7</f>
        <v>-19.739516238059196</v>
      </c>
      <c r="H1459" s="7">
        <f t="shared" si="44"/>
        <v>-19.739516238059196</v>
      </c>
      <c r="I1459">
        <f t="shared" si="45"/>
        <v>6</v>
      </c>
      <c r="J1459" t="str" cm="1">
        <f t="array" ref="J1459">INDEX($A$2:$A$7,I1459)</f>
        <v>Segment 6- Self-Conscious Male</v>
      </c>
    </row>
    <row r="1460" spans="1:10" x14ac:dyDescent="0.25">
      <c r="A1460" s="1">
        <f>'batch tool'!A1454</f>
        <v>0</v>
      </c>
      <c r="B1460" s="7">
        <f>SUMPRODUCT($C$2:$X$2,'batch tool'!$B1454:$W1454)+$Y$2</f>
        <v>-49.12272534143483</v>
      </c>
      <c r="C1460" s="7">
        <f>SUMPRODUCT($C$3:$X$3,'batch tool'!$B1454:$W1454)+$Y$3</f>
        <v>-36.514029388465531</v>
      </c>
      <c r="D1460" s="7">
        <f>SUMPRODUCT($C$4:$X$4,'batch tool'!$B1454:$W1454)+$Y$4</f>
        <v>-44.639843068043824</v>
      </c>
      <c r="E1460" s="7">
        <f>SUMPRODUCT($C$5:$X$5,'batch tool'!$B1454:$W1454)+$Y$5</f>
        <v>-51.578889182477603</v>
      </c>
      <c r="F1460" s="7">
        <f>SUMPRODUCT($C$6:$X$6,'batch tool'!$B1454:$W1454)+$Y$6</f>
        <v>-47.741473633885199</v>
      </c>
      <c r="G1460" s="7">
        <f>SUMPRODUCT($C$7:$X$7,'batch tool'!$B1454:$W1454)+$Y$7</f>
        <v>-19.739516238059196</v>
      </c>
      <c r="H1460" s="7">
        <f t="shared" si="44"/>
        <v>-19.739516238059196</v>
      </c>
      <c r="I1460">
        <f t="shared" si="45"/>
        <v>6</v>
      </c>
      <c r="J1460" t="str" cm="1">
        <f t="array" ref="J1460">INDEX($A$2:$A$7,I1460)</f>
        <v>Segment 6- Self-Conscious Male</v>
      </c>
    </row>
    <row r="1461" spans="1:10" x14ac:dyDescent="0.25">
      <c r="A1461" s="1">
        <f>'batch tool'!A1455</f>
        <v>0</v>
      </c>
      <c r="B1461" s="7">
        <f>SUMPRODUCT($C$2:$X$2,'batch tool'!$B1455:$W1455)+$Y$2</f>
        <v>-49.12272534143483</v>
      </c>
      <c r="C1461" s="7">
        <f>SUMPRODUCT($C$3:$X$3,'batch tool'!$B1455:$W1455)+$Y$3</f>
        <v>-36.514029388465531</v>
      </c>
      <c r="D1461" s="7">
        <f>SUMPRODUCT($C$4:$X$4,'batch tool'!$B1455:$W1455)+$Y$4</f>
        <v>-44.639843068043824</v>
      </c>
      <c r="E1461" s="7">
        <f>SUMPRODUCT($C$5:$X$5,'batch tool'!$B1455:$W1455)+$Y$5</f>
        <v>-51.578889182477603</v>
      </c>
      <c r="F1461" s="7">
        <f>SUMPRODUCT($C$6:$X$6,'batch tool'!$B1455:$W1455)+$Y$6</f>
        <v>-47.741473633885199</v>
      </c>
      <c r="G1461" s="7">
        <f>SUMPRODUCT($C$7:$X$7,'batch tool'!$B1455:$W1455)+$Y$7</f>
        <v>-19.739516238059196</v>
      </c>
      <c r="H1461" s="7">
        <f t="shared" si="44"/>
        <v>-19.739516238059196</v>
      </c>
      <c r="I1461">
        <f t="shared" si="45"/>
        <v>6</v>
      </c>
      <c r="J1461" t="str" cm="1">
        <f t="array" ref="J1461">INDEX($A$2:$A$7,I1461)</f>
        <v>Segment 6- Self-Conscious Male</v>
      </c>
    </row>
    <row r="1462" spans="1:10" x14ac:dyDescent="0.25">
      <c r="A1462" s="1">
        <f>'batch tool'!A1456</f>
        <v>0</v>
      </c>
      <c r="B1462" s="7">
        <f>SUMPRODUCT($C$2:$X$2,'batch tool'!$B1456:$W1456)+$Y$2</f>
        <v>-49.12272534143483</v>
      </c>
      <c r="C1462" s="7">
        <f>SUMPRODUCT($C$3:$X$3,'batch tool'!$B1456:$W1456)+$Y$3</f>
        <v>-36.514029388465531</v>
      </c>
      <c r="D1462" s="7">
        <f>SUMPRODUCT($C$4:$X$4,'batch tool'!$B1456:$W1456)+$Y$4</f>
        <v>-44.639843068043824</v>
      </c>
      <c r="E1462" s="7">
        <f>SUMPRODUCT($C$5:$X$5,'batch tool'!$B1456:$W1456)+$Y$5</f>
        <v>-51.578889182477603</v>
      </c>
      <c r="F1462" s="7">
        <f>SUMPRODUCT($C$6:$X$6,'batch tool'!$B1456:$W1456)+$Y$6</f>
        <v>-47.741473633885199</v>
      </c>
      <c r="G1462" s="7">
        <f>SUMPRODUCT($C$7:$X$7,'batch tool'!$B1456:$W1456)+$Y$7</f>
        <v>-19.739516238059196</v>
      </c>
      <c r="H1462" s="7">
        <f t="shared" si="44"/>
        <v>-19.739516238059196</v>
      </c>
      <c r="I1462">
        <f t="shared" si="45"/>
        <v>6</v>
      </c>
      <c r="J1462" t="str" cm="1">
        <f t="array" ref="J1462">INDEX($A$2:$A$7,I1462)</f>
        <v>Segment 6- Self-Conscious Male</v>
      </c>
    </row>
    <row r="1463" spans="1:10" x14ac:dyDescent="0.25">
      <c r="A1463" s="1">
        <f>'batch tool'!A1457</f>
        <v>0</v>
      </c>
      <c r="B1463" s="7">
        <f>SUMPRODUCT($C$2:$X$2,'batch tool'!$B1457:$W1457)+$Y$2</f>
        <v>-49.12272534143483</v>
      </c>
      <c r="C1463" s="7">
        <f>SUMPRODUCT($C$3:$X$3,'batch tool'!$B1457:$W1457)+$Y$3</f>
        <v>-36.514029388465531</v>
      </c>
      <c r="D1463" s="7">
        <f>SUMPRODUCT($C$4:$X$4,'batch tool'!$B1457:$W1457)+$Y$4</f>
        <v>-44.639843068043824</v>
      </c>
      <c r="E1463" s="7">
        <f>SUMPRODUCT($C$5:$X$5,'batch tool'!$B1457:$W1457)+$Y$5</f>
        <v>-51.578889182477603</v>
      </c>
      <c r="F1463" s="7">
        <f>SUMPRODUCT($C$6:$X$6,'batch tool'!$B1457:$W1457)+$Y$6</f>
        <v>-47.741473633885199</v>
      </c>
      <c r="G1463" s="7">
        <f>SUMPRODUCT($C$7:$X$7,'batch tool'!$B1457:$W1457)+$Y$7</f>
        <v>-19.739516238059196</v>
      </c>
      <c r="H1463" s="7">
        <f t="shared" si="44"/>
        <v>-19.739516238059196</v>
      </c>
      <c r="I1463">
        <f t="shared" si="45"/>
        <v>6</v>
      </c>
      <c r="J1463" t="str" cm="1">
        <f t="array" ref="J1463">INDEX($A$2:$A$7,I1463)</f>
        <v>Segment 6- Self-Conscious Male</v>
      </c>
    </row>
    <row r="1464" spans="1:10" x14ac:dyDescent="0.25">
      <c r="A1464" s="1">
        <f>'batch tool'!A1458</f>
        <v>0</v>
      </c>
      <c r="B1464" s="7">
        <f>SUMPRODUCT($C$2:$X$2,'batch tool'!$B1458:$W1458)+$Y$2</f>
        <v>-49.12272534143483</v>
      </c>
      <c r="C1464" s="7">
        <f>SUMPRODUCT($C$3:$X$3,'batch tool'!$B1458:$W1458)+$Y$3</f>
        <v>-36.514029388465531</v>
      </c>
      <c r="D1464" s="7">
        <f>SUMPRODUCT($C$4:$X$4,'batch tool'!$B1458:$W1458)+$Y$4</f>
        <v>-44.639843068043824</v>
      </c>
      <c r="E1464" s="7">
        <f>SUMPRODUCT($C$5:$X$5,'batch tool'!$B1458:$W1458)+$Y$5</f>
        <v>-51.578889182477603</v>
      </c>
      <c r="F1464" s="7">
        <f>SUMPRODUCT($C$6:$X$6,'batch tool'!$B1458:$W1458)+$Y$6</f>
        <v>-47.741473633885199</v>
      </c>
      <c r="G1464" s="7">
        <f>SUMPRODUCT($C$7:$X$7,'batch tool'!$B1458:$W1458)+$Y$7</f>
        <v>-19.739516238059196</v>
      </c>
      <c r="H1464" s="7">
        <f t="shared" si="44"/>
        <v>-19.739516238059196</v>
      </c>
      <c r="I1464">
        <f t="shared" si="45"/>
        <v>6</v>
      </c>
      <c r="J1464" t="str" cm="1">
        <f t="array" ref="J1464">INDEX($A$2:$A$7,I1464)</f>
        <v>Segment 6- Self-Conscious Male</v>
      </c>
    </row>
    <row r="1465" spans="1:10" x14ac:dyDescent="0.25">
      <c r="A1465" s="1">
        <f>'batch tool'!A1459</f>
        <v>0</v>
      </c>
      <c r="B1465" s="7">
        <f>SUMPRODUCT($C$2:$X$2,'batch tool'!$B1459:$W1459)+$Y$2</f>
        <v>-49.12272534143483</v>
      </c>
      <c r="C1465" s="7">
        <f>SUMPRODUCT($C$3:$X$3,'batch tool'!$B1459:$W1459)+$Y$3</f>
        <v>-36.514029388465531</v>
      </c>
      <c r="D1465" s="7">
        <f>SUMPRODUCT($C$4:$X$4,'batch tool'!$B1459:$W1459)+$Y$4</f>
        <v>-44.639843068043824</v>
      </c>
      <c r="E1465" s="7">
        <f>SUMPRODUCT($C$5:$X$5,'batch tool'!$B1459:$W1459)+$Y$5</f>
        <v>-51.578889182477603</v>
      </c>
      <c r="F1465" s="7">
        <f>SUMPRODUCT($C$6:$X$6,'batch tool'!$B1459:$W1459)+$Y$6</f>
        <v>-47.741473633885199</v>
      </c>
      <c r="G1465" s="7">
        <f>SUMPRODUCT($C$7:$X$7,'batch tool'!$B1459:$W1459)+$Y$7</f>
        <v>-19.739516238059196</v>
      </c>
      <c r="H1465" s="7">
        <f t="shared" si="44"/>
        <v>-19.739516238059196</v>
      </c>
      <c r="I1465">
        <f t="shared" si="45"/>
        <v>6</v>
      </c>
      <c r="J1465" t="str" cm="1">
        <f t="array" ref="J1465">INDEX($A$2:$A$7,I1465)</f>
        <v>Segment 6- Self-Conscious Male</v>
      </c>
    </row>
    <row r="1466" spans="1:10" x14ac:dyDescent="0.25">
      <c r="A1466" s="1">
        <f>'batch tool'!A1460</f>
        <v>0</v>
      </c>
      <c r="B1466" s="7">
        <f>SUMPRODUCT($C$2:$X$2,'batch tool'!$B1460:$W1460)+$Y$2</f>
        <v>-49.12272534143483</v>
      </c>
      <c r="C1466" s="7">
        <f>SUMPRODUCT($C$3:$X$3,'batch tool'!$B1460:$W1460)+$Y$3</f>
        <v>-36.514029388465531</v>
      </c>
      <c r="D1466" s="7">
        <f>SUMPRODUCT($C$4:$X$4,'batch tool'!$B1460:$W1460)+$Y$4</f>
        <v>-44.639843068043824</v>
      </c>
      <c r="E1466" s="7">
        <f>SUMPRODUCT($C$5:$X$5,'batch tool'!$B1460:$W1460)+$Y$5</f>
        <v>-51.578889182477603</v>
      </c>
      <c r="F1466" s="7">
        <f>SUMPRODUCT($C$6:$X$6,'batch tool'!$B1460:$W1460)+$Y$6</f>
        <v>-47.741473633885199</v>
      </c>
      <c r="G1466" s="7">
        <f>SUMPRODUCT($C$7:$X$7,'batch tool'!$B1460:$W1460)+$Y$7</f>
        <v>-19.739516238059196</v>
      </c>
      <c r="H1466" s="7">
        <f t="shared" si="44"/>
        <v>-19.739516238059196</v>
      </c>
      <c r="I1466">
        <f t="shared" si="45"/>
        <v>6</v>
      </c>
      <c r="J1466" t="str" cm="1">
        <f t="array" ref="J1466">INDEX($A$2:$A$7,I1466)</f>
        <v>Segment 6- Self-Conscious Male</v>
      </c>
    </row>
    <row r="1467" spans="1:10" x14ac:dyDescent="0.25">
      <c r="A1467" s="1">
        <f>'batch tool'!A1461</f>
        <v>0</v>
      </c>
      <c r="B1467" s="7">
        <f>SUMPRODUCT($C$2:$X$2,'batch tool'!$B1461:$W1461)+$Y$2</f>
        <v>-49.12272534143483</v>
      </c>
      <c r="C1467" s="7">
        <f>SUMPRODUCT($C$3:$X$3,'batch tool'!$B1461:$W1461)+$Y$3</f>
        <v>-36.514029388465531</v>
      </c>
      <c r="D1467" s="7">
        <f>SUMPRODUCT($C$4:$X$4,'batch tool'!$B1461:$W1461)+$Y$4</f>
        <v>-44.639843068043824</v>
      </c>
      <c r="E1467" s="7">
        <f>SUMPRODUCT($C$5:$X$5,'batch tool'!$B1461:$W1461)+$Y$5</f>
        <v>-51.578889182477603</v>
      </c>
      <c r="F1467" s="7">
        <f>SUMPRODUCT($C$6:$X$6,'batch tool'!$B1461:$W1461)+$Y$6</f>
        <v>-47.741473633885199</v>
      </c>
      <c r="G1467" s="7">
        <f>SUMPRODUCT($C$7:$X$7,'batch tool'!$B1461:$W1461)+$Y$7</f>
        <v>-19.739516238059196</v>
      </c>
      <c r="H1467" s="7">
        <f t="shared" si="44"/>
        <v>-19.739516238059196</v>
      </c>
      <c r="I1467">
        <f t="shared" si="45"/>
        <v>6</v>
      </c>
      <c r="J1467" t="str" cm="1">
        <f t="array" ref="J1467">INDEX($A$2:$A$7,I1467)</f>
        <v>Segment 6- Self-Conscious Male</v>
      </c>
    </row>
    <row r="1468" spans="1:10" x14ac:dyDescent="0.25">
      <c r="A1468" s="1">
        <f>'batch tool'!A1462</f>
        <v>0</v>
      </c>
      <c r="B1468" s="7">
        <f>SUMPRODUCT($C$2:$X$2,'batch tool'!$B1462:$W1462)+$Y$2</f>
        <v>-49.12272534143483</v>
      </c>
      <c r="C1468" s="7">
        <f>SUMPRODUCT($C$3:$X$3,'batch tool'!$B1462:$W1462)+$Y$3</f>
        <v>-36.514029388465531</v>
      </c>
      <c r="D1468" s="7">
        <f>SUMPRODUCT($C$4:$X$4,'batch tool'!$B1462:$W1462)+$Y$4</f>
        <v>-44.639843068043824</v>
      </c>
      <c r="E1468" s="7">
        <f>SUMPRODUCT($C$5:$X$5,'batch tool'!$B1462:$W1462)+$Y$5</f>
        <v>-51.578889182477603</v>
      </c>
      <c r="F1468" s="7">
        <f>SUMPRODUCT($C$6:$X$6,'batch tool'!$B1462:$W1462)+$Y$6</f>
        <v>-47.741473633885199</v>
      </c>
      <c r="G1468" s="7">
        <f>SUMPRODUCT($C$7:$X$7,'batch tool'!$B1462:$W1462)+$Y$7</f>
        <v>-19.739516238059196</v>
      </c>
      <c r="H1468" s="7">
        <f t="shared" si="44"/>
        <v>-19.739516238059196</v>
      </c>
      <c r="I1468">
        <f t="shared" si="45"/>
        <v>6</v>
      </c>
      <c r="J1468" t="str" cm="1">
        <f t="array" ref="J1468">INDEX($A$2:$A$7,I1468)</f>
        <v>Segment 6- Self-Conscious Male</v>
      </c>
    </row>
    <row r="1469" spans="1:10" x14ac:dyDescent="0.25">
      <c r="A1469" s="1">
        <f>'batch tool'!A1463</f>
        <v>0</v>
      </c>
      <c r="B1469" s="7">
        <f>SUMPRODUCT($C$2:$X$2,'batch tool'!$B1463:$W1463)+$Y$2</f>
        <v>-49.12272534143483</v>
      </c>
      <c r="C1469" s="7">
        <f>SUMPRODUCT($C$3:$X$3,'batch tool'!$B1463:$W1463)+$Y$3</f>
        <v>-36.514029388465531</v>
      </c>
      <c r="D1469" s="7">
        <f>SUMPRODUCT($C$4:$X$4,'batch tool'!$B1463:$W1463)+$Y$4</f>
        <v>-44.639843068043824</v>
      </c>
      <c r="E1469" s="7">
        <f>SUMPRODUCT($C$5:$X$5,'batch tool'!$B1463:$W1463)+$Y$5</f>
        <v>-51.578889182477603</v>
      </c>
      <c r="F1469" s="7">
        <f>SUMPRODUCT($C$6:$X$6,'batch tool'!$B1463:$W1463)+$Y$6</f>
        <v>-47.741473633885199</v>
      </c>
      <c r="G1469" s="7">
        <f>SUMPRODUCT($C$7:$X$7,'batch tool'!$B1463:$W1463)+$Y$7</f>
        <v>-19.739516238059196</v>
      </c>
      <c r="H1469" s="7">
        <f t="shared" si="44"/>
        <v>-19.739516238059196</v>
      </c>
      <c r="I1469">
        <f t="shared" si="45"/>
        <v>6</v>
      </c>
      <c r="J1469" t="str" cm="1">
        <f t="array" ref="J1469">INDEX($A$2:$A$7,I1469)</f>
        <v>Segment 6- Self-Conscious Male</v>
      </c>
    </row>
    <row r="1470" spans="1:10" x14ac:dyDescent="0.25">
      <c r="A1470" s="1">
        <f>'batch tool'!A1464</f>
        <v>0</v>
      </c>
      <c r="B1470" s="7">
        <f>SUMPRODUCT($C$2:$X$2,'batch tool'!$B1464:$W1464)+$Y$2</f>
        <v>-49.12272534143483</v>
      </c>
      <c r="C1470" s="7">
        <f>SUMPRODUCT($C$3:$X$3,'batch tool'!$B1464:$W1464)+$Y$3</f>
        <v>-36.514029388465531</v>
      </c>
      <c r="D1470" s="7">
        <f>SUMPRODUCT($C$4:$X$4,'batch tool'!$B1464:$W1464)+$Y$4</f>
        <v>-44.639843068043824</v>
      </c>
      <c r="E1470" s="7">
        <f>SUMPRODUCT($C$5:$X$5,'batch tool'!$B1464:$W1464)+$Y$5</f>
        <v>-51.578889182477603</v>
      </c>
      <c r="F1470" s="7">
        <f>SUMPRODUCT($C$6:$X$6,'batch tool'!$B1464:$W1464)+$Y$6</f>
        <v>-47.741473633885199</v>
      </c>
      <c r="G1470" s="7">
        <f>SUMPRODUCT($C$7:$X$7,'batch tool'!$B1464:$W1464)+$Y$7</f>
        <v>-19.739516238059196</v>
      </c>
      <c r="H1470" s="7">
        <f t="shared" si="44"/>
        <v>-19.739516238059196</v>
      </c>
      <c r="I1470">
        <f t="shared" si="45"/>
        <v>6</v>
      </c>
      <c r="J1470" t="str" cm="1">
        <f t="array" ref="J1470">INDEX($A$2:$A$7,I1470)</f>
        <v>Segment 6- Self-Conscious Male</v>
      </c>
    </row>
    <row r="1471" spans="1:10" x14ac:dyDescent="0.25">
      <c r="A1471" s="1">
        <f>'batch tool'!A1465</f>
        <v>0</v>
      </c>
      <c r="B1471" s="7">
        <f>SUMPRODUCT($C$2:$X$2,'batch tool'!$B1465:$W1465)+$Y$2</f>
        <v>-49.12272534143483</v>
      </c>
      <c r="C1471" s="7">
        <f>SUMPRODUCT($C$3:$X$3,'batch tool'!$B1465:$W1465)+$Y$3</f>
        <v>-36.514029388465531</v>
      </c>
      <c r="D1471" s="7">
        <f>SUMPRODUCT($C$4:$X$4,'batch tool'!$B1465:$W1465)+$Y$4</f>
        <v>-44.639843068043824</v>
      </c>
      <c r="E1471" s="7">
        <f>SUMPRODUCT($C$5:$X$5,'batch tool'!$B1465:$W1465)+$Y$5</f>
        <v>-51.578889182477603</v>
      </c>
      <c r="F1471" s="7">
        <f>SUMPRODUCT($C$6:$X$6,'batch tool'!$B1465:$W1465)+$Y$6</f>
        <v>-47.741473633885199</v>
      </c>
      <c r="G1471" s="7">
        <f>SUMPRODUCT($C$7:$X$7,'batch tool'!$B1465:$W1465)+$Y$7</f>
        <v>-19.739516238059196</v>
      </c>
      <c r="H1471" s="7">
        <f t="shared" si="44"/>
        <v>-19.739516238059196</v>
      </c>
      <c r="I1471">
        <f t="shared" si="45"/>
        <v>6</v>
      </c>
      <c r="J1471" t="str" cm="1">
        <f t="array" ref="J1471">INDEX($A$2:$A$7,I1471)</f>
        <v>Segment 6- Self-Conscious Male</v>
      </c>
    </row>
    <row r="1472" spans="1:10" x14ac:dyDescent="0.25">
      <c r="A1472" s="1">
        <f>'batch tool'!A1466</f>
        <v>0</v>
      </c>
      <c r="B1472" s="7">
        <f>SUMPRODUCT($C$2:$X$2,'batch tool'!$B1466:$W1466)+$Y$2</f>
        <v>-49.12272534143483</v>
      </c>
      <c r="C1472" s="7">
        <f>SUMPRODUCT($C$3:$X$3,'batch tool'!$B1466:$W1466)+$Y$3</f>
        <v>-36.514029388465531</v>
      </c>
      <c r="D1472" s="7">
        <f>SUMPRODUCT($C$4:$X$4,'batch tool'!$B1466:$W1466)+$Y$4</f>
        <v>-44.639843068043824</v>
      </c>
      <c r="E1472" s="7">
        <f>SUMPRODUCT($C$5:$X$5,'batch tool'!$B1466:$W1466)+$Y$5</f>
        <v>-51.578889182477603</v>
      </c>
      <c r="F1472" s="7">
        <f>SUMPRODUCT($C$6:$X$6,'batch tool'!$B1466:$W1466)+$Y$6</f>
        <v>-47.741473633885199</v>
      </c>
      <c r="G1472" s="7">
        <f>SUMPRODUCT($C$7:$X$7,'batch tool'!$B1466:$W1466)+$Y$7</f>
        <v>-19.739516238059196</v>
      </c>
      <c r="H1472" s="7">
        <f t="shared" si="44"/>
        <v>-19.739516238059196</v>
      </c>
      <c r="I1472">
        <f t="shared" si="45"/>
        <v>6</v>
      </c>
      <c r="J1472" t="str" cm="1">
        <f t="array" ref="J1472">INDEX($A$2:$A$7,I1472)</f>
        <v>Segment 6- Self-Conscious Male</v>
      </c>
    </row>
    <row r="1473" spans="1:10" x14ac:dyDescent="0.25">
      <c r="A1473" s="1">
        <f>'batch tool'!A1467</f>
        <v>0</v>
      </c>
      <c r="B1473" s="7">
        <f>SUMPRODUCT($C$2:$X$2,'batch tool'!$B1467:$W1467)+$Y$2</f>
        <v>-49.12272534143483</v>
      </c>
      <c r="C1473" s="7">
        <f>SUMPRODUCT($C$3:$X$3,'batch tool'!$B1467:$W1467)+$Y$3</f>
        <v>-36.514029388465531</v>
      </c>
      <c r="D1473" s="7">
        <f>SUMPRODUCT($C$4:$X$4,'batch tool'!$B1467:$W1467)+$Y$4</f>
        <v>-44.639843068043824</v>
      </c>
      <c r="E1473" s="7">
        <f>SUMPRODUCT($C$5:$X$5,'batch tool'!$B1467:$W1467)+$Y$5</f>
        <v>-51.578889182477603</v>
      </c>
      <c r="F1473" s="7">
        <f>SUMPRODUCT($C$6:$X$6,'batch tool'!$B1467:$W1467)+$Y$6</f>
        <v>-47.741473633885199</v>
      </c>
      <c r="G1473" s="7">
        <f>SUMPRODUCT($C$7:$X$7,'batch tool'!$B1467:$W1467)+$Y$7</f>
        <v>-19.739516238059196</v>
      </c>
      <c r="H1473" s="7">
        <f t="shared" si="44"/>
        <v>-19.739516238059196</v>
      </c>
      <c r="I1473">
        <f t="shared" si="45"/>
        <v>6</v>
      </c>
      <c r="J1473" t="str" cm="1">
        <f t="array" ref="J1473">INDEX($A$2:$A$7,I1473)</f>
        <v>Segment 6- Self-Conscious Male</v>
      </c>
    </row>
    <row r="1474" spans="1:10" x14ac:dyDescent="0.25">
      <c r="A1474" s="1">
        <f>'batch tool'!A1468</f>
        <v>0</v>
      </c>
      <c r="B1474" s="7">
        <f>SUMPRODUCT($C$2:$X$2,'batch tool'!$B1468:$W1468)+$Y$2</f>
        <v>-49.12272534143483</v>
      </c>
      <c r="C1474" s="7">
        <f>SUMPRODUCT($C$3:$X$3,'batch tool'!$B1468:$W1468)+$Y$3</f>
        <v>-36.514029388465531</v>
      </c>
      <c r="D1474" s="7">
        <f>SUMPRODUCT($C$4:$X$4,'batch tool'!$B1468:$W1468)+$Y$4</f>
        <v>-44.639843068043824</v>
      </c>
      <c r="E1474" s="7">
        <f>SUMPRODUCT($C$5:$X$5,'batch tool'!$B1468:$W1468)+$Y$5</f>
        <v>-51.578889182477603</v>
      </c>
      <c r="F1474" s="7">
        <f>SUMPRODUCT($C$6:$X$6,'batch tool'!$B1468:$W1468)+$Y$6</f>
        <v>-47.741473633885199</v>
      </c>
      <c r="G1474" s="7">
        <f>SUMPRODUCT($C$7:$X$7,'batch tool'!$B1468:$W1468)+$Y$7</f>
        <v>-19.739516238059196</v>
      </c>
      <c r="H1474" s="7">
        <f t="shared" si="44"/>
        <v>-19.739516238059196</v>
      </c>
      <c r="I1474">
        <f t="shared" si="45"/>
        <v>6</v>
      </c>
      <c r="J1474" t="str" cm="1">
        <f t="array" ref="J1474">INDEX($A$2:$A$7,I1474)</f>
        <v>Segment 6- Self-Conscious Male</v>
      </c>
    </row>
    <row r="1475" spans="1:10" x14ac:dyDescent="0.25">
      <c r="A1475" s="1">
        <f>'batch tool'!A1469</f>
        <v>0</v>
      </c>
      <c r="B1475" s="7">
        <f>SUMPRODUCT($C$2:$X$2,'batch tool'!$B1469:$W1469)+$Y$2</f>
        <v>-49.12272534143483</v>
      </c>
      <c r="C1475" s="7">
        <f>SUMPRODUCT($C$3:$X$3,'batch tool'!$B1469:$W1469)+$Y$3</f>
        <v>-36.514029388465531</v>
      </c>
      <c r="D1475" s="7">
        <f>SUMPRODUCT($C$4:$X$4,'batch tool'!$B1469:$W1469)+$Y$4</f>
        <v>-44.639843068043824</v>
      </c>
      <c r="E1475" s="7">
        <f>SUMPRODUCT($C$5:$X$5,'batch tool'!$B1469:$W1469)+$Y$5</f>
        <v>-51.578889182477603</v>
      </c>
      <c r="F1475" s="7">
        <f>SUMPRODUCT($C$6:$X$6,'batch tool'!$B1469:$W1469)+$Y$6</f>
        <v>-47.741473633885199</v>
      </c>
      <c r="G1475" s="7">
        <f>SUMPRODUCT($C$7:$X$7,'batch tool'!$B1469:$W1469)+$Y$7</f>
        <v>-19.739516238059196</v>
      </c>
      <c r="H1475" s="7">
        <f t="shared" si="44"/>
        <v>-19.739516238059196</v>
      </c>
      <c r="I1475">
        <f t="shared" si="45"/>
        <v>6</v>
      </c>
      <c r="J1475" t="str" cm="1">
        <f t="array" ref="J1475">INDEX($A$2:$A$7,I1475)</f>
        <v>Segment 6- Self-Conscious Male</v>
      </c>
    </row>
    <row r="1476" spans="1:10" x14ac:dyDescent="0.25">
      <c r="A1476" s="1">
        <f>'batch tool'!A1470</f>
        <v>0</v>
      </c>
      <c r="B1476" s="7">
        <f>SUMPRODUCT($C$2:$X$2,'batch tool'!$B1470:$W1470)+$Y$2</f>
        <v>-49.12272534143483</v>
      </c>
      <c r="C1476" s="7">
        <f>SUMPRODUCT($C$3:$X$3,'batch tool'!$B1470:$W1470)+$Y$3</f>
        <v>-36.514029388465531</v>
      </c>
      <c r="D1476" s="7">
        <f>SUMPRODUCT($C$4:$X$4,'batch tool'!$B1470:$W1470)+$Y$4</f>
        <v>-44.639843068043824</v>
      </c>
      <c r="E1476" s="7">
        <f>SUMPRODUCT($C$5:$X$5,'batch tool'!$B1470:$W1470)+$Y$5</f>
        <v>-51.578889182477603</v>
      </c>
      <c r="F1476" s="7">
        <f>SUMPRODUCT($C$6:$X$6,'batch tool'!$B1470:$W1470)+$Y$6</f>
        <v>-47.741473633885199</v>
      </c>
      <c r="G1476" s="7">
        <f>SUMPRODUCT($C$7:$X$7,'batch tool'!$B1470:$W1470)+$Y$7</f>
        <v>-19.739516238059196</v>
      </c>
      <c r="H1476" s="7">
        <f t="shared" si="44"/>
        <v>-19.739516238059196</v>
      </c>
      <c r="I1476">
        <f t="shared" si="45"/>
        <v>6</v>
      </c>
      <c r="J1476" t="str" cm="1">
        <f t="array" ref="J1476">INDEX($A$2:$A$7,I1476)</f>
        <v>Segment 6- Self-Conscious Male</v>
      </c>
    </row>
    <row r="1477" spans="1:10" x14ac:dyDescent="0.25">
      <c r="A1477" s="1">
        <f>'batch tool'!A1471</f>
        <v>0</v>
      </c>
      <c r="B1477" s="7">
        <f>SUMPRODUCT($C$2:$X$2,'batch tool'!$B1471:$W1471)+$Y$2</f>
        <v>-49.12272534143483</v>
      </c>
      <c r="C1477" s="7">
        <f>SUMPRODUCT($C$3:$X$3,'batch tool'!$B1471:$W1471)+$Y$3</f>
        <v>-36.514029388465531</v>
      </c>
      <c r="D1477" s="7">
        <f>SUMPRODUCT($C$4:$X$4,'batch tool'!$B1471:$W1471)+$Y$4</f>
        <v>-44.639843068043824</v>
      </c>
      <c r="E1477" s="7">
        <f>SUMPRODUCT($C$5:$X$5,'batch tool'!$B1471:$W1471)+$Y$5</f>
        <v>-51.578889182477603</v>
      </c>
      <c r="F1477" s="7">
        <f>SUMPRODUCT($C$6:$X$6,'batch tool'!$B1471:$W1471)+$Y$6</f>
        <v>-47.741473633885199</v>
      </c>
      <c r="G1477" s="7">
        <f>SUMPRODUCT($C$7:$X$7,'batch tool'!$B1471:$W1471)+$Y$7</f>
        <v>-19.739516238059196</v>
      </c>
      <c r="H1477" s="7">
        <f t="shared" si="44"/>
        <v>-19.739516238059196</v>
      </c>
      <c r="I1477">
        <f t="shared" si="45"/>
        <v>6</v>
      </c>
      <c r="J1477" t="str" cm="1">
        <f t="array" ref="J1477">INDEX($A$2:$A$7,I1477)</f>
        <v>Segment 6- Self-Conscious Male</v>
      </c>
    </row>
    <row r="1478" spans="1:10" x14ac:dyDescent="0.25">
      <c r="A1478" s="1">
        <f>'batch tool'!A1472</f>
        <v>0</v>
      </c>
      <c r="B1478" s="7">
        <f>SUMPRODUCT($C$2:$X$2,'batch tool'!$B1472:$W1472)+$Y$2</f>
        <v>-49.12272534143483</v>
      </c>
      <c r="C1478" s="7">
        <f>SUMPRODUCT($C$3:$X$3,'batch tool'!$B1472:$W1472)+$Y$3</f>
        <v>-36.514029388465531</v>
      </c>
      <c r="D1478" s="7">
        <f>SUMPRODUCT($C$4:$X$4,'batch tool'!$B1472:$W1472)+$Y$4</f>
        <v>-44.639843068043824</v>
      </c>
      <c r="E1478" s="7">
        <f>SUMPRODUCT($C$5:$X$5,'batch tool'!$B1472:$W1472)+$Y$5</f>
        <v>-51.578889182477603</v>
      </c>
      <c r="F1478" s="7">
        <f>SUMPRODUCT($C$6:$X$6,'batch tool'!$B1472:$W1472)+$Y$6</f>
        <v>-47.741473633885199</v>
      </c>
      <c r="G1478" s="7">
        <f>SUMPRODUCT($C$7:$X$7,'batch tool'!$B1472:$W1472)+$Y$7</f>
        <v>-19.739516238059196</v>
      </c>
      <c r="H1478" s="7">
        <f t="shared" si="44"/>
        <v>-19.739516238059196</v>
      </c>
      <c r="I1478">
        <f t="shared" si="45"/>
        <v>6</v>
      </c>
      <c r="J1478" t="str" cm="1">
        <f t="array" ref="J1478">INDEX($A$2:$A$7,I1478)</f>
        <v>Segment 6- Self-Conscious Male</v>
      </c>
    </row>
    <row r="1479" spans="1:10" x14ac:dyDescent="0.25">
      <c r="A1479" s="1">
        <f>'batch tool'!A1473</f>
        <v>0</v>
      </c>
      <c r="B1479" s="7">
        <f>SUMPRODUCT($C$2:$X$2,'batch tool'!$B1473:$W1473)+$Y$2</f>
        <v>-49.12272534143483</v>
      </c>
      <c r="C1479" s="7">
        <f>SUMPRODUCT($C$3:$X$3,'batch tool'!$B1473:$W1473)+$Y$3</f>
        <v>-36.514029388465531</v>
      </c>
      <c r="D1479" s="7">
        <f>SUMPRODUCT($C$4:$X$4,'batch tool'!$B1473:$W1473)+$Y$4</f>
        <v>-44.639843068043824</v>
      </c>
      <c r="E1479" s="7">
        <f>SUMPRODUCT($C$5:$X$5,'batch tool'!$B1473:$W1473)+$Y$5</f>
        <v>-51.578889182477603</v>
      </c>
      <c r="F1479" s="7">
        <f>SUMPRODUCT($C$6:$X$6,'batch tool'!$B1473:$W1473)+$Y$6</f>
        <v>-47.741473633885199</v>
      </c>
      <c r="G1479" s="7">
        <f>SUMPRODUCT($C$7:$X$7,'batch tool'!$B1473:$W1473)+$Y$7</f>
        <v>-19.739516238059196</v>
      </c>
      <c r="H1479" s="7">
        <f t="shared" si="44"/>
        <v>-19.739516238059196</v>
      </c>
      <c r="I1479">
        <f t="shared" si="45"/>
        <v>6</v>
      </c>
      <c r="J1479" t="str" cm="1">
        <f t="array" ref="J1479">INDEX($A$2:$A$7,I1479)</f>
        <v>Segment 6- Self-Conscious Male</v>
      </c>
    </row>
    <row r="1480" spans="1:10" x14ac:dyDescent="0.25">
      <c r="A1480" s="1">
        <f>'batch tool'!A1474</f>
        <v>0</v>
      </c>
      <c r="B1480" s="7">
        <f>SUMPRODUCT($C$2:$X$2,'batch tool'!$B1474:$W1474)+$Y$2</f>
        <v>-49.12272534143483</v>
      </c>
      <c r="C1480" s="7">
        <f>SUMPRODUCT($C$3:$X$3,'batch tool'!$B1474:$W1474)+$Y$3</f>
        <v>-36.514029388465531</v>
      </c>
      <c r="D1480" s="7">
        <f>SUMPRODUCT($C$4:$X$4,'batch tool'!$B1474:$W1474)+$Y$4</f>
        <v>-44.639843068043824</v>
      </c>
      <c r="E1480" s="7">
        <f>SUMPRODUCT($C$5:$X$5,'batch tool'!$B1474:$W1474)+$Y$5</f>
        <v>-51.578889182477603</v>
      </c>
      <c r="F1480" s="7">
        <f>SUMPRODUCT($C$6:$X$6,'batch tool'!$B1474:$W1474)+$Y$6</f>
        <v>-47.741473633885199</v>
      </c>
      <c r="G1480" s="7">
        <f>SUMPRODUCT($C$7:$X$7,'batch tool'!$B1474:$W1474)+$Y$7</f>
        <v>-19.739516238059196</v>
      </c>
      <c r="H1480" s="7">
        <f t="shared" si="44"/>
        <v>-19.739516238059196</v>
      </c>
      <c r="I1480">
        <f t="shared" si="45"/>
        <v>6</v>
      </c>
      <c r="J1480" t="str" cm="1">
        <f t="array" ref="J1480">INDEX($A$2:$A$7,I1480)</f>
        <v>Segment 6- Self-Conscious Male</v>
      </c>
    </row>
    <row r="1481" spans="1:10" x14ac:dyDescent="0.25">
      <c r="A1481" s="1">
        <f>'batch tool'!A1475</f>
        <v>0</v>
      </c>
      <c r="B1481" s="7">
        <f>SUMPRODUCT($C$2:$X$2,'batch tool'!$B1475:$W1475)+$Y$2</f>
        <v>-49.12272534143483</v>
      </c>
      <c r="C1481" s="7">
        <f>SUMPRODUCT($C$3:$X$3,'batch tool'!$B1475:$W1475)+$Y$3</f>
        <v>-36.514029388465531</v>
      </c>
      <c r="D1481" s="7">
        <f>SUMPRODUCT($C$4:$X$4,'batch tool'!$B1475:$W1475)+$Y$4</f>
        <v>-44.639843068043824</v>
      </c>
      <c r="E1481" s="7">
        <f>SUMPRODUCT($C$5:$X$5,'batch tool'!$B1475:$W1475)+$Y$5</f>
        <v>-51.578889182477603</v>
      </c>
      <c r="F1481" s="7">
        <f>SUMPRODUCT($C$6:$X$6,'batch tool'!$B1475:$W1475)+$Y$6</f>
        <v>-47.741473633885199</v>
      </c>
      <c r="G1481" s="7">
        <f>SUMPRODUCT($C$7:$X$7,'batch tool'!$B1475:$W1475)+$Y$7</f>
        <v>-19.739516238059196</v>
      </c>
      <c r="H1481" s="7">
        <f t="shared" si="44"/>
        <v>-19.739516238059196</v>
      </c>
      <c r="I1481">
        <f t="shared" si="45"/>
        <v>6</v>
      </c>
      <c r="J1481" t="str" cm="1">
        <f t="array" ref="J1481">INDEX($A$2:$A$7,I1481)</f>
        <v>Segment 6- Self-Conscious Male</v>
      </c>
    </row>
    <row r="1482" spans="1:10" x14ac:dyDescent="0.25">
      <c r="A1482" s="1">
        <f>'batch tool'!A1476</f>
        <v>0</v>
      </c>
      <c r="B1482" s="7">
        <f>SUMPRODUCT($C$2:$X$2,'batch tool'!$B1476:$W1476)+$Y$2</f>
        <v>-49.12272534143483</v>
      </c>
      <c r="C1482" s="7">
        <f>SUMPRODUCT($C$3:$X$3,'batch tool'!$B1476:$W1476)+$Y$3</f>
        <v>-36.514029388465531</v>
      </c>
      <c r="D1482" s="7">
        <f>SUMPRODUCT($C$4:$X$4,'batch tool'!$B1476:$W1476)+$Y$4</f>
        <v>-44.639843068043824</v>
      </c>
      <c r="E1482" s="7">
        <f>SUMPRODUCT($C$5:$X$5,'batch tool'!$B1476:$W1476)+$Y$5</f>
        <v>-51.578889182477603</v>
      </c>
      <c r="F1482" s="7">
        <f>SUMPRODUCT($C$6:$X$6,'batch tool'!$B1476:$W1476)+$Y$6</f>
        <v>-47.741473633885199</v>
      </c>
      <c r="G1482" s="7">
        <f>SUMPRODUCT($C$7:$X$7,'batch tool'!$B1476:$W1476)+$Y$7</f>
        <v>-19.739516238059196</v>
      </c>
      <c r="H1482" s="7">
        <f t="shared" si="44"/>
        <v>-19.739516238059196</v>
      </c>
      <c r="I1482">
        <f t="shared" si="45"/>
        <v>6</v>
      </c>
      <c r="J1482" t="str" cm="1">
        <f t="array" ref="J1482">INDEX($A$2:$A$7,I1482)</f>
        <v>Segment 6- Self-Conscious Male</v>
      </c>
    </row>
    <row r="1483" spans="1:10" x14ac:dyDescent="0.25">
      <c r="A1483" s="1">
        <f>'batch tool'!A1477</f>
        <v>0</v>
      </c>
      <c r="B1483" s="7">
        <f>SUMPRODUCT($C$2:$X$2,'batch tool'!$B1477:$W1477)+$Y$2</f>
        <v>-49.12272534143483</v>
      </c>
      <c r="C1483" s="7">
        <f>SUMPRODUCT($C$3:$X$3,'batch tool'!$B1477:$W1477)+$Y$3</f>
        <v>-36.514029388465531</v>
      </c>
      <c r="D1483" s="7">
        <f>SUMPRODUCT($C$4:$X$4,'batch tool'!$B1477:$W1477)+$Y$4</f>
        <v>-44.639843068043824</v>
      </c>
      <c r="E1483" s="7">
        <f>SUMPRODUCT($C$5:$X$5,'batch tool'!$B1477:$W1477)+$Y$5</f>
        <v>-51.578889182477603</v>
      </c>
      <c r="F1483" s="7">
        <f>SUMPRODUCT($C$6:$X$6,'batch tool'!$B1477:$W1477)+$Y$6</f>
        <v>-47.741473633885199</v>
      </c>
      <c r="G1483" s="7">
        <f>SUMPRODUCT($C$7:$X$7,'batch tool'!$B1477:$W1477)+$Y$7</f>
        <v>-19.739516238059196</v>
      </c>
      <c r="H1483" s="7">
        <f t="shared" ref="H1483:H1546" si="46">MAX(B1483:G1483)</f>
        <v>-19.739516238059196</v>
      </c>
      <c r="I1483">
        <f t="shared" ref="I1483:I1546" si="47">MATCH(H1483,B1483:G1483,0)</f>
        <v>6</v>
      </c>
      <c r="J1483" t="str" cm="1">
        <f t="array" ref="J1483">INDEX($A$2:$A$7,I1483)</f>
        <v>Segment 6- Self-Conscious Male</v>
      </c>
    </row>
    <row r="1484" spans="1:10" x14ac:dyDescent="0.25">
      <c r="A1484" s="1">
        <f>'batch tool'!A1478</f>
        <v>0</v>
      </c>
      <c r="B1484" s="7">
        <f>SUMPRODUCT($C$2:$X$2,'batch tool'!$B1478:$W1478)+$Y$2</f>
        <v>-49.12272534143483</v>
      </c>
      <c r="C1484" s="7">
        <f>SUMPRODUCT($C$3:$X$3,'batch tool'!$B1478:$W1478)+$Y$3</f>
        <v>-36.514029388465531</v>
      </c>
      <c r="D1484" s="7">
        <f>SUMPRODUCT($C$4:$X$4,'batch tool'!$B1478:$W1478)+$Y$4</f>
        <v>-44.639843068043824</v>
      </c>
      <c r="E1484" s="7">
        <f>SUMPRODUCT($C$5:$X$5,'batch tool'!$B1478:$W1478)+$Y$5</f>
        <v>-51.578889182477603</v>
      </c>
      <c r="F1484" s="7">
        <f>SUMPRODUCT($C$6:$X$6,'batch tool'!$B1478:$W1478)+$Y$6</f>
        <v>-47.741473633885199</v>
      </c>
      <c r="G1484" s="7">
        <f>SUMPRODUCT($C$7:$X$7,'batch tool'!$B1478:$W1478)+$Y$7</f>
        <v>-19.739516238059196</v>
      </c>
      <c r="H1484" s="7">
        <f t="shared" si="46"/>
        <v>-19.739516238059196</v>
      </c>
      <c r="I1484">
        <f t="shared" si="47"/>
        <v>6</v>
      </c>
      <c r="J1484" t="str" cm="1">
        <f t="array" ref="J1484">INDEX($A$2:$A$7,I1484)</f>
        <v>Segment 6- Self-Conscious Male</v>
      </c>
    </row>
    <row r="1485" spans="1:10" x14ac:dyDescent="0.25">
      <c r="A1485" s="1">
        <f>'batch tool'!A1479</f>
        <v>0</v>
      </c>
      <c r="B1485" s="7">
        <f>SUMPRODUCT($C$2:$X$2,'batch tool'!$B1479:$W1479)+$Y$2</f>
        <v>-49.12272534143483</v>
      </c>
      <c r="C1485" s="7">
        <f>SUMPRODUCT($C$3:$X$3,'batch tool'!$B1479:$W1479)+$Y$3</f>
        <v>-36.514029388465531</v>
      </c>
      <c r="D1485" s="7">
        <f>SUMPRODUCT($C$4:$X$4,'batch tool'!$B1479:$W1479)+$Y$4</f>
        <v>-44.639843068043824</v>
      </c>
      <c r="E1485" s="7">
        <f>SUMPRODUCT($C$5:$X$5,'batch tool'!$B1479:$W1479)+$Y$5</f>
        <v>-51.578889182477603</v>
      </c>
      <c r="F1485" s="7">
        <f>SUMPRODUCT($C$6:$X$6,'batch tool'!$B1479:$W1479)+$Y$6</f>
        <v>-47.741473633885199</v>
      </c>
      <c r="G1485" s="7">
        <f>SUMPRODUCT($C$7:$X$7,'batch tool'!$B1479:$W1479)+$Y$7</f>
        <v>-19.739516238059196</v>
      </c>
      <c r="H1485" s="7">
        <f t="shared" si="46"/>
        <v>-19.739516238059196</v>
      </c>
      <c r="I1485">
        <f t="shared" si="47"/>
        <v>6</v>
      </c>
      <c r="J1485" t="str" cm="1">
        <f t="array" ref="J1485">INDEX($A$2:$A$7,I1485)</f>
        <v>Segment 6- Self-Conscious Male</v>
      </c>
    </row>
    <row r="1486" spans="1:10" x14ac:dyDescent="0.25">
      <c r="A1486" s="1">
        <f>'batch tool'!A1480</f>
        <v>0</v>
      </c>
      <c r="B1486" s="7">
        <f>SUMPRODUCT($C$2:$X$2,'batch tool'!$B1480:$W1480)+$Y$2</f>
        <v>-49.12272534143483</v>
      </c>
      <c r="C1486" s="7">
        <f>SUMPRODUCT($C$3:$X$3,'batch tool'!$B1480:$W1480)+$Y$3</f>
        <v>-36.514029388465531</v>
      </c>
      <c r="D1486" s="7">
        <f>SUMPRODUCT($C$4:$X$4,'batch tool'!$B1480:$W1480)+$Y$4</f>
        <v>-44.639843068043824</v>
      </c>
      <c r="E1486" s="7">
        <f>SUMPRODUCT($C$5:$X$5,'batch tool'!$B1480:$W1480)+$Y$5</f>
        <v>-51.578889182477603</v>
      </c>
      <c r="F1486" s="7">
        <f>SUMPRODUCT($C$6:$X$6,'batch tool'!$B1480:$W1480)+$Y$6</f>
        <v>-47.741473633885199</v>
      </c>
      <c r="G1486" s="7">
        <f>SUMPRODUCT($C$7:$X$7,'batch tool'!$B1480:$W1480)+$Y$7</f>
        <v>-19.739516238059196</v>
      </c>
      <c r="H1486" s="7">
        <f t="shared" si="46"/>
        <v>-19.739516238059196</v>
      </c>
      <c r="I1486">
        <f t="shared" si="47"/>
        <v>6</v>
      </c>
      <c r="J1486" t="str" cm="1">
        <f t="array" ref="J1486">INDEX($A$2:$A$7,I1486)</f>
        <v>Segment 6- Self-Conscious Male</v>
      </c>
    </row>
    <row r="1487" spans="1:10" x14ac:dyDescent="0.25">
      <c r="A1487" s="1">
        <f>'batch tool'!A1481</f>
        <v>0</v>
      </c>
      <c r="B1487" s="7">
        <f>SUMPRODUCT($C$2:$X$2,'batch tool'!$B1481:$W1481)+$Y$2</f>
        <v>-49.12272534143483</v>
      </c>
      <c r="C1487" s="7">
        <f>SUMPRODUCT($C$3:$X$3,'batch tool'!$B1481:$W1481)+$Y$3</f>
        <v>-36.514029388465531</v>
      </c>
      <c r="D1487" s="7">
        <f>SUMPRODUCT($C$4:$X$4,'batch tool'!$B1481:$W1481)+$Y$4</f>
        <v>-44.639843068043824</v>
      </c>
      <c r="E1487" s="7">
        <f>SUMPRODUCT($C$5:$X$5,'batch tool'!$B1481:$W1481)+$Y$5</f>
        <v>-51.578889182477603</v>
      </c>
      <c r="F1487" s="7">
        <f>SUMPRODUCT($C$6:$X$6,'batch tool'!$B1481:$W1481)+$Y$6</f>
        <v>-47.741473633885199</v>
      </c>
      <c r="G1487" s="7">
        <f>SUMPRODUCT($C$7:$X$7,'batch tool'!$B1481:$W1481)+$Y$7</f>
        <v>-19.739516238059196</v>
      </c>
      <c r="H1487" s="7">
        <f t="shared" si="46"/>
        <v>-19.739516238059196</v>
      </c>
      <c r="I1487">
        <f t="shared" si="47"/>
        <v>6</v>
      </c>
      <c r="J1487" t="str" cm="1">
        <f t="array" ref="J1487">INDEX($A$2:$A$7,I1487)</f>
        <v>Segment 6- Self-Conscious Male</v>
      </c>
    </row>
    <row r="1488" spans="1:10" x14ac:dyDescent="0.25">
      <c r="A1488" s="1">
        <f>'batch tool'!A1482</f>
        <v>0</v>
      </c>
      <c r="B1488" s="7">
        <f>SUMPRODUCT($C$2:$X$2,'batch tool'!$B1482:$W1482)+$Y$2</f>
        <v>-49.12272534143483</v>
      </c>
      <c r="C1488" s="7">
        <f>SUMPRODUCT($C$3:$X$3,'batch tool'!$B1482:$W1482)+$Y$3</f>
        <v>-36.514029388465531</v>
      </c>
      <c r="D1488" s="7">
        <f>SUMPRODUCT($C$4:$X$4,'batch tool'!$B1482:$W1482)+$Y$4</f>
        <v>-44.639843068043824</v>
      </c>
      <c r="E1488" s="7">
        <f>SUMPRODUCT($C$5:$X$5,'batch tool'!$B1482:$W1482)+$Y$5</f>
        <v>-51.578889182477603</v>
      </c>
      <c r="F1488" s="7">
        <f>SUMPRODUCT($C$6:$X$6,'batch tool'!$B1482:$W1482)+$Y$6</f>
        <v>-47.741473633885199</v>
      </c>
      <c r="G1488" s="7">
        <f>SUMPRODUCT($C$7:$X$7,'batch tool'!$B1482:$W1482)+$Y$7</f>
        <v>-19.739516238059196</v>
      </c>
      <c r="H1488" s="7">
        <f t="shared" si="46"/>
        <v>-19.739516238059196</v>
      </c>
      <c r="I1488">
        <f t="shared" si="47"/>
        <v>6</v>
      </c>
      <c r="J1488" t="str" cm="1">
        <f t="array" ref="J1488">INDEX($A$2:$A$7,I1488)</f>
        <v>Segment 6- Self-Conscious Male</v>
      </c>
    </row>
    <row r="1489" spans="1:10" x14ac:dyDescent="0.25">
      <c r="A1489" s="1">
        <f>'batch tool'!A1483</f>
        <v>0</v>
      </c>
      <c r="B1489" s="7">
        <f>SUMPRODUCT($C$2:$X$2,'batch tool'!$B1483:$W1483)+$Y$2</f>
        <v>-49.12272534143483</v>
      </c>
      <c r="C1489" s="7">
        <f>SUMPRODUCT($C$3:$X$3,'batch tool'!$B1483:$W1483)+$Y$3</f>
        <v>-36.514029388465531</v>
      </c>
      <c r="D1489" s="7">
        <f>SUMPRODUCT($C$4:$X$4,'batch tool'!$B1483:$W1483)+$Y$4</f>
        <v>-44.639843068043824</v>
      </c>
      <c r="E1489" s="7">
        <f>SUMPRODUCT($C$5:$X$5,'batch tool'!$B1483:$W1483)+$Y$5</f>
        <v>-51.578889182477603</v>
      </c>
      <c r="F1489" s="7">
        <f>SUMPRODUCT($C$6:$X$6,'batch tool'!$B1483:$W1483)+$Y$6</f>
        <v>-47.741473633885199</v>
      </c>
      <c r="G1489" s="7">
        <f>SUMPRODUCT($C$7:$X$7,'batch tool'!$B1483:$W1483)+$Y$7</f>
        <v>-19.739516238059196</v>
      </c>
      <c r="H1489" s="7">
        <f t="shared" si="46"/>
        <v>-19.739516238059196</v>
      </c>
      <c r="I1489">
        <f t="shared" si="47"/>
        <v>6</v>
      </c>
      <c r="J1489" t="str" cm="1">
        <f t="array" ref="J1489">INDEX($A$2:$A$7,I1489)</f>
        <v>Segment 6- Self-Conscious Male</v>
      </c>
    </row>
    <row r="1490" spans="1:10" x14ac:dyDescent="0.25">
      <c r="A1490" s="1">
        <f>'batch tool'!A1484</f>
        <v>0</v>
      </c>
      <c r="B1490" s="7">
        <f>SUMPRODUCT($C$2:$X$2,'batch tool'!$B1484:$W1484)+$Y$2</f>
        <v>-49.12272534143483</v>
      </c>
      <c r="C1490" s="7">
        <f>SUMPRODUCT($C$3:$X$3,'batch tool'!$B1484:$W1484)+$Y$3</f>
        <v>-36.514029388465531</v>
      </c>
      <c r="D1490" s="7">
        <f>SUMPRODUCT($C$4:$X$4,'batch tool'!$B1484:$W1484)+$Y$4</f>
        <v>-44.639843068043824</v>
      </c>
      <c r="E1490" s="7">
        <f>SUMPRODUCT($C$5:$X$5,'batch tool'!$B1484:$W1484)+$Y$5</f>
        <v>-51.578889182477603</v>
      </c>
      <c r="F1490" s="7">
        <f>SUMPRODUCT($C$6:$X$6,'batch tool'!$B1484:$W1484)+$Y$6</f>
        <v>-47.741473633885199</v>
      </c>
      <c r="G1490" s="7">
        <f>SUMPRODUCT($C$7:$X$7,'batch tool'!$B1484:$W1484)+$Y$7</f>
        <v>-19.739516238059196</v>
      </c>
      <c r="H1490" s="7">
        <f t="shared" si="46"/>
        <v>-19.739516238059196</v>
      </c>
      <c r="I1490">
        <f t="shared" si="47"/>
        <v>6</v>
      </c>
      <c r="J1490" t="str" cm="1">
        <f t="array" ref="J1490">INDEX($A$2:$A$7,I1490)</f>
        <v>Segment 6- Self-Conscious Male</v>
      </c>
    </row>
    <row r="1491" spans="1:10" x14ac:dyDescent="0.25">
      <c r="A1491" s="1">
        <f>'batch tool'!A1485</f>
        <v>0</v>
      </c>
      <c r="B1491" s="7">
        <f>SUMPRODUCT($C$2:$X$2,'batch tool'!$B1485:$W1485)+$Y$2</f>
        <v>-49.12272534143483</v>
      </c>
      <c r="C1491" s="7">
        <f>SUMPRODUCT($C$3:$X$3,'batch tool'!$B1485:$W1485)+$Y$3</f>
        <v>-36.514029388465531</v>
      </c>
      <c r="D1491" s="7">
        <f>SUMPRODUCT($C$4:$X$4,'batch tool'!$B1485:$W1485)+$Y$4</f>
        <v>-44.639843068043824</v>
      </c>
      <c r="E1491" s="7">
        <f>SUMPRODUCT($C$5:$X$5,'batch tool'!$B1485:$W1485)+$Y$5</f>
        <v>-51.578889182477603</v>
      </c>
      <c r="F1491" s="7">
        <f>SUMPRODUCT($C$6:$X$6,'batch tool'!$B1485:$W1485)+$Y$6</f>
        <v>-47.741473633885199</v>
      </c>
      <c r="G1491" s="7">
        <f>SUMPRODUCT($C$7:$X$7,'batch tool'!$B1485:$W1485)+$Y$7</f>
        <v>-19.739516238059196</v>
      </c>
      <c r="H1491" s="7">
        <f t="shared" si="46"/>
        <v>-19.739516238059196</v>
      </c>
      <c r="I1491">
        <f t="shared" si="47"/>
        <v>6</v>
      </c>
      <c r="J1491" t="str" cm="1">
        <f t="array" ref="J1491">INDEX($A$2:$A$7,I1491)</f>
        <v>Segment 6- Self-Conscious Male</v>
      </c>
    </row>
    <row r="1492" spans="1:10" x14ac:dyDescent="0.25">
      <c r="A1492" s="1">
        <f>'batch tool'!A1486</f>
        <v>0</v>
      </c>
      <c r="B1492" s="7">
        <f>SUMPRODUCT($C$2:$X$2,'batch tool'!$B1486:$W1486)+$Y$2</f>
        <v>-49.12272534143483</v>
      </c>
      <c r="C1492" s="7">
        <f>SUMPRODUCT($C$3:$X$3,'batch tool'!$B1486:$W1486)+$Y$3</f>
        <v>-36.514029388465531</v>
      </c>
      <c r="D1492" s="7">
        <f>SUMPRODUCT($C$4:$X$4,'batch tool'!$B1486:$W1486)+$Y$4</f>
        <v>-44.639843068043824</v>
      </c>
      <c r="E1492" s="7">
        <f>SUMPRODUCT($C$5:$X$5,'batch tool'!$B1486:$W1486)+$Y$5</f>
        <v>-51.578889182477603</v>
      </c>
      <c r="F1492" s="7">
        <f>SUMPRODUCT($C$6:$X$6,'batch tool'!$B1486:$W1486)+$Y$6</f>
        <v>-47.741473633885199</v>
      </c>
      <c r="G1492" s="7">
        <f>SUMPRODUCT($C$7:$X$7,'batch tool'!$B1486:$W1486)+$Y$7</f>
        <v>-19.739516238059196</v>
      </c>
      <c r="H1492" s="7">
        <f t="shared" si="46"/>
        <v>-19.739516238059196</v>
      </c>
      <c r="I1492">
        <f t="shared" si="47"/>
        <v>6</v>
      </c>
      <c r="J1492" t="str" cm="1">
        <f t="array" ref="J1492">INDEX($A$2:$A$7,I1492)</f>
        <v>Segment 6- Self-Conscious Male</v>
      </c>
    </row>
    <row r="1493" spans="1:10" x14ac:dyDescent="0.25">
      <c r="A1493" s="1">
        <f>'batch tool'!A1487</f>
        <v>0</v>
      </c>
      <c r="B1493" s="7">
        <f>SUMPRODUCT($C$2:$X$2,'batch tool'!$B1487:$W1487)+$Y$2</f>
        <v>-49.12272534143483</v>
      </c>
      <c r="C1493" s="7">
        <f>SUMPRODUCT($C$3:$X$3,'batch tool'!$B1487:$W1487)+$Y$3</f>
        <v>-36.514029388465531</v>
      </c>
      <c r="D1493" s="7">
        <f>SUMPRODUCT($C$4:$X$4,'batch tool'!$B1487:$W1487)+$Y$4</f>
        <v>-44.639843068043824</v>
      </c>
      <c r="E1493" s="7">
        <f>SUMPRODUCT($C$5:$X$5,'batch tool'!$B1487:$W1487)+$Y$5</f>
        <v>-51.578889182477603</v>
      </c>
      <c r="F1493" s="7">
        <f>SUMPRODUCT($C$6:$X$6,'batch tool'!$B1487:$W1487)+$Y$6</f>
        <v>-47.741473633885199</v>
      </c>
      <c r="G1493" s="7">
        <f>SUMPRODUCT($C$7:$X$7,'batch tool'!$B1487:$W1487)+$Y$7</f>
        <v>-19.739516238059196</v>
      </c>
      <c r="H1493" s="7">
        <f t="shared" si="46"/>
        <v>-19.739516238059196</v>
      </c>
      <c r="I1493">
        <f t="shared" si="47"/>
        <v>6</v>
      </c>
      <c r="J1493" t="str" cm="1">
        <f t="array" ref="J1493">INDEX($A$2:$A$7,I1493)</f>
        <v>Segment 6- Self-Conscious Male</v>
      </c>
    </row>
    <row r="1494" spans="1:10" x14ac:dyDescent="0.25">
      <c r="A1494" s="1">
        <f>'batch tool'!A1488</f>
        <v>0</v>
      </c>
      <c r="B1494" s="7">
        <f>SUMPRODUCT($C$2:$X$2,'batch tool'!$B1488:$W1488)+$Y$2</f>
        <v>-49.12272534143483</v>
      </c>
      <c r="C1494" s="7">
        <f>SUMPRODUCT($C$3:$X$3,'batch tool'!$B1488:$W1488)+$Y$3</f>
        <v>-36.514029388465531</v>
      </c>
      <c r="D1494" s="7">
        <f>SUMPRODUCT($C$4:$X$4,'batch tool'!$B1488:$W1488)+$Y$4</f>
        <v>-44.639843068043824</v>
      </c>
      <c r="E1494" s="7">
        <f>SUMPRODUCT($C$5:$X$5,'batch tool'!$B1488:$W1488)+$Y$5</f>
        <v>-51.578889182477603</v>
      </c>
      <c r="F1494" s="7">
        <f>SUMPRODUCT($C$6:$X$6,'batch tool'!$B1488:$W1488)+$Y$6</f>
        <v>-47.741473633885199</v>
      </c>
      <c r="G1494" s="7">
        <f>SUMPRODUCT($C$7:$X$7,'batch tool'!$B1488:$W1488)+$Y$7</f>
        <v>-19.739516238059196</v>
      </c>
      <c r="H1494" s="7">
        <f t="shared" si="46"/>
        <v>-19.739516238059196</v>
      </c>
      <c r="I1494">
        <f t="shared" si="47"/>
        <v>6</v>
      </c>
      <c r="J1494" t="str" cm="1">
        <f t="array" ref="J1494">INDEX($A$2:$A$7,I1494)</f>
        <v>Segment 6- Self-Conscious Male</v>
      </c>
    </row>
    <row r="1495" spans="1:10" x14ac:dyDescent="0.25">
      <c r="A1495" s="1">
        <f>'batch tool'!A1489</f>
        <v>0</v>
      </c>
      <c r="B1495" s="7">
        <f>SUMPRODUCT($C$2:$X$2,'batch tool'!$B1489:$W1489)+$Y$2</f>
        <v>-49.12272534143483</v>
      </c>
      <c r="C1495" s="7">
        <f>SUMPRODUCT($C$3:$X$3,'batch tool'!$B1489:$W1489)+$Y$3</f>
        <v>-36.514029388465531</v>
      </c>
      <c r="D1495" s="7">
        <f>SUMPRODUCT($C$4:$X$4,'batch tool'!$B1489:$W1489)+$Y$4</f>
        <v>-44.639843068043824</v>
      </c>
      <c r="E1495" s="7">
        <f>SUMPRODUCT($C$5:$X$5,'batch tool'!$B1489:$W1489)+$Y$5</f>
        <v>-51.578889182477603</v>
      </c>
      <c r="F1495" s="7">
        <f>SUMPRODUCT($C$6:$X$6,'batch tool'!$B1489:$W1489)+$Y$6</f>
        <v>-47.741473633885199</v>
      </c>
      <c r="G1495" s="7">
        <f>SUMPRODUCT($C$7:$X$7,'batch tool'!$B1489:$W1489)+$Y$7</f>
        <v>-19.739516238059196</v>
      </c>
      <c r="H1495" s="7">
        <f t="shared" si="46"/>
        <v>-19.739516238059196</v>
      </c>
      <c r="I1495">
        <f t="shared" si="47"/>
        <v>6</v>
      </c>
      <c r="J1495" t="str" cm="1">
        <f t="array" ref="J1495">INDEX($A$2:$A$7,I1495)</f>
        <v>Segment 6- Self-Conscious Male</v>
      </c>
    </row>
    <row r="1496" spans="1:10" x14ac:dyDescent="0.25">
      <c r="A1496" s="1">
        <f>'batch tool'!A1490</f>
        <v>0</v>
      </c>
      <c r="B1496" s="7">
        <f>SUMPRODUCT($C$2:$X$2,'batch tool'!$B1490:$W1490)+$Y$2</f>
        <v>-49.12272534143483</v>
      </c>
      <c r="C1496" s="7">
        <f>SUMPRODUCT($C$3:$X$3,'batch tool'!$B1490:$W1490)+$Y$3</f>
        <v>-36.514029388465531</v>
      </c>
      <c r="D1496" s="7">
        <f>SUMPRODUCT($C$4:$X$4,'batch tool'!$B1490:$W1490)+$Y$4</f>
        <v>-44.639843068043824</v>
      </c>
      <c r="E1496" s="7">
        <f>SUMPRODUCT($C$5:$X$5,'batch tool'!$B1490:$W1490)+$Y$5</f>
        <v>-51.578889182477603</v>
      </c>
      <c r="F1496" s="7">
        <f>SUMPRODUCT($C$6:$X$6,'batch tool'!$B1490:$W1490)+$Y$6</f>
        <v>-47.741473633885199</v>
      </c>
      <c r="G1496" s="7">
        <f>SUMPRODUCT($C$7:$X$7,'batch tool'!$B1490:$W1490)+$Y$7</f>
        <v>-19.739516238059196</v>
      </c>
      <c r="H1496" s="7">
        <f t="shared" si="46"/>
        <v>-19.739516238059196</v>
      </c>
      <c r="I1496">
        <f t="shared" si="47"/>
        <v>6</v>
      </c>
      <c r="J1496" t="str" cm="1">
        <f t="array" ref="J1496">INDEX($A$2:$A$7,I1496)</f>
        <v>Segment 6- Self-Conscious Male</v>
      </c>
    </row>
    <row r="1497" spans="1:10" x14ac:dyDescent="0.25">
      <c r="A1497" s="1">
        <f>'batch tool'!A1491</f>
        <v>0</v>
      </c>
      <c r="B1497" s="7">
        <f>SUMPRODUCT($C$2:$X$2,'batch tool'!$B1491:$W1491)+$Y$2</f>
        <v>-49.12272534143483</v>
      </c>
      <c r="C1497" s="7">
        <f>SUMPRODUCT($C$3:$X$3,'batch tool'!$B1491:$W1491)+$Y$3</f>
        <v>-36.514029388465531</v>
      </c>
      <c r="D1497" s="7">
        <f>SUMPRODUCT($C$4:$X$4,'batch tool'!$B1491:$W1491)+$Y$4</f>
        <v>-44.639843068043824</v>
      </c>
      <c r="E1497" s="7">
        <f>SUMPRODUCT($C$5:$X$5,'batch tool'!$B1491:$W1491)+$Y$5</f>
        <v>-51.578889182477603</v>
      </c>
      <c r="F1497" s="7">
        <f>SUMPRODUCT($C$6:$X$6,'batch tool'!$B1491:$W1491)+$Y$6</f>
        <v>-47.741473633885199</v>
      </c>
      <c r="G1497" s="7">
        <f>SUMPRODUCT($C$7:$X$7,'batch tool'!$B1491:$W1491)+$Y$7</f>
        <v>-19.739516238059196</v>
      </c>
      <c r="H1497" s="7">
        <f t="shared" si="46"/>
        <v>-19.739516238059196</v>
      </c>
      <c r="I1497">
        <f t="shared" si="47"/>
        <v>6</v>
      </c>
      <c r="J1497" t="str" cm="1">
        <f t="array" ref="J1497">INDEX($A$2:$A$7,I1497)</f>
        <v>Segment 6- Self-Conscious Male</v>
      </c>
    </row>
    <row r="1498" spans="1:10" x14ac:dyDescent="0.25">
      <c r="A1498" s="1">
        <f>'batch tool'!A1492</f>
        <v>0</v>
      </c>
      <c r="B1498" s="7">
        <f>SUMPRODUCT($C$2:$X$2,'batch tool'!$B1492:$W1492)+$Y$2</f>
        <v>-49.12272534143483</v>
      </c>
      <c r="C1498" s="7">
        <f>SUMPRODUCT($C$3:$X$3,'batch tool'!$B1492:$W1492)+$Y$3</f>
        <v>-36.514029388465531</v>
      </c>
      <c r="D1498" s="7">
        <f>SUMPRODUCT($C$4:$X$4,'batch tool'!$B1492:$W1492)+$Y$4</f>
        <v>-44.639843068043824</v>
      </c>
      <c r="E1498" s="7">
        <f>SUMPRODUCT($C$5:$X$5,'batch tool'!$B1492:$W1492)+$Y$5</f>
        <v>-51.578889182477603</v>
      </c>
      <c r="F1498" s="7">
        <f>SUMPRODUCT($C$6:$X$6,'batch tool'!$B1492:$W1492)+$Y$6</f>
        <v>-47.741473633885199</v>
      </c>
      <c r="G1498" s="7">
        <f>SUMPRODUCT($C$7:$X$7,'batch tool'!$B1492:$W1492)+$Y$7</f>
        <v>-19.739516238059196</v>
      </c>
      <c r="H1498" s="7">
        <f t="shared" si="46"/>
        <v>-19.739516238059196</v>
      </c>
      <c r="I1498">
        <f t="shared" si="47"/>
        <v>6</v>
      </c>
      <c r="J1498" t="str" cm="1">
        <f t="array" ref="J1498">INDEX($A$2:$A$7,I1498)</f>
        <v>Segment 6- Self-Conscious Male</v>
      </c>
    </row>
    <row r="1499" spans="1:10" x14ac:dyDescent="0.25">
      <c r="A1499" s="1">
        <f>'batch tool'!A1493</f>
        <v>0</v>
      </c>
      <c r="B1499" s="7">
        <f>SUMPRODUCT($C$2:$X$2,'batch tool'!$B1493:$W1493)+$Y$2</f>
        <v>-49.12272534143483</v>
      </c>
      <c r="C1499" s="7">
        <f>SUMPRODUCT($C$3:$X$3,'batch tool'!$B1493:$W1493)+$Y$3</f>
        <v>-36.514029388465531</v>
      </c>
      <c r="D1499" s="7">
        <f>SUMPRODUCT($C$4:$X$4,'batch tool'!$B1493:$W1493)+$Y$4</f>
        <v>-44.639843068043824</v>
      </c>
      <c r="E1499" s="7">
        <f>SUMPRODUCT($C$5:$X$5,'batch tool'!$B1493:$W1493)+$Y$5</f>
        <v>-51.578889182477603</v>
      </c>
      <c r="F1499" s="7">
        <f>SUMPRODUCT($C$6:$X$6,'batch tool'!$B1493:$W1493)+$Y$6</f>
        <v>-47.741473633885199</v>
      </c>
      <c r="G1499" s="7">
        <f>SUMPRODUCT($C$7:$X$7,'batch tool'!$B1493:$W1493)+$Y$7</f>
        <v>-19.739516238059196</v>
      </c>
      <c r="H1499" s="7">
        <f t="shared" si="46"/>
        <v>-19.739516238059196</v>
      </c>
      <c r="I1499">
        <f t="shared" si="47"/>
        <v>6</v>
      </c>
      <c r="J1499" t="str" cm="1">
        <f t="array" ref="J1499">INDEX($A$2:$A$7,I1499)</f>
        <v>Segment 6- Self-Conscious Male</v>
      </c>
    </row>
    <row r="1500" spans="1:10" x14ac:dyDescent="0.25">
      <c r="A1500" s="1">
        <f>'batch tool'!A1494</f>
        <v>0</v>
      </c>
      <c r="B1500" s="7">
        <f>SUMPRODUCT($C$2:$X$2,'batch tool'!$B1494:$W1494)+$Y$2</f>
        <v>-49.12272534143483</v>
      </c>
      <c r="C1500" s="7">
        <f>SUMPRODUCT($C$3:$X$3,'batch tool'!$B1494:$W1494)+$Y$3</f>
        <v>-36.514029388465531</v>
      </c>
      <c r="D1500" s="7">
        <f>SUMPRODUCT($C$4:$X$4,'batch tool'!$B1494:$W1494)+$Y$4</f>
        <v>-44.639843068043824</v>
      </c>
      <c r="E1500" s="7">
        <f>SUMPRODUCT($C$5:$X$5,'batch tool'!$B1494:$W1494)+$Y$5</f>
        <v>-51.578889182477603</v>
      </c>
      <c r="F1500" s="7">
        <f>SUMPRODUCT($C$6:$X$6,'batch tool'!$B1494:$W1494)+$Y$6</f>
        <v>-47.741473633885199</v>
      </c>
      <c r="G1500" s="7">
        <f>SUMPRODUCT($C$7:$X$7,'batch tool'!$B1494:$W1494)+$Y$7</f>
        <v>-19.739516238059196</v>
      </c>
      <c r="H1500" s="7">
        <f t="shared" si="46"/>
        <v>-19.739516238059196</v>
      </c>
      <c r="I1500">
        <f t="shared" si="47"/>
        <v>6</v>
      </c>
      <c r="J1500" t="str" cm="1">
        <f t="array" ref="J1500">INDEX($A$2:$A$7,I1500)</f>
        <v>Segment 6- Self-Conscious Male</v>
      </c>
    </row>
    <row r="1501" spans="1:10" x14ac:dyDescent="0.25">
      <c r="A1501" s="1">
        <f>'batch tool'!A1495</f>
        <v>0</v>
      </c>
      <c r="B1501" s="7">
        <f>SUMPRODUCT($C$2:$X$2,'batch tool'!$B1495:$W1495)+$Y$2</f>
        <v>-49.12272534143483</v>
      </c>
      <c r="C1501" s="7">
        <f>SUMPRODUCT($C$3:$X$3,'batch tool'!$B1495:$W1495)+$Y$3</f>
        <v>-36.514029388465531</v>
      </c>
      <c r="D1501" s="7">
        <f>SUMPRODUCT($C$4:$X$4,'batch tool'!$B1495:$W1495)+$Y$4</f>
        <v>-44.639843068043824</v>
      </c>
      <c r="E1501" s="7">
        <f>SUMPRODUCT($C$5:$X$5,'batch tool'!$B1495:$W1495)+$Y$5</f>
        <v>-51.578889182477603</v>
      </c>
      <c r="F1501" s="7">
        <f>SUMPRODUCT($C$6:$X$6,'batch tool'!$B1495:$W1495)+$Y$6</f>
        <v>-47.741473633885199</v>
      </c>
      <c r="G1501" s="7">
        <f>SUMPRODUCT($C$7:$X$7,'batch tool'!$B1495:$W1495)+$Y$7</f>
        <v>-19.739516238059196</v>
      </c>
      <c r="H1501" s="7">
        <f t="shared" si="46"/>
        <v>-19.739516238059196</v>
      </c>
      <c r="I1501">
        <f t="shared" si="47"/>
        <v>6</v>
      </c>
      <c r="J1501" t="str" cm="1">
        <f t="array" ref="J1501">INDEX($A$2:$A$7,I1501)</f>
        <v>Segment 6- Self-Conscious Male</v>
      </c>
    </row>
    <row r="1502" spans="1:10" x14ac:dyDescent="0.25">
      <c r="A1502" s="1">
        <f>'batch tool'!A1496</f>
        <v>0</v>
      </c>
      <c r="B1502" s="7">
        <f>SUMPRODUCT($C$2:$X$2,'batch tool'!$B1496:$W1496)+$Y$2</f>
        <v>-49.12272534143483</v>
      </c>
      <c r="C1502" s="7">
        <f>SUMPRODUCT($C$3:$X$3,'batch tool'!$B1496:$W1496)+$Y$3</f>
        <v>-36.514029388465531</v>
      </c>
      <c r="D1502" s="7">
        <f>SUMPRODUCT($C$4:$X$4,'batch tool'!$B1496:$W1496)+$Y$4</f>
        <v>-44.639843068043824</v>
      </c>
      <c r="E1502" s="7">
        <f>SUMPRODUCT($C$5:$X$5,'batch tool'!$B1496:$W1496)+$Y$5</f>
        <v>-51.578889182477603</v>
      </c>
      <c r="F1502" s="7">
        <f>SUMPRODUCT($C$6:$X$6,'batch tool'!$B1496:$W1496)+$Y$6</f>
        <v>-47.741473633885199</v>
      </c>
      <c r="G1502" s="7">
        <f>SUMPRODUCT($C$7:$X$7,'batch tool'!$B1496:$W1496)+$Y$7</f>
        <v>-19.739516238059196</v>
      </c>
      <c r="H1502" s="7">
        <f t="shared" si="46"/>
        <v>-19.739516238059196</v>
      </c>
      <c r="I1502">
        <f t="shared" si="47"/>
        <v>6</v>
      </c>
      <c r="J1502" t="str" cm="1">
        <f t="array" ref="J1502">INDEX($A$2:$A$7,I1502)</f>
        <v>Segment 6- Self-Conscious Male</v>
      </c>
    </row>
    <row r="1503" spans="1:10" x14ac:dyDescent="0.25">
      <c r="A1503" s="1">
        <f>'batch tool'!A1497</f>
        <v>0</v>
      </c>
      <c r="B1503" s="7">
        <f>SUMPRODUCT($C$2:$X$2,'batch tool'!$B1497:$W1497)+$Y$2</f>
        <v>-49.12272534143483</v>
      </c>
      <c r="C1503" s="7">
        <f>SUMPRODUCT($C$3:$X$3,'batch tool'!$B1497:$W1497)+$Y$3</f>
        <v>-36.514029388465531</v>
      </c>
      <c r="D1503" s="7">
        <f>SUMPRODUCT($C$4:$X$4,'batch tool'!$B1497:$W1497)+$Y$4</f>
        <v>-44.639843068043824</v>
      </c>
      <c r="E1503" s="7">
        <f>SUMPRODUCT($C$5:$X$5,'batch tool'!$B1497:$W1497)+$Y$5</f>
        <v>-51.578889182477603</v>
      </c>
      <c r="F1503" s="7">
        <f>SUMPRODUCT($C$6:$X$6,'batch tool'!$B1497:$W1497)+$Y$6</f>
        <v>-47.741473633885199</v>
      </c>
      <c r="G1503" s="7">
        <f>SUMPRODUCT($C$7:$X$7,'batch tool'!$B1497:$W1497)+$Y$7</f>
        <v>-19.739516238059196</v>
      </c>
      <c r="H1503" s="7">
        <f t="shared" si="46"/>
        <v>-19.739516238059196</v>
      </c>
      <c r="I1503">
        <f t="shared" si="47"/>
        <v>6</v>
      </c>
      <c r="J1503" t="str" cm="1">
        <f t="array" ref="J1503">INDEX($A$2:$A$7,I1503)</f>
        <v>Segment 6- Self-Conscious Male</v>
      </c>
    </row>
    <row r="1504" spans="1:10" x14ac:dyDescent="0.25">
      <c r="A1504" s="1">
        <f>'batch tool'!A1498</f>
        <v>0</v>
      </c>
      <c r="B1504" s="7">
        <f>SUMPRODUCT($C$2:$X$2,'batch tool'!$B1498:$W1498)+$Y$2</f>
        <v>-49.12272534143483</v>
      </c>
      <c r="C1504" s="7">
        <f>SUMPRODUCT($C$3:$X$3,'batch tool'!$B1498:$W1498)+$Y$3</f>
        <v>-36.514029388465531</v>
      </c>
      <c r="D1504" s="7">
        <f>SUMPRODUCT($C$4:$X$4,'batch tool'!$B1498:$W1498)+$Y$4</f>
        <v>-44.639843068043824</v>
      </c>
      <c r="E1504" s="7">
        <f>SUMPRODUCT($C$5:$X$5,'batch tool'!$B1498:$W1498)+$Y$5</f>
        <v>-51.578889182477603</v>
      </c>
      <c r="F1504" s="7">
        <f>SUMPRODUCT($C$6:$X$6,'batch tool'!$B1498:$W1498)+$Y$6</f>
        <v>-47.741473633885199</v>
      </c>
      <c r="G1504" s="7">
        <f>SUMPRODUCT($C$7:$X$7,'batch tool'!$B1498:$W1498)+$Y$7</f>
        <v>-19.739516238059196</v>
      </c>
      <c r="H1504" s="7">
        <f t="shared" si="46"/>
        <v>-19.739516238059196</v>
      </c>
      <c r="I1504">
        <f t="shared" si="47"/>
        <v>6</v>
      </c>
      <c r="J1504" t="str" cm="1">
        <f t="array" ref="J1504">INDEX($A$2:$A$7,I1504)</f>
        <v>Segment 6- Self-Conscious Male</v>
      </c>
    </row>
    <row r="1505" spans="1:10" x14ac:dyDescent="0.25">
      <c r="A1505" s="1">
        <f>'batch tool'!A1499</f>
        <v>0</v>
      </c>
      <c r="B1505" s="7">
        <f>SUMPRODUCT($C$2:$X$2,'batch tool'!$B1499:$W1499)+$Y$2</f>
        <v>-49.12272534143483</v>
      </c>
      <c r="C1505" s="7">
        <f>SUMPRODUCT($C$3:$X$3,'batch tool'!$B1499:$W1499)+$Y$3</f>
        <v>-36.514029388465531</v>
      </c>
      <c r="D1505" s="7">
        <f>SUMPRODUCT($C$4:$X$4,'batch tool'!$B1499:$W1499)+$Y$4</f>
        <v>-44.639843068043824</v>
      </c>
      <c r="E1505" s="7">
        <f>SUMPRODUCT($C$5:$X$5,'batch tool'!$B1499:$W1499)+$Y$5</f>
        <v>-51.578889182477603</v>
      </c>
      <c r="F1505" s="7">
        <f>SUMPRODUCT($C$6:$X$6,'batch tool'!$B1499:$W1499)+$Y$6</f>
        <v>-47.741473633885199</v>
      </c>
      <c r="G1505" s="7">
        <f>SUMPRODUCT($C$7:$X$7,'batch tool'!$B1499:$W1499)+$Y$7</f>
        <v>-19.739516238059196</v>
      </c>
      <c r="H1505" s="7">
        <f t="shared" si="46"/>
        <v>-19.739516238059196</v>
      </c>
      <c r="I1505">
        <f t="shared" si="47"/>
        <v>6</v>
      </c>
      <c r="J1505" t="str" cm="1">
        <f t="array" ref="J1505">INDEX($A$2:$A$7,I1505)</f>
        <v>Segment 6- Self-Conscious Male</v>
      </c>
    </row>
    <row r="1506" spans="1:10" x14ac:dyDescent="0.25">
      <c r="A1506" s="1">
        <f>'batch tool'!A1500</f>
        <v>0</v>
      </c>
      <c r="B1506" s="7">
        <f>SUMPRODUCT($C$2:$X$2,'batch tool'!$B1500:$W1500)+$Y$2</f>
        <v>-49.12272534143483</v>
      </c>
      <c r="C1506" s="7">
        <f>SUMPRODUCT($C$3:$X$3,'batch tool'!$B1500:$W1500)+$Y$3</f>
        <v>-36.514029388465531</v>
      </c>
      <c r="D1506" s="7">
        <f>SUMPRODUCT($C$4:$X$4,'batch tool'!$B1500:$W1500)+$Y$4</f>
        <v>-44.639843068043824</v>
      </c>
      <c r="E1506" s="7">
        <f>SUMPRODUCT($C$5:$X$5,'batch tool'!$B1500:$W1500)+$Y$5</f>
        <v>-51.578889182477603</v>
      </c>
      <c r="F1506" s="7">
        <f>SUMPRODUCT($C$6:$X$6,'batch tool'!$B1500:$W1500)+$Y$6</f>
        <v>-47.741473633885199</v>
      </c>
      <c r="G1506" s="7">
        <f>SUMPRODUCT($C$7:$X$7,'batch tool'!$B1500:$W1500)+$Y$7</f>
        <v>-19.739516238059196</v>
      </c>
      <c r="H1506" s="7">
        <f t="shared" si="46"/>
        <v>-19.739516238059196</v>
      </c>
      <c r="I1506">
        <f t="shared" si="47"/>
        <v>6</v>
      </c>
      <c r="J1506" t="str" cm="1">
        <f t="array" ref="J1506">INDEX($A$2:$A$7,I1506)</f>
        <v>Segment 6- Self-Conscious Male</v>
      </c>
    </row>
    <row r="1507" spans="1:10" x14ac:dyDescent="0.25">
      <c r="A1507" s="1">
        <f>'batch tool'!A1501</f>
        <v>0</v>
      </c>
      <c r="B1507" s="7">
        <f>SUMPRODUCT($C$2:$X$2,'batch tool'!$B1501:$W1501)+$Y$2</f>
        <v>-49.12272534143483</v>
      </c>
      <c r="C1507" s="7">
        <f>SUMPRODUCT($C$3:$X$3,'batch tool'!$B1501:$W1501)+$Y$3</f>
        <v>-36.514029388465531</v>
      </c>
      <c r="D1507" s="7">
        <f>SUMPRODUCT($C$4:$X$4,'batch tool'!$B1501:$W1501)+$Y$4</f>
        <v>-44.639843068043824</v>
      </c>
      <c r="E1507" s="7">
        <f>SUMPRODUCT($C$5:$X$5,'batch tool'!$B1501:$W1501)+$Y$5</f>
        <v>-51.578889182477603</v>
      </c>
      <c r="F1507" s="7">
        <f>SUMPRODUCT($C$6:$X$6,'batch tool'!$B1501:$W1501)+$Y$6</f>
        <v>-47.741473633885199</v>
      </c>
      <c r="G1507" s="7">
        <f>SUMPRODUCT($C$7:$X$7,'batch tool'!$B1501:$W1501)+$Y$7</f>
        <v>-19.739516238059196</v>
      </c>
      <c r="H1507" s="7">
        <f t="shared" si="46"/>
        <v>-19.739516238059196</v>
      </c>
      <c r="I1507">
        <f t="shared" si="47"/>
        <v>6</v>
      </c>
      <c r="J1507" t="str" cm="1">
        <f t="array" ref="J1507">INDEX($A$2:$A$7,I1507)</f>
        <v>Segment 6- Self-Conscious Male</v>
      </c>
    </row>
    <row r="1508" spans="1:10" x14ac:dyDescent="0.25">
      <c r="A1508" s="1">
        <f>'batch tool'!A1502</f>
        <v>0</v>
      </c>
      <c r="B1508" s="7">
        <f>SUMPRODUCT($C$2:$X$2,'batch tool'!$B1502:$W1502)+$Y$2</f>
        <v>-49.12272534143483</v>
      </c>
      <c r="C1508" s="7">
        <f>SUMPRODUCT($C$3:$X$3,'batch tool'!$B1502:$W1502)+$Y$3</f>
        <v>-36.514029388465531</v>
      </c>
      <c r="D1508" s="7">
        <f>SUMPRODUCT($C$4:$X$4,'batch tool'!$B1502:$W1502)+$Y$4</f>
        <v>-44.639843068043824</v>
      </c>
      <c r="E1508" s="7">
        <f>SUMPRODUCT($C$5:$X$5,'batch tool'!$B1502:$W1502)+$Y$5</f>
        <v>-51.578889182477603</v>
      </c>
      <c r="F1508" s="7">
        <f>SUMPRODUCT($C$6:$X$6,'batch tool'!$B1502:$W1502)+$Y$6</f>
        <v>-47.741473633885199</v>
      </c>
      <c r="G1508" s="7">
        <f>SUMPRODUCT($C$7:$X$7,'batch tool'!$B1502:$W1502)+$Y$7</f>
        <v>-19.739516238059196</v>
      </c>
      <c r="H1508" s="7">
        <f t="shared" si="46"/>
        <v>-19.739516238059196</v>
      </c>
      <c r="I1508">
        <f t="shared" si="47"/>
        <v>6</v>
      </c>
      <c r="J1508" t="str" cm="1">
        <f t="array" ref="J1508">INDEX($A$2:$A$7,I1508)</f>
        <v>Segment 6- Self-Conscious Male</v>
      </c>
    </row>
    <row r="1509" spans="1:10" x14ac:dyDescent="0.25">
      <c r="A1509" s="1">
        <f>'batch tool'!A1503</f>
        <v>0</v>
      </c>
      <c r="B1509" s="7">
        <f>SUMPRODUCT($C$2:$X$2,'batch tool'!$B1503:$W1503)+$Y$2</f>
        <v>-49.12272534143483</v>
      </c>
      <c r="C1509" s="7">
        <f>SUMPRODUCT($C$3:$X$3,'batch tool'!$B1503:$W1503)+$Y$3</f>
        <v>-36.514029388465531</v>
      </c>
      <c r="D1509" s="7">
        <f>SUMPRODUCT($C$4:$X$4,'batch tool'!$B1503:$W1503)+$Y$4</f>
        <v>-44.639843068043824</v>
      </c>
      <c r="E1509" s="7">
        <f>SUMPRODUCT($C$5:$X$5,'batch tool'!$B1503:$W1503)+$Y$5</f>
        <v>-51.578889182477603</v>
      </c>
      <c r="F1509" s="7">
        <f>SUMPRODUCT($C$6:$X$6,'batch tool'!$B1503:$W1503)+$Y$6</f>
        <v>-47.741473633885199</v>
      </c>
      <c r="G1509" s="7">
        <f>SUMPRODUCT($C$7:$X$7,'batch tool'!$B1503:$W1503)+$Y$7</f>
        <v>-19.739516238059196</v>
      </c>
      <c r="H1509" s="7">
        <f t="shared" si="46"/>
        <v>-19.739516238059196</v>
      </c>
      <c r="I1509">
        <f t="shared" si="47"/>
        <v>6</v>
      </c>
      <c r="J1509" t="str" cm="1">
        <f t="array" ref="J1509">INDEX($A$2:$A$7,I1509)</f>
        <v>Segment 6- Self-Conscious Male</v>
      </c>
    </row>
    <row r="1510" spans="1:10" x14ac:dyDescent="0.25">
      <c r="A1510" s="1">
        <f>'batch tool'!A1504</f>
        <v>0</v>
      </c>
      <c r="B1510" s="7">
        <f>SUMPRODUCT($C$2:$X$2,'batch tool'!$B1504:$W1504)+$Y$2</f>
        <v>-49.12272534143483</v>
      </c>
      <c r="C1510" s="7">
        <f>SUMPRODUCT($C$3:$X$3,'batch tool'!$B1504:$W1504)+$Y$3</f>
        <v>-36.514029388465531</v>
      </c>
      <c r="D1510" s="7">
        <f>SUMPRODUCT($C$4:$X$4,'batch tool'!$B1504:$W1504)+$Y$4</f>
        <v>-44.639843068043824</v>
      </c>
      <c r="E1510" s="7">
        <f>SUMPRODUCT($C$5:$X$5,'batch tool'!$B1504:$W1504)+$Y$5</f>
        <v>-51.578889182477603</v>
      </c>
      <c r="F1510" s="7">
        <f>SUMPRODUCT($C$6:$X$6,'batch tool'!$B1504:$W1504)+$Y$6</f>
        <v>-47.741473633885199</v>
      </c>
      <c r="G1510" s="7">
        <f>SUMPRODUCT($C$7:$X$7,'batch tool'!$B1504:$W1504)+$Y$7</f>
        <v>-19.739516238059196</v>
      </c>
      <c r="H1510" s="7">
        <f t="shared" si="46"/>
        <v>-19.739516238059196</v>
      </c>
      <c r="I1510">
        <f t="shared" si="47"/>
        <v>6</v>
      </c>
      <c r="J1510" t="str" cm="1">
        <f t="array" ref="J1510">INDEX($A$2:$A$7,I1510)</f>
        <v>Segment 6- Self-Conscious Male</v>
      </c>
    </row>
    <row r="1511" spans="1:10" x14ac:dyDescent="0.25">
      <c r="A1511" s="1">
        <f>'batch tool'!A1505</f>
        <v>0</v>
      </c>
      <c r="B1511" s="7">
        <f>SUMPRODUCT($C$2:$X$2,'batch tool'!$B1505:$W1505)+$Y$2</f>
        <v>-49.12272534143483</v>
      </c>
      <c r="C1511" s="7">
        <f>SUMPRODUCT($C$3:$X$3,'batch tool'!$B1505:$W1505)+$Y$3</f>
        <v>-36.514029388465531</v>
      </c>
      <c r="D1511" s="7">
        <f>SUMPRODUCT($C$4:$X$4,'batch tool'!$B1505:$W1505)+$Y$4</f>
        <v>-44.639843068043824</v>
      </c>
      <c r="E1511" s="7">
        <f>SUMPRODUCT($C$5:$X$5,'batch tool'!$B1505:$W1505)+$Y$5</f>
        <v>-51.578889182477603</v>
      </c>
      <c r="F1511" s="7">
        <f>SUMPRODUCT($C$6:$X$6,'batch tool'!$B1505:$W1505)+$Y$6</f>
        <v>-47.741473633885199</v>
      </c>
      <c r="G1511" s="7">
        <f>SUMPRODUCT($C$7:$X$7,'batch tool'!$B1505:$W1505)+$Y$7</f>
        <v>-19.739516238059196</v>
      </c>
      <c r="H1511" s="7">
        <f t="shared" si="46"/>
        <v>-19.739516238059196</v>
      </c>
      <c r="I1511">
        <f t="shared" si="47"/>
        <v>6</v>
      </c>
      <c r="J1511" t="str" cm="1">
        <f t="array" ref="J1511">INDEX($A$2:$A$7,I1511)</f>
        <v>Segment 6- Self-Conscious Male</v>
      </c>
    </row>
    <row r="1512" spans="1:10" x14ac:dyDescent="0.25">
      <c r="A1512" s="1">
        <f>'batch tool'!A1506</f>
        <v>0</v>
      </c>
      <c r="B1512" s="7">
        <f>SUMPRODUCT($C$2:$X$2,'batch tool'!$B1506:$W1506)+$Y$2</f>
        <v>-49.12272534143483</v>
      </c>
      <c r="C1512" s="7">
        <f>SUMPRODUCT($C$3:$X$3,'batch tool'!$B1506:$W1506)+$Y$3</f>
        <v>-36.514029388465531</v>
      </c>
      <c r="D1512" s="7">
        <f>SUMPRODUCT($C$4:$X$4,'batch tool'!$B1506:$W1506)+$Y$4</f>
        <v>-44.639843068043824</v>
      </c>
      <c r="E1512" s="7">
        <f>SUMPRODUCT($C$5:$X$5,'batch tool'!$B1506:$W1506)+$Y$5</f>
        <v>-51.578889182477603</v>
      </c>
      <c r="F1512" s="7">
        <f>SUMPRODUCT($C$6:$X$6,'batch tool'!$B1506:$W1506)+$Y$6</f>
        <v>-47.741473633885199</v>
      </c>
      <c r="G1512" s="7">
        <f>SUMPRODUCT($C$7:$X$7,'batch tool'!$B1506:$W1506)+$Y$7</f>
        <v>-19.739516238059196</v>
      </c>
      <c r="H1512" s="7">
        <f t="shared" si="46"/>
        <v>-19.739516238059196</v>
      </c>
      <c r="I1512">
        <f t="shared" si="47"/>
        <v>6</v>
      </c>
      <c r="J1512" t="str" cm="1">
        <f t="array" ref="J1512">INDEX($A$2:$A$7,I1512)</f>
        <v>Segment 6- Self-Conscious Male</v>
      </c>
    </row>
    <row r="1513" spans="1:10" x14ac:dyDescent="0.25">
      <c r="A1513" s="1">
        <f>'batch tool'!A1507</f>
        <v>0</v>
      </c>
      <c r="B1513" s="7">
        <f>SUMPRODUCT($C$2:$X$2,'batch tool'!$B1507:$W1507)+$Y$2</f>
        <v>-49.12272534143483</v>
      </c>
      <c r="C1513" s="7">
        <f>SUMPRODUCT($C$3:$X$3,'batch tool'!$B1507:$W1507)+$Y$3</f>
        <v>-36.514029388465531</v>
      </c>
      <c r="D1513" s="7">
        <f>SUMPRODUCT($C$4:$X$4,'batch tool'!$B1507:$W1507)+$Y$4</f>
        <v>-44.639843068043824</v>
      </c>
      <c r="E1513" s="7">
        <f>SUMPRODUCT($C$5:$X$5,'batch tool'!$B1507:$W1507)+$Y$5</f>
        <v>-51.578889182477603</v>
      </c>
      <c r="F1513" s="7">
        <f>SUMPRODUCT($C$6:$X$6,'batch tool'!$B1507:$W1507)+$Y$6</f>
        <v>-47.741473633885199</v>
      </c>
      <c r="G1513" s="7">
        <f>SUMPRODUCT($C$7:$X$7,'batch tool'!$B1507:$W1507)+$Y$7</f>
        <v>-19.739516238059196</v>
      </c>
      <c r="H1513" s="7">
        <f t="shared" si="46"/>
        <v>-19.739516238059196</v>
      </c>
      <c r="I1513">
        <f t="shared" si="47"/>
        <v>6</v>
      </c>
      <c r="J1513" t="str" cm="1">
        <f t="array" ref="J1513">INDEX($A$2:$A$7,I1513)</f>
        <v>Segment 6- Self-Conscious Male</v>
      </c>
    </row>
    <row r="1514" spans="1:10" x14ac:dyDescent="0.25">
      <c r="A1514" s="1">
        <f>'batch tool'!A1508</f>
        <v>0</v>
      </c>
      <c r="B1514" s="7">
        <f>SUMPRODUCT($C$2:$X$2,'batch tool'!$B1508:$W1508)+$Y$2</f>
        <v>-49.12272534143483</v>
      </c>
      <c r="C1514" s="7">
        <f>SUMPRODUCT($C$3:$X$3,'batch tool'!$B1508:$W1508)+$Y$3</f>
        <v>-36.514029388465531</v>
      </c>
      <c r="D1514" s="7">
        <f>SUMPRODUCT($C$4:$X$4,'batch tool'!$B1508:$W1508)+$Y$4</f>
        <v>-44.639843068043824</v>
      </c>
      <c r="E1514" s="7">
        <f>SUMPRODUCT($C$5:$X$5,'batch tool'!$B1508:$W1508)+$Y$5</f>
        <v>-51.578889182477603</v>
      </c>
      <c r="F1514" s="7">
        <f>SUMPRODUCT($C$6:$X$6,'batch tool'!$B1508:$W1508)+$Y$6</f>
        <v>-47.741473633885199</v>
      </c>
      <c r="G1514" s="7">
        <f>SUMPRODUCT($C$7:$X$7,'batch tool'!$B1508:$W1508)+$Y$7</f>
        <v>-19.739516238059196</v>
      </c>
      <c r="H1514" s="7">
        <f t="shared" si="46"/>
        <v>-19.739516238059196</v>
      </c>
      <c r="I1514">
        <f t="shared" si="47"/>
        <v>6</v>
      </c>
      <c r="J1514" t="str" cm="1">
        <f t="array" ref="J1514">INDEX($A$2:$A$7,I1514)</f>
        <v>Segment 6- Self-Conscious Male</v>
      </c>
    </row>
    <row r="1515" spans="1:10" x14ac:dyDescent="0.25">
      <c r="A1515" s="1">
        <f>'batch tool'!A1509</f>
        <v>0</v>
      </c>
      <c r="B1515" s="7">
        <f>SUMPRODUCT($C$2:$X$2,'batch tool'!$B1509:$W1509)+$Y$2</f>
        <v>-49.12272534143483</v>
      </c>
      <c r="C1515" s="7">
        <f>SUMPRODUCT($C$3:$X$3,'batch tool'!$B1509:$W1509)+$Y$3</f>
        <v>-36.514029388465531</v>
      </c>
      <c r="D1515" s="7">
        <f>SUMPRODUCT($C$4:$X$4,'batch tool'!$B1509:$W1509)+$Y$4</f>
        <v>-44.639843068043824</v>
      </c>
      <c r="E1515" s="7">
        <f>SUMPRODUCT($C$5:$X$5,'batch tool'!$B1509:$W1509)+$Y$5</f>
        <v>-51.578889182477603</v>
      </c>
      <c r="F1515" s="7">
        <f>SUMPRODUCT($C$6:$X$6,'batch tool'!$B1509:$W1509)+$Y$6</f>
        <v>-47.741473633885199</v>
      </c>
      <c r="G1515" s="7">
        <f>SUMPRODUCT($C$7:$X$7,'batch tool'!$B1509:$W1509)+$Y$7</f>
        <v>-19.739516238059196</v>
      </c>
      <c r="H1515" s="7">
        <f t="shared" si="46"/>
        <v>-19.739516238059196</v>
      </c>
      <c r="I1515">
        <f t="shared" si="47"/>
        <v>6</v>
      </c>
      <c r="J1515" t="str" cm="1">
        <f t="array" ref="J1515">INDEX($A$2:$A$7,I1515)</f>
        <v>Segment 6- Self-Conscious Male</v>
      </c>
    </row>
    <row r="1516" spans="1:10" x14ac:dyDescent="0.25">
      <c r="A1516" s="1">
        <f>'batch tool'!A1510</f>
        <v>0</v>
      </c>
      <c r="B1516" s="7">
        <f>SUMPRODUCT($C$2:$X$2,'batch tool'!$B1510:$W1510)+$Y$2</f>
        <v>-49.12272534143483</v>
      </c>
      <c r="C1516" s="7">
        <f>SUMPRODUCT($C$3:$X$3,'batch tool'!$B1510:$W1510)+$Y$3</f>
        <v>-36.514029388465531</v>
      </c>
      <c r="D1516" s="7">
        <f>SUMPRODUCT($C$4:$X$4,'batch tool'!$B1510:$W1510)+$Y$4</f>
        <v>-44.639843068043824</v>
      </c>
      <c r="E1516" s="7">
        <f>SUMPRODUCT($C$5:$X$5,'batch tool'!$B1510:$W1510)+$Y$5</f>
        <v>-51.578889182477603</v>
      </c>
      <c r="F1516" s="7">
        <f>SUMPRODUCT($C$6:$X$6,'batch tool'!$B1510:$W1510)+$Y$6</f>
        <v>-47.741473633885199</v>
      </c>
      <c r="G1516" s="7">
        <f>SUMPRODUCT($C$7:$X$7,'batch tool'!$B1510:$W1510)+$Y$7</f>
        <v>-19.739516238059196</v>
      </c>
      <c r="H1516" s="7">
        <f t="shared" si="46"/>
        <v>-19.739516238059196</v>
      </c>
      <c r="I1516">
        <f t="shared" si="47"/>
        <v>6</v>
      </c>
      <c r="J1516" t="str" cm="1">
        <f t="array" ref="J1516">INDEX($A$2:$A$7,I1516)</f>
        <v>Segment 6- Self-Conscious Male</v>
      </c>
    </row>
    <row r="1517" spans="1:10" x14ac:dyDescent="0.25">
      <c r="A1517" s="1">
        <f>'batch tool'!A1511</f>
        <v>0</v>
      </c>
      <c r="B1517" s="7">
        <f>SUMPRODUCT($C$2:$X$2,'batch tool'!$B1511:$W1511)+$Y$2</f>
        <v>-49.12272534143483</v>
      </c>
      <c r="C1517" s="7">
        <f>SUMPRODUCT($C$3:$X$3,'batch tool'!$B1511:$W1511)+$Y$3</f>
        <v>-36.514029388465531</v>
      </c>
      <c r="D1517" s="7">
        <f>SUMPRODUCT($C$4:$X$4,'batch tool'!$B1511:$W1511)+$Y$4</f>
        <v>-44.639843068043824</v>
      </c>
      <c r="E1517" s="7">
        <f>SUMPRODUCT($C$5:$X$5,'batch tool'!$B1511:$W1511)+$Y$5</f>
        <v>-51.578889182477603</v>
      </c>
      <c r="F1517" s="7">
        <f>SUMPRODUCT($C$6:$X$6,'batch tool'!$B1511:$W1511)+$Y$6</f>
        <v>-47.741473633885199</v>
      </c>
      <c r="G1517" s="7">
        <f>SUMPRODUCT($C$7:$X$7,'batch tool'!$B1511:$W1511)+$Y$7</f>
        <v>-19.739516238059196</v>
      </c>
      <c r="H1517" s="7">
        <f t="shared" si="46"/>
        <v>-19.739516238059196</v>
      </c>
      <c r="I1517">
        <f t="shared" si="47"/>
        <v>6</v>
      </c>
      <c r="J1517" t="str" cm="1">
        <f t="array" ref="J1517">INDEX($A$2:$A$7,I1517)</f>
        <v>Segment 6- Self-Conscious Male</v>
      </c>
    </row>
    <row r="1518" spans="1:10" x14ac:dyDescent="0.25">
      <c r="A1518" s="1">
        <f>'batch tool'!A1512</f>
        <v>0</v>
      </c>
      <c r="B1518" s="7">
        <f>SUMPRODUCT($C$2:$X$2,'batch tool'!$B1512:$W1512)+$Y$2</f>
        <v>-49.12272534143483</v>
      </c>
      <c r="C1518" s="7">
        <f>SUMPRODUCT($C$3:$X$3,'batch tool'!$B1512:$W1512)+$Y$3</f>
        <v>-36.514029388465531</v>
      </c>
      <c r="D1518" s="7">
        <f>SUMPRODUCT($C$4:$X$4,'batch tool'!$B1512:$W1512)+$Y$4</f>
        <v>-44.639843068043824</v>
      </c>
      <c r="E1518" s="7">
        <f>SUMPRODUCT($C$5:$X$5,'batch tool'!$B1512:$W1512)+$Y$5</f>
        <v>-51.578889182477603</v>
      </c>
      <c r="F1518" s="7">
        <f>SUMPRODUCT($C$6:$X$6,'batch tool'!$B1512:$W1512)+$Y$6</f>
        <v>-47.741473633885199</v>
      </c>
      <c r="G1518" s="7">
        <f>SUMPRODUCT($C$7:$X$7,'batch tool'!$B1512:$W1512)+$Y$7</f>
        <v>-19.739516238059196</v>
      </c>
      <c r="H1518" s="7">
        <f t="shared" si="46"/>
        <v>-19.739516238059196</v>
      </c>
      <c r="I1518">
        <f t="shared" si="47"/>
        <v>6</v>
      </c>
      <c r="J1518" t="str" cm="1">
        <f t="array" ref="J1518">INDEX($A$2:$A$7,I1518)</f>
        <v>Segment 6- Self-Conscious Male</v>
      </c>
    </row>
    <row r="1519" spans="1:10" x14ac:dyDescent="0.25">
      <c r="A1519" s="1">
        <f>'batch tool'!A1513</f>
        <v>0</v>
      </c>
      <c r="B1519" s="7">
        <f>SUMPRODUCT($C$2:$X$2,'batch tool'!$B1513:$W1513)+$Y$2</f>
        <v>-49.12272534143483</v>
      </c>
      <c r="C1519" s="7">
        <f>SUMPRODUCT($C$3:$X$3,'batch tool'!$B1513:$W1513)+$Y$3</f>
        <v>-36.514029388465531</v>
      </c>
      <c r="D1519" s="7">
        <f>SUMPRODUCT($C$4:$X$4,'batch tool'!$B1513:$W1513)+$Y$4</f>
        <v>-44.639843068043824</v>
      </c>
      <c r="E1519" s="7">
        <f>SUMPRODUCT($C$5:$X$5,'batch tool'!$B1513:$W1513)+$Y$5</f>
        <v>-51.578889182477603</v>
      </c>
      <c r="F1519" s="7">
        <f>SUMPRODUCT($C$6:$X$6,'batch tool'!$B1513:$W1513)+$Y$6</f>
        <v>-47.741473633885199</v>
      </c>
      <c r="G1519" s="7">
        <f>SUMPRODUCT($C$7:$X$7,'batch tool'!$B1513:$W1513)+$Y$7</f>
        <v>-19.739516238059196</v>
      </c>
      <c r="H1519" s="7">
        <f t="shared" si="46"/>
        <v>-19.739516238059196</v>
      </c>
      <c r="I1519">
        <f t="shared" si="47"/>
        <v>6</v>
      </c>
      <c r="J1519" t="str" cm="1">
        <f t="array" ref="J1519">INDEX($A$2:$A$7,I1519)</f>
        <v>Segment 6- Self-Conscious Male</v>
      </c>
    </row>
    <row r="1520" spans="1:10" x14ac:dyDescent="0.25">
      <c r="A1520" s="1">
        <f>'batch tool'!A1514</f>
        <v>0</v>
      </c>
      <c r="B1520" s="7">
        <f>SUMPRODUCT($C$2:$X$2,'batch tool'!$B1514:$W1514)+$Y$2</f>
        <v>-49.12272534143483</v>
      </c>
      <c r="C1520" s="7">
        <f>SUMPRODUCT($C$3:$X$3,'batch tool'!$B1514:$W1514)+$Y$3</f>
        <v>-36.514029388465531</v>
      </c>
      <c r="D1520" s="7">
        <f>SUMPRODUCT($C$4:$X$4,'batch tool'!$B1514:$W1514)+$Y$4</f>
        <v>-44.639843068043824</v>
      </c>
      <c r="E1520" s="7">
        <f>SUMPRODUCT($C$5:$X$5,'batch tool'!$B1514:$W1514)+$Y$5</f>
        <v>-51.578889182477603</v>
      </c>
      <c r="F1520" s="7">
        <f>SUMPRODUCT($C$6:$X$6,'batch tool'!$B1514:$W1514)+$Y$6</f>
        <v>-47.741473633885199</v>
      </c>
      <c r="G1520" s="7">
        <f>SUMPRODUCT($C$7:$X$7,'batch tool'!$B1514:$W1514)+$Y$7</f>
        <v>-19.739516238059196</v>
      </c>
      <c r="H1520" s="7">
        <f t="shared" si="46"/>
        <v>-19.739516238059196</v>
      </c>
      <c r="I1520">
        <f t="shared" si="47"/>
        <v>6</v>
      </c>
      <c r="J1520" t="str" cm="1">
        <f t="array" ref="J1520">INDEX($A$2:$A$7,I1520)</f>
        <v>Segment 6- Self-Conscious Male</v>
      </c>
    </row>
    <row r="1521" spans="1:10" x14ac:dyDescent="0.25">
      <c r="A1521" s="1">
        <f>'batch tool'!A1515</f>
        <v>0</v>
      </c>
      <c r="B1521" s="7">
        <f>SUMPRODUCT($C$2:$X$2,'batch tool'!$B1515:$W1515)+$Y$2</f>
        <v>-49.12272534143483</v>
      </c>
      <c r="C1521" s="7">
        <f>SUMPRODUCT($C$3:$X$3,'batch tool'!$B1515:$W1515)+$Y$3</f>
        <v>-36.514029388465531</v>
      </c>
      <c r="D1521" s="7">
        <f>SUMPRODUCT($C$4:$X$4,'batch tool'!$B1515:$W1515)+$Y$4</f>
        <v>-44.639843068043824</v>
      </c>
      <c r="E1521" s="7">
        <f>SUMPRODUCT($C$5:$X$5,'batch tool'!$B1515:$W1515)+$Y$5</f>
        <v>-51.578889182477603</v>
      </c>
      <c r="F1521" s="7">
        <f>SUMPRODUCT($C$6:$X$6,'batch tool'!$B1515:$W1515)+$Y$6</f>
        <v>-47.741473633885199</v>
      </c>
      <c r="G1521" s="7">
        <f>SUMPRODUCT($C$7:$X$7,'batch tool'!$B1515:$W1515)+$Y$7</f>
        <v>-19.739516238059196</v>
      </c>
      <c r="H1521" s="7">
        <f t="shared" si="46"/>
        <v>-19.739516238059196</v>
      </c>
      <c r="I1521">
        <f t="shared" si="47"/>
        <v>6</v>
      </c>
      <c r="J1521" t="str" cm="1">
        <f t="array" ref="J1521">INDEX($A$2:$A$7,I1521)</f>
        <v>Segment 6- Self-Conscious Male</v>
      </c>
    </row>
    <row r="1522" spans="1:10" x14ac:dyDescent="0.25">
      <c r="A1522" s="1">
        <f>'batch tool'!A1516</f>
        <v>0</v>
      </c>
      <c r="B1522" s="7">
        <f>SUMPRODUCT($C$2:$X$2,'batch tool'!$B1516:$W1516)+$Y$2</f>
        <v>-49.12272534143483</v>
      </c>
      <c r="C1522" s="7">
        <f>SUMPRODUCT($C$3:$X$3,'batch tool'!$B1516:$W1516)+$Y$3</f>
        <v>-36.514029388465531</v>
      </c>
      <c r="D1522" s="7">
        <f>SUMPRODUCT($C$4:$X$4,'batch tool'!$B1516:$W1516)+$Y$4</f>
        <v>-44.639843068043824</v>
      </c>
      <c r="E1522" s="7">
        <f>SUMPRODUCT($C$5:$X$5,'batch tool'!$B1516:$W1516)+$Y$5</f>
        <v>-51.578889182477603</v>
      </c>
      <c r="F1522" s="7">
        <f>SUMPRODUCT($C$6:$X$6,'batch tool'!$B1516:$W1516)+$Y$6</f>
        <v>-47.741473633885199</v>
      </c>
      <c r="G1522" s="7">
        <f>SUMPRODUCT($C$7:$X$7,'batch tool'!$B1516:$W1516)+$Y$7</f>
        <v>-19.739516238059196</v>
      </c>
      <c r="H1522" s="7">
        <f t="shared" si="46"/>
        <v>-19.739516238059196</v>
      </c>
      <c r="I1522">
        <f t="shared" si="47"/>
        <v>6</v>
      </c>
      <c r="J1522" t="str" cm="1">
        <f t="array" ref="J1522">INDEX($A$2:$A$7,I1522)</f>
        <v>Segment 6- Self-Conscious Male</v>
      </c>
    </row>
    <row r="1523" spans="1:10" x14ac:dyDescent="0.25">
      <c r="A1523" s="1">
        <f>'batch tool'!A1517</f>
        <v>0</v>
      </c>
      <c r="B1523" s="7">
        <f>SUMPRODUCT($C$2:$X$2,'batch tool'!$B1517:$W1517)+$Y$2</f>
        <v>-49.12272534143483</v>
      </c>
      <c r="C1523" s="7">
        <f>SUMPRODUCT($C$3:$X$3,'batch tool'!$B1517:$W1517)+$Y$3</f>
        <v>-36.514029388465531</v>
      </c>
      <c r="D1523" s="7">
        <f>SUMPRODUCT($C$4:$X$4,'batch tool'!$B1517:$W1517)+$Y$4</f>
        <v>-44.639843068043824</v>
      </c>
      <c r="E1523" s="7">
        <f>SUMPRODUCT($C$5:$X$5,'batch tool'!$B1517:$W1517)+$Y$5</f>
        <v>-51.578889182477603</v>
      </c>
      <c r="F1523" s="7">
        <f>SUMPRODUCT($C$6:$X$6,'batch tool'!$B1517:$W1517)+$Y$6</f>
        <v>-47.741473633885199</v>
      </c>
      <c r="G1523" s="7">
        <f>SUMPRODUCT($C$7:$X$7,'batch tool'!$B1517:$W1517)+$Y$7</f>
        <v>-19.739516238059196</v>
      </c>
      <c r="H1523" s="7">
        <f t="shared" si="46"/>
        <v>-19.739516238059196</v>
      </c>
      <c r="I1523">
        <f t="shared" si="47"/>
        <v>6</v>
      </c>
      <c r="J1523" t="str" cm="1">
        <f t="array" ref="J1523">INDEX($A$2:$A$7,I1523)</f>
        <v>Segment 6- Self-Conscious Male</v>
      </c>
    </row>
    <row r="1524" spans="1:10" x14ac:dyDescent="0.25">
      <c r="A1524" s="1">
        <f>'batch tool'!A1518</f>
        <v>0</v>
      </c>
      <c r="B1524" s="7">
        <f>SUMPRODUCT($C$2:$X$2,'batch tool'!$B1518:$W1518)+$Y$2</f>
        <v>-49.12272534143483</v>
      </c>
      <c r="C1524" s="7">
        <f>SUMPRODUCT($C$3:$X$3,'batch tool'!$B1518:$W1518)+$Y$3</f>
        <v>-36.514029388465531</v>
      </c>
      <c r="D1524" s="7">
        <f>SUMPRODUCT($C$4:$X$4,'batch tool'!$B1518:$W1518)+$Y$4</f>
        <v>-44.639843068043824</v>
      </c>
      <c r="E1524" s="7">
        <f>SUMPRODUCT($C$5:$X$5,'batch tool'!$B1518:$W1518)+$Y$5</f>
        <v>-51.578889182477603</v>
      </c>
      <c r="F1524" s="7">
        <f>SUMPRODUCT($C$6:$X$6,'batch tool'!$B1518:$W1518)+$Y$6</f>
        <v>-47.741473633885199</v>
      </c>
      <c r="G1524" s="7">
        <f>SUMPRODUCT($C$7:$X$7,'batch tool'!$B1518:$W1518)+$Y$7</f>
        <v>-19.739516238059196</v>
      </c>
      <c r="H1524" s="7">
        <f t="shared" si="46"/>
        <v>-19.739516238059196</v>
      </c>
      <c r="I1524">
        <f t="shared" si="47"/>
        <v>6</v>
      </c>
      <c r="J1524" t="str" cm="1">
        <f t="array" ref="J1524">INDEX($A$2:$A$7,I1524)</f>
        <v>Segment 6- Self-Conscious Male</v>
      </c>
    </row>
    <row r="1525" spans="1:10" x14ac:dyDescent="0.25">
      <c r="A1525" s="1">
        <f>'batch tool'!A1519</f>
        <v>0</v>
      </c>
      <c r="B1525" s="7">
        <f>SUMPRODUCT($C$2:$X$2,'batch tool'!$B1519:$W1519)+$Y$2</f>
        <v>-49.12272534143483</v>
      </c>
      <c r="C1525" s="7">
        <f>SUMPRODUCT($C$3:$X$3,'batch tool'!$B1519:$W1519)+$Y$3</f>
        <v>-36.514029388465531</v>
      </c>
      <c r="D1525" s="7">
        <f>SUMPRODUCT($C$4:$X$4,'batch tool'!$B1519:$W1519)+$Y$4</f>
        <v>-44.639843068043824</v>
      </c>
      <c r="E1525" s="7">
        <f>SUMPRODUCT($C$5:$X$5,'batch tool'!$B1519:$W1519)+$Y$5</f>
        <v>-51.578889182477603</v>
      </c>
      <c r="F1525" s="7">
        <f>SUMPRODUCT($C$6:$X$6,'batch tool'!$B1519:$W1519)+$Y$6</f>
        <v>-47.741473633885199</v>
      </c>
      <c r="G1525" s="7">
        <f>SUMPRODUCT($C$7:$X$7,'batch tool'!$B1519:$W1519)+$Y$7</f>
        <v>-19.739516238059196</v>
      </c>
      <c r="H1525" s="7">
        <f t="shared" si="46"/>
        <v>-19.739516238059196</v>
      </c>
      <c r="I1525">
        <f t="shared" si="47"/>
        <v>6</v>
      </c>
      <c r="J1525" t="str" cm="1">
        <f t="array" ref="J1525">INDEX($A$2:$A$7,I1525)</f>
        <v>Segment 6- Self-Conscious Male</v>
      </c>
    </row>
    <row r="1526" spans="1:10" x14ac:dyDescent="0.25">
      <c r="A1526" s="1">
        <f>'batch tool'!A1520</f>
        <v>0</v>
      </c>
      <c r="B1526" s="7">
        <f>SUMPRODUCT($C$2:$X$2,'batch tool'!$B1520:$W1520)+$Y$2</f>
        <v>-49.12272534143483</v>
      </c>
      <c r="C1526" s="7">
        <f>SUMPRODUCT($C$3:$X$3,'batch tool'!$B1520:$W1520)+$Y$3</f>
        <v>-36.514029388465531</v>
      </c>
      <c r="D1526" s="7">
        <f>SUMPRODUCT($C$4:$X$4,'batch tool'!$B1520:$W1520)+$Y$4</f>
        <v>-44.639843068043824</v>
      </c>
      <c r="E1526" s="7">
        <f>SUMPRODUCT($C$5:$X$5,'batch tool'!$B1520:$W1520)+$Y$5</f>
        <v>-51.578889182477603</v>
      </c>
      <c r="F1526" s="7">
        <f>SUMPRODUCT($C$6:$X$6,'batch tool'!$B1520:$W1520)+$Y$6</f>
        <v>-47.741473633885199</v>
      </c>
      <c r="G1526" s="7">
        <f>SUMPRODUCT($C$7:$X$7,'batch tool'!$B1520:$W1520)+$Y$7</f>
        <v>-19.739516238059196</v>
      </c>
      <c r="H1526" s="7">
        <f t="shared" si="46"/>
        <v>-19.739516238059196</v>
      </c>
      <c r="I1526">
        <f t="shared" si="47"/>
        <v>6</v>
      </c>
      <c r="J1526" t="str" cm="1">
        <f t="array" ref="J1526">INDEX($A$2:$A$7,I1526)</f>
        <v>Segment 6- Self-Conscious Male</v>
      </c>
    </row>
    <row r="1527" spans="1:10" x14ac:dyDescent="0.25">
      <c r="A1527" s="1">
        <f>'batch tool'!A1521</f>
        <v>0</v>
      </c>
      <c r="B1527" s="7">
        <f>SUMPRODUCT($C$2:$X$2,'batch tool'!$B1521:$W1521)+$Y$2</f>
        <v>-49.12272534143483</v>
      </c>
      <c r="C1527" s="7">
        <f>SUMPRODUCT($C$3:$X$3,'batch tool'!$B1521:$W1521)+$Y$3</f>
        <v>-36.514029388465531</v>
      </c>
      <c r="D1527" s="7">
        <f>SUMPRODUCT($C$4:$X$4,'batch tool'!$B1521:$W1521)+$Y$4</f>
        <v>-44.639843068043824</v>
      </c>
      <c r="E1527" s="7">
        <f>SUMPRODUCT($C$5:$X$5,'batch tool'!$B1521:$W1521)+$Y$5</f>
        <v>-51.578889182477603</v>
      </c>
      <c r="F1527" s="7">
        <f>SUMPRODUCT($C$6:$X$6,'batch tool'!$B1521:$W1521)+$Y$6</f>
        <v>-47.741473633885199</v>
      </c>
      <c r="G1527" s="7">
        <f>SUMPRODUCT($C$7:$X$7,'batch tool'!$B1521:$W1521)+$Y$7</f>
        <v>-19.739516238059196</v>
      </c>
      <c r="H1527" s="7">
        <f t="shared" si="46"/>
        <v>-19.739516238059196</v>
      </c>
      <c r="I1527">
        <f t="shared" si="47"/>
        <v>6</v>
      </c>
      <c r="J1527" t="str" cm="1">
        <f t="array" ref="J1527">INDEX($A$2:$A$7,I1527)</f>
        <v>Segment 6- Self-Conscious Male</v>
      </c>
    </row>
    <row r="1528" spans="1:10" x14ac:dyDescent="0.25">
      <c r="A1528" s="1">
        <f>'batch tool'!A1522</f>
        <v>0</v>
      </c>
      <c r="B1528" s="7">
        <f>SUMPRODUCT($C$2:$X$2,'batch tool'!$B1522:$W1522)+$Y$2</f>
        <v>-49.12272534143483</v>
      </c>
      <c r="C1528" s="7">
        <f>SUMPRODUCT($C$3:$X$3,'batch tool'!$B1522:$W1522)+$Y$3</f>
        <v>-36.514029388465531</v>
      </c>
      <c r="D1528" s="7">
        <f>SUMPRODUCT($C$4:$X$4,'batch tool'!$B1522:$W1522)+$Y$4</f>
        <v>-44.639843068043824</v>
      </c>
      <c r="E1528" s="7">
        <f>SUMPRODUCT($C$5:$X$5,'batch tool'!$B1522:$W1522)+$Y$5</f>
        <v>-51.578889182477603</v>
      </c>
      <c r="F1528" s="7">
        <f>SUMPRODUCT($C$6:$X$6,'batch tool'!$B1522:$W1522)+$Y$6</f>
        <v>-47.741473633885199</v>
      </c>
      <c r="G1528" s="7">
        <f>SUMPRODUCT($C$7:$X$7,'batch tool'!$B1522:$W1522)+$Y$7</f>
        <v>-19.739516238059196</v>
      </c>
      <c r="H1528" s="7">
        <f t="shared" si="46"/>
        <v>-19.739516238059196</v>
      </c>
      <c r="I1528">
        <f t="shared" si="47"/>
        <v>6</v>
      </c>
      <c r="J1528" t="str" cm="1">
        <f t="array" ref="J1528">INDEX($A$2:$A$7,I1528)</f>
        <v>Segment 6- Self-Conscious Male</v>
      </c>
    </row>
    <row r="1529" spans="1:10" x14ac:dyDescent="0.25">
      <c r="A1529" s="1">
        <f>'batch tool'!A1523</f>
        <v>0</v>
      </c>
      <c r="B1529" s="7">
        <f>SUMPRODUCT($C$2:$X$2,'batch tool'!$B1523:$W1523)+$Y$2</f>
        <v>-49.12272534143483</v>
      </c>
      <c r="C1529" s="7">
        <f>SUMPRODUCT($C$3:$X$3,'batch tool'!$B1523:$W1523)+$Y$3</f>
        <v>-36.514029388465531</v>
      </c>
      <c r="D1529" s="7">
        <f>SUMPRODUCT($C$4:$X$4,'batch tool'!$B1523:$W1523)+$Y$4</f>
        <v>-44.639843068043824</v>
      </c>
      <c r="E1529" s="7">
        <f>SUMPRODUCT($C$5:$X$5,'batch tool'!$B1523:$W1523)+$Y$5</f>
        <v>-51.578889182477603</v>
      </c>
      <c r="F1529" s="7">
        <f>SUMPRODUCT($C$6:$X$6,'batch tool'!$B1523:$W1523)+$Y$6</f>
        <v>-47.741473633885199</v>
      </c>
      <c r="G1529" s="7">
        <f>SUMPRODUCT($C$7:$X$7,'batch tool'!$B1523:$W1523)+$Y$7</f>
        <v>-19.739516238059196</v>
      </c>
      <c r="H1529" s="7">
        <f t="shared" si="46"/>
        <v>-19.739516238059196</v>
      </c>
      <c r="I1529">
        <f t="shared" si="47"/>
        <v>6</v>
      </c>
      <c r="J1529" t="str" cm="1">
        <f t="array" ref="J1529">INDEX($A$2:$A$7,I1529)</f>
        <v>Segment 6- Self-Conscious Male</v>
      </c>
    </row>
    <row r="1530" spans="1:10" x14ac:dyDescent="0.25">
      <c r="A1530" s="1">
        <f>'batch tool'!A1524</f>
        <v>0</v>
      </c>
      <c r="B1530" s="7">
        <f>SUMPRODUCT($C$2:$X$2,'batch tool'!$B1524:$W1524)+$Y$2</f>
        <v>-49.12272534143483</v>
      </c>
      <c r="C1530" s="7">
        <f>SUMPRODUCT($C$3:$X$3,'batch tool'!$B1524:$W1524)+$Y$3</f>
        <v>-36.514029388465531</v>
      </c>
      <c r="D1530" s="7">
        <f>SUMPRODUCT($C$4:$X$4,'batch tool'!$B1524:$W1524)+$Y$4</f>
        <v>-44.639843068043824</v>
      </c>
      <c r="E1530" s="7">
        <f>SUMPRODUCT($C$5:$X$5,'batch tool'!$B1524:$W1524)+$Y$5</f>
        <v>-51.578889182477603</v>
      </c>
      <c r="F1530" s="7">
        <f>SUMPRODUCT($C$6:$X$6,'batch tool'!$B1524:$W1524)+$Y$6</f>
        <v>-47.741473633885199</v>
      </c>
      <c r="G1530" s="7">
        <f>SUMPRODUCT($C$7:$X$7,'batch tool'!$B1524:$W1524)+$Y$7</f>
        <v>-19.739516238059196</v>
      </c>
      <c r="H1530" s="7">
        <f t="shared" si="46"/>
        <v>-19.739516238059196</v>
      </c>
      <c r="I1530">
        <f t="shared" si="47"/>
        <v>6</v>
      </c>
      <c r="J1530" t="str" cm="1">
        <f t="array" ref="J1530">INDEX($A$2:$A$7,I1530)</f>
        <v>Segment 6- Self-Conscious Male</v>
      </c>
    </row>
    <row r="1531" spans="1:10" x14ac:dyDescent="0.25">
      <c r="A1531" s="1">
        <f>'batch tool'!A1525</f>
        <v>0</v>
      </c>
      <c r="B1531" s="7">
        <f>SUMPRODUCT($C$2:$X$2,'batch tool'!$B1525:$W1525)+$Y$2</f>
        <v>-49.12272534143483</v>
      </c>
      <c r="C1531" s="7">
        <f>SUMPRODUCT($C$3:$X$3,'batch tool'!$B1525:$W1525)+$Y$3</f>
        <v>-36.514029388465531</v>
      </c>
      <c r="D1531" s="7">
        <f>SUMPRODUCT($C$4:$X$4,'batch tool'!$B1525:$W1525)+$Y$4</f>
        <v>-44.639843068043824</v>
      </c>
      <c r="E1531" s="7">
        <f>SUMPRODUCT($C$5:$X$5,'batch tool'!$B1525:$W1525)+$Y$5</f>
        <v>-51.578889182477603</v>
      </c>
      <c r="F1531" s="7">
        <f>SUMPRODUCT($C$6:$X$6,'batch tool'!$B1525:$W1525)+$Y$6</f>
        <v>-47.741473633885199</v>
      </c>
      <c r="G1531" s="7">
        <f>SUMPRODUCT($C$7:$X$7,'batch tool'!$B1525:$W1525)+$Y$7</f>
        <v>-19.739516238059196</v>
      </c>
      <c r="H1531" s="7">
        <f t="shared" si="46"/>
        <v>-19.739516238059196</v>
      </c>
      <c r="I1531">
        <f t="shared" si="47"/>
        <v>6</v>
      </c>
      <c r="J1531" t="str" cm="1">
        <f t="array" ref="J1531">INDEX($A$2:$A$7,I1531)</f>
        <v>Segment 6- Self-Conscious Male</v>
      </c>
    </row>
    <row r="1532" spans="1:10" x14ac:dyDescent="0.25">
      <c r="A1532" s="1">
        <f>'batch tool'!A1526</f>
        <v>0</v>
      </c>
      <c r="B1532" s="7">
        <f>SUMPRODUCT($C$2:$X$2,'batch tool'!$B1526:$W1526)+$Y$2</f>
        <v>-49.12272534143483</v>
      </c>
      <c r="C1532" s="7">
        <f>SUMPRODUCT($C$3:$X$3,'batch tool'!$B1526:$W1526)+$Y$3</f>
        <v>-36.514029388465531</v>
      </c>
      <c r="D1532" s="7">
        <f>SUMPRODUCT($C$4:$X$4,'batch tool'!$B1526:$W1526)+$Y$4</f>
        <v>-44.639843068043824</v>
      </c>
      <c r="E1532" s="7">
        <f>SUMPRODUCT($C$5:$X$5,'batch tool'!$B1526:$W1526)+$Y$5</f>
        <v>-51.578889182477603</v>
      </c>
      <c r="F1532" s="7">
        <f>SUMPRODUCT($C$6:$X$6,'batch tool'!$B1526:$W1526)+$Y$6</f>
        <v>-47.741473633885199</v>
      </c>
      <c r="G1532" s="7">
        <f>SUMPRODUCT($C$7:$X$7,'batch tool'!$B1526:$W1526)+$Y$7</f>
        <v>-19.739516238059196</v>
      </c>
      <c r="H1532" s="7">
        <f t="shared" si="46"/>
        <v>-19.739516238059196</v>
      </c>
      <c r="I1532">
        <f t="shared" si="47"/>
        <v>6</v>
      </c>
      <c r="J1532" t="str" cm="1">
        <f t="array" ref="J1532">INDEX($A$2:$A$7,I1532)</f>
        <v>Segment 6- Self-Conscious Male</v>
      </c>
    </row>
    <row r="1533" spans="1:10" x14ac:dyDescent="0.25">
      <c r="A1533" s="1">
        <f>'batch tool'!A1527</f>
        <v>0</v>
      </c>
      <c r="B1533" s="7">
        <f>SUMPRODUCT($C$2:$X$2,'batch tool'!$B1527:$W1527)+$Y$2</f>
        <v>-49.12272534143483</v>
      </c>
      <c r="C1533" s="7">
        <f>SUMPRODUCT($C$3:$X$3,'batch tool'!$B1527:$W1527)+$Y$3</f>
        <v>-36.514029388465531</v>
      </c>
      <c r="D1533" s="7">
        <f>SUMPRODUCT($C$4:$X$4,'batch tool'!$B1527:$W1527)+$Y$4</f>
        <v>-44.639843068043824</v>
      </c>
      <c r="E1533" s="7">
        <f>SUMPRODUCT($C$5:$X$5,'batch tool'!$B1527:$W1527)+$Y$5</f>
        <v>-51.578889182477603</v>
      </c>
      <c r="F1533" s="7">
        <f>SUMPRODUCT($C$6:$X$6,'batch tool'!$B1527:$W1527)+$Y$6</f>
        <v>-47.741473633885199</v>
      </c>
      <c r="G1533" s="7">
        <f>SUMPRODUCT($C$7:$X$7,'batch tool'!$B1527:$W1527)+$Y$7</f>
        <v>-19.739516238059196</v>
      </c>
      <c r="H1533" s="7">
        <f t="shared" si="46"/>
        <v>-19.739516238059196</v>
      </c>
      <c r="I1533">
        <f t="shared" si="47"/>
        <v>6</v>
      </c>
      <c r="J1533" t="str" cm="1">
        <f t="array" ref="J1533">INDEX($A$2:$A$7,I1533)</f>
        <v>Segment 6- Self-Conscious Male</v>
      </c>
    </row>
    <row r="1534" spans="1:10" x14ac:dyDescent="0.25">
      <c r="A1534" s="1">
        <f>'batch tool'!A1528</f>
        <v>0</v>
      </c>
      <c r="B1534" s="7">
        <f>SUMPRODUCT($C$2:$X$2,'batch tool'!$B1528:$W1528)+$Y$2</f>
        <v>-49.12272534143483</v>
      </c>
      <c r="C1534" s="7">
        <f>SUMPRODUCT($C$3:$X$3,'batch tool'!$B1528:$W1528)+$Y$3</f>
        <v>-36.514029388465531</v>
      </c>
      <c r="D1534" s="7">
        <f>SUMPRODUCT($C$4:$X$4,'batch tool'!$B1528:$W1528)+$Y$4</f>
        <v>-44.639843068043824</v>
      </c>
      <c r="E1534" s="7">
        <f>SUMPRODUCT($C$5:$X$5,'batch tool'!$B1528:$W1528)+$Y$5</f>
        <v>-51.578889182477603</v>
      </c>
      <c r="F1534" s="7">
        <f>SUMPRODUCT($C$6:$X$6,'batch tool'!$B1528:$W1528)+$Y$6</f>
        <v>-47.741473633885199</v>
      </c>
      <c r="G1534" s="7">
        <f>SUMPRODUCT($C$7:$X$7,'batch tool'!$B1528:$W1528)+$Y$7</f>
        <v>-19.739516238059196</v>
      </c>
      <c r="H1534" s="7">
        <f t="shared" si="46"/>
        <v>-19.739516238059196</v>
      </c>
      <c r="I1534">
        <f t="shared" si="47"/>
        <v>6</v>
      </c>
      <c r="J1534" t="str" cm="1">
        <f t="array" ref="J1534">INDEX($A$2:$A$7,I1534)</f>
        <v>Segment 6- Self-Conscious Male</v>
      </c>
    </row>
    <row r="1535" spans="1:10" x14ac:dyDescent="0.25">
      <c r="A1535" s="1">
        <f>'batch tool'!A1529</f>
        <v>0</v>
      </c>
      <c r="B1535" s="7">
        <f>SUMPRODUCT($C$2:$X$2,'batch tool'!$B1529:$W1529)+$Y$2</f>
        <v>-49.12272534143483</v>
      </c>
      <c r="C1535" s="7">
        <f>SUMPRODUCT($C$3:$X$3,'batch tool'!$B1529:$W1529)+$Y$3</f>
        <v>-36.514029388465531</v>
      </c>
      <c r="D1535" s="7">
        <f>SUMPRODUCT($C$4:$X$4,'batch tool'!$B1529:$W1529)+$Y$4</f>
        <v>-44.639843068043824</v>
      </c>
      <c r="E1535" s="7">
        <f>SUMPRODUCT($C$5:$X$5,'batch tool'!$B1529:$W1529)+$Y$5</f>
        <v>-51.578889182477603</v>
      </c>
      <c r="F1535" s="7">
        <f>SUMPRODUCT($C$6:$X$6,'batch tool'!$B1529:$W1529)+$Y$6</f>
        <v>-47.741473633885199</v>
      </c>
      <c r="G1535" s="7">
        <f>SUMPRODUCT($C$7:$X$7,'batch tool'!$B1529:$W1529)+$Y$7</f>
        <v>-19.739516238059196</v>
      </c>
      <c r="H1535" s="7">
        <f t="shared" si="46"/>
        <v>-19.739516238059196</v>
      </c>
      <c r="I1535">
        <f t="shared" si="47"/>
        <v>6</v>
      </c>
      <c r="J1535" t="str" cm="1">
        <f t="array" ref="J1535">INDEX($A$2:$A$7,I1535)</f>
        <v>Segment 6- Self-Conscious Male</v>
      </c>
    </row>
    <row r="1536" spans="1:10" x14ac:dyDescent="0.25">
      <c r="A1536" s="1">
        <f>'batch tool'!A1530</f>
        <v>0</v>
      </c>
      <c r="B1536" s="7">
        <f>SUMPRODUCT($C$2:$X$2,'batch tool'!$B1530:$W1530)+$Y$2</f>
        <v>-49.12272534143483</v>
      </c>
      <c r="C1536" s="7">
        <f>SUMPRODUCT($C$3:$X$3,'batch tool'!$B1530:$W1530)+$Y$3</f>
        <v>-36.514029388465531</v>
      </c>
      <c r="D1536" s="7">
        <f>SUMPRODUCT($C$4:$X$4,'batch tool'!$B1530:$W1530)+$Y$4</f>
        <v>-44.639843068043824</v>
      </c>
      <c r="E1536" s="7">
        <f>SUMPRODUCT($C$5:$X$5,'batch tool'!$B1530:$W1530)+$Y$5</f>
        <v>-51.578889182477603</v>
      </c>
      <c r="F1536" s="7">
        <f>SUMPRODUCT($C$6:$X$6,'batch tool'!$B1530:$W1530)+$Y$6</f>
        <v>-47.741473633885199</v>
      </c>
      <c r="G1536" s="7">
        <f>SUMPRODUCT($C$7:$X$7,'batch tool'!$B1530:$W1530)+$Y$7</f>
        <v>-19.739516238059196</v>
      </c>
      <c r="H1536" s="7">
        <f t="shared" si="46"/>
        <v>-19.739516238059196</v>
      </c>
      <c r="I1536">
        <f t="shared" si="47"/>
        <v>6</v>
      </c>
      <c r="J1536" t="str" cm="1">
        <f t="array" ref="J1536">INDEX($A$2:$A$7,I1536)</f>
        <v>Segment 6- Self-Conscious Male</v>
      </c>
    </row>
    <row r="1537" spans="1:10" x14ac:dyDescent="0.25">
      <c r="A1537" s="1">
        <f>'batch tool'!A1531</f>
        <v>0</v>
      </c>
      <c r="B1537" s="7">
        <f>SUMPRODUCT($C$2:$X$2,'batch tool'!$B1531:$W1531)+$Y$2</f>
        <v>-49.12272534143483</v>
      </c>
      <c r="C1537" s="7">
        <f>SUMPRODUCT($C$3:$X$3,'batch tool'!$B1531:$W1531)+$Y$3</f>
        <v>-36.514029388465531</v>
      </c>
      <c r="D1537" s="7">
        <f>SUMPRODUCT($C$4:$X$4,'batch tool'!$B1531:$W1531)+$Y$4</f>
        <v>-44.639843068043824</v>
      </c>
      <c r="E1537" s="7">
        <f>SUMPRODUCT($C$5:$X$5,'batch tool'!$B1531:$W1531)+$Y$5</f>
        <v>-51.578889182477603</v>
      </c>
      <c r="F1537" s="7">
        <f>SUMPRODUCT($C$6:$X$6,'batch tool'!$B1531:$W1531)+$Y$6</f>
        <v>-47.741473633885199</v>
      </c>
      <c r="G1537" s="7">
        <f>SUMPRODUCT($C$7:$X$7,'batch tool'!$B1531:$W1531)+$Y$7</f>
        <v>-19.739516238059196</v>
      </c>
      <c r="H1537" s="7">
        <f t="shared" si="46"/>
        <v>-19.739516238059196</v>
      </c>
      <c r="I1537">
        <f t="shared" si="47"/>
        <v>6</v>
      </c>
      <c r="J1537" t="str" cm="1">
        <f t="array" ref="J1537">INDEX($A$2:$A$7,I1537)</f>
        <v>Segment 6- Self-Conscious Male</v>
      </c>
    </row>
    <row r="1538" spans="1:10" x14ac:dyDescent="0.25">
      <c r="A1538" s="1">
        <f>'batch tool'!A1532</f>
        <v>0</v>
      </c>
      <c r="B1538" s="7">
        <f>SUMPRODUCT($C$2:$X$2,'batch tool'!$B1532:$W1532)+$Y$2</f>
        <v>-49.12272534143483</v>
      </c>
      <c r="C1538" s="7">
        <f>SUMPRODUCT($C$3:$X$3,'batch tool'!$B1532:$W1532)+$Y$3</f>
        <v>-36.514029388465531</v>
      </c>
      <c r="D1538" s="7">
        <f>SUMPRODUCT($C$4:$X$4,'batch tool'!$B1532:$W1532)+$Y$4</f>
        <v>-44.639843068043824</v>
      </c>
      <c r="E1538" s="7">
        <f>SUMPRODUCT($C$5:$X$5,'batch tool'!$B1532:$W1532)+$Y$5</f>
        <v>-51.578889182477603</v>
      </c>
      <c r="F1538" s="7">
        <f>SUMPRODUCT($C$6:$X$6,'batch tool'!$B1532:$W1532)+$Y$6</f>
        <v>-47.741473633885199</v>
      </c>
      <c r="G1538" s="7">
        <f>SUMPRODUCT($C$7:$X$7,'batch tool'!$B1532:$W1532)+$Y$7</f>
        <v>-19.739516238059196</v>
      </c>
      <c r="H1538" s="7">
        <f t="shared" si="46"/>
        <v>-19.739516238059196</v>
      </c>
      <c r="I1538">
        <f t="shared" si="47"/>
        <v>6</v>
      </c>
      <c r="J1538" t="str" cm="1">
        <f t="array" ref="J1538">INDEX($A$2:$A$7,I1538)</f>
        <v>Segment 6- Self-Conscious Male</v>
      </c>
    </row>
    <row r="1539" spans="1:10" x14ac:dyDescent="0.25">
      <c r="A1539" s="1">
        <f>'batch tool'!A1533</f>
        <v>0</v>
      </c>
      <c r="B1539" s="7">
        <f>SUMPRODUCT($C$2:$X$2,'batch tool'!$B1533:$W1533)+$Y$2</f>
        <v>-49.12272534143483</v>
      </c>
      <c r="C1539" s="7">
        <f>SUMPRODUCT($C$3:$X$3,'batch tool'!$B1533:$W1533)+$Y$3</f>
        <v>-36.514029388465531</v>
      </c>
      <c r="D1539" s="7">
        <f>SUMPRODUCT($C$4:$X$4,'batch tool'!$B1533:$W1533)+$Y$4</f>
        <v>-44.639843068043824</v>
      </c>
      <c r="E1539" s="7">
        <f>SUMPRODUCT($C$5:$X$5,'batch tool'!$B1533:$W1533)+$Y$5</f>
        <v>-51.578889182477603</v>
      </c>
      <c r="F1539" s="7">
        <f>SUMPRODUCT($C$6:$X$6,'batch tool'!$B1533:$W1533)+$Y$6</f>
        <v>-47.741473633885199</v>
      </c>
      <c r="G1539" s="7">
        <f>SUMPRODUCT($C$7:$X$7,'batch tool'!$B1533:$W1533)+$Y$7</f>
        <v>-19.739516238059196</v>
      </c>
      <c r="H1539" s="7">
        <f t="shared" si="46"/>
        <v>-19.739516238059196</v>
      </c>
      <c r="I1539">
        <f t="shared" si="47"/>
        <v>6</v>
      </c>
      <c r="J1539" t="str" cm="1">
        <f t="array" ref="J1539">INDEX($A$2:$A$7,I1539)</f>
        <v>Segment 6- Self-Conscious Male</v>
      </c>
    </row>
    <row r="1540" spans="1:10" x14ac:dyDescent="0.25">
      <c r="A1540" s="1">
        <f>'batch tool'!A1534</f>
        <v>0</v>
      </c>
      <c r="B1540" s="7">
        <f>SUMPRODUCT($C$2:$X$2,'batch tool'!$B1534:$W1534)+$Y$2</f>
        <v>-49.12272534143483</v>
      </c>
      <c r="C1540" s="7">
        <f>SUMPRODUCT($C$3:$X$3,'batch tool'!$B1534:$W1534)+$Y$3</f>
        <v>-36.514029388465531</v>
      </c>
      <c r="D1540" s="7">
        <f>SUMPRODUCT($C$4:$X$4,'batch tool'!$B1534:$W1534)+$Y$4</f>
        <v>-44.639843068043824</v>
      </c>
      <c r="E1540" s="7">
        <f>SUMPRODUCT($C$5:$X$5,'batch tool'!$B1534:$W1534)+$Y$5</f>
        <v>-51.578889182477603</v>
      </c>
      <c r="F1540" s="7">
        <f>SUMPRODUCT($C$6:$X$6,'batch tool'!$B1534:$W1534)+$Y$6</f>
        <v>-47.741473633885199</v>
      </c>
      <c r="G1540" s="7">
        <f>SUMPRODUCT($C$7:$X$7,'batch tool'!$B1534:$W1534)+$Y$7</f>
        <v>-19.739516238059196</v>
      </c>
      <c r="H1540" s="7">
        <f t="shared" si="46"/>
        <v>-19.739516238059196</v>
      </c>
      <c r="I1540">
        <f t="shared" si="47"/>
        <v>6</v>
      </c>
      <c r="J1540" t="str" cm="1">
        <f t="array" ref="J1540">INDEX($A$2:$A$7,I1540)</f>
        <v>Segment 6- Self-Conscious Male</v>
      </c>
    </row>
    <row r="1541" spans="1:10" x14ac:dyDescent="0.25">
      <c r="A1541" s="1">
        <f>'batch tool'!A1535</f>
        <v>0</v>
      </c>
      <c r="B1541" s="7">
        <f>SUMPRODUCT($C$2:$X$2,'batch tool'!$B1535:$W1535)+$Y$2</f>
        <v>-49.12272534143483</v>
      </c>
      <c r="C1541" s="7">
        <f>SUMPRODUCT($C$3:$X$3,'batch tool'!$B1535:$W1535)+$Y$3</f>
        <v>-36.514029388465531</v>
      </c>
      <c r="D1541" s="7">
        <f>SUMPRODUCT($C$4:$X$4,'batch tool'!$B1535:$W1535)+$Y$4</f>
        <v>-44.639843068043824</v>
      </c>
      <c r="E1541" s="7">
        <f>SUMPRODUCT($C$5:$X$5,'batch tool'!$B1535:$W1535)+$Y$5</f>
        <v>-51.578889182477603</v>
      </c>
      <c r="F1541" s="7">
        <f>SUMPRODUCT($C$6:$X$6,'batch tool'!$B1535:$W1535)+$Y$6</f>
        <v>-47.741473633885199</v>
      </c>
      <c r="G1541" s="7">
        <f>SUMPRODUCT($C$7:$X$7,'batch tool'!$B1535:$W1535)+$Y$7</f>
        <v>-19.739516238059196</v>
      </c>
      <c r="H1541" s="7">
        <f t="shared" si="46"/>
        <v>-19.739516238059196</v>
      </c>
      <c r="I1541">
        <f t="shared" si="47"/>
        <v>6</v>
      </c>
      <c r="J1541" t="str" cm="1">
        <f t="array" ref="J1541">INDEX($A$2:$A$7,I1541)</f>
        <v>Segment 6- Self-Conscious Male</v>
      </c>
    </row>
    <row r="1542" spans="1:10" x14ac:dyDescent="0.25">
      <c r="A1542" s="1">
        <f>'batch tool'!A1536</f>
        <v>0</v>
      </c>
      <c r="B1542" s="7">
        <f>SUMPRODUCT($C$2:$X$2,'batch tool'!$B1536:$W1536)+$Y$2</f>
        <v>-49.12272534143483</v>
      </c>
      <c r="C1542" s="7">
        <f>SUMPRODUCT($C$3:$X$3,'batch tool'!$B1536:$W1536)+$Y$3</f>
        <v>-36.514029388465531</v>
      </c>
      <c r="D1542" s="7">
        <f>SUMPRODUCT($C$4:$X$4,'batch tool'!$B1536:$W1536)+$Y$4</f>
        <v>-44.639843068043824</v>
      </c>
      <c r="E1542" s="7">
        <f>SUMPRODUCT($C$5:$X$5,'batch tool'!$B1536:$W1536)+$Y$5</f>
        <v>-51.578889182477603</v>
      </c>
      <c r="F1542" s="7">
        <f>SUMPRODUCT($C$6:$X$6,'batch tool'!$B1536:$W1536)+$Y$6</f>
        <v>-47.741473633885199</v>
      </c>
      <c r="G1542" s="7">
        <f>SUMPRODUCT($C$7:$X$7,'batch tool'!$B1536:$W1536)+$Y$7</f>
        <v>-19.739516238059196</v>
      </c>
      <c r="H1542" s="7">
        <f t="shared" si="46"/>
        <v>-19.739516238059196</v>
      </c>
      <c r="I1542">
        <f t="shared" si="47"/>
        <v>6</v>
      </c>
      <c r="J1542" t="str" cm="1">
        <f t="array" ref="J1542">INDEX($A$2:$A$7,I1542)</f>
        <v>Segment 6- Self-Conscious Male</v>
      </c>
    </row>
    <row r="1543" spans="1:10" x14ac:dyDescent="0.25">
      <c r="A1543" s="1">
        <f>'batch tool'!A1537</f>
        <v>0</v>
      </c>
      <c r="B1543" s="7">
        <f>SUMPRODUCT($C$2:$X$2,'batch tool'!$B1537:$W1537)+$Y$2</f>
        <v>-49.12272534143483</v>
      </c>
      <c r="C1543" s="7">
        <f>SUMPRODUCT($C$3:$X$3,'batch tool'!$B1537:$W1537)+$Y$3</f>
        <v>-36.514029388465531</v>
      </c>
      <c r="D1543" s="7">
        <f>SUMPRODUCT($C$4:$X$4,'batch tool'!$B1537:$W1537)+$Y$4</f>
        <v>-44.639843068043824</v>
      </c>
      <c r="E1543" s="7">
        <f>SUMPRODUCT($C$5:$X$5,'batch tool'!$B1537:$W1537)+$Y$5</f>
        <v>-51.578889182477603</v>
      </c>
      <c r="F1543" s="7">
        <f>SUMPRODUCT($C$6:$X$6,'batch tool'!$B1537:$W1537)+$Y$6</f>
        <v>-47.741473633885199</v>
      </c>
      <c r="G1543" s="7">
        <f>SUMPRODUCT($C$7:$X$7,'batch tool'!$B1537:$W1537)+$Y$7</f>
        <v>-19.739516238059196</v>
      </c>
      <c r="H1543" s="7">
        <f t="shared" si="46"/>
        <v>-19.739516238059196</v>
      </c>
      <c r="I1543">
        <f t="shared" si="47"/>
        <v>6</v>
      </c>
      <c r="J1543" t="str" cm="1">
        <f t="array" ref="J1543">INDEX($A$2:$A$7,I1543)</f>
        <v>Segment 6- Self-Conscious Male</v>
      </c>
    </row>
    <row r="1544" spans="1:10" x14ac:dyDescent="0.25">
      <c r="A1544" s="1">
        <f>'batch tool'!A1538</f>
        <v>0</v>
      </c>
      <c r="B1544" s="7">
        <f>SUMPRODUCT($C$2:$X$2,'batch tool'!$B1538:$W1538)+$Y$2</f>
        <v>-49.12272534143483</v>
      </c>
      <c r="C1544" s="7">
        <f>SUMPRODUCT($C$3:$X$3,'batch tool'!$B1538:$W1538)+$Y$3</f>
        <v>-36.514029388465531</v>
      </c>
      <c r="D1544" s="7">
        <f>SUMPRODUCT($C$4:$X$4,'batch tool'!$B1538:$W1538)+$Y$4</f>
        <v>-44.639843068043824</v>
      </c>
      <c r="E1544" s="7">
        <f>SUMPRODUCT($C$5:$X$5,'batch tool'!$B1538:$W1538)+$Y$5</f>
        <v>-51.578889182477603</v>
      </c>
      <c r="F1544" s="7">
        <f>SUMPRODUCT($C$6:$X$6,'batch tool'!$B1538:$W1538)+$Y$6</f>
        <v>-47.741473633885199</v>
      </c>
      <c r="G1544" s="7">
        <f>SUMPRODUCT($C$7:$X$7,'batch tool'!$B1538:$W1538)+$Y$7</f>
        <v>-19.739516238059196</v>
      </c>
      <c r="H1544" s="7">
        <f t="shared" si="46"/>
        <v>-19.739516238059196</v>
      </c>
      <c r="I1544">
        <f t="shared" si="47"/>
        <v>6</v>
      </c>
      <c r="J1544" t="str" cm="1">
        <f t="array" ref="J1544">INDEX($A$2:$A$7,I1544)</f>
        <v>Segment 6- Self-Conscious Male</v>
      </c>
    </row>
    <row r="1545" spans="1:10" x14ac:dyDescent="0.25">
      <c r="A1545" s="1">
        <f>'batch tool'!A1539</f>
        <v>0</v>
      </c>
      <c r="B1545" s="7">
        <f>SUMPRODUCT($C$2:$X$2,'batch tool'!$B1539:$W1539)+$Y$2</f>
        <v>-49.12272534143483</v>
      </c>
      <c r="C1545" s="7">
        <f>SUMPRODUCT($C$3:$X$3,'batch tool'!$B1539:$W1539)+$Y$3</f>
        <v>-36.514029388465531</v>
      </c>
      <c r="D1545" s="7">
        <f>SUMPRODUCT($C$4:$X$4,'batch tool'!$B1539:$W1539)+$Y$4</f>
        <v>-44.639843068043824</v>
      </c>
      <c r="E1545" s="7">
        <f>SUMPRODUCT($C$5:$X$5,'batch tool'!$B1539:$W1539)+$Y$5</f>
        <v>-51.578889182477603</v>
      </c>
      <c r="F1545" s="7">
        <f>SUMPRODUCT($C$6:$X$6,'batch tool'!$B1539:$W1539)+$Y$6</f>
        <v>-47.741473633885199</v>
      </c>
      <c r="G1545" s="7">
        <f>SUMPRODUCT($C$7:$X$7,'batch tool'!$B1539:$W1539)+$Y$7</f>
        <v>-19.739516238059196</v>
      </c>
      <c r="H1545" s="7">
        <f t="shared" si="46"/>
        <v>-19.739516238059196</v>
      </c>
      <c r="I1545">
        <f t="shared" si="47"/>
        <v>6</v>
      </c>
      <c r="J1545" t="str" cm="1">
        <f t="array" ref="J1545">INDEX($A$2:$A$7,I1545)</f>
        <v>Segment 6- Self-Conscious Male</v>
      </c>
    </row>
    <row r="1546" spans="1:10" x14ac:dyDescent="0.25">
      <c r="A1546" s="1">
        <f>'batch tool'!A1540</f>
        <v>0</v>
      </c>
      <c r="B1546" s="7">
        <f>SUMPRODUCT($C$2:$X$2,'batch tool'!$B1540:$W1540)+$Y$2</f>
        <v>-49.12272534143483</v>
      </c>
      <c r="C1546" s="7">
        <f>SUMPRODUCT($C$3:$X$3,'batch tool'!$B1540:$W1540)+$Y$3</f>
        <v>-36.514029388465531</v>
      </c>
      <c r="D1546" s="7">
        <f>SUMPRODUCT($C$4:$X$4,'batch tool'!$B1540:$W1540)+$Y$4</f>
        <v>-44.639843068043824</v>
      </c>
      <c r="E1546" s="7">
        <f>SUMPRODUCT($C$5:$X$5,'batch tool'!$B1540:$W1540)+$Y$5</f>
        <v>-51.578889182477603</v>
      </c>
      <c r="F1546" s="7">
        <f>SUMPRODUCT($C$6:$X$6,'batch tool'!$B1540:$W1540)+$Y$6</f>
        <v>-47.741473633885199</v>
      </c>
      <c r="G1546" s="7">
        <f>SUMPRODUCT($C$7:$X$7,'batch tool'!$B1540:$W1540)+$Y$7</f>
        <v>-19.739516238059196</v>
      </c>
      <c r="H1546" s="7">
        <f t="shared" si="46"/>
        <v>-19.739516238059196</v>
      </c>
      <c r="I1546">
        <f t="shared" si="47"/>
        <v>6</v>
      </c>
      <c r="J1546" t="str" cm="1">
        <f t="array" ref="J1546">INDEX($A$2:$A$7,I1546)</f>
        <v>Segment 6- Self-Conscious Male</v>
      </c>
    </row>
    <row r="1547" spans="1:10" x14ac:dyDescent="0.25">
      <c r="A1547" s="1">
        <f>'batch tool'!A1541</f>
        <v>0</v>
      </c>
      <c r="B1547" s="7">
        <f>SUMPRODUCT($C$2:$X$2,'batch tool'!$B1541:$W1541)+$Y$2</f>
        <v>-49.12272534143483</v>
      </c>
      <c r="C1547" s="7">
        <f>SUMPRODUCT($C$3:$X$3,'batch tool'!$B1541:$W1541)+$Y$3</f>
        <v>-36.514029388465531</v>
      </c>
      <c r="D1547" s="7">
        <f>SUMPRODUCT($C$4:$X$4,'batch tool'!$B1541:$W1541)+$Y$4</f>
        <v>-44.639843068043824</v>
      </c>
      <c r="E1547" s="7">
        <f>SUMPRODUCT($C$5:$X$5,'batch tool'!$B1541:$W1541)+$Y$5</f>
        <v>-51.578889182477603</v>
      </c>
      <c r="F1547" s="7">
        <f>SUMPRODUCT($C$6:$X$6,'batch tool'!$B1541:$W1541)+$Y$6</f>
        <v>-47.741473633885199</v>
      </c>
      <c r="G1547" s="7">
        <f>SUMPRODUCT($C$7:$X$7,'batch tool'!$B1541:$W1541)+$Y$7</f>
        <v>-19.739516238059196</v>
      </c>
      <c r="H1547" s="7">
        <f t="shared" ref="H1547:H1610" si="48">MAX(B1547:G1547)</f>
        <v>-19.739516238059196</v>
      </c>
      <c r="I1547">
        <f t="shared" ref="I1547:I1610" si="49">MATCH(H1547,B1547:G1547,0)</f>
        <v>6</v>
      </c>
      <c r="J1547" t="str" cm="1">
        <f t="array" ref="J1547">INDEX($A$2:$A$7,I1547)</f>
        <v>Segment 6- Self-Conscious Male</v>
      </c>
    </row>
    <row r="1548" spans="1:10" x14ac:dyDescent="0.25">
      <c r="A1548" s="1">
        <f>'batch tool'!A1542</f>
        <v>0</v>
      </c>
      <c r="B1548" s="7">
        <f>SUMPRODUCT($C$2:$X$2,'batch tool'!$B1542:$W1542)+$Y$2</f>
        <v>-49.12272534143483</v>
      </c>
      <c r="C1548" s="7">
        <f>SUMPRODUCT($C$3:$X$3,'batch tool'!$B1542:$W1542)+$Y$3</f>
        <v>-36.514029388465531</v>
      </c>
      <c r="D1548" s="7">
        <f>SUMPRODUCT($C$4:$X$4,'batch tool'!$B1542:$W1542)+$Y$4</f>
        <v>-44.639843068043824</v>
      </c>
      <c r="E1548" s="7">
        <f>SUMPRODUCT($C$5:$X$5,'batch tool'!$B1542:$W1542)+$Y$5</f>
        <v>-51.578889182477603</v>
      </c>
      <c r="F1548" s="7">
        <f>SUMPRODUCT($C$6:$X$6,'batch tool'!$B1542:$W1542)+$Y$6</f>
        <v>-47.741473633885199</v>
      </c>
      <c r="G1548" s="7">
        <f>SUMPRODUCT($C$7:$X$7,'batch tool'!$B1542:$W1542)+$Y$7</f>
        <v>-19.739516238059196</v>
      </c>
      <c r="H1548" s="7">
        <f t="shared" si="48"/>
        <v>-19.739516238059196</v>
      </c>
      <c r="I1548">
        <f t="shared" si="49"/>
        <v>6</v>
      </c>
      <c r="J1548" t="str" cm="1">
        <f t="array" ref="J1548">INDEX($A$2:$A$7,I1548)</f>
        <v>Segment 6- Self-Conscious Male</v>
      </c>
    </row>
    <row r="1549" spans="1:10" x14ac:dyDescent="0.25">
      <c r="A1549" s="1">
        <f>'batch tool'!A1543</f>
        <v>0</v>
      </c>
      <c r="B1549" s="7">
        <f>SUMPRODUCT($C$2:$X$2,'batch tool'!$B1543:$W1543)+$Y$2</f>
        <v>-49.12272534143483</v>
      </c>
      <c r="C1549" s="7">
        <f>SUMPRODUCT($C$3:$X$3,'batch tool'!$B1543:$W1543)+$Y$3</f>
        <v>-36.514029388465531</v>
      </c>
      <c r="D1549" s="7">
        <f>SUMPRODUCT($C$4:$X$4,'batch tool'!$B1543:$W1543)+$Y$4</f>
        <v>-44.639843068043824</v>
      </c>
      <c r="E1549" s="7">
        <f>SUMPRODUCT($C$5:$X$5,'batch tool'!$B1543:$W1543)+$Y$5</f>
        <v>-51.578889182477603</v>
      </c>
      <c r="F1549" s="7">
        <f>SUMPRODUCT($C$6:$X$6,'batch tool'!$B1543:$W1543)+$Y$6</f>
        <v>-47.741473633885199</v>
      </c>
      <c r="G1549" s="7">
        <f>SUMPRODUCT($C$7:$X$7,'batch tool'!$B1543:$W1543)+$Y$7</f>
        <v>-19.739516238059196</v>
      </c>
      <c r="H1549" s="7">
        <f t="shared" si="48"/>
        <v>-19.739516238059196</v>
      </c>
      <c r="I1549">
        <f t="shared" si="49"/>
        <v>6</v>
      </c>
      <c r="J1549" t="str" cm="1">
        <f t="array" ref="J1549">INDEX($A$2:$A$7,I1549)</f>
        <v>Segment 6- Self-Conscious Male</v>
      </c>
    </row>
    <row r="1550" spans="1:10" x14ac:dyDescent="0.25">
      <c r="A1550" s="1">
        <f>'batch tool'!A1544</f>
        <v>0</v>
      </c>
      <c r="B1550" s="7">
        <f>SUMPRODUCT($C$2:$X$2,'batch tool'!$B1544:$W1544)+$Y$2</f>
        <v>-49.12272534143483</v>
      </c>
      <c r="C1550" s="7">
        <f>SUMPRODUCT($C$3:$X$3,'batch tool'!$B1544:$W1544)+$Y$3</f>
        <v>-36.514029388465531</v>
      </c>
      <c r="D1550" s="7">
        <f>SUMPRODUCT($C$4:$X$4,'batch tool'!$B1544:$W1544)+$Y$4</f>
        <v>-44.639843068043824</v>
      </c>
      <c r="E1550" s="7">
        <f>SUMPRODUCT($C$5:$X$5,'batch tool'!$B1544:$W1544)+$Y$5</f>
        <v>-51.578889182477603</v>
      </c>
      <c r="F1550" s="7">
        <f>SUMPRODUCT($C$6:$X$6,'batch tool'!$B1544:$W1544)+$Y$6</f>
        <v>-47.741473633885199</v>
      </c>
      <c r="G1550" s="7">
        <f>SUMPRODUCT($C$7:$X$7,'batch tool'!$B1544:$W1544)+$Y$7</f>
        <v>-19.739516238059196</v>
      </c>
      <c r="H1550" s="7">
        <f t="shared" si="48"/>
        <v>-19.739516238059196</v>
      </c>
      <c r="I1550">
        <f t="shared" si="49"/>
        <v>6</v>
      </c>
      <c r="J1550" t="str" cm="1">
        <f t="array" ref="J1550">INDEX($A$2:$A$7,I1550)</f>
        <v>Segment 6- Self-Conscious Male</v>
      </c>
    </row>
    <row r="1551" spans="1:10" x14ac:dyDescent="0.25">
      <c r="A1551" s="1">
        <f>'batch tool'!A1545</f>
        <v>0</v>
      </c>
      <c r="B1551" s="7">
        <f>SUMPRODUCT($C$2:$X$2,'batch tool'!$B1545:$W1545)+$Y$2</f>
        <v>-49.12272534143483</v>
      </c>
      <c r="C1551" s="7">
        <f>SUMPRODUCT($C$3:$X$3,'batch tool'!$B1545:$W1545)+$Y$3</f>
        <v>-36.514029388465531</v>
      </c>
      <c r="D1551" s="7">
        <f>SUMPRODUCT($C$4:$X$4,'batch tool'!$B1545:$W1545)+$Y$4</f>
        <v>-44.639843068043824</v>
      </c>
      <c r="E1551" s="7">
        <f>SUMPRODUCT($C$5:$X$5,'batch tool'!$B1545:$W1545)+$Y$5</f>
        <v>-51.578889182477603</v>
      </c>
      <c r="F1551" s="7">
        <f>SUMPRODUCT($C$6:$X$6,'batch tool'!$B1545:$W1545)+$Y$6</f>
        <v>-47.741473633885199</v>
      </c>
      <c r="G1551" s="7">
        <f>SUMPRODUCT($C$7:$X$7,'batch tool'!$B1545:$W1545)+$Y$7</f>
        <v>-19.739516238059196</v>
      </c>
      <c r="H1551" s="7">
        <f t="shared" si="48"/>
        <v>-19.739516238059196</v>
      </c>
      <c r="I1551">
        <f t="shared" si="49"/>
        <v>6</v>
      </c>
      <c r="J1551" t="str" cm="1">
        <f t="array" ref="J1551">INDEX($A$2:$A$7,I1551)</f>
        <v>Segment 6- Self-Conscious Male</v>
      </c>
    </row>
    <row r="1552" spans="1:10" x14ac:dyDescent="0.25">
      <c r="A1552" s="1">
        <f>'batch tool'!A1546</f>
        <v>0</v>
      </c>
      <c r="B1552" s="7">
        <f>SUMPRODUCT($C$2:$X$2,'batch tool'!$B1546:$W1546)+$Y$2</f>
        <v>-49.12272534143483</v>
      </c>
      <c r="C1552" s="7">
        <f>SUMPRODUCT($C$3:$X$3,'batch tool'!$B1546:$W1546)+$Y$3</f>
        <v>-36.514029388465531</v>
      </c>
      <c r="D1552" s="7">
        <f>SUMPRODUCT($C$4:$X$4,'batch tool'!$B1546:$W1546)+$Y$4</f>
        <v>-44.639843068043824</v>
      </c>
      <c r="E1552" s="7">
        <f>SUMPRODUCT($C$5:$X$5,'batch tool'!$B1546:$W1546)+$Y$5</f>
        <v>-51.578889182477603</v>
      </c>
      <c r="F1552" s="7">
        <f>SUMPRODUCT($C$6:$X$6,'batch tool'!$B1546:$W1546)+$Y$6</f>
        <v>-47.741473633885199</v>
      </c>
      <c r="G1552" s="7">
        <f>SUMPRODUCT($C$7:$X$7,'batch tool'!$B1546:$W1546)+$Y$7</f>
        <v>-19.739516238059196</v>
      </c>
      <c r="H1552" s="7">
        <f t="shared" si="48"/>
        <v>-19.739516238059196</v>
      </c>
      <c r="I1552">
        <f t="shared" si="49"/>
        <v>6</v>
      </c>
      <c r="J1552" t="str" cm="1">
        <f t="array" ref="J1552">INDEX($A$2:$A$7,I1552)</f>
        <v>Segment 6- Self-Conscious Male</v>
      </c>
    </row>
    <row r="1553" spans="1:10" x14ac:dyDescent="0.25">
      <c r="A1553" s="1">
        <f>'batch tool'!A1547</f>
        <v>0</v>
      </c>
      <c r="B1553" s="7">
        <f>SUMPRODUCT($C$2:$X$2,'batch tool'!$B1547:$W1547)+$Y$2</f>
        <v>-49.12272534143483</v>
      </c>
      <c r="C1553" s="7">
        <f>SUMPRODUCT($C$3:$X$3,'batch tool'!$B1547:$W1547)+$Y$3</f>
        <v>-36.514029388465531</v>
      </c>
      <c r="D1553" s="7">
        <f>SUMPRODUCT($C$4:$X$4,'batch tool'!$B1547:$W1547)+$Y$4</f>
        <v>-44.639843068043824</v>
      </c>
      <c r="E1553" s="7">
        <f>SUMPRODUCT($C$5:$X$5,'batch tool'!$B1547:$W1547)+$Y$5</f>
        <v>-51.578889182477603</v>
      </c>
      <c r="F1553" s="7">
        <f>SUMPRODUCT($C$6:$X$6,'batch tool'!$B1547:$W1547)+$Y$6</f>
        <v>-47.741473633885199</v>
      </c>
      <c r="G1553" s="7">
        <f>SUMPRODUCT($C$7:$X$7,'batch tool'!$B1547:$W1547)+$Y$7</f>
        <v>-19.739516238059196</v>
      </c>
      <c r="H1553" s="7">
        <f t="shared" si="48"/>
        <v>-19.739516238059196</v>
      </c>
      <c r="I1553">
        <f t="shared" si="49"/>
        <v>6</v>
      </c>
      <c r="J1553" t="str" cm="1">
        <f t="array" ref="J1553">INDEX($A$2:$A$7,I1553)</f>
        <v>Segment 6- Self-Conscious Male</v>
      </c>
    </row>
    <row r="1554" spans="1:10" x14ac:dyDescent="0.25">
      <c r="A1554" s="1">
        <f>'batch tool'!A1548</f>
        <v>0</v>
      </c>
      <c r="B1554" s="7">
        <f>SUMPRODUCT($C$2:$X$2,'batch tool'!$B1548:$W1548)+$Y$2</f>
        <v>-49.12272534143483</v>
      </c>
      <c r="C1554" s="7">
        <f>SUMPRODUCT($C$3:$X$3,'batch tool'!$B1548:$W1548)+$Y$3</f>
        <v>-36.514029388465531</v>
      </c>
      <c r="D1554" s="7">
        <f>SUMPRODUCT($C$4:$X$4,'batch tool'!$B1548:$W1548)+$Y$4</f>
        <v>-44.639843068043824</v>
      </c>
      <c r="E1554" s="7">
        <f>SUMPRODUCT($C$5:$X$5,'batch tool'!$B1548:$W1548)+$Y$5</f>
        <v>-51.578889182477603</v>
      </c>
      <c r="F1554" s="7">
        <f>SUMPRODUCT($C$6:$X$6,'batch tool'!$B1548:$W1548)+$Y$6</f>
        <v>-47.741473633885199</v>
      </c>
      <c r="G1554" s="7">
        <f>SUMPRODUCT($C$7:$X$7,'batch tool'!$B1548:$W1548)+$Y$7</f>
        <v>-19.739516238059196</v>
      </c>
      <c r="H1554" s="7">
        <f t="shared" si="48"/>
        <v>-19.739516238059196</v>
      </c>
      <c r="I1554">
        <f t="shared" si="49"/>
        <v>6</v>
      </c>
      <c r="J1554" t="str" cm="1">
        <f t="array" ref="J1554">INDEX($A$2:$A$7,I1554)</f>
        <v>Segment 6- Self-Conscious Male</v>
      </c>
    </row>
    <row r="1555" spans="1:10" x14ac:dyDescent="0.25">
      <c r="A1555" s="1">
        <f>'batch tool'!A1549</f>
        <v>0</v>
      </c>
      <c r="B1555" s="7">
        <f>SUMPRODUCT($C$2:$X$2,'batch tool'!$B1549:$W1549)+$Y$2</f>
        <v>-49.12272534143483</v>
      </c>
      <c r="C1555" s="7">
        <f>SUMPRODUCT($C$3:$X$3,'batch tool'!$B1549:$W1549)+$Y$3</f>
        <v>-36.514029388465531</v>
      </c>
      <c r="D1555" s="7">
        <f>SUMPRODUCT($C$4:$X$4,'batch tool'!$B1549:$W1549)+$Y$4</f>
        <v>-44.639843068043824</v>
      </c>
      <c r="E1555" s="7">
        <f>SUMPRODUCT($C$5:$X$5,'batch tool'!$B1549:$W1549)+$Y$5</f>
        <v>-51.578889182477603</v>
      </c>
      <c r="F1555" s="7">
        <f>SUMPRODUCT($C$6:$X$6,'batch tool'!$B1549:$W1549)+$Y$6</f>
        <v>-47.741473633885199</v>
      </c>
      <c r="G1555" s="7">
        <f>SUMPRODUCT($C$7:$X$7,'batch tool'!$B1549:$W1549)+$Y$7</f>
        <v>-19.739516238059196</v>
      </c>
      <c r="H1555" s="7">
        <f t="shared" si="48"/>
        <v>-19.739516238059196</v>
      </c>
      <c r="I1555">
        <f t="shared" si="49"/>
        <v>6</v>
      </c>
      <c r="J1555" t="str" cm="1">
        <f t="array" ref="J1555">INDEX($A$2:$A$7,I1555)</f>
        <v>Segment 6- Self-Conscious Male</v>
      </c>
    </row>
    <row r="1556" spans="1:10" x14ac:dyDescent="0.25">
      <c r="A1556" s="1">
        <f>'batch tool'!A1550</f>
        <v>0</v>
      </c>
      <c r="B1556" s="7">
        <f>SUMPRODUCT($C$2:$X$2,'batch tool'!$B1550:$W1550)+$Y$2</f>
        <v>-49.12272534143483</v>
      </c>
      <c r="C1556" s="7">
        <f>SUMPRODUCT($C$3:$X$3,'batch tool'!$B1550:$W1550)+$Y$3</f>
        <v>-36.514029388465531</v>
      </c>
      <c r="D1556" s="7">
        <f>SUMPRODUCT($C$4:$X$4,'batch tool'!$B1550:$W1550)+$Y$4</f>
        <v>-44.639843068043824</v>
      </c>
      <c r="E1556" s="7">
        <f>SUMPRODUCT($C$5:$X$5,'batch tool'!$B1550:$W1550)+$Y$5</f>
        <v>-51.578889182477603</v>
      </c>
      <c r="F1556" s="7">
        <f>SUMPRODUCT($C$6:$X$6,'batch tool'!$B1550:$W1550)+$Y$6</f>
        <v>-47.741473633885199</v>
      </c>
      <c r="G1556" s="7">
        <f>SUMPRODUCT($C$7:$X$7,'batch tool'!$B1550:$W1550)+$Y$7</f>
        <v>-19.739516238059196</v>
      </c>
      <c r="H1556" s="7">
        <f t="shared" si="48"/>
        <v>-19.739516238059196</v>
      </c>
      <c r="I1556">
        <f t="shared" si="49"/>
        <v>6</v>
      </c>
      <c r="J1556" t="str" cm="1">
        <f t="array" ref="J1556">INDEX($A$2:$A$7,I1556)</f>
        <v>Segment 6- Self-Conscious Male</v>
      </c>
    </row>
    <row r="1557" spans="1:10" x14ac:dyDescent="0.25">
      <c r="A1557" s="1">
        <f>'batch tool'!A1551</f>
        <v>0</v>
      </c>
      <c r="B1557" s="7">
        <f>SUMPRODUCT($C$2:$X$2,'batch tool'!$B1551:$W1551)+$Y$2</f>
        <v>-49.12272534143483</v>
      </c>
      <c r="C1557" s="7">
        <f>SUMPRODUCT($C$3:$X$3,'batch tool'!$B1551:$W1551)+$Y$3</f>
        <v>-36.514029388465531</v>
      </c>
      <c r="D1557" s="7">
        <f>SUMPRODUCT($C$4:$X$4,'batch tool'!$B1551:$W1551)+$Y$4</f>
        <v>-44.639843068043824</v>
      </c>
      <c r="E1557" s="7">
        <f>SUMPRODUCT($C$5:$X$5,'batch tool'!$B1551:$W1551)+$Y$5</f>
        <v>-51.578889182477603</v>
      </c>
      <c r="F1557" s="7">
        <f>SUMPRODUCT($C$6:$X$6,'batch tool'!$B1551:$W1551)+$Y$6</f>
        <v>-47.741473633885199</v>
      </c>
      <c r="G1557" s="7">
        <f>SUMPRODUCT($C$7:$X$7,'batch tool'!$B1551:$W1551)+$Y$7</f>
        <v>-19.739516238059196</v>
      </c>
      <c r="H1557" s="7">
        <f t="shared" si="48"/>
        <v>-19.739516238059196</v>
      </c>
      <c r="I1557">
        <f t="shared" si="49"/>
        <v>6</v>
      </c>
      <c r="J1557" t="str" cm="1">
        <f t="array" ref="J1557">INDEX($A$2:$A$7,I1557)</f>
        <v>Segment 6- Self-Conscious Male</v>
      </c>
    </row>
    <row r="1558" spans="1:10" x14ac:dyDescent="0.25">
      <c r="A1558" s="1">
        <f>'batch tool'!A1552</f>
        <v>0</v>
      </c>
      <c r="B1558" s="7">
        <f>SUMPRODUCT($C$2:$X$2,'batch tool'!$B1552:$W1552)+$Y$2</f>
        <v>-49.12272534143483</v>
      </c>
      <c r="C1558" s="7">
        <f>SUMPRODUCT($C$3:$X$3,'batch tool'!$B1552:$W1552)+$Y$3</f>
        <v>-36.514029388465531</v>
      </c>
      <c r="D1558" s="7">
        <f>SUMPRODUCT($C$4:$X$4,'batch tool'!$B1552:$W1552)+$Y$4</f>
        <v>-44.639843068043824</v>
      </c>
      <c r="E1558" s="7">
        <f>SUMPRODUCT($C$5:$X$5,'batch tool'!$B1552:$W1552)+$Y$5</f>
        <v>-51.578889182477603</v>
      </c>
      <c r="F1558" s="7">
        <f>SUMPRODUCT($C$6:$X$6,'batch tool'!$B1552:$W1552)+$Y$6</f>
        <v>-47.741473633885199</v>
      </c>
      <c r="G1558" s="7">
        <f>SUMPRODUCT($C$7:$X$7,'batch tool'!$B1552:$W1552)+$Y$7</f>
        <v>-19.739516238059196</v>
      </c>
      <c r="H1558" s="7">
        <f t="shared" si="48"/>
        <v>-19.739516238059196</v>
      </c>
      <c r="I1558">
        <f t="shared" si="49"/>
        <v>6</v>
      </c>
      <c r="J1558" t="str" cm="1">
        <f t="array" ref="J1558">INDEX($A$2:$A$7,I1558)</f>
        <v>Segment 6- Self-Conscious Male</v>
      </c>
    </row>
    <row r="1559" spans="1:10" x14ac:dyDescent="0.25">
      <c r="A1559" s="1">
        <f>'batch tool'!A1553</f>
        <v>0</v>
      </c>
      <c r="B1559" s="7">
        <f>SUMPRODUCT($C$2:$X$2,'batch tool'!$B1553:$W1553)+$Y$2</f>
        <v>-49.12272534143483</v>
      </c>
      <c r="C1559" s="7">
        <f>SUMPRODUCT($C$3:$X$3,'batch tool'!$B1553:$W1553)+$Y$3</f>
        <v>-36.514029388465531</v>
      </c>
      <c r="D1559" s="7">
        <f>SUMPRODUCT($C$4:$X$4,'batch tool'!$B1553:$W1553)+$Y$4</f>
        <v>-44.639843068043824</v>
      </c>
      <c r="E1559" s="7">
        <f>SUMPRODUCT($C$5:$X$5,'batch tool'!$B1553:$W1553)+$Y$5</f>
        <v>-51.578889182477603</v>
      </c>
      <c r="F1559" s="7">
        <f>SUMPRODUCT($C$6:$X$6,'batch tool'!$B1553:$W1553)+$Y$6</f>
        <v>-47.741473633885199</v>
      </c>
      <c r="G1559" s="7">
        <f>SUMPRODUCT($C$7:$X$7,'batch tool'!$B1553:$W1553)+$Y$7</f>
        <v>-19.739516238059196</v>
      </c>
      <c r="H1559" s="7">
        <f t="shared" si="48"/>
        <v>-19.739516238059196</v>
      </c>
      <c r="I1559">
        <f t="shared" si="49"/>
        <v>6</v>
      </c>
      <c r="J1559" t="str" cm="1">
        <f t="array" ref="J1559">INDEX($A$2:$A$7,I1559)</f>
        <v>Segment 6- Self-Conscious Male</v>
      </c>
    </row>
    <row r="1560" spans="1:10" x14ac:dyDescent="0.25">
      <c r="A1560" s="1">
        <f>'batch tool'!A1554</f>
        <v>0</v>
      </c>
      <c r="B1560" s="7">
        <f>SUMPRODUCT($C$2:$X$2,'batch tool'!$B1554:$W1554)+$Y$2</f>
        <v>-49.12272534143483</v>
      </c>
      <c r="C1560" s="7">
        <f>SUMPRODUCT($C$3:$X$3,'batch tool'!$B1554:$W1554)+$Y$3</f>
        <v>-36.514029388465531</v>
      </c>
      <c r="D1560" s="7">
        <f>SUMPRODUCT($C$4:$X$4,'batch tool'!$B1554:$W1554)+$Y$4</f>
        <v>-44.639843068043824</v>
      </c>
      <c r="E1560" s="7">
        <f>SUMPRODUCT($C$5:$X$5,'batch tool'!$B1554:$W1554)+$Y$5</f>
        <v>-51.578889182477603</v>
      </c>
      <c r="F1560" s="7">
        <f>SUMPRODUCT($C$6:$X$6,'batch tool'!$B1554:$W1554)+$Y$6</f>
        <v>-47.741473633885199</v>
      </c>
      <c r="G1560" s="7">
        <f>SUMPRODUCT($C$7:$X$7,'batch tool'!$B1554:$W1554)+$Y$7</f>
        <v>-19.739516238059196</v>
      </c>
      <c r="H1560" s="7">
        <f t="shared" si="48"/>
        <v>-19.739516238059196</v>
      </c>
      <c r="I1560">
        <f t="shared" si="49"/>
        <v>6</v>
      </c>
      <c r="J1560" t="str" cm="1">
        <f t="array" ref="J1560">INDEX($A$2:$A$7,I1560)</f>
        <v>Segment 6- Self-Conscious Male</v>
      </c>
    </row>
    <row r="1561" spans="1:10" x14ac:dyDescent="0.25">
      <c r="A1561" s="1">
        <f>'batch tool'!A1555</f>
        <v>0</v>
      </c>
      <c r="B1561" s="7">
        <f>SUMPRODUCT($C$2:$X$2,'batch tool'!$B1555:$W1555)+$Y$2</f>
        <v>-49.12272534143483</v>
      </c>
      <c r="C1561" s="7">
        <f>SUMPRODUCT($C$3:$X$3,'batch tool'!$B1555:$W1555)+$Y$3</f>
        <v>-36.514029388465531</v>
      </c>
      <c r="D1561" s="7">
        <f>SUMPRODUCT($C$4:$X$4,'batch tool'!$B1555:$W1555)+$Y$4</f>
        <v>-44.639843068043824</v>
      </c>
      <c r="E1561" s="7">
        <f>SUMPRODUCT($C$5:$X$5,'batch tool'!$B1555:$W1555)+$Y$5</f>
        <v>-51.578889182477603</v>
      </c>
      <c r="F1561" s="7">
        <f>SUMPRODUCT($C$6:$X$6,'batch tool'!$B1555:$W1555)+$Y$6</f>
        <v>-47.741473633885199</v>
      </c>
      <c r="G1561" s="7">
        <f>SUMPRODUCT($C$7:$X$7,'batch tool'!$B1555:$W1555)+$Y$7</f>
        <v>-19.739516238059196</v>
      </c>
      <c r="H1561" s="7">
        <f t="shared" si="48"/>
        <v>-19.739516238059196</v>
      </c>
      <c r="I1561">
        <f t="shared" si="49"/>
        <v>6</v>
      </c>
      <c r="J1561" t="str" cm="1">
        <f t="array" ref="J1561">INDEX($A$2:$A$7,I1561)</f>
        <v>Segment 6- Self-Conscious Male</v>
      </c>
    </row>
    <row r="1562" spans="1:10" x14ac:dyDescent="0.25">
      <c r="A1562" s="1">
        <f>'batch tool'!A1556</f>
        <v>0</v>
      </c>
      <c r="B1562" s="7">
        <f>SUMPRODUCT($C$2:$X$2,'batch tool'!$B1556:$W1556)+$Y$2</f>
        <v>-49.12272534143483</v>
      </c>
      <c r="C1562" s="7">
        <f>SUMPRODUCT($C$3:$X$3,'batch tool'!$B1556:$W1556)+$Y$3</f>
        <v>-36.514029388465531</v>
      </c>
      <c r="D1562" s="7">
        <f>SUMPRODUCT($C$4:$X$4,'batch tool'!$B1556:$W1556)+$Y$4</f>
        <v>-44.639843068043824</v>
      </c>
      <c r="E1562" s="7">
        <f>SUMPRODUCT($C$5:$X$5,'batch tool'!$B1556:$W1556)+$Y$5</f>
        <v>-51.578889182477603</v>
      </c>
      <c r="F1562" s="7">
        <f>SUMPRODUCT($C$6:$X$6,'batch tool'!$B1556:$W1556)+$Y$6</f>
        <v>-47.741473633885199</v>
      </c>
      <c r="G1562" s="7">
        <f>SUMPRODUCT($C$7:$X$7,'batch tool'!$B1556:$W1556)+$Y$7</f>
        <v>-19.739516238059196</v>
      </c>
      <c r="H1562" s="7">
        <f t="shared" si="48"/>
        <v>-19.739516238059196</v>
      </c>
      <c r="I1562">
        <f t="shared" si="49"/>
        <v>6</v>
      </c>
      <c r="J1562" t="str" cm="1">
        <f t="array" ref="J1562">INDEX($A$2:$A$7,I1562)</f>
        <v>Segment 6- Self-Conscious Male</v>
      </c>
    </row>
    <row r="1563" spans="1:10" x14ac:dyDescent="0.25">
      <c r="A1563" s="1">
        <f>'batch tool'!A1557</f>
        <v>0</v>
      </c>
      <c r="B1563" s="7">
        <f>SUMPRODUCT($C$2:$X$2,'batch tool'!$B1557:$W1557)+$Y$2</f>
        <v>-49.12272534143483</v>
      </c>
      <c r="C1563" s="7">
        <f>SUMPRODUCT($C$3:$X$3,'batch tool'!$B1557:$W1557)+$Y$3</f>
        <v>-36.514029388465531</v>
      </c>
      <c r="D1563" s="7">
        <f>SUMPRODUCT($C$4:$X$4,'batch tool'!$B1557:$W1557)+$Y$4</f>
        <v>-44.639843068043824</v>
      </c>
      <c r="E1563" s="7">
        <f>SUMPRODUCT($C$5:$X$5,'batch tool'!$B1557:$W1557)+$Y$5</f>
        <v>-51.578889182477603</v>
      </c>
      <c r="F1563" s="7">
        <f>SUMPRODUCT($C$6:$X$6,'batch tool'!$B1557:$W1557)+$Y$6</f>
        <v>-47.741473633885199</v>
      </c>
      <c r="G1563" s="7">
        <f>SUMPRODUCT($C$7:$X$7,'batch tool'!$B1557:$W1557)+$Y$7</f>
        <v>-19.739516238059196</v>
      </c>
      <c r="H1563" s="7">
        <f t="shared" si="48"/>
        <v>-19.739516238059196</v>
      </c>
      <c r="I1563">
        <f t="shared" si="49"/>
        <v>6</v>
      </c>
      <c r="J1563" t="str" cm="1">
        <f t="array" ref="J1563">INDEX($A$2:$A$7,I1563)</f>
        <v>Segment 6- Self-Conscious Male</v>
      </c>
    </row>
    <row r="1564" spans="1:10" x14ac:dyDescent="0.25">
      <c r="A1564" s="1">
        <f>'batch tool'!A1558</f>
        <v>0</v>
      </c>
      <c r="B1564" s="7">
        <f>SUMPRODUCT($C$2:$X$2,'batch tool'!$B1558:$W1558)+$Y$2</f>
        <v>-49.12272534143483</v>
      </c>
      <c r="C1564" s="7">
        <f>SUMPRODUCT($C$3:$X$3,'batch tool'!$B1558:$W1558)+$Y$3</f>
        <v>-36.514029388465531</v>
      </c>
      <c r="D1564" s="7">
        <f>SUMPRODUCT($C$4:$X$4,'batch tool'!$B1558:$W1558)+$Y$4</f>
        <v>-44.639843068043824</v>
      </c>
      <c r="E1564" s="7">
        <f>SUMPRODUCT($C$5:$X$5,'batch tool'!$B1558:$W1558)+$Y$5</f>
        <v>-51.578889182477603</v>
      </c>
      <c r="F1564" s="7">
        <f>SUMPRODUCT($C$6:$X$6,'batch tool'!$B1558:$W1558)+$Y$6</f>
        <v>-47.741473633885199</v>
      </c>
      <c r="G1564" s="7">
        <f>SUMPRODUCT($C$7:$X$7,'batch tool'!$B1558:$W1558)+$Y$7</f>
        <v>-19.739516238059196</v>
      </c>
      <c r="H1564" s="7">
        <f t="shared" si="48"/>
        <v>-19.739516238059196</v>
      </c>
      <c r="I1564">
        <f t="shared" si="49"/>
        <v>6</v>
      </c>
      <c r="J1564" t="str" cm="1">
        <f t="array" ref="J1564">INDEX($A$2:$A$7,I1564)</f>
        <v>Segment 6- Self-Conscious Male</v>
      </c>
    </row>
    <row r="1565" spans="1:10" x14ac:dyDescent="0.25">
      <c r="A1565" s="1">
        <f>'batch tool'!A1559</f>
        <v>0</v>
      </c>
      <c r="B1565" s="7">
        <f>SUMPRODUCT($C$2:$X$2,'batch tool'!$B1559:$W1559)+$Y$2</f>
        <v>-49.12272534143483</v>
      </c>
      <c r="C1565" s="7">
        <f>SUMPRODUCT($C$3:$X$3,'batch tool'!$B1559:$W1559)+$Y$3</f>
        <v>-36.514029388465531</v>
      </c>
      <c r="D1565" s="7">
        <f>SUMPRODUCT($C$4:$X$4,'batch tool'!$B1559:$W1559)+$Y$4</f>
        <v>-44.639843068043824</v>
      </c>
      <c r="E1565" s="7">
        <f>SUMPRODUCT($C$5:$X$5,'batch tool'!$B1559:$W1559)+$Y$5</f>
        <v>-51.578889182477603</v>
      </c>
      <c r="F1565" s="7">
        <f>SUMPRODUCT($C$6:$X$6,'batch tool'!$B1559:$W1559)+$Y$6</f>
        <v>-47.741473633885199</v>
      </c>
      <c r="G1565" s="7">
        <f>SUMPRODUCT($C$7:$X$7,'batch tool'!$B1559:$W1559)+$Y$7</f>
        <v>-19.739516238059196</v>
      </c>
      <c r="H1565" s="7">
        <f t="shared" si="48"/>
        <v>-19.739516238059196</v>
      </c>
      <c r="I1565">
        <f t="shared" si="49"/>
        <v>6</v>
      </c>
      <c r="J1565" t="str" cm="1">
        <f t="array" ref="J1565">INDEX($A$2:$A$7,I1565)</f>
        <v>Segment 6- Self-Conscious Male</v>
      </c>
    </row>
    <row r="1566" spans="1:10" x14ac:dyDescent="0.25">
      <c r="A1566" s="1">
        <f>'batch tool'!A1560</f>
        <v>0</v>
      </c>
      <c r="B1566" s="7">
        <f>SUMPRODUCT($C$2:$X$2,'batch tool'!$B1560:$W1560)+$Y$2</f>
        <v>-49.12272534143483</v>
      </c>
      <c r="C1566" s="7">
        <f>SUMPRODUCT($C$3:$X$3,'batch tool'!$B1560:$W1560)+$Y$3</f>
        <v>-36.514029388465531</v>
      </c>
      <c r="D1566" s="7">
        <f>SUMPRODUCT($C$4:$X$4,'batch tool'!$B1560:$W1560)+$Y$4</f>
        <v>-44.639843068043824</v>
      </c>
      <c r="E1566" s="7">
        <f>SUMPRODUCT($C$5:$X$5,'batch tool'!$B1560:$W1560)+$Y$5</f>
        <v>-51.578889182477603</v>
      </c>
      <c r="F1566" s="7">
        <f>SUMPRODUCT($C$6:$X$6,'batch tool'!$B1560:$W1560)+$Y$6</f>
        <v>-47.741473633885199</v>
      </c>
      <c r="G1566" s="7">
        <f>SUMPRODUCT($C$7:$X$7,'batch tool'!$B1560:$W1560)+$Y$7</f>
        <v>-19.739516238059196</v>
      </c>
      <c r="H1566" s="7">
        <f t="shared" si="48"/>
        <v>-19.739516238059196</v>
      </c>
      <c r="I1566">
        <f t="shared" si="49"/>
        <v>6</v>
      </c>
      <c r="J1566" t="str" cm="1">
        <f t="array" ref="J1566">INDEX($A$2:$A$7,I1566)</f>
        <v>Segment 6- Self-Conscious Male</v>
      </c>
    </row>
    <row r="1567" spans="1:10" x14ac:dyDescent="0.25">
      <c r="A1567" s="1">
        <f>'batch tool'!A1561</f>
        <v>0</v>
      </c>
      <c r="B1567" s="7">
        <f>SUMPRODUCT($C$2:$X$2,'batch tool'!$B1561:$W1561)+$Y$2</f>
        <v>-49.12272534143483</v>
      </c>
      <c r="C1567" s="7">
        <f>SUMPRODUCT($C$3:$X$3,'batch tool'!$B1561:$W1561)+$Y$3</f>
        <v>-36.514029388465531</v>
      </c>
      <c r="D1567" s="7">
        <f>SUMPRODUCT($C$4:$X$4,'batch tool'!$B1561:$W1561)+$Y$4</f>
        <v>-44.639843068043824</v>
      </c>
      <c r="E1567" s="7">
        <f>SUMPRODUCT($C$5:$X$5,'batch tool'!$B1561:$W1561)+$Y$5</f>
        <v>-51.578889182477603</v>
      </c>
      <c r="F1567" s="7">
        <f>SUMPRODUCT($C$6:$X$6,'batch tool'!$B1561:$W1561)+$Y$6</f>
        <v>-47.741473633885199</v>
      </c>
      <c r="G1567" s="7">
        <f>SUMPRODUCT($C$7:$X$7,'batch tool'!$B1561:$W1561)+$Y$7</f>
        <v>-19.739516238059196</v>
      </c>
      <c r="H1567" s="7">
        <f t="shared" si="48"/>
        <v>-19.739516238059196</v>
      </c>
      <c r="I1567">
        <f t="shared" si="49"/>
        <v>6</v>
      </c>
      <c r="J1567" t="str" cm="1">
        <f t="array" ref="J1567">INDEX($A$2:$A$7,I1567)</f>
        <v>Segment 6- Self-Conscious Male</v>
      </c>
    </row>
    <row r="1568" spans="1:10" x14ac:dyDescent="0.25">
      <c r="A1568" s="1">
        <f>'batch tool'!A1562</f>
        <v>0</v>
      </c>
      <c r="B1568" s="7">
        <f>SUMPRODUCT($C$2:$X$2,'batch tool'!$B1562:$W1562)+$Y$2</f>
        <v>-49.12272534143483</v>
      </c>
      <c r="C1568" s="7">
        <f>SUMPRODUCT($C$3:$X$3,'batch tool'!$B1562:$W1562)+$Y$3</f>
        <v>-36.514029388465531</v>
      </c>
      <c r="D1568" s="7">
        <f>SUMPRODUCT($C$4:$X$4,'batch tool'!$B1562:$W1562)+$Y$4</f>
        <v>-44.639843068043824</v>
      </c>
      <c r="E1568" s="7">
        <f>SUMPRODUCT($C$5:$X$5,'batch tool'!$B1562:$W1562)+$Y$5</f>
        <v>-51.578889182477603</v>
      </c>
      <c r="F1568" s="7">
        <f>SUMPRODUCT($C$6:$X$6,'batch tool'!$B1562:$W1562)+$Y$6</f>
        <v>-47.741473633885199</v>
      </c>
      <c r="G1568" s="7">
        <f>SUMPRODUCT($C$7:$X$7,'batch tool'!$B1562:$W1562)+$Y$7</f>
        <v>-19.739516238059196</v>
      </c>
      <c r="H1568" s="7">
        <f t="shared" si="48"/>
        <v>-19.739516238059196</v>
      </c>
      <c r="I1568">
        <f t="shared" si="49"/>
        <v>6</v>
      </c>
      <c r="J1568" t="str" cm="1">
        <f t="array" ref="J1568">INDEX($A$2:$A$7,I1568)</f>
        <v>Segment 6- Self-Conscious Male</v>
      </c>
    </row>
    <row r="1569" spans="1:10" x14ac:dyDescent="0.25">
      <c r="A1569" s="1">
        <f>'batch tool'!A1563</f>
        <v>0</v>
      </c>
      <c r="B1569" s="7">
        <f>SUMPRODUCT($C$2:$X$2,'batch tool'!$B1563:$W1563)+$Y$2</f>
        <v>-49.12272534143483</v>
      </c>
      <c r="C1569" s="7">
        <f>SUMPRODUCT($C$3:$X$3,'batch tool'!$B1563:$W1563)+$Y$3</f>
        <v>-36.514029388465531</v>
      </c>
      <c r="D1569" s="7">
        <f>SUMPRODUCT($C$4:$X$4,'batch tool'!$B1563:$W1563)+$Y$4</f>
        <v>-44.639843068043824</v>
      </c>
      <c r="E1569" s="7">
        <f>SUMPRODUCT($C$5:$X$5,'batch tool'!$B1563:$W1563)+$Y$5</f>
        <v>-51.578889182477603</v>
      </c>
      <c r="F1569" s="7">
        <f>SUMPRODUCT($C$6:$X$6,'batch tool'!$B1563:$W1563)+$Y$6</f>
        <v>-47.741473633885199</v>
      </c>
      <c r="G1569" s="7">
        <f>SUMPRODUCT($C$7:$X$7,'batch tool'!$B1563:$W1563)+$Y$7</f>
        <v>-19.739516238059196</v>
      </c>
      <c r="H1569" s="7">
        <f t="shared" si="48"/>
        <v>-19.739516238059196</v>
      </c>
      <c r="I1569">
        <f t="shared" si="49"/>
        <v>6</v>
      </c>
      <c r="J1569" t="str" cm="1">
        <f t="array" ref="J1569">INDEX($A$2:$A$7,I1569)</f>
        <v>Segment 6- Self-Conscious Male</v>
      </c>
    </row>
    <row r="1570" spans="1:10" x14ac:dyDescent="0.25">
      <c r="A1570" s="1">
        <f>'batch tool'!A1564</f>
        <v>0</v>
      </c>
      <c r="B1570" s="7">
        <f>SUMPRODUCT($C$2:$X$2,'batch tool'!$B1564:$W1564)+$Y$2</f>
        <v>-49.12272534143483</v>
      </c>
      <c r="C1570" s="7">
        <f>SUMPRODUCT($C$3:$X$3,'batch tool'!$B1564:$W1564)+$Y$3</f>
        <v>-36.514029388465531</v>
      </c>
      <c r="D1570" s="7">
        <f>SUMPRODUCT($C$4:$X$4,'batch tool'!$B1564:$W1564)+$Y$4</f>
        <v>-44.639843068043824</v>
      </c>
      <c r="E1570" s="7">
        <f>SUMPRODUCT($C$5:$X$5,'batch tool'!$B1564:$W1564)+$Y$5</f>
        <v>-51.578889182477603</v>
      </c>
      <c r="F1570" s="7">
        <f>SUMPRODUCT($C$6:$X$6,'batch tool'!$B1564:$W1564)+$Y$6</f>
        <v>-47.741473633885199</v>
      </c>
      <c r="G1570" s="7">
        <f>SUMPRODUCT($C$7:$X$7,'batch tool'!$B1564:$W1564)+$Y$7</f>
        <v>-19.739516238059196</v>
      </c>
      <c r="H1570" s="7">
        <f t="shared" si="48"/>
        <v>-19.739516238059196</v>
      </c>
      <c r="I1570">
        <f t="shared" si="49"/>
        <v>6</v>
      </c>
      <c r="J1570" t="str" cm="1">
        <f t="array" ref="J1570">INDEX($A$2:$A$7,I1570)</f>
        <v>Segment 6- Self-Conscious Male</v>
      </c>
    </row>
    <row r="1571" spans="1:10" x14ac:dyDescent="0.25">
      <c r="A1571" s="1">
        <f>'batch tool'!A1565</f>
        <v>0</v>
      </c>
      <c r="B1571" s="7">
        <f>SUMPRODUCT($C$2:$X$2,'batch tool'!$B1565:$W1565)+$Y$2</f>
        <v>-49.12272534143483</v>
      </c>
      <c r="C1571" s="7">
        <f>SUMPRODUCT($C$3:$X$3,'batch tool'!$B1565:$W1565)+$Y$3</f>
        <v>-36.514029388465531</v>
      </c>
      <c r="D1571" s="7">
        <f>SUMPRODUCT($C$4:$X$4,'batch tool'!$B1565:$W1565)+$Y$4</f>
        <v>-44.639843068043824</v>
      </c>
      <c r="E1571" s="7">
        <f>SUMPRODUCT($C$5:$X$5,'batch tool'!$B1565:$W1565)+$Y$5</f>
        <v>-51.578889182477603</v>
      </c>
      <c r="F1571" s="7">
        <f>SUMPRODUCT($C$6:$X$6,'batch tool'!$B1565:$W1565)+$Y$6</f>
        <v>-47.741473633885199</v>
      </c>
      <c r="G1571" s="7">
        <f>SUMPRODUCT($C$7:$X$7,'batch tool'!$B1565:$W1565)+$Y$7</f>
        <v>-19.739516238059196</v>
      </c>
      <c r="H1571" s="7">
        <f t="shared" si="48"/>
        <v>-19.739516238059196</v>
      </c>
      <c r="I1571">
        <f t="shared" si="49"/>
        <v>6</v>
      </c>
      <c r="J1571" t="str" cm="1">
        <f t="array" ref="J1571">INDEX($A$2:$A$7,I1571)</f>
        <v>Segment 6- Self-Conscious Male</v>
      </c>
    </row>
    <row r="1572" spans="1:10" x14ac:dyDescent="0.25">
      <c r="A1572" s="1">
        <f>'batch tool'!A1566</f>
        <v>0</v>
      </c>
      <c r="B1572" s="7">
        <f>SUMPRODUCT($C$2:$X$2,'batch tool'!$B1566:$W1566)+$Y$2</f>
        <v>-49.12272534143483</v>
      </c>
      <c r="C1572" s="7">
        <f>SUMPRODUCT($C$3:$X$3,'batch tool'!$B1566:$W1566)+$Y$3</f>
        <v>-36.514029388465531</v>
      </c>
      <c r="D1572" s="7">
        <f>SUMPRODUCT($C$4:$X$4,'batch tool'!$B1566:$W1566)+$Y$4</f>
        <v>-44.639843068043824</v>
      </c>
      <c r="E1572" s="7">
        <f>SUMPRODUCT($C$5:$X$5,'batch tool'!$B1566:$W1566)+$Y$5</f>
        <v>-51.578889182477603</v>
      </c>
      <c r="F1572" s="7">
        <f>SUMPRODUCT($C$6:$X$6,'batch tool'!$B1566:$W1566)+$Y$6</f>
        <v>-47.741473633885199</v>
      </c>
      <c r="G1572" s="7">
        <f>SUMPRODUCT($C$7:$X$7,'batch tool'!$B1566:$W1566)+$Y$7</f>
        <v>-19.739516238059196</v>
      </c>
      <c r="H1572" s="7">
        <f t="shared" si="48"/>
        <v>-19.739516238059196</v>
      </c>
      <c r="I1572">
        <f t="shared" si="49"/>
        <v>6</v>
      </c>
      <c r="J1572" t="str" cm="1">
        <f t="array" ref="J1572">INDEX($A$2:$A$7,I1572)</f>
        <v>Segment 6- Self-Conscious Male</v>
      </c>
    </row>
    <row r="1573" spans="1:10" x14ac:dyDescent="0.25">
      <c r="A1573" s="1">
        <f>'batch tool'!A1567</f>
        <v>0</v>
      </c>
      <c r="B1573" s="7">
        <f>SUMPRODUCT($C$2:$X$2,'batch tool'!$B1567:$W1567)+$Y$2</f>
        <v>-49.12272534143483</v>
      </c>
      <c r="C1573" s="7">
        <f>SUMPRODUCT($C$3:$X$3,'batch tool'!$B1567:$W1567)+$Y$3</f>
        <v>-36.514029388465531</v>
      </c>
      <c r="D1573" s="7">
        <f>SUMPRODUCT($C$4:$X$4,'batch tool'!$B1567:$W1567)+$Y$4</f>
        <v>-44.639843068043824</v>
      </c>
      <c r="E1573" s="7">
        <f>SUMPRODUCT($C$5:$X$5,'batch tool'!$B1567:$W1567)+$Y$5</f>
        <v>-51.578889182477603</v>
      </c>
      <c r="F1573" s="7">
        <f>SUMPRODUCT($C$6:$X$6,'batch tool'!$B1567:$W1567)+$Y$6</f>
        <v>-47.741473633885199</v>
      </c>
      <c r="G1573" s="7">
        <f>SUMPRODUCT($C$7:$X$7,'batch tool'!$B1567:$W1567)+$Y$7</f>
        <v>-19.739516238059196</v>
      </c>
      <c r="H1573" s="7">
        <f t="shared" si="48"/>
        <v>-19.739516238059196</v>
      </c>
      <c r="I1573">
        <f t="shared" si="49"/>
        <v>6</v>
      </c>
      <c r="J1573" t="str" cm="1">
        <f t="array" ref="J1573">INDEX($A$2:$A$7,I1573)</f>
        <v>Segment 6- Self-Conscious Male</v>
      </c>
    </row>
    <row r="1574" spans="1:10" x14ac:dyDescent="0.25">
      <c r="A1574" s="1">
        <f>'batch tool'!A1568</f>
        <v>0</v>
      </c>
      <c r="B1574" s="7">
        <f>SUMPRODUCT($C$2:$X$2,'batch tool'!$B1568:$W1568)+$Y$2</f>
        <v>-49.12272534143483</v>
      </c>
      <c r="C1574" s="7">
        <f>SUMPRODUCT($C$3:$X$3,'batch tool'!$B1568:$W1568)+$Y$3</f>
        <v>-36.514029388465531</v>
      </c>
      <c r="D1574" s="7">
        <f>SUMPRODUCT($C$4:$X$4,'batch tool'!$B1568:$W1568)+$Y$4</f>
        <v>-44.639843068043824</v>
      </c>
      <c r="E1574" s="7">
        <f>SUMPRODUCT($C$5:$X$5,'batch tool'!$B1568:$W1568)+$Y$5</f>
        <v>-51.578889182477603</v>
      </c>
      <c r="F1574" s="7">
        <f>SUMPRODUCT($C$6:$X$6,'batch tool'!$B1568:$W1568)+$Y$6</f>
        <v>-47.741473633885199</v>
      </c>
      <c r="G1574" s="7">
        <f>SUMPRODUCT($C$7:$X$7,'batch tool'!$B1568:$W1568)+$Y$7</f>
        <v>-19.739516238059196</v>
      </c>
      <c r="H1574" s="7">
        <f t="shared" si="48"/>
        <v>-19.739516238059196</v>
      </c>
      <c r="I1574">
        <f t="shared" si="49"/>
        <v>6</v>
      </c>
      <c r="J1574" t="str" cm="1">
        <f t="array" ref="J1574">INDEX($A$2:$A$7,I1574)</f>
        <v>Segment 6- Self-Conscious Male</v>
      </c>
    </row>
    <row r="1575" spans="1:10" x14ac:dyDescent="0.25">
      <c r="A1575" s="1">
        <f>'batch tool'!A1569</f>
        <v>0</v>
      </c>
      <c r="B1575" s="7">
        <f>SUMPRODUCT($C$2:$X$2,'batch tool'!$B1569:$W1569)+$Y$2</f>
        <v>-49.12272534143483</v>
      </c>
      <c r="C1575" s="7">
        <f>SUMPRODUCT($C$3:$X$3,'batch tool'!$B1569:$W1569)+$Y$3</f>
        <v>-36.514029388465531</v>
      </c>
      <c r="D1575" s="7">
        <f>SUMPRODUCT($C$4:$X$4,'batch tool'!$B1569:$W1569)+$Y$4</f>
        <v>-44.639843068043824</v>
      </c>
      <c r="E1575" s="7">
        <f>SUMPRODUCT($C$5:$X$5,'batch tool'!$B1569:$W1569)+$Y$5</f>
        <v>-51.578889182477603</v>
      </c>
      <c r="F1575" s="7">
        <f>SUMPRODUCT($C$6:$X$6,'batch tool'!$B1569:$W1569)+$Y$6</f>
        <v>-47.741473633885199</v>
      </c>
      <c r="G1575" s="7">
        <f>SUMPRODUCT($C$7:$X$7,'batch tool'!$B1569:$W1569)+$Y$7</f>
        <v>-19.739516238059196</v>
      </c>
      <c r="H1575" s="7">
        <f t="shared" si="48"/>
        <v>-19.739516238059196</v>
      </c>
      <c r="I1575">
        <f t="shared" si="49"/>
        <v>6</v>
      </c>
      <c r="J1575" t="str" cm="1">
        <f t="array" ref="J1575">INDEX($A$2:$A$7,I1575)</f>
        <v>Segment 6- Self-Conscious Male</v>
      </c>
    </row>
    <row r="1576" spans="1:10" x14ac:dyDescent="0.25">
      <c r="A1576" s="1">
        <f>'batch tool'!A1570</f>
        <v>0</v>
      </c>
      <c r="B1576" s="7">
        <f>SUMPRODUCT($C$2:$X$2,'batch tool'!$B1570:$W1570)+$Y$2</f>
        <v>-49.12272534143483</v>
      </c>
      <c r="C1576" s="7">
        <f>SUMPRODUCT($C$3:$X$3,'batch tool'!$B1570:$W1570)+$Y$3</f>
        <v>-36.514029388465531</v>
      </c>
      <c r="D1576" s="7">
        <f>SUMPRODUCT($C$4:$X$4,'batch tool'!$B1570:$W1570)+$Y$4</f>
        <v>-44.639843068043824</v>
      </c>
      <c r="E1576" s="7">
        <f>SUMPRODUCT($C$5:$X$5,'batch tool'!$B1570:$W1570)+$Y$5</f>
        <v>-51.578889182477603</v>
      </c>
      <c r="F1576" s="7">
        <f>SUMPRODUCT($C$6:$X$6,'batch tool'!$B1570:$W1570)+$Y$6</f>
        <v>-47.741473633885199</v>
      </c>
      <c r="G1576" s="7">
        <f>SUMPRODUCT($C$7:$X$7,'batch tool'!$B1570:$W1570)+$Y$7</f>
        <v>-19.739516238059196</v>
      </c>
      <c r="H1576" s="7">
        <f t="shared" si="48"/>
        <v>-19.739516238059196</v>
      </c>
      <c r="I1576">
        <f t="shared" si="49"/>
        <v>6</v>
      </c>
      <c r="J1576" t="str" cm="1">
        <f t="array" ref="J1576">INDEX($A$2:$A$7,I1576)</f>
        <v>Segment 6- Self-Conscious Male</v>
      </c>
    </row>
    <row r="1577" spans="1:10" x14ac:dyDescent="0.25">
      <c r="A1577" s="1">
        <f>'batch tool'!A1571</f>
        <v>0</v>
      </c>
      <c r="B1577" s="7">
        <f>SUMPRODUCT($C$2:$X$2,'batch tool'!$B1571:$W1571)+$Y$2</f>
        <v>-49.12272534143483</v>
      </c>
      <c r="C1577" s="7">
        <f>SUMPRODUCT($C$3:$X$3,'batch tool'!$B1571:$W1571)+$Y$3</f>
        <v>-36.514029388465531</v>
      </c>
      <c r="D1577" s="7">
        <f>SUMPRODUCT($C$4:$X$4,'batch tool'!$B1571:$W1571)+$Y$4</f>
        <v>-44.639843068043824</v>
      </c>
      <c r="E1577" s="7">
        <f>SUMPRODUCT($C$5:$X$5,'batch tool'!$B1571:$W1571)+$Y$5</f>
        <v>-51.578889182477603</v>
      </c>
      <c r="F1577" s="7">
        <f>SUMPRODUCT($C$6:$X$6,'batch tool'!$B1571:$W1571)+$Y$6</f>
        <v>-47.741473633885199</v>
      </c>
      <c r="G1577" s="7">
        <f>SUMPRODUCT($C$7:$X$7,'batch tool'!$B1571:$W1571)+$Y$7</f>
        <v>-19.739516238059196</v>
      </c>
      <c r="H1577" s="7">
        <f t="shared" si="48"/>
        <v>-19.739516238059196</v>
      </c>
      <c r="I1577">
        <f t="shared" si="49"/>
        <v>6</v>
      </c>
      <c r="J1577" t="str" cm="1">
        <f t="array" ref="J1577">INDEX($A$2:$A$7,I1577)</f>
        <v>Segment 6- Self-Conscious Male</v>
      </c>
    </row>
    <row r="1578" spans="1:10" x14ac:dyDescent="0.25">
      <c r="A1578" s="1">
        <f>'batch tool'!A1572</f>
        <v>0</v>
      </c>
      <c r="B1578" s="7">
        <f>SUMPRODUCT($C$2:$X$2,'batch tool'!$B1572:$W1572)+$Y$2</f>
        <v>-49.12272534143483</v>
      </c>
      <c r="C1578" s="7">
        <f>SUMPRODUCT($C$3:$X$3,'batch tool'!$B1572:$W1572)+$Y$3</f>
        <v>-36.514029388465531</v>
      </c>
      <c r="D1578" s="7">
        <f>SUMPRODUCT($C$4:$X$4,'batch tool'!$B1572:$W1572)+$Y$4</f>
        <v>-44.639843068043824</v>
      </c>
      <c r="E1578" s="7">
        <f>SUMPRODUCT($C$5:$X$5,'batch tool'!$B1572:$W1572)+$Y$5</f>
        <v>-51.578889182477603</v>
      </c>
      <c r="F1578" s="7">
        <f>SUMPRODUCT($C$6:$X$6,'batch tool'!$B1572:$W1572)+$Y$6</f>
        <v>-47.741473633885199</v>
      </c>
      <c r="G1578" s="7">
        <f>SUMPRODUCT($C$7:$X$7,'batch tool'!$B1572:$W1572)+$Y$7</f>
        <v>-19.739516238059196</v>
      </c>
      <c r="H1578" s="7">
        <f t="shared" si="48"/>
        <v>-19.739516238059196</v>
      </c>
      <c r="I1578">
        <f t="shared" si="49"/>
        <v>6</v>
      </c>
      <c r="J1578" t="str" cm="1">
        <f t="array" ref="J1578">INDEX($A$2:$A$7,I1578)</f>
        <v>Segment 6- Self-Conscious Male</v>
      </c>
    </row>
    <row r="1579" spans="1:10" x14ac:dyDescent="0.25">
      <c r="A1579" s="1">
        <f>'batch tool'!A1573</f>
        <v>0</v>
      </c>
      <c r="B1579" s="7">
        <f>SUMPRODUCT($C$2:$X$2,'batch tool'!$B1573:$W1573)+$Y$2</f>
        <v>-49.12272534143483</v>
      </c>
      <c r="C1579" s="7">
        <f>SUMPRODUCT($C$3:$X$3,'batch tool'!$B1573:$W1573)+$Y$3</f>
        <v>-36.514029388465531</v>
      </c>
      <c r="D1579" s="7">
        <f>SUMPRODUCT($C$4:$X$4,'batch tool'!$B1573:$W1573)+$Y$4</f>
        <v>-44.639843068043824</v>
      </c>
      <c r="E1579" s="7">
        <f>SUMPRODUCT($C$5:$X$5,'batch tool'!$B1573:$W1573)+$Y$5</f>
        <v>-51.578889182477603</v>
      </c>
      <c r="F1579" s="7">
        <f>SUMPRODUCT($C$6:$X$6,'batch tool'!$B1573:$W1573)+$Y$6</f>
        <v>-47.741473633885199</v>
      </c>
      <c r="G1579" s="7">
        <f>SUMPRODUCT($C$7:$X$7,'batch tool'!$B1573:$W1573)+$Y$7</f>
        <v>-19.739516238059196</v>
      </c>
      <c r="H1579" s="7">
        <f t="shared" si="48"/>
        <v>-19.739516238059196</v>
      </c>
      <c r="I1579">
        <f t="shared" si="49"/>
        <v>6</v>
      </c>
      <c r="J1579" t="str" cm="1">
        <f t="array" ref="J1579">INDEX($A$2:$A$7,I1579)</f>
        <v>Segment 6- Self-Conscious Male</v>
      </c>
    </row>
    <row r="1580" spans="1:10" x14ac:dyDescent="0.25">
      <c r="A1580" s="1">
        <f>'batch tool'!A1574</f>
        <v>0</v>
      </c>
      <c r="B1580" s="7">
        <f>SUMPRODUCT($C$2:$X$2,'batch tool'!$B1574:$W1574)+$Y$2</f>
        <v>-49.12272534143483</v>
      </c>
      <c r="C1580" s="7">
        <f>SUMPRODUCT($C$3:$X$3,'batch tool'!$B1574:$W1574)+$Y$3</f>
        <v>-36.514029388465531</v>
      </c>
      <c r="D1580" s="7">
        <f>SUMPRODUCT($C$4:$X$4,'batch tool'!$B1574:$W1574)+$Y$4</f>
        <v>-44.639843068043824</v>
      </c>
      <c r="E1580" s="7">
        <f>SUMPRODUCT($C$5:$X$5,'batch tool'!$B1574:$W1574)+$Y$5</f>
        <v>-51.578889182477603</v>
      </c>
      <c r="F1580" s="7">
        <f>SUMPRODUCT($C$6:$X$6,'batch tool'!$B1574:$W1574)+$Y$6</f>
        <v>-47.741473633885199</v>
      </c>
      <c r="G1580" s="7">
        <f>SUMPRODUCT($C$7:$X$7,'batch tool'!$B1574:$W1574)+$Y$7</f>
        <v>-19.739516238059196</v>
      </c>
      <c r="H1580" s="7">
        <f t="shared" si="48"/>
        <v>-19.739516238059196</v>
      </c>
      <c r="I1580">
        <f t="shared" si="49"/>
        <v>6</v>
      </c>
      <c r="J1580" t="str" cm="1">
        <f t="array" ref="J1580">INDEX($A$2:$A$7,I1580)</f>
        <v>Segment 6- Self-Conscious Male</v>
      </c>
    </row>
    <row r="1581" spans="1:10" x14ac:dyDescent="0.25">
      <c r="A1581" s="1">
        <f>'batch tool'!A1575</f>
        <v>0</v>
      </c>
      <c r="B1581" s="7">
        <f>SUMPRODUCT($C$2:$X$2,'batch tool'!$B1575:$W1575)+$Y$2</f>
        <v>-49.12272534143483</v>
      </c>
      <c r="C1581" s="7">
        <f>SUMPRODUCT($C$3:$X$3,'batch tool'!$B1575:$W1575)+$Y$3</f>
        <v>-36.514029388465531</v>
      </c>
      <c r="D1581" s="7">
        <f>SUMPRODUCT($C$4:$X$4,'batch tool'!$B1575:$W1575)+$Y$4</f>
        <v>-44.639843068043824</v>
      </c>
      <c r="E1581" s="7">
        <f>SUMPRODUCT($C$5:$X$5,'batch tool'!$B1575:$W1575)+$Y$5</f>
        <v>-51.578889182477603</v>
      </c>
      <c r="F1581" s="7">
        <f>SUMPRODUCT($C$6:$X$6,'batch tool'!$B1575:$W1575)+$Y$6</f>
        <v>-47.741473633885199</v>
      </c>
      <c r="G1581" s="7">
        <f>SUMPRODUCT($C$7:$X$7,'batch tool'!$B1575:$W1575)+$Y$7</f>
        <v>-19.739516238059196</v>
      </c>
      <c r="H1581" s="7">
        <f t="shared" si="48"/>
        <v>-19.739516238059196</v>
      </c>
      <c r="I1581">
        <f t="shared" si="49"/>
        <v>6</v>
      </c>
      <c r="J1581" t="str" cm="1">
        <f t="array" ref="J1581">INDEX($A$2:$A$7,I1581)</f>
        <v>Segment 6- Self-Conscious Male</v>
      </c>
    </row>
    <row r="1582" spans="1:10" x14ac:dyDescent="0.25">
      <c r="A1582" s="1">
        <f>'batch tool'!A1576</f>
        <v>0</v>
      </c>
      <c r="B1582" s="7">
        <f>SUMPRODUCT($C$2:$X$2,'batch tool'!$B1576:$W1576)+$Y$2</f>
        <v>-49.12272534143483</v>
      </c>
      <c r="C1582" s="7">
        <f>SUMPRODUCT($C$3:$X$3,'batch tool'!$B1576:$W1576)+$Y$3</f>
        <v>-36.514029388465531</v>
      </c>
      <c r="D1582" s="7">
        <f>SUMPRODUCT($C$4:$X$4,'batch tool'!$B1576:$W1576)+$Y$4</f>
        <v>-44.639843068043824</v>
      </c>
      <c r="E1582" s="7">
        <f>SUMPRODUCT($C$5:$X$5,'batch tool'!$B1576:$W1576)+$Y$5</f>
        <v>-51.578889182477603</v>
      </c>
      <c r="F1582" s="7">
        <f>SUMPRODUCT($C$6:$X$6,'batch tool'!$B1576:$W1576)+$Y$6</f>
        <v>-47.741473633885199</v>
      </c>
      <c r="G1582" s="7">
        <f>SUMPRODUCT($C$7:$X$7,'batch tool'!$B1576:$W1576)+$Y$7</f>
        <v>-19.739516238059196</v>
      </c>
      <c r="H1582" s="7">
        <f t="shared" si="48"/>
        <v>-19.739516238059196</v>
      </c>
      <c r="I1582">
        <f t="shared" si="49"/>
        <v>6</v>
      </c>
      <c r="J1582" t="str" cm="1">
        <f t="array" ref="J1582">INDEX($A$2:$A$7,I1582)</f>
        <v>Segment 6- Self-Conscious Male</v>
      </c>
    </row>
    <row r="1583" spans="1:10" x14ac:dyDescent="0.25">
      <c r="A1583" s="1">
        <f>'batch tool'!A1577</f>
        <v>0</v>
      </c>
      <c r="B1583" s="7">
        <f>SUMPRODUCT($C$2:$X$2,'batch tool'!$B1577:$W1577)+$Y$2</f>
        <v>-49.12272534143483</v>
      </c>
      <c r="C1583" s="7">
        <f>SUMPRODUCT($C$3:$X$3,'batch tool'!$B1577:$W1577)+$Y$3</f>
        <v>-36.514029388465531</v>
      </c>
      <c r="D1583" s="7">
        <f>SUMPRODUCT($C$4:$X$4,'batch tool'!$B1577:$W1577)+$Y$4</f>
        <v>-44.639843068043824</v>
      </c>
      <c r="E1583" s="7">
        <f>SUMPRODUCT($C$5:$X$5,'batch tool'!$B1577:$W1577)+$Y$5</f>
        <v>-51.578889182477603</v>
      </c>
      <c r="F1583" s="7">
        <f>SUMPRODUCT($C$6:$X$6,'batch tool'!$B1577:$W1577)+$Y$6</f>
        <v>-47.741473633885199</v>
      </c>
      <c r="G1583" s="7">
        <f>SUMPRODUCT($C$7:$X$7,'batch tool'!$B1577:$W1577)+$Y$7</f>
        <v>-19.739516238059196</v>
      </c>
      <c r="H1583" s="7">
        <f t="shared" si="48"/>
        <v>-19.739516238059196</v>
      </c>
      <c r="I1583">
        <f t="shared" si="49"/>
        <v>6</v>
      </c>
      <c r="J1583" t="str" cm="1">
        <f t="array" ref="J1583">INDEX($A$2:$A$7,I1583)</f>
        <v>Segment 6- Self-Conscious Male</v>
      </c>
    </row>
    <row r="1584" spans="1:10" x14ac:dyDescent="0.25">
      <c r="A1584" s="1">
        <f>'batch tool'!A1578</f>
        <v>0</v>
      </c>
      <c r="B1584" s="7">
        <f>SUMPRODUCT($C$2:$X$2,'batch tool'!$B1578:$W1578)+$Y$2</f>
        <v>-49.12272534143483</v>
      </c>
      <c r="C1584" s="7">
        <f>SUMPRODUCT($C$3:$X$3,'batch tool'!$B1578:$W1578)+$Y$3</f>
        <v>-36.514029388465531</v>
      </c>
      <c r="D1584" s="7">
        <f>SUMPRODUCT($C$4:$X$4,'batch tool'!$B1578:$W1578)+$Y$4</f>
        <v>-44.639843068043824</v>
      </c>
      <c r="E1584" s="7">
        <f>SUMPRODUCT($C$5:$X$5,'batch tool'!$B1578:$W1578)+$Y$5</f>
        <v>-51.578889182477603</v>
      </c>
      <c r="F1584" s="7">
        <f>SUMPRODUCT($C$6:$X$6,'batch tool'!$B1578:$W1578)+$Y$6</f>
        <v>-47.741473633885199</v>
      </c>
      <c r="G1584" s="7">
        <f>SUMPRODUCT($C$7:$X$7,'batch tool'!$B1578:$W1578)+$Y$7</f>
        <v>-19.739516238059196</v>
      </c>
      <c r="H1584" s="7">
        <f t="shared" si="48"/>
        <v>-19.739516238059196</v>
      </c>
      <c r="I1584">
        <f t="shared" si="49"/>
        <v>6</v>
      </c>
      <c r="J1584" t="str" cm="1">
        <f t="array" ref="J1584">INDEX($A$2:$A$7,I1584)</f>
        <v>Segment 6- Self-Conscious Male</v>
      </c>
    </row>
    <row r="1585" spans="1:10" x14ac:dyDescent="0.25">
      <c r="A1585" s="1">
        <f>'batch tool'!A1579</f>
        <v>0</v>
      </c>
      <c r="B1585" s="7">
        <f>SUMPRODUCT($C$2:$X$2,'batch tool'!$B1579:$W1579)+$Y$2</f>
        <v>-49.12272534143483</v>
      </c>
      <c r="C1585" s="7">
        <f>SUMPRODUCT($C$3:$X$3,'batch tool'!$B1579:$W1579)+$Y$3</f>
        <v>-36.514029388465531</v>
      </c>
      <c r="D1585" s="7">
        <f>SUMPRODUCT($C$4:$X$4,'batch tool'!$B1579:$W1579)+$Y$4</f>
        <v>-44.639843068043824</v>
      </c>
      <c r="E1585" s="7">
        <f>SUMPRODUCT($C$5:$X$5,'batch tool'!$B1579:$W1579)+$Y$5</f>
        <v>-51.578889182477603</v>
      </c>
      <c r="F1585" s="7">
        <f>SUMPRODUCT($C$6:$X$6,'batch tool'!$B1579:$W1579)+$Y$6</f>
        <v>-47.741473633885199</v>
      </c>
      <c r="G1585" s="7">
        <f>SUMPRODUCT($C$7:$X$7,'batch tool'!$B1579:$W1579)+$Y$7</f>
        <v>-19.739516238059196</v>
      </c>
      <c r="H1585" s="7">
        <f t="shared" si="48"/>
        <v>-19.739516238059196</v>
      </c>
      <c r="I1585">
        <f t="shared" si="49"/>
        <v>6</v>
      </c>
      <c r="J1585" t="str" cm="1">
        <f t="array" ref="J1585">INDEX($A$2:$A$7,I1585)</f>
        <v>Segment 6- Self-Conscious Male</v>
      </c>
    </row>
    <row r="1586" spans="1:10" x14ac:dyDescent="0.25">
      <c r="A1586" s="1">
        <f>'batch tool'!A1580</f>
        <v>0</v>
      </c>
      <c r="B1586" s="7">
        <f>SUMPRODUCT($C$2:$X$2,'batch tool'!$B1580:$W1580)+$Y$2</f>
        <v>-49.12272534143483</v>
      </c>
      <c r="C1586" s="7">
        <f>SUMPRODUCT($C$3:$X$3,'batch tool'!$B1580:$W1580)+$Y$3</f>
        <v>-36.514029388465531</v>
      </c>
      <c r="D1586" s="7">
        <f>SUMPRODUCT($C$4:$X$4,'batch tool'!$B1580:$W1580)+$Y$4</f>
        <v>-44.639843068043824</v>
      </c>
      <c r="E1586" s="7">
        <f>SUMPRODUCT($C$5:$X$5,'batch tool'!$B1580:$W1580)+$Y$5</f>
        <v>-51.578889182477603</v>
      </c>
      <c r="F1586" s="7">
        <f>SUMPRODUCT($C$6:$X$6,'batch tool'!$B1580:$W1580)+$Y$6</f>
        <v>-47.741473633885199</v>
      </c>
      <c r="G1586" s="7">
        <f>SUMPRODUCT($C$7:$X$7,'batch tool'!$B1580:$W1580)+$Y$7</f>
        <v>-19.739516238059196</v>
      </c>
      <c r="H1586" s="7">
        <f t="shared" si="48"/>
        <v>-19.739516238059196</v>
      </c>
      <c r="I1586">
        <f t="shared" si="49"/>
        <v>6</v>
      </c>
      <c r="J1586" t="str" cm="1">
        <f t="array" ref="J1586">INDEX($A$2:$A$7,I1586)</f>
        <v>Segment 6- Self-Conscious Male</v>
      </c>
    </row>
    <row r="1587" spans="1:10" x14ac:dyDescent="0.25">
      <c r="A1587" s="1">
        <f>'batch tool'!A1581</f>
        <v>0</v>
      </c>
      <c r="B1587" s="7">
        <f>SUMPRODUCT($C$2:$X$2,'batch tool'!$B1581:$W1581)+$Y$2</f>
        <v>-49.12272534143483</v>
      </c>
      <c r="C1587" s="7">
        <f>SUMPRODUCT($C$3:$X$3,'batch tool'!$B1581:$W1581)+$Y$3</f>
        <v>-36.514029388465531</v>
      </c>
      <c r="D1587" s="7">
        <f>SUMPRODUCT($C$4:$X$4,'batch tool'!$B1581:$W1581)+$Y$4</f>
        <v>-44.639843068043824</v>
      </c>
      <c r="E1587" s="7">
        <f>SUMPRODUCT($C$5:$X$5,'batch tool'!$B1581:$W1581)+$Y$5</f>
        <v>-51.578889182477603</v>
      </c>
      <c r="F1587" s="7">
        <f>SUMPRODUCT($C$6:$X$6,'batch tool'!$B1581:$W1581)+$Y$6</f>
        <v>-47.741473633885199</v>
      </c>
      <c r="G1587" s="7">
        <f>SUMPRODUCT($C$7:$X$7,'batch tool'!$B1581:$W1581)+$Y$7</f>
        <v>-19.739516238059196</v>
      </c>
      <c r="H1587" s="7">
        <f t="shared" si="48"/>
        <v>-19.739516238059196</v>
      </c>
      <c r="I1587">
        <f t="shared" si="49"/>
        <v>6</v>
      </c>
      <c r="J1587" t="str" cm="1">
        <f t="array" ref="J1587">INDEX($A$2:$A$7,I1587)</f>
        <v>Segment 6- Self-Conscious Male</v>
      </c>
    </row>
    <row r="1588" spans="1:10" x14ac:dyDescent="0.25">
      <c r="A1588" s="1">
        <f>'batch tool'!A1582</f>
        <v>0</v>
      </c>
      <c r="B1588" s="7">
        <f>SUMPRODUCT($C$2:$X$2,'batch tool'!$B1582:$W1582)+$Y$2</f>
        <v>-49.12272534143483</v>
      </c>
      <c r="C1588" s="7">
        <f>SUMPRODUCT($C$3:$X$3,'batch tool'!$B1582:$W1582)+$Y$3</f>
        <v>-36.514029388465531</v>
      </c>
      <c r="D1588" s="7">
        <f>SUMPRODUCT($C$4:$X$4,'batch tool'!$B1582:$W1582)+$Y$4</f>
        <v>-44.639843068043824</v>
      </c>
      <c r="E1588" s="7">
        <f>SUMPRODUCT($C$5:$X$5,'batch tool'!$B1582:$W1582)+$Y$5</f>
        <v>-51.578889182477603</v>
      </c>
      <c r="F1588" s="7">
        <f>SUMPRODUCT($C$6:$X$6,'batch tool'!$B1582:$W1582)+$Y$6</f>
        <v>-47.741473633885199</v>
      </c>
      <c r="G1588" s="7">
        <f>SUMPRODUCT($C$7:$X$7,'batch tool'!$B1582:$W1582)+$Y$7</f>
        <v>-19.739516238059196</v>
      </c>
      <c r="H1588" s="7">
        <f t="shared" si="48"/>
        <v>-19.739516238059196</v>
      </c>
      <c r="I1588">
        <f t="shared" si="49"/>
        <v>6</v>
      </c>
      <c r="J1588" t="str" cm="1">
        <f t="array" ref="J1588">INDEX($A$2:$A$7,I1588)</f>
        <v>Segment 6- Self-Conscious Male</v>
      </c>
    </row>
    <row r="1589" spans="1:10" x14ac:dyDescent="0.25">
      <c r="A1589" s="1">
        <f>'batch tool'!A1583</f>
        <v>0</v>
      </c>
      <c r="B1589" s="7">
        <f>SUMPRODUCT($C$2:$X$2,'batch tool'!$B1583:$W1583)+$Y$2</f>
        <v>-49.12272534143483</v>
      </c>
      <c r="C1589" s="7">
        <f>SUMPRODUCT($C$3:$X$3,'batch tool'!$B1583:$W1583)+$Y$3</f>
        <v>-36.514029388465531</v>
      </c>
      <c r="D1589" s="7">
        <f>SUMPRODUCT($C$4:$X$4,'batch tool'!$B1583:$W1583)+$Y$4</f>
        <v>-44.639843068043824</v>
      </c>
      <c r="E1589" s="7">
        <f>SUMPRODUCT($C$5:$X$5,'batch tool'!$B1583:$W1583)+$Y$5</f>
        <v>-51.578889182477603</v>
      </c>
      <c r="F1589" s="7">
        <f>SUMPRODUCT($C$6:$X$6,'batch tool'!$B1583:$W1583)+$Y$6</f>
        <v>-47.741473633885199</v>
      </c>
      <c r="G1589" s="7">
        <f>SUMPRODUCT($C$7:$X$7,'batch tool'!$B1583:$W1583)+$Y$7</f>
        <v>-19.739516238059196</v>
      </c>
      <c r="H1589" s="7">
        <f t="shared" si="48"/>
        <v>-19.739516238059196</v>
      </c>
      <c r="I1589">
        <f t="shared" si="49"/>
        <v>6</v>
      </c>
      <c r="J1589" t="str" cm="1">
        <f t="array" ref="J1589">INDEX($A$2:$A$7,I1589)</f>
        <v>Segment 6- Self-Conscious Male</v>
      </c>
    </row>
    <row r="1590" spans="1:10" x14ac:dyDescent="0.25">
      <c r="A1590" s="1">
        <f>'batch tool'!A1584</f>
        <v>0</v>
      </c>
      <c r="B1590" s="7">
        <f>SUMPRODUCT($C$2:$X$2,'batch tool'!$B1584:$W1584)+$Y$2</f>
        <v>-49.12272534143483</v>
      </c>
      <c r="C1590" s="7">
        <f>SUMPRODUCT($C$3:$X$3,'batch tool'!$B1584:$W1584)+$Y$3</f>
        <v>-36.514029388465531</v>
      </c>
      <c r="D1590" s="7">
        <f>SUMPRODUCT($C$4:$X$4,'batch tool'!$B1584:$W1584)+$Y$4</f>
        <v>-44.639843068043824</v>
      </c>
      <c r="E1590" s="7">
        <f>SUMPRODUCT($C$5:$X$5,'batch tool'!$B1584:$W1584)+$Y$5</f>
        <v>-51.578889182477603</v>
      </c>
      <c r="F1590" s="7">
        <f>SUMPRODUCT($C$6:$X$6,'batch tool'!$B1584:$W1584)+$Y$6</f>
        <v>-47.741473633885199</v>
      </c>
      <c r="G1590" s="7">
        <f>SUMPRODUCT($C$7:$X$7,'batch tool'!$B1584:$W1584)+$Y$7</f>
        <v>-19.739516238059196</v>
      </c>
      <c r="H1590" s="7">
        <f t="shared" si="48"/>
        <v>-19.739516238059196</v>
      </c>
      <c r="I1590">
        <f t="shared" si="49"/>
        <v>6</v>
      </c>
      <c r="J1590" t="str" cm="1">
        <f t="array" ref="J1590">INDEX($A$2:$A$7,I1590)</f>
        <v>Segment 6- Self-Conscious Male</v>
      </c>
    </row>
    <row r="1591" spans="1:10" x14ac:dyDescent="0.25">
      <c r="A1591" s="1">
        <f>'batch tool'!A1585</f>
        <v>0</v>
      </c>
      <c r="B1591" s="7">
        <f>SUMPRODUCT($C$2:$X$2,'batch tool'!$B1585:$W1585)+$Y$2</f>
        <v>-49.12272534143483</v>
      </c>
      <c r="C1591" s="7">
        <f>SUMPRODUCT($C$3:$X$3,'batch tool'!$B1585:$W1585)+$Y$3</f>
        <v>-36.514029388465531</v>
      </c>
      <c r="D1591" s="7">
        <f>SUMPRODUCT($C$4:$X$4,'batch tool'!$B1585:$W1585)+$Y$4</f>
        <v>-44.639843068043824</v>
      </c>
      <c r="E1591" s="7">
        <f>SUMPRODUCT($C$5:$X$5,'batch tool'!$B1585:$W1585)+$Y$5</f>
        <v>-51.578889182477603</v>
      </c>
      <c r="F1591" s="7">
        <f>SUMPRODUCT($C$6:$X$6,'batch tool'!$B1585:$W1585)+$Y$6</f>
        <v>-47.741473633885199</v>
      </c>
      <c r="G1591" s="7">
        <f>SUMPRODUCT($C$7:$X$7,'batch tool'!$B1585:$W1585)+$Y$7</f>
        <v>-19.739516238059196</v>
      </c>
      <c r="H1591" s="7">
        <f t="shared" si="48"/>
        <v>-19.739516238059196</v>
      </c>
      <c r="I1591">
        <f t="shared" si="49"/>
        <v>6</v>
      </c>
      <c r="J1591" t="str" cm="1">
        <f t="array" ref="J1591">INDEX($A$2:$A$7,I1591)</f>
        <v>Segment 6- Self-Conscious Male</v>
      </c>
    </row>
    <row r="1592" spans="1:10" x14ac:dyDescent="0.25">
      <c r="A1592" s="1">
        <f>'batch tool'!A1586</f>
        <v>0</v>
      </c>
      <c r="B1592" s="7">
        <f>SUMPRODUCT($C$2:$X$2,'batch tool'!$B1586:$W1586)+$Y$2</f>
        <v>-49.12272534143483</v>
      </c>
      <c r="C1592" s="7">
        <f>SUMPRODUCT($C$3:$X$3,'batch tool'!$B1586:$W1586)+$Y$3</f>
        <v>-36.514029388465531</v>
      </c>
      <c r="D1592" s="7">
        <f>SUMPRODUCT($C$4:$X$4,'batch tool'!$B1586:$W1586)+$Y$4</f>
        <v>-44.639843068043824</v>
      </c>
      <c r="E1592" s="7">
        <f>SUMPRODUCT($C$5:$X$5,'batch tool'!$B1586:$W1586)+$Y$5</f>
        <v>-51.578889182477603</v>
      </c>
      <c r="F1592" s="7">
        <f>SUMPRODUCT($C$6:$X$6,'batch tool'!$B1586:$W1586)+$Y$6</f>
        <v>-47.741473633885199</v>
      </c>
      <c r="G1592" s="7">
        <f>SUMPRODUCT($C$7:$X$7,'batch tool'!$B1586:$W1586)+$Y$7</f>
        <v>-19.739516238059196</v>
      </c>
      <c r="H1592" s="7">
        <f t="shared" si="48"/>
        <v>-19.739516238059196</v>
      </c>
      <c r="I1592">
        <f t="shared" si="49"/>
        <v>6</v>
      </c>
      <c r="J1592" t="str" cm="1">
        <f t="array" ref="J1592">INDEX($A$2:$A$7,I1592)</f>
        <v>Segment 6- Self-Conscious Male</v>
      </c>
    </row>
    <row r="1593" spans="1:10" x14ac:dyDescent="0.25">
      <c r="A1593" s="1">
        <f>'batch tool'!A1587</f>
        <v>0</v>
      </c>
      <c r="B1593" s="7">
        <f>SUMPRODUCT($C$2:$X$2,'batch tool'!$B1587:$W1587)+$Y$2</f>
        <v>-49.12272534143483</v>
      </c>
      <c r="C1593" s="7">
        <f>SUMPRODUCT($C$3:$X$3,'batch tool'!$B1587:$W1587)+$Y$3</f>
        <v>-36.514029388465531</v>
      </c>
      <c r="D1593" s="7">
        <f>SUMPRODUCT($C$4:$X$4,'batch tool'!$B1587:$W1587)+$Y$4</f>
        <v>-44.639843068043824</v>
      </c>
      <c r="E1593" s="7">
        <f>SUMPRODUCT($C$5:$X$5,'batch tool'!$B1587:$W1587)+$Y$5</f>
        <v>-51.578889182477603</v>
      </c>
      <c r="F1593" s="7">
        <f>SUMPRODUCT($C$6:$X$6,'batch tool'!$B1587:$W1587)+$Y$6</f>
        <v>-47.741473633885199</v>
      </c>
      <c r="G1593" s="7">
        <f>SUMPRODUCT($C$7:$X$7,'batch tool'!$B1587:$W1587)+$Y$7</f>
        <v>-19.739516238059196</v>
      </c>
      <c r="H1593" s="7">
        <f t="shared" si="48"/>
        <v>-19.739516238059196</v>
      </c>
      <c r="I1593">
        <f t="shared" si="49"/>
        <v>6</v>
      </c>
      <c r="J1593" t="str" cm="1">
        <f t="array" ref="J1593">INDEX($A$2:$A$7,I1593)</f>
        <v>Segment 6- Self-Conscious Male</v>
      </c>
    </row>
    <row r="1594" spans="1:10" x14ac:dyDescent="0.25">
      <c r="A1594" s="1">
        <f>'batch tool'!A1588</f>
        <v>0</v>
      </c>
      <c r="B1594" s="7">
        <f>SUMPRODUCT($C$2:$X$2,'batch tool'!$B1588:$W1588)+$Y$2</f>
        <v>-49.12272534143483</v>
      </c>
      <c r="C1594" s="7">
        <f>SUMPRODUCT($C$3:$X$3,'batch tool'!$B1588:$W1588)+$Y$3</f>
        <v>-36.514029388465531</v>
      </c>
      <c r="D1594" s="7">
        <f>SUMPRODUCT($C$4:$X$4,'batch tool'!$B1588:$W1588)+$Y$4</f>
        <v>-44.639843068043824</v>
      </c>
      <c r="E1594" s="7">
        <f>SUMPRODUCT($C$5:$X$5,'batch tool'!$B1588:$W1588)+$Y$5</f>
        <v>-51.578889182477603</v>
      </c>
      <c r="F1594" s="7">
        <f>SUMPRODUCT($C$6:$X$6,'batch tool'!$B1588:$W1588)+$Y$6</f>
        <v>-47.741473633885199</v>
      </c>
      <c r="G1594" s="7">
        <f>SUMPRODUCT($C$7:$X$7,'batch tool'!$B1588:$W1588)+$Y$7</f>
        <v>-19.739516238059196</v>
      </c>
      <c r="H1594" s="7">
        <f t="shared" si="48"/>
        <v>-19.739516238059196</v>
      </c>
      <c r="I1594">
        <f t="shared" si="49"/>
        <v>6</v>
      </c>
      <c r="J1594" t="str" cm="1">
        <f t="array" ref="J1594">INDEX($A$2:$A$7,I1594)</f>
        <v>Segment 6- Self-Conscious Male</v>
      </c>
    </row>
    <row r="1595" spans="1:10" x14ac:dyDescent="0.25">
      <c r="A1595" s="1">
        <f>'batch tool'!A1589</f>
        <v>0</v>
      </c>
      <c r="B1595" s="7">
        <f>SUMPRODUCT($C$2:$X$2,'batch tool'!$B1589:$W1589)+$Y$2</f>
        <v>-49.12272534143483</v>
      </c>
      <c r="C1595" s="7">
        <f>SUMPRODUCT($C$3:$X$3,'batch tool'!$B1589:$W1589)+$Y$3</f>
        <v>-36.514029388465531</v>
      </c>
      <c r="D1595" s="7">
        <f>SUMPRODUCT($C$4:$X$4,'batch tool'!$B1589:$W1589)+$Y$4</f>
        <v>-44.639843068043824</v>
      </c>
      <c r="E1595" s="7">
        <f>SUMPRODUCT($C$5:$X$5,'batch tool'!$B1589:$W1589)+$Y$5</f>
        <v>-51.578889182477603</v>
      </c>
      <c r="F1595" s="7">
        <f>SUMPRODUCT($C$6:$X$6,'batch tool'!$B1589:$W1589)+$Y$6</f>
        <v>-47.741473633885199</v>
      </c>
      <c r="G1595" s="7">
        <f>SUMPRODUCT($C$7:$X$7,'batch tool'!$B1589:$W1589)+$Y$7</f>
        <v>-19.739516238059196</v>
      </c>
      <c r="H1595" s="7">
        <f t="shared" si="48"/>
        <v>-19.739516238059196</v>
      </c>
      <c r="I1595">
        <f t="shared" si="49"/>
        <v>6</v>
      </c>
      <c r="J1595" t="str" cm="1">
        <f t="array" ref="J1595">INDEX($A$2:$A$7,I1595)</f>
        <v>Segment 6- Self-Conscious Male</v>
      </c>
    </row>
    <row r="1596" spans="1:10" x14ac:dyDescent="0.25">
      <c r="A1596" s="1">
        <f>'batch tool'!A1590</f>
        <v>0</v>
      </c>
      <c r="B1596" s="7">
        <f>SUMPRODUCT($C$2:$X$2,'batch tool'!$B1590:$W1590)+$Y$2</f>
        <v>-49.12272534143483</v>
      </c>
      <c r="C1596" s="7">
        <f>SUMPRODUCT($C$3:$X$3,'batch tool'!$B1590:$W1590)+$Y$3</f>
        <v>-36.514029388465531</v>
      </c>
      <c r="D1596" s="7">
        <f>SUMPRODUCT($C$4:$X$4,'batch tool'!$B1590:$W1590)+$Y$4</f>
        <v>-44.639843068043824</v>
      </c>
      <c r="E1596" s="7">
        <f>SUMPRODUCT($C$5:$X$5,'batch tool'!$B1590:$W1590)+$Y$5</f>
        <v>-51.578889182477603</v>
      </c>
      <c r="F1596" s="7">
        <f>SUMPRODUCT($C$6:$X$6,'batch tool'!$B1590:$W1590)+$Y$6</f>
        <v>-47.741473633885199</v>
      </c>
      <c r="G1596" s="7">
        <f>SUMPRODUCT($C$7:$X$7,'batch tool'!$B1590:$W1590)+$Y$7</f>
        <v>-19.739516238059196</v>
      </c>
      <c r="H1596" s="7">
        <f t="shared" si="48"/>
        <v>-19.739516238059196</v>
      </c>
      <c r="I1596">
        <f t="shared" si="49"/>
        <v>6</v>
      </c>
      <c r="J1596" t="str" cm="1">
        <f t="array" ref="J1596">INDEX($A$2:$A$7,I1596)</f>
        <v>Segment 6- Self-Conscious Male</v>
      </c>
    </row>
    <row r="1597" spans="1:10" x14ac:dyDescent="0.25">
      <c r="A1597" s="1">
        <f>'batch tool'!A1591</f>
        <v>0</v>
      </c>
      <c r="B1597" s="7">
        <f>SUMPRODUCT($C$2:$X$2,'batch tool'!$B1591:$W1591)+$Y$2</f>
        <v>-49.12272534143483</v>
      </c>
      <c r="C1597" s="7">
        <f>SUMPRODUCT($C$3:$X$3,'batch tool'!$B1591:$W1591)+$Y$3</f>
        <v>-36.514029388465531</v>
      </c>
      <c r="D1597" s="7">
        <f>SUMPRODUCT($C$4:$X$4,'batch tool'!$B1591:$W1591)+$Y$4</f>
        <v>-44.639843068043824</v>
      </c>
      <c r="E1597" s="7">
        <f>SUMPRODUCT($C$5:$X$5,'batch tool'!$B1591:$W1591)+$Y$5</f>
        <v>-51.578889182477603</v>
      </c>
      <c r="F1597" s="7">
        <f>SUMPRODUCT($C$6:$X$6,'batch tool'!$B1591:$W1591)+$Y$6</f>
        <v>-47.741473633885199</v>
      </c>
      <c r="G1597" s="7">
        <f>SUMPRODUCT($C$7:$X$7,'batch tool'!$B1591:$W1591)+$Y$7</f>
        <v>-19.739516238059196</v>
      </c>
      <c r="H1597" s="7">
        <f t="shared" si="48"/>
        <v>-19.739516238059196</v>
      </c>
      <c r="I1597">
        <f t="shared" si="49"/>
        <v>6</v>
      </c>
      <c r="J1597" t="str" cm="1">
        <f t="array" ref="J1597">INDEX($A$2:$A$7,I1597)</f>
        <v>Segment 6- Self-Conscious Male</v>
      </c>
    </row>
    <row r="1598" spans="1:10" x14ac:dyDescent="0.25">
      <c r="A1598" s="1">
        <f>'batch tool'!A1592</f>
        <v>0</v>
      </c>
      <c r="B1598" s="7">
        <f>SUMPRODUCT($C$2:$X$2,'batch tool'!$B1592:$W1592)+$Y$2</f>
        <v>-49.12272534143483</v>
      </c>
      <c r="C1598" s="7">
        <f>SUMPRODUCT($C$3:$X$3,'batch tool'!$B1592:$W1592)+$Y$3</f>
        <v>-36.514029388465531</v>
      </c>
      <c r="D1598" s="7">
        <f>SUMPRODUCT($C$4:$X$4,'batch tool'!$B1592:$W1592)+$Y$4</f>
        <v>-44.639843068043824</v>
      </c>
      <c r="E1598" s="7">
        <f>SUMPRODUCT($C$5:$X$5,'batch tool'!$B1592:$W1592)+$Y$5</f>
        <v>-51.578889182477603</v>
      </c>
      <c r="F1598" s="7">
        <f>SUMPRODUCT($C$6:$X$6,'batch tool'!$B1592:$W1592)+$Y$6</f>
        <v>-47.741473633885199</v>
      </c>
      <c r="G1598" s="7">
        <f>SUMPRODUCT($C$7:$X$7,'batch tool'!$B1592:$W1592)+$Y$7</f>
        <v>-19.739516238059196</v>
      </c>
      <c r="H1598" s="7">
        <f t="shared" si="48"/>
        <v>-19.739516238059196</v>
      </c>
      <c r="I1598">
        <f t="shared" si="49"/>
        <v>6</v>
      </c>
      <c r="J1598" t="str" cm="1">
        <f t="array" ref="J1598">INDEX($A$2:$A$7,I1598)</f>
        <v>Segment 6- Self-Conscious Male</v>
      </c>
    </row>
    <row r="1599" spans="1:10" x14ac:dyDescent="0.25">
      <c r="A1599" s="1">
        <f>'batch tool'!A1593</f>
        <v>0</v>
      </c>
      <c r="B1599" s="7">
        <f>SUMPRODUCT($C$2:$X$2,'batch tool'!$B1593:$W1593)+$Y$2</f>
        <v>-49.12272534143483</v>
      </c>
      <c r="C1599" s="7">
        <f>SUMPRODUCT($C$3:$X$3,'batch tool'!$B1593:$W1593)+$Y$3</f>
        <v>-36.514029388465531</v>
      </c>
      <c r="D1599" s="7">
        <f>SUMPRODUCT($C$4:$X$4,'batch tool'!$B1593:$W1593)+$Y$4</f>
        <v>-44.639843068043824</v>
      </c>
      <c r="E1599" s="7">
        <f>SUMPRODUCT($C$5:$X$5,'batch tool'!$B1593:$W1593)+$Y$5</f>
        <v>-51.578889182477603</v>
      </c>
      <c r="F1599" s="7">
        <f>SUMPRODUCT($C$6:$X$6,'batch tool'!$B1593:$W1593)+$Y$6</f>
        <v>-47.741473633885199</v>
      </c>
      <c r="G1599" s="7">
        <f>SUMPRODUCT($C$7:$X$7,'batch tool'!$B1593:$W1593)+$Y$7</f>
        <v>-19.739516238059196</v>
      </c>
      <c r="H1599" s="7">
        <f t="shared" si="48"/>
        <v>-19.739516238059196</v>
      </c>
      <c r="I1599">
        <f t="shared" si="49"/>
        <v>6</v>
      </c>
      <c r="J1599" t="str" cm="1">
        <f t="array" ref="J1599">INDEX($A$2:$A$7,I1599)</f>
        <v>Segment 6- Self-Conscious Male</v>
      </c>
    </row>
    <row r="1600" spans="1:10" x14ac:dyDescent="0.25">
      <c r="A1600" s="1">
        <f>'batch tool'!A1594</f>
        <v>0</v>
      </c>
      <c r="B1600" s="7">
        <f>SUMPRODUCT($C$2:$X$2,'batch tool'!$B1594:$W1594)+$Y$2</f>
        <v>-49.12272534143483</v>
      </c>
      <c r="C1600" s="7">
        <f>SUMPRODUCT($C$3:$X$3,'batch tool'!$B1594:$W1594)+$Y$3</f>
        <v>-36.514029388465531</v>
      </c>
      <c r="D1600" s="7">
        <f>SUMPRODUCT($C$4:$X$4,'batch tool'!$B1594:$W1594)+$Y$4</f>
        <v>-44.639843068043824</v>
      </c>
      <c r="E1600" s="7">
        <f>SUMPRODUCT($C$5:$X$5,'batch tool'!$B1594:$W1594)+$Y$5</f>
        <v>-51.578889182477603</v>
      </c>
      <c r="F1600" s="7">
        <f>SUMPRODUCT($C$6:$X$6,'batch tool'!$B1594:$W1594)+$Y$6</f>
        <v>-47.741473633885199</v>
      </c>
      <c r="G1600" s="7">
        <f>SUMPRODUCT($C$7:$X$7,'batch tool'!$B1594:$W1594)+$Y$7</f>
        <v>-19.739516238059196</v>
      </c>
      <c r="H1600" s="7">
        <f t="shared" si="48"/>
        <v>-19.739516238059196</v>
      </c>
      <c r="I1600">
        <f t="shared" si="49"/>
        <v>6</v>
      </c>
      <c r="J1600" t="str" cm="1">
        <f t="array" ref="J1600">INDEX($A$2:$A$7,I1600)</f>
        <v>Segment 6- Self-Conscious Male</v>
      </c>
    </row>
    <row r="1601" spans="1:10" x14ac:dyDescent="0.25">
      <c r="A1601" s="1">
        <f>'batch tool'!A1595</f>
        <v>0</v>
      </c>
      <c r="B1601" s="7">
        <f>SUMPRODUCT($C$2:$X$2,'batch tool'!$B1595:$W1595)+$Y$2</f>
        <v>-49.12272534143483</v>
      </c>
      <c r="C1601" s="7">
        <f>SUMPRODUCT($C$3:$X$3,'batch tool'!$B1595:$W1595)+$Y$3</f>
        <v>-36.514029388465531</v>
      </c>
      <c r="D1601" s="7">
        <f>SUMPRODUCT($C$4:$X$4,'batch tool'!$B1595:$W1595)+$Y$4</f>
        <v>-44.639843068043824</v>
      </c>
      <c r="E1601" s="7">
        <f>SUMPRODUCT($C$5:$X$5,'batch tool'!$B1595:$W1595)+$Y$5</f>
        <v>-51.578889182477603</v>
      </c>
      <c r="F1601" s="7">
        <f>SUMPRODUCT($C$6:$X$6,'batch tool'!$B1595:$W1595)+$Y$6</f>
        <v>-47.741473633885199</v>
      </c>
      <c r="G1601" s="7">
        <f>SUMPRODUCT($C$7:$X$7,'batch tool'!$B1595:$W1595)+$Y$7</f>
        <v>-19.739516238059196</v>
      </c>
      <c r="H1601" s="7">
        <f t="shared" si="48"/>
        <v>-19.739516238059196</v>
      </c>
      <c r="I1601">
        <f t="shared" si="49"/>
        <v>6</v>
      </c>
      <c r="J1601" t="str" cm="1">
        <f t="array" ref="J1601">INDEX($A$2:$A$7,I1601)</f>
        <v>Segment 6- Self-Conscious Male</v>
      </c>
    </row>
    <row r="1602" spans="1:10" x14ac:dyDescent="0.25">
      <c r="A1602" s="1">
        <f>'batch tool'!A1596</f>
        <v>0</v>
      </c>
      <c r="B1602" s="7">
        <f>SUMPRODUCT($C$2:$X$2,'batch tool'!$B1596:$W1596)+$Y$2</f>
        <v>-49.12272534143483</v>
      </c>
      <c r="C1602" s="7">
        <f>SUMPRODUCT($C$3:$X$3,'batch tool'!$B1596:$W1596)+$Y$3</f>
        <v>-36.514029388465531</v>
      </c>
      <c r="D1602" s="7">
        <f>SUMPRODUCT($C$4:$X$4,'batch tool'!$B1596:$W1596)+$Y$4</f>
        <v>-44.639843068043824</v>
      </c>
      <c r="E1602" s="7">
        <f>SUMPRODUCT($C$5:$X$5,'batch tool'!$B1596:$W1596)+$Y$5</f>
        <v>-51.578889182477603</v>
      </c>
      <c r="F1602" s="7">
        <f>SUMPRODUCT($C$6:$X$6,'batch tool'!$B1596:$W1596)+$Y$6</f>
        <v>-47.741473633885199</v>
      </c>
      <c r="G1602" s="7">
        <f>SUMPRODUCT($C$7:$X$7,'batch tool'!$B1596:$W1596)+$Y$7</f>
        <v>-19.739516238059196</v>
      </c>
      <c r="H1602" s="7">
        <f t="shared" si="48"/>
        <v>-19.739516238059196</v>
      </c>
      <c r="I1602">
        <f t="shared" si="49"/>
        <v>6</v>
      </c>
      <c r="J1602" t="str" cm="1">
        <f t="array" ref="J1602">INDEX($A$2:$A$7,I1602)</f>
        <v>Segment 6- Self-Conscious Male</v>
      </c>
    </row>
    <row r="1603" spans="1:10" x14ac:dyDescent="0.25">
      <c r="A1603" s="1">
        <f>'batch tool'!A1597</f>
        <v>0</v>
      </c>
      <c r="B1603" s="7">
        <f>SUMPRODUCT($C$2:$X$2,'batch tool'!$B1597:$W1597)+$Y$2</f>
        <v>-49.12272534143483</v>
      </c>
      <c r="C1603" s="7">
        <f>SUMPRODUCT($C$3:$X$3,'batch tool'!$B1597:$W1597)+$Y$3</f>
        <v>-36.514029388465531</v>
      </c>
      <c r="D1603" s="7">
        <f>SUMPRODUCT($C$4:$X$4,'batch tool'!$B1597:$W1597)+$Y$4</f>
        <v>-44.639843068043824</v>
      </c>
      <c r="E1603" s="7">
        <f>SUMPRODUCT($C$5:$X$5,'batch tool'!$B1597:$W1597)+$Y$5</f>
        <v>-51.578889182477603</v>
      </c>
      <c r="F1603" s="7">
        <f>SUMPRODUCT($C$6:$X$6,'batch tool'!$B1597:$W1597)+$Y$6</f>
        <v>-47.741473633885199</v>
      </c>
      <c r="G1603" s="7">
        <f>SUMPRODUCT($C$7:$X$7,'batch tool'!$B1597:$W1597)+$Y$7</f>
        <v>-19.739516238059196</v>
      </c>
      <c r="H1603" s="7">
        <f t="shared" si="48"/>
        <v>-19.739516238059196</v>
      </c>
      <c r="I1603">
        <f t="shared" si="49"/>
        <v>6</v>
      </c>
      <c r="J1603" t="str" cm="1">
        <f t="array" ref="J1603">INDEX($A$2:$A$7,I1603)</f>
        <v>Segment 6- Self-Conscious Male</v>
      </c>
    </row>
    <row r="1604" spans="1:10" x14ac:dyDescent="0.25">
      <c r="A1604" s="1">
        <f>'batch tool'!A1598</f>
        <v>0</v>
      </c>
      <c r="B1604" s="7">
        <f>SUMPRODUCT($C$2:$X$2,'batch tool'!$B1598:$W1598)+$Y$2</f>
        <v>-49.12272534143483</v>
      </c>
      <c r="C1604" s="7">
        <f>SUMPRODUCT($C$3:$X$3,'batch tool'!$B1598:$W1598)+$Y$3</f>
        <v>-36.514029388465531</v>
      </c>
      <c r="D1604" s="7">
        <f>SUMPRODUCT($C$4:$X$4,'batch tool'!$B1598:$W1598)+$Y$4</f>
        <v>-44.639843068043824</v>
      </c>
      <c r="E1604" s="7">
        <f>SUMPRODUCT($C$5:$X$5,'batch tool'!$B1598:$W1598)+$Y$5</f>
        <v>-51.578889182477603</v>
      </c>
      <c r="F1604" s="7">
        <f>SUMPRODUCT($C$6:$X$6,'batch tool'!$B1598:$W1598)+$Y$6</f>
        <v>-47.741473633885199</v>
      </c>
      <c r="G1604" s="7">
        <f>SUMPRODUCT($C$7:$X$7,'batch tool'!$B1598:$W1598)+$Y$7</f>
        <v>-19.739516238059196</v>
      </c>
      <c r="H1604" s="7">
        <f t="shared" si="48"/>
        <v>-19.739516238059196</v>
      </c>
      <c r="I1604">
        <f t="shared" si="49"/>
        <v>6</v>
      </c>
      <c r="J1604" t="str" cm="1">
        <f t="array" ref="J1604">INDEX($A$2:$A$7,I1604)</f>
        <v>Segment 6- Self-Conscious Male</v>
      </c>
    </row>
    <row r="1605" spans="1:10" x14ac:dyDescent="0.25">
      <c r="A1605" s="1">
        <f>'batch tool'!A1599</f>
        <v>0</v>
      </c>
      <c r="B1605" s="7">
        <f>SUMPRODUCT($C$2:$X$2,'batch tool'!$B1599:$W1599)+$Y$2</f>
        <v>-49.12272534143483</v>
      </c>
      <c r="C1605" s="7">
        <f>SUMPRODUCT($C$3:$X$3,'batch tool'!$B1599:$W1599)+$Y$3</f>
        <v>-36.514029388465531</v>
      </c>
      <c r="D1605" s="7">
        <f>SUMPRODUCT($C$4:$X$4,'batch tool'!$B1599:$W1599)+$Y$4</f>
        <v>-44.639843068043824</v>
      </c>
      <c r="E1605" s="7">
        <f>SUMPRODUCT($C$5:$X$5,'batch tool'!$B1599:$W1599)+$Y$5</f>
        <v>-51.578889182477603</v>
      </c>
      <c r="F1605" s="7">
        <f>SUMPRODUCT($C$6:$X$6,'batch tool'!$B1599:$W1599)+$Y$6</f>
        <v>-47.741473633885199</v>
      </c>
      <c r="G1605" s="7">
        <f>SUMPRODUCT($C$7:$X$7,'batch tool'!$B1599:$W1599)+$Y$7</f>
        <v>-19.739516238059196</v>
      </c>
      <c r="H1605" s="7">
        <f t="shared" si="48"/>
        <v>-19.739516238059196</v>
      </c>
      <c r="I1605">
        <f t="shared" si="49"/>
        <v>6</v>
      </c>
      <c r="J1605" t="str" cm="1">
        <f t="array" ref="J1605">INDEX($A$2:$A$7,I1605)</f>
        <v>Segment 6- Self-Conscious Male</v>
      </c>
    </row>
    <row r="1606" spans="1:10" x14ac:dyDescent="0.25">
      <c r="A1606" s="1">
        <f>'batch tool'!A1600</f>
        <v>0</v>
      </c>
      <c r="B1606" s="7">
        <f>SUMPRODUCT($C$2:$X$2,'batch tool'!$B1600:$W1600)+$Y$2</f>
        <v>-49.12272534143483</v>
      </c>
      <c r="C1606" s="7">
        <f>SUMPRODUCT($C$3:$X$3,'batch tool'!$B1600:$W1600)+$Y$3</f>
        <v>-36.514029388465531</v>
      </c>
      <c r="D1606" s="7">
        <f>SUMPRODUCT($C$4:$X$4,'batch tool'!$B1600:$W1600)+$Y$4</f>
        <v>-44.639843068043824</v>
      </c>
      <c r="E1606" s="7">
        <f>SUMPRODUCT($C$5:$X$5,'batch tool'!$B1600:$W1600)+$Y$5</f>
        <v>-51.578889182477603</v>
      </c>
      <c r="F1606" s="7">
        <f>SUMPRODUCT($C$6:$X$6,'batch tool'!$B1600:$W1600)+$Y$6</f>
        <v>-47.741473633885199</v>
      </c>
      <c r="G1606" s="7">
        <f>SUMPRODUCT($C$7:$X$7,'batch tool'!$B1600:$W1600)+$Y$7</f>
        <v>-19.739516238059196</v>
      </c>
      <c r="H1606" s="7">
        <f t="shared" si="48"/>
        <v>-19.739516238059196</v>
      </c>
      <c r="I1606">
        <f t="shared" si="49"/>
        <v>6</v>
      </c>
      <c r="J1606" t="str" cm="1">
        <f t="array" ref="J1606">INDEX($A$2:$A$7,I1606)</f>
        <v>Segment 6- Self-Conscious Male</v>
      </c>
    </row>
    <row r="1607" spans="1:10" x14ac:dyDescent="0.25">
      <c r="A1607" s="1">
        <f>'batch tool'!A1601</f>
        <v>0</v>
      </c>
      <c r="B1607" s="7">
        <f>SUMPRODUCT($C$2:$X$2,'batch tool'!$B1601:$W1601)+$Y$2</f>
        <v>-49.12272534143483</v>
      </c>
      <c r="C1607" s="7">
        <f>SUMPRODUCT($C$3:$X$3,'batch tool'!$B1601:$W1601)+$Y$3</f>
        <v>-36.514029388465531</v>
      </c>
      <c r="D1607" s="7">
        <f>SUMPRODUCT($C$4:$X$4,'batch tool'!$B1601:$W1601)+$Y$4</f>
        <v>-44.639843068043824</v>
      </c>
      <c r="E1607" s="7">
        <f>SUMPRODUCT($C$5:$X$5,'batch tool'!$B1601:$W1601)+$Y$5</f>
        <v>-51.578889182477603</v>
      </c>
      <c r="F1607" s="7">
        <f>SUMPRODUCT($C$6:$X$6,'batch tool'!$B1601:$W1601)+$Y$6</f>
        <v>-47.741473633885199</v>
      </c>
      <c r="G1607" s="7">
        <f>SUMPRODUCT($C$7:$X$7,'batch tool'!$B1601:$W1601)+$Y$7</f>
        <v>-19.739516238059196</v>
      </c>
      <c r="H1607" s="7">
        <f t="shared" si="48"/>
        <v>-19.739516238059196</v>
      </c>
      <c r="I1607">
        <f t="shared" si="49"/>
        <v>6</v>
      </c>
      <c r="J1607" t="str" cm="1">
        <f t="array" ref="J1607">INDEX($A$2:$A$7,I1607)</f>
        <v>Segment 6- Self-Conscious Male</v>
      </c>
    </row>
    <row r="1608" spans="1:10" x14ac:dyDescent="0.25">
      <c r="A1608" s="1">
        <f>'batch tool'!A1602</f>
        <v>0</v>
      </c>
      <c r="B1608" s="7">
        <f>SUMPRODUCT($C$2:$X$2,'batch tool'!$B1602:$W1602)+$Y$2</f>
        <v>-49.12272534143483</v>
      </c>
      <c r="C1608" s="7">
        <f>SUMPRODUCT($C$3:$X$3,'batch tool'!$B1602:$W1602)+$Y$3</f>
        <v>-36.514029388465531</v>
      </c>
      <c r="D1608" s="7">
        <f>SUMPRODUCT($C$4:$X$4,'batch tool'!$B1602:$W1602)+$Y$4</f>
        <v>-44.639843068043824</v>
      </c>
      <c r="E1608" s="7">
        <f>SUMPRODUCT($C$5:$X$5,'batch tool'!$B1602:$W1602)+$Y$5</f>
        <v>-51.578889182477603</v>
      </c>
      <c r="F1608" s="7">
        <f>SUMPRODUCT($C$6:$X$6,'batch tool'!$B1602:$W1602)+$Y$6</f>
        <v>-47.741473633885199</v>
      </c>
      <c r="G1608" s="7">
        <f>SUMPRODUCT($C$7:$X$7,'batch tool'!$B1602:$W1602)+$Y$7</f>
        <v>-19.739516238059196</v>
      </c>
      <c r="H1608" s="7">
        <f t="shared" si="48"/>
        <v>-19.739516238059196</v>
      </c>
      <c r="I1608">
        <f t="shared" si="49"/>
        <v>6</v>
      </c>
      <c r="J1608" t="str" cm="1">
        <f t="array" ref="J1608">INDEX($A$2:$A$7,I1608)</f>
        <v>Segment 6- Self-Conscious Male</v>
      </c>
    </row>
    <row r="1609" spans="1:10" x14ac:dyDescent="0.25">
      <c r="A1609" s="1">
        <f>'batch tool'!A1603</f>
        <v>0</v>
      </c>
      <c r="B1609" s="7">
        <f>SUMPRODUCT($C$2:$X$2,'batch tool'!$B1603:$W1603)+$Y$2</f>
        <v>-49.12272534143483</v>
      </c>
      <c r="C1609" s="7">
        <f>SUMPRODUCT($C$3:$X$3,'batch tool'!$B1603:$W1603)+$Y$3</f>
        <v>-36.514029388465531</v>
      </c>
      <c r="D1609" s="7">
        <f>SUMPRODUCT($C$4:$X$4,'batch tool'!$B1603:$W1603)+$Y$4</f>
        <v>-44.639843068043824</v>
      </c>
      <c r="E1609" s="7">
        <f>SUMPRODUCT($C$5:$X$5,'batch tool'!$B1603:$W1603)+$Y$5</f>
        <v>-51.578889182477603</v>
      </c>
      <c r="F1609" s="7">
        <f>SUMPRODUCT($C$6:$X$6,'batch tool'!$B1603:$W1603)+$Y$6</f>
        <v>-47.741473633885199</v>
      </c>
      <c r="G1609" s="7">
        <f>SUMPRODUCT($C$7:$X$7,'batch tool'!$B1603:$W1603)+$Y$7</f>
        <v>-19.739516238059196</v>
      </c>
      <c r="H1609" s="7">
        <f t="shared" si="48"/>
        <v>-19.739516238059196</v>
      </c>
      <c r="I1609">
        <f t="shared" si="49"/>
        <v>6</v>
      </c>
      <c r="J1609" t="str" cm="1">
        <f t="array" ref="J1609">INDEX($A$2:$A$7,I1609)</f>
        <v>Segment 6- Self-Conscious Male</v>
      </c>
    </row>
    <row r="1610" spans="1:10" x14ac:dyDescent="0.25">
      <c r="A1610" s="1">
        <f>'batch tool'!A1604</f>
        <v>0</v>
      </c>
      <c r="B1610" s="7">
        <f>SUMPRODUCT($C$2:$X$2,'batch tool'!$B1604:$W1604)+$Y$2</f>
        <v>-49.12272534143483</v>
      </c>
      <c r="C1610" s="7">
        <f>SUMPRODUCT($C$3:$X$3,'batch tool'!$B1604:$W1604)+$Y$3</f>
        <v>-36.514029388465531</v>
      </c>
      <c r="D1610" s="7">
        <f>SUMPRODUCT($C$4:$X$4,'batch tool'!$B1604:$W1604)+$Y$4</f>
        <v>-44.639843068043824</v>
      </c>
      <c r="E1610" s="7">
        <f>SUMPRODUCT($C$5:$X$5,'batch tool'!$B1604:$W1604)+$Y$5</f>
        <v>-51.578889182477603</v>
      </c>
      <c r="F1610" s="7">
        <f>SUMPRODUCT($C$6:$X$6,'batch tool'!$B1604:$W1604)+$Y$6</f>
        <v>-47.741473633885199</v>
      </c>
      <c r="G1610" s="7">
        <f>SUMPRODUCT($C$7:$X$7,'batch tool'!$B1604:$W1604)+$Y$7</f>
        <v>-19.739516238059196</v>
      </c>
      <c r="H1610" s="7">
        <f t="shared" si="48"/>
        <v>-19.739516238059196</v>
      </c>
      <c r="I1610">
        <f t="shared" si="49"/>
        <v>6</v>
      </c>
      <c r="J1610" t="str" cm="1">
        <f t="array" ref="J1610">INDEX($A$2:$A$7,I1610)</f>
        <v>Segment 6- Self-Conscious Male</v>
      </c>
    </row>
    <row r="1611" spans="1:10" x14ac:dyDescent="0.25">
      <c r="A1611" s="1">
        <f>'batch tool'!A1605</f>
        <v>0</v>
      </c>
      <c r="B1611" s="7">
        <f>SUMPRODUCT($C$2:$X$2,'batch tool'!$B1605:$W1605)+$Y$2</f>
        <v>-49.12272534143483</v>
      </c>
      <c r="C1611" s="7">
        <f>SUMPRODUCT($C$3:$X$3,'batch tool'!$B1605:$W1605)+$Y$3</f>
        <v>-36.514029388465531</v>
      </c>
      <c r="D1611" s="7">
        <f>SUMPRODUCT($C$4:$X$4,'batch tool'!$B1605:$W1605)+$Y$4</f>
        <v>-44.639843068043824</v>
      </c>
      <c r="E1611" s="7">
        <f>SUMPRODUCT($C$5:$X$5,'batch tool'!$B1605:$W1605)+$Y$5</f>
        <v>-51.578889182477603</v>
      </c>
      <c r="F1611" s="7">
        <f>SUMPRODUCT($C$6:$X$6,'batch tool'!$B1605:$W1605)+$Y$6</f>
        <v>-47.741473633885199</v>
      </c>
      <c r="G1611" s="7">
        <f>SUMPRODUCT($C$7:$X$7,'batch tool'!$B1605:$W1605)+$Y$7</f>
        <v>-19.739516238059196</v>
      </c>
      <c r="H1611" s="7">
        <f t="shared" ref="H1611:H1674" si="50">MAX(B1611:G1611)</f>
        <v>-19.739516238059196</v>
      </c>
      <c r="I1611">
        <f t="shared" ref="I1611:I1674" si="51">MATCH(H1611,B1611:G1611,0)</f>
        <v>6</v>
      </c>
      <c r="J1611" t="str" cm="1">
        <f t="array" ref="J1611">INDEX($A$2:$A$7,I1611)</f>
        <v>Segment 6- Self-Conscious Male</v>
      </c>
    </row>
    <row r="1612" spans="1:10" x14ac:dyDescent="0.25">
      <c r="A1612" s="1">
        <f>'batch tool'!A1606</f>
        <v>0</v>
      </c>
      <c r="B1612" s="7">
        <f>SUMPRODUCT($C$2:$X$2,'batch tool'!$B1606:$W1606)+$Y$2</f>
        <v>-49.12272534143483</v>
      </c>
      <c r="C1612" s="7">
        <f>SUMPRODUCT($C$3:$X$3,'batch tool'!$B1606:$W1606)+$Y$3</f>
        <v>-36.514029388465531</v>
      </c>
      <c r="D1612" s="7">
        <f>SUMPRODUCT($C$4:$X$4,'batch tool'!$B1606:$W1606)+$Y$4</f>
        <v>-44.639843068043824</v>
      </c>
      <c r="E1612" s="7">
        <f>SUMPRODUCT($C$5:$X$5,'batch tool'!$B1606:$W1606)+$Y$5</f>
        <v>-51.578889182477603</v>
      </c>
      <c r="F1612" s="7">
        <f>SUMPRODUCT($C$6:$X$6,'batch tool'!$B1606:$W1606)+$Y$6</f>
        <v>-47.741473633885199</v>
      </c>
      <c r="G1612" s="7">
        <f>SUMPRODUCT($C$7:$X$7,'batch tool'!$B1606:$W1606)+$Y$7</f>
        <v>-19.739516238059196</v>
      </c>
      <c r="H1612" s="7">
        <f t="shared" si="50"/>
        <v>-19.739516238059196</v>
      </c>
      <c r="I1612">
        <f t="shared" si="51"/>
        <v>6</v>
      </c>
      <c r="J1612" t="str" cm="1">
        <f t="array" ref="J1612">INDEX($A$2:$A$7,I1612)</f>
        <v>Segment 6- Self-Conscious Male</v>
      </c>
    </row>
    <row r="1613" spans="1:10" x14ac:dyDescent="0.25">
      <c r="A1613" s="1">
        <f>'batch tool'!A1607</f>
        <v>0</v>
      </c>
      <c r="B1613" s="7">
        <f>SUMPRODUCT($C$2:$X$2,'batch tool'!$B1607:$W1607)+$Y$2</f>
        <v>-49.12272534143483</v>
      </c>
      <c r="C1613" s="7">
        <f>SUMPRODUCT($C$3:$X$3,'batch tool'!$B1607:$W1607)+$Y$3</f>
        <v>-36.514029388465531</v>
      </c>
      <c r="D1613" s="7">
        <f>SUMPRODUCT($C$4:$X$4,'batch tool'!$B1607:$W1607)+$Y$4</f>
        <v>-44.639843068043824</v>
      </c>
      <c r="E1613" s="7">
        <f>SUMPRODUCT($C$5:$X$5,'batch tool'!$B1607:$W1607)+$Y$5</f>
        <v>-51.578889182477603</v>
      </c>
      <c r="F1613" s="7">
        <f>SUMPRODUCT($C$6:$X$6,'batch tool'!$B1607:$W1607)+$Y$6</f>
        <v>-47.741473633885199</v>
      </c>
      <c r="G1613" s="7">
        <f>SUMPRODUCT($C$7:$X$7,'batch tool'!$B1607:$W1607)+$Y$7</f>
        <v>-19.739516238059196</v>
      </c>
      <c r="H1613" s="7">
        <f t="shared" si="50"/>
        <v>-19.739516238059196</v>
      </c>
      <c r="I1613">
        <f t="shared" si="51"/>
        <v>6</v>
      </c>
      <c r="J1613" t="str" cm="1">
        <f t="array" ref="J1613">INDEX($A$2:$A$7,I1613)</f>
        <v>Segment 6- Self-Conscious Male</v>
      </c>
    </row>
    <row r="1614" spans="1:10" x14ac:dyDescent="0.25">
      <c r="A1614" s="1">
        <f>'batch tool'!A1608</f>
        <v>0</v>
      </c>
      <c r="B1614" s="7">
        <f>SUMPRODUCT($C$2:$X$2,'batch tool'!$B1608:$W1608)+$Y$2</f>
        <v>-49.12272534143483</v>
      </c>
      <c r="C1614" s="7">
        <f>SUMPRODUCT($C$3:$X$3,'batch tool'!$B1608:$W1608)+$Y$3</f>
        <v>-36.514029388465531</v>
      </c>
      <c r="D1614" s="7">
        <f>SUMPRODUCT($C$4:$X$4,'batch tool'!$B1608:$W1608)+$Y$4</f>
        <v>-44.639843068043824</v>
      </c>
      <c r="E1614" s="7">
        <f>SUMPRODUCT($C$5:$X$5,'batch tool'!$B1608:$W1608)+$Y$5</f>
        <v>-51.578889182477603</v>
      </c>
      <c r="F1614" s="7">
        <f>SUMPRODUCT($C$6:$X$6,'batch tool'!$B1608:$W1608)+$Y$6</f>
        <v>-47.741473633885199</v>
      </c>
      <c r="G1614" s="7">
        <f>SUMPRODUCT($C$7:$X$7,'batch tool'!$B1608:$W1608)+$Y$7</f>
        <v>-19.739516238059196</v>
      </c>
      <c r="H1614" s="7">
        <f t="shared" si="50"/>
        <v>-19.739516238059196</v>
      </c>
      <c r="I1614">
        <f t="shared" si="51"/>
        <v>6</v>
      </c>
      <c r="J1614" t="str" cm="1">
        <f t="array" ref="J1614">INDEX($A$2:$A$7,I1614)</f>
        <v>Segment 6- Self-Conscious Male</v>
      </c>
    </row>
    <row r="1615" spans="1:10" x14ac:dyDescent="0.25">
      <c r="A1615" s="1">
        <f>'batch tool'!A1609</f>
        <v>0</v>
      </c>
      <c r="B1615" s="7">
        <f>SUMPRODUCT($C$2:$X$2,'batch tool'!$B1609:$W1609)+$Y$2</f>
        <v>-49.12272534143483</v>
      </c>
      <c r="C1615" s="7">
        <f>SUMPRODUCT($C$3:$X$3,'batch tool'!$B1609:$W1609)+$Y$3</f>
        <v>-36.514029388465531</v>
      </c>
      <c r="D1615" s="7">
        <f>SUMPRODUCT($C$4:$X$4,'batch tool'!$B1609:$W1609)+$Y$4</f>
        <v>-44.639843068043824</v>
      </c>
      <c r="E1615" s="7">
        <f>SUMPRODUCT($C$5:$X$5,'batch tool'!$B1609:$W1609)+$Y$5</f>
        <v>-51.578889182477603</v>
      </c>
      <c r="F1615" s="7">
        <f>SUMPRODUCT($C$6:$X$6,'batch tool'!$B1609:$W1609)+$Y$6</f>
        <v>-47.741473633885199</v>
      </c>
      <c r="G1615" s="7">
        <f>SUMPRODUCT($C$7:$X$7,'batch tool'!$B1609:$W1609)+$Y$7</f>
        <v>-19.739516238059196</v>
      </c>
      <c r="H1615" s="7">
        <f t="shared" si="50"/>
        <v>-19.739516238059196</v>
      </c>
      <c r="I1615">
        <f t="shared" si="51"/>
        <v>6</v>
      </c>
      <c r="J1615" t="str" cm="1">
        <f t="array" ref="J1615">INDEX($A$2:$A$7,I1615)</f>
        <v>Segment 6- Self-Conscious Male</v>
      </c>
    </row>
    <row r="1616" spans="1:10" x14ac:dyDescent="0.25">
      <c r="A1616" s="1">
        <f>'batch tool'!A1610</f>
        <v>0</v>
      </c>
      <c r="B1616" s="7">
        <f>SUMPRODUCT($C$2:$X$2,'batch tool'!$B1610:$W1610)+$Y$2</f>
        <v>-49.12272534143483</v>
      </c>
      <c r="C1616" s="7">
        <f>SUMPRODUCT($C$3:$X$3,'batch tool'!$B1610:$W1610)+$Y$3</f>
        <v>-36.514029388465531</v>
      </c>
      <c r="D1616" s="7">
        <f>SUMPRODUCT($C$4:$X$4,'batch tool'!$B1610:$W1610)+$Y$4</f>
        <v>-44.639843068043824</v>
      </c>
      <c r="E1616" s="7">
        <f>SUMPRODUCT($C$5:$X$5,'batch tool'!$B1610:$W1610)+$Y$5</f>
        <v>-51.578889182477603</v>
      </c>
      <c r="F1616" s="7">
        <f>SUMPRODUCT($C$6:$X$6,'batch tool'!$B1610:$W1610)+$Y$6</f>
        <v>-47.741473633885199</v>
      </c>
      <c r="G1616" s="7">
        <f>SUMPRODUCT($C$7:$X$7,'batch tool'!$B1610:$W1610)+$Y$7</f>
        <v>-19.739516238059196</v>
      </c>
      <c r="H1616" s="7">
        <f t="shared" si="50"/>
        <v>-19.739516238059196</v>
      </c>
      <c r="I1616">
        <f t="shared" si="51"/>
        <v>6</v>
      </c>
      <c r="J1616" t="str" cm="1">
        <f t="array" ref="J1616">INDEX($A$2:$A$7,I1616)</f>
        <v>Segment 6- Self-Conscious Male</v>
      </c>
    </row>
    <row r="1617" spans="1:10" x14ac:dyDescent="0.25">
      <c r="A1617" s="1">
        <f>'batch tool'!A1611</f>
        <v>0</v>
      </c>
      <c r="B1617" s="7">
        <f>SUMPRODUCT($C$2:$X$2,'batch tool'!$B1611:$W1611)+$Y$2</f>
        <v>-49.12272534143483</v>
      </c>
      <c r="C1617" s="7">
        <f>SUMPRODUCT($C$3:$X$3,'batch tool'!$B1611:$W1611)+$Y$3</f>
        <v>-36.514029388465531</v>
      </c>
      <c r="D1617" s="7">
        <f>SUMPRODUCT($C$4:$X$4,'batch tool'!$B1611:$W1611)+$Y$4</f>
        <v>-44.639843068043824</v>
      </c>
      <c r="E1617" s="7">
        <f>SUMPRODUCT($C$5:$X$5,'batch tool'!$B1611:$W1611)+$Y$5</f>
        <v>-51.578889182477603</v>
      </c>
      <c r="F1617" s="7">
        <f>SUMPRODUCT($C$6:$X$6,'batch tool'!$B1611:$W1611)+$Y$6</f>
        <v>-47.741473633885199</v>
      </c>
      <c r="G1617" s="7">
        <f>SUMPRODUCT($C$7:$X$7,'batch tool'!$B1611:$W1611)+$Y$7</f>
        <v>-19.739516238059196</v>
      </c>
      <c r="H1617" s="7">
        <f t="shared" si="50"/>
        <v>-19.739516238059196</v>
      </c>
      <c r="I1617">
        <f t="shared" si="51"/>
        <v>6</v>
      </c>
      <c r="J1617" t="str" cm="1">
        <f t="array" ref="J1617">INDEX($A$2:$A$7,I1617)</f>
        <v>Segment 6- Self-Conscious Male</v>
      </c>
    </row>
    <row r="1618" spans="1:10" x14ac:dyDescent="0.25">
      <c r="A1618" s="1">
        <f>'batch tool'!A1612</f>
        <v>0</v>
      </c>
      <c r="B1618" s="7">
        <f>SUMPRODUCT($C$2:$X$2,'batch tool'!$B1612:$W1612)+$Y$2</f>
        <v>-49.12272534143483</v>
      </c>
      <c r="C1618" s="7">
        <f>SUMPRODUCT($C$3:$X$3,'batch tool'!$B1612:$W1612)+$Y$3</f>
        <v>-36.514029388465531</v>
      </c>
      <c r="D1618" s="7">
        <f>SUMPRODUCT($C$4:$X$4,'batch tool'!$B1612:$W1612)+$Y$4</f>
        <v>-44.639843068043824</v>
      </c>
      <c r="E1618" s="7">
        <f>SUMPRODUCT($C$5:$X$5,'batch tool'!$B1612:$W1612)+$Y$5</f>
        <v>-51.578889182477603</v>
      </c>
      <c r="F1618" s="7">
        <f>SUMPRODUCT($C$6:$X$6,'batch tool'!$B1612:$W1612)+$Y$6</f>
        <v>-47.741473633885199</v>
      </c>
      <c r="G1618" s="7">
        <f>SUMPRODUCT($C$7:$X$7,'batch tool'!$B1612:$W1612)+$Y$7</f>
        <v>-19.739516238059196</v>
      </c>
      <c r="H1618" s="7">
        <f t="shared" si="50"/>
        <v>-19.739516238059196</v>
      </c>
      <c r="I1618">
        <f t="shared" si="51"/>
        <v>6</v>
      </c>
      <c r="J1618" t="str" cm="1">
        <f t="array" ref="J1618">INDEX($A$2:$A$7,I1618)</f>
        <v>Segment 6- Self-Conscious Male</v>
      </c>
    </row>
    <row r="1619" spans="1:10" x14ac:dyDescent="0.25">
      <c r="A1619" s="1">
        <f>'batch tool'!A1613</f>
        <v>0</v>
      </c>
      <c r="B1619" s="7">
        <f>SUMPRODUCT($C$2:$X$2,'batch tool'!$B1613:$W1613)+$Y$2</f>
        <v>-49.12272534143483</v>
      </c>
      <c r="C1619" s="7">
        <f>SUMPRODUCT($C$3:$X$3,'batch tool'!$B1613:$W1613)+$Y$3</f>
        <v>-36.514029388465531</v>
      </c>
      <c r="D1619" s="7">
        <f>SUMPRODUCT($C$4:$X$4,'batch tool'!$B1613:$W1613)+$Y$4</f>
        <v>-44.639843068043824</v>
      </c>
      <c r="E1619" s="7">
        <f>SUMPRODUCT($C$5:$X$5,'batch tool'!$B1613:$W1613)+$Y$5</f>
        <v>-51.578889182477603</v>
      </c>
      <c r="F1619" s="7">
        <f>SUMPRODUCT($C$6:$X$6,'batch tool'!$B1613:$W1613)+$Y$6</f>
        <v>-47.741473633885199</v>
      </c>
      <c r="G1619" s="7">
        <f>SUMPRODUCT($C$7:$X$7,'batch tool'!$B1613:$W1613)+$Y$7</f>
        <v>-19.739516238059196</v>
      </c>
      <c r="H1619" s="7">
        <f t="shared" si="50"/>
        <v>-19.739516238059196</v>
      </c>
      <c r="I1619">
        <f t="shared" si="51"/>
        <v>6</v>
      </c>
      <c r="J1619" t="str" cm="1">
        <f t="array" ref="J1619">INDEX($A$2:$A$7,I1619)</f>
        <v>Segment 6- Self-Conscious Male</v>
      </c>
    </row>
    <row r="1620" spans="1:10" x14ac:dyDescent="0.25">
      <c r="A1620" s="1">
        <f>'batch tool'!A1614</f>
        <v>0</v>
      </c>
      <c r="B1620" s="7">
        <f>SUMPRODUCT($C$2:$X$2,'batch tool'!$B1614:$W1614)+$Y$2</f>
        <v>-49.12272534143483</v>
      </c>
      <c r="C1620" s="7">
        <f>SUMPRODUCT($C$3:$X$3,'batch tool'!$B1614:$W1614)+$Y$3</f>
        <v>-36.514029388465531</v>
      </c>
      <c r="D1620" s="7">
        <f>SUMPRODUCT($C$4:$X$4,'batch tool'!$B1614:$W1614)+$Y$4</f>
        <v>-44.639843068043824</v>
      </c>
      <c r="E1620" s="7">
        <f>SUMPRODUCT($C$5:$X$5,'batch tool'!$B1614:$W1614)+$Y$5</f>
        <v>-51.578889182477603</v>
      </c>
      <c r="F1620" s="7">
        <f>SUMPRODUCT($C$6:$X$6,'batch tool'!$B1614:$W1614)+$Y$6</f>
        <v>-47.741473633885199</v>
      </c>
      <c r="G1620" s="7">
        <f>SUMPRODUCT($C$7:$X$7,'batch tool'!$B1614:$W1614)+$Y$7</f>
        <v>-19.739516238059196</v>
      </c>
      <c r="H1620" s="7">
        <f t="shared" si="50"/>
        <v>-19.739516238059196</v>
      </c>
      <c r="I1620">
        <f t="shared" si="51"/>
        <v>6</v>
      </c>
      <c r="J1620" t="str" cm="1">
        <f t="array" ref="J1620">INDEX($A$2:$A$7,I1620)</f>
        <v>Segment 6- Self-Conscious Male</v>
      </c>
    </row>
    <row r="1621" spans="1:10" x14ac:dyDescent="0.25">
      <c r="A1621" s="1">
        <f>'batch tool'!A1615</f>
        <v>0</v>
      </c>
      <c r="B1621" s="7">
        <f>SUMPRODUCT($C$2:$X$2,'batch tool'!$B1615:$W1615)+$Y$2</f>
        <v>-49.12272534143483</v>
      </c>
      <c r="C1621" s="7">
        <f>SUMPRODUCT($C$3:$X$3,'batch tool'!$B1615:$W1615)+$Y$3</f>
        <v>-36.514029388465531</v>
      </c>
      <c r="D1621" s="7">
        <f>SUMPRODUCT($C$4:$X$4,'batch tool'!$B1615:$W1615)+$Y$4</f>
        <v>-44.639843068043824</v>
      </c>
      <c r="E1621" s="7">
        <f>SUMPRODUCT($C$5:$X$5,'batch tool'!$B1615:$W1615)+$Y$5</f>
        <v>-51.578889182477603</v>
      </c>
      <c r="F1621" s="7">
        <f>SUMPRODUCT($C$6:$X$6,'batch tool'!$B1615:$W1615)+$Y$6</f>
        <v>-47.741473633885199</v>
      </c>
      <c r="G1621" s="7">
        <f>SUMPRODUCT($C$7:$X$7,'batch tool'!$B1615:$W1615)+$Y$7</f>
        <v>-19.739516238059196</v>
      </c>
      <c r="H1621" s="7">
        <f t="shared" si="50"/>
        <v>-19.739516238059196</v>
      </c>
      <c r="I1621">
        <f t="shared" si="51"/>
        <v>6</v>
      </c>
      <c r="J1621" t="str" cm="1">
        <f t="array" ref="J1621">INDEX($A$2:$A$7,I1621)</f>
        <v>Segment 6- Self-Conscious Male</v>
      </c>
    </row>
    <row r="1622" spans="1:10" x14ac:dyDescent="0.25">
      <c r="A1622" s="1">
        <f>'batch tool'!A1616</f>
        <v>0</v>
      </c>
      <c r="B1622" s="7">
        <f>SUMPRODUCT($C$2:$X$2,'batch tool'!$B1616:$W1616)+$Y$2</f>
        <v>-49.12272534143483</v>
      </c>
      <c r="C1622" s="7">
        <f>SUMPRODUCT($C$3:$X$3,'batch tool'!$B1616:$W1616)+$Y$3</f>
        <v>-36.514029388465531</v>
      </c>
      <c r="D1622" s="7">
        <f>SUMPRODUCT($C$4:$X$4,'batch tool'!$B1616:$W1616)+$Y$4</f>
        <v>-44.639843068043824</v>
      </c>
      <c r="E1622" s="7">
        <f>SUMPRODUCT($C$5:$X$5,'batch tool'!$B1616:$W1616)+$Y$5</f>
        <v>-51.578889182477603</v>
      </c>
      <c r="F1622" s="7">
        <f>SUMPRODUCT($C$6:$X$6,'batch tool'!$B1616:$W1616)+$Y$6</f>
        <v>-47.741473633885199</v>
      </c>
      <c r="G1622" s="7">
        <f>SUMPRODUCT($C$7:$X$7,'batch tool'!$B1616:$W1616)+$Y$7</f>
        <v>-19.739516238059196</v>
      </c>
      <c r="H1622" s="7">
        <f t="shared" si="50"/>
        <v>-19.739516238059196</v>
      </c>
      <c r="I1622">
        <f t="shared" si="51"/>
        <v>6</v>
      </c>
      <c r="J1622" t="str" cm="1">
        <f t="array" ref="J1622">INDEX($A$2:$A$7,I1622)</f>
        <v>Segment 6- Self-Conscious Male</v>
      </c>
    </row>
    <row r="1623" spans="1:10" x14ac:dyDescent="0.25">
      <c r="A1623" s="1">
        <f>'batch tool'!A1617</f>
        <v>0</v>
      </c>
      <c r="B1623" s="7">
        <f>SUMPRODUCT($C$2:$X$2,'batch tool'!$B1617:$W1617)+$Y$2</f>
        <v>-49.12272534143483</v>
      </c>
      <c r="C1623" s="7">
        <f>SUMPRODUCT($C$3:$X$3,'batch tool'!$B1617:$W1617)+$Y$3</f>
        <v>-36.514029388465531</v>
      </c>
      <c r="D1623" s="7">
        <f>SUMPRODUCT($C$4:$X$4,'batch tool'!$B1617:$W1617)+$Y$4</f>
        <v>-44.639843068043824</v>
      </c>
      <c r="E1623" s="7">
        <f>SUMPRODUCT($C$5:$X$5,'batch tool'!$B1617:$W1617)+$Y$5</f>
        <v>-51.578889182477603</v>
      </c>
      <c r="F1623" s="7">
        <f>SUMPRODUCT($C$6:$X$6,'batch tool'!$B1617:$W1617)+$Y$6</f>
        <v>-47.741473633885199</v>
      </c>
      <c r="G1623" s="7">
        <f>SUMPRODUCT($C$7:$X$7,'batch tool'!$B1617:$W1617)+$Y$7</f>
        <v>-19.739516238059196</v>
      </c>
      <c r="H1623" s="7">
        <f t="shared" si="50"/>
        <v>-19.739516238059196</v>
      </c>
      <c r="I1623">
        <f t="shared" si="51"/>
        <v>6</v>
      </c>
      <c r="J1623" t="str" cm="1">
        <f t="array" ref="J1623">INDEX($A$2:$A$7,I1623)</f>
        <v>Segment 6- Self-Conscious Male</v>
      </c>
    </row>
    <row r="1624" spans="1:10" x14ac:dyDescent="0.25">
      <c r="A1624" s="1">
        <f>'batch tool'!A1618</f>
        <v>0</v>
      </c>
      <c r="B1624" s="7">
        <f>SUMPRODUCT($C$2:$X$2,'batch tool'!$B1618:$W1618)+$Y$2</f>
        <v>-49.12272534143483</v>
      </c>
      <c r="C1624" s="7">
        <f>SUMPRODUCT($C$3:$X$3,'batch tool'!$B1618:$W1618)+$Y$3</f>
        <v>-36.514029388465531</v>
      </c>
      <c r="D1624" s="7">
        <f>SUMPRODUCT($C$4:$X$4,'batch tool'!$B1618:$W1618)+$Y$4</f>
        <v>-44.639843068043824</v>
      </c>
      <c r="E1624" s="7">
        <f>SUMPRODUCT($C$5:$X$5,'batch tool'!$B1618:$W1618)+$Y$5</f>
        <v>-51.578889182477603</v>
      </c>
      <c r="F1624" s="7">
        <f>SUMPRODUCT($C$6:$X$6,'batch tool'!$B1618:$W1618)+$Y$6</f>
        <v>-47.741473633885199</v>
      </c>
      <c r="G1624" s="7">
        <f>SUMPRODUCT($C$7:$X$7,'batch tool'!$B1618:$W1618)+$Y$7</f>
        <v>-19.739516238059196</v>
      </c>
      <c r="H1624" s="7">
        <f t="shared" si="50"/>
        <v>-19.739516238059196</v>
      </c>
      <c r="I1624">
        <f t="shared" si="51"/>
        <v>6</v>
      </c>
      <c r="J1624" t="str" cm="1">
        <f t="array" ref="J1624">INDEX($A$2:$A$7,I1624)</f>
        <v>Segment 6- Self-Conscious Male</v>
      </c>
    </row>
    <row r="1625" spans="1:10" x14ac:dyDescent="0.25">
      <c r="A1625" s="1">
        <f>'batch tool'!A1619</f>
        <v>0</v>
      </c>
      <c r="B1625" s="7">
        <f>SUMPRODUCT($C$2:$X$2,'batch tool'!$B1619:$W1619)+$Y$2</f>
        <v>-49.12272534143483</v>
      </c>
      <c r="C1625" s="7">
        <f>SUMPRODUCT($C$3:$X$3,'batch tool'!$B1619:$W1619)+$Y$3</f>
        <v>-36.514029388465531</v>
      </c>
      <c r="D1625" s="7">
        <f>SUMPRODUCT($C$4:$X$4,'batch tool'!$B1619:$W1619)+$Y$4</f>
        <v>-44.639843068043824</v>
      </c>
      <c r="E1625" s="7">
        <f>SUMPRODUCT($C$5:$X$5,'batch tool'!$B1619:$W1619)+$Y$5</f>
        <v>-51.578889182477603</v>
      </c>
      <c r="F1625" s="7">
        <f>SUMPRODUCT($C$6:$X$6,'batch tool'!$B1619:$W1619)+$Y$6</f>
        <v>-47.741473633885199</v>
      </c>
      <c r="G1625" s="7">
        <f>SUMPRODUCT($C$7:$X$7,'batch tool'!$B1619:$W1619)+$Y$7</f>
        <v>-19.739516238059196</v>
      </c>
      <c r="H1625" s="7">
        <f t="shared" si="50"/>
        <v>-19.739516238059196</v>
      </c>
      <c r="I1625">
        <f t="shared" si="51"/>
        <v>6</v>
      </c>
      <c r="J1625" t="str" cm="1">
        <f t="array" ref="J1625">INDEX($A$2:$A$7,I1625)</f>
        <v>Segment 6- Self-Conscious Male</v>
      </c>
    </row>
    <row r="1626" spans="1:10" x14ac:dyDescent="0.25">
      <c r="A1626" s="1">
        <f>'batch tool'!A1620</f>
        <v>0</v>
      </c>
      <c r="B1626" s="7">
        <f>SUMPRODUCT($C$2:$X$2,'batch tool'!$B1620:$W1620)+$Y$2</f>
        <v>-49.12272534143483</v>
      </c>
      <c r="C1626" s="7">
        <f>SUMPRODUCT($C$3:$X$3,'batch tool'!$B1620:$W1620)+$Y$3</f>
        <v>-36.514029388465531</v>
      </c>
      <c r="D1626" s="7">
        <f>SUMPRODUCT($C$4:$X$4,'batch tool'!$B1620:$W1620)+$Y$4</f>
        <v>-44.639843068043824</v>
      </c>
      <c r="E1626" s="7">
        <f>SUMPRODUCT($C$5:$X$5,'batch tool'!$B1620:$W1620)+$Y$5</f>
        <v>-51.578889182477603</v>
      </c>
      <c r="F1626" s="7">
        <f>SUMPRODUCT($C$6:$X$6,'batch tool'!$B1620:$W1620)+$Y$6</f>
        <v>-47.741473633885199</v>
      </c>
      <c r="G1626" s="7">
        <f>SUMPRODUCT($C$7:$X$7,'batch tool'!$B1620:$W1620)+$Y$7</f>
        <v>-19.739516238059196</v>
      </c>
      <c r="H1626" s="7">
        <f t="shared" si="50"/>
        <v>-19.739516238059196</v>
      </c>
      <c r="I1626">
        <f t="shared" si="51"/>
        <v>6</v>
      </c>
      <c r="J1626" t="str" cm="1">
        <f t="array" ref="J1626">INDEX($A$2:$A$7,I1626)</f>
        <v>Segment 6- Self-Conscious Male</v>
      </c>
    </row>
    <row r="1627" spans="1:10" x14ac:dyDescent="0.25">
      <c r="A1627" s="1">
        <f>'batch tool'!A1621</f>
        <v>0</v>
      </c>
      <c r="B1627" s="7">
        <f>SUMPRODUCT($C$2:$X$2,'batch tool'!$B1621:$W1621)+$Y$2</f>
        <v>-49.12272534143483</v>
      </c>
      <c r="C1627" s="7">
        <f>SUMPRODUCT($C$3:$X$3,'batch tool'!$B1621:$W1621)+$Y$3</f>
        <v>-36.514029388465531</v>
      </c>
      <c r="D1627" s="7">
        <f>SUMPRODUCT($C$4:$X$4,'batch tool'!$B1621:$W1621)+$Y$4</f>
        <v>-44.639843068043824</v>
      </c>
      <c r="E1627" s="7">
        <f>SUMPRODUCT($C$5:$X$5,'batch tool'!$B1621:$W1621)+$Y$5</f>
        <v>-51.578889182477603</v>
      </c>
      <c r="F1627" s="7">
        <f>SUMPRODUCT($C$6:$X$6,'batch tool'!$B1621:$W1621)+$Y$6</f>
        <v>-47.741473633885199</v>
      </c>
      <c r="G1627" s="7">
        <f>SUMPRODUCT($C$7:$X$7,'batch tool'!$B1621:$W1621)+$Y$7</f>
        <v>-19.739516238059196</v>
      </c>
      <c r="H1627" s="7">
        <f t="shared" si="50"/>
        <v>-19.739516238059196</v>
      </c>
      <c r="I1627">
        <f t="shared" si="51"/>
        <v>6</v>
      </c>
      <c r="J1627" t="str" cm="1">
        <f t="array" ref="J1627">INDEX($A$2:$A$7,I1627)</f>
        <v>Segment 6- Self-Conscious Male</v>
      </c>
    </row>
    <row r="1628" spans="1:10" x14ac:dyDescent="0.25">
      <c r="A1628" s="1">
        <f>'batch tool'!A1622</f>
        <v>0</v>
      </c>
      <c r="B1628" s="7">
        <f>SUMPRODUCT($C$2:$X$2,'batch tool'!$B1622:$W1622)+$Y$2</f>
        <v>-49.12272534143483</v>
      </c>
      <c r="C1628" s="7">
        <f>SUMPRODUCT($C$3:$X$3,'batch tool'!$B1622:$W1622)+$Y$3</f>
        <v>-36.514029388465531</v>
      </c>
      <c r="D1628" s="7">
        <f>SUMPRODUCT($C$4:$X$4,'batch tool'!$B1622:$W1622)+$Y$4</f>
        <v>-44.639843068043824</v>
      </c>
      <c r="E1628" s="7">
        <f>SUMPRODUCT($C$5:$X$5,'batch tool'!$B1622:$W1622)+$Y$5</f>
        <v>-51.578889182477603</v>
      </c>
      <c r="F1628" s="7">
        <f>SUMPRODUCT($C$6:$X$6,'batch tool'!$B1622:$W1622)+$Y$6</f>
        <v>-47.741473633885199</v>
      </c>
      <c r="G1628" s="7">
        <f>SUMPRODUCT($C$7:$X$7,'batch tool'!$B1622:$W1622)+$Y$7</f>
        <v>-19.739516238059196</v>
      </c>
      <c r="H1628" s="7">
        <f t="shared" si="50"/>
        <v>-19.739516238059196</v>
      </c>
      <c r="I1628">
        <f t="shared" si="51"/>
        <v>6</v>
      </c>
      <c r="J1628" t="str" cm="1">
        <f t="array" ref="J1628">INDEX($A$2:$A$7,I1628)</f>
        <v>Segment 6- Self-Conscious Male</v>
      </c>
    </row>
    <row r="1629" spans="1:10" x14ac:dyDescent="0.25">
      <c r="A1629" s="1">
        <f>'batch tool'!A1623</f>
        <v>0</v>
      </c>
      <c r="B1629" s="7">
        <f>SUMPRODUCT($C$2:$X$2,'batch tool'!$B1623:$W1623)+$Y$2</f>
        <v>-49.12272534143483</v>
      </c>
      <c r="C1629" s="7">
        <f>SUMPRODUCT($C$3:$X$3,'batch tool'!$B1623:$W1623)+$Y$3</f>
        <v>-36.514029388465531</v>
      </c>
      <c r="D1629" s="7">
        <f>SUMPRODUCT($C$4:$X$4,'batch tool'!$B1623:$W1623)+$Y$4</f>
        <v>-44.639843068043824</v>
      </c>
      <c r="E1629" s="7">
        <f>SUMPRODUCT($C$5:$X$5,'batch tool'!$B1623:$W1623)+$Y$5</f>
        <v>-51.578889182477603</v>
      </c>
      <c r="F1629" s="7">
        <f>SUMPRODUCT($C$6:$X$6,'batch tool'!$B1623:$W1623)+$Y$6</f>
        <v>-47.741473633885199</v>
      </c>
      <c r="G1629" s="7">
        <f>SUMPRODUCT($C$7:$X$7,'batch tool'!$B1623:$W1623)+$Y$7</f>
        <v>-19.739516238059196</v>
      </c>
      <c r="H1629" s="7">
        <f t="shared" si="50"/>
        <v>-19.739516238059196</v>
      </c>
      <c r="I1629">
        <f t="shared" si="51"/>
        <v>6</v>
      </c>
      <c r="J1629" t="str" cm="1">
        <f t="array" ref="J1629">INDEX($A$2:$A$7,I1629)</f>
        <v>Segment 6- Self-Conscious Male</v>
      </c>
    </row>
    <row r="1630" spans="1:10" x14ac:dyDescent="0.25">
      <c r="A1630" s="1">
        <f>'batch tool'!A1624</f>
        <v>0</v>
      </c>
      <c r="B1630" s="7">
        <f>SUMPRODUCT($C$2:$X$2,'batch tool'!$B1624:$W1624)+$Y$2</f>
        <v>-49.12272534143483</v>
      </c>
      <c r="C1630" s="7">
        <f>SUMPRODUCT($C$3:$X$3,'batch tool'!$B1624:$W1624)+$Y$3</f>
        <v>-36.514029388465531</v>
      </c>
      <c r="D1630" s="7">
        <f>SUMPRODUCT($C$4:$X$4,'batch tool'!$B1624:$W1624)+$Y$4</f>
        <v>-44.639843068043824</v>
      </c>
      <c r="E1630" s="7">
        <f>SUMPRODUCT($C$5:$X$5,'batch tool'!$B1624:$W1624)+$Y$5</f>
        <v>-51.578889182477603</v>
      </c>
      <c r="F1630" s="7">
        <f>SUMPRODUCT($C$6:$X$6,'batch tool'!$B1624:$W1624)+$Y$6</f>
        <v>-47.741473633885199</v>
      </c>
      <c r="G1630" s="7">
        <f>SUMPRODUCT($C$7:$X$7,'batch tool'!$B1624:$W1624)+$Y$7</f>
        <v>-19.739516238059196</v>
      </c>
      <c r="H1630" s="7">
        <f t="shared" si="50"/>
        <v>-19.739516238059196</v>
      </c>
      <c r="I1630">
        <f t="shared" si="51"/>
        <v>6</v>
      </c>
      <c r="J1630" t="str" cm="1">
        <f t="array" ref="J1630">INDEX($A$2:$A$7,I1630)</f>
        <v>Segment 6- Self-Conscious Male</v>
      </c>
    </row>
    <row r="1631" spans="1:10" x14ac:dyDescent="0.25">
      <c r="A1631" s="1">
        <f>'batch tool'!A1625</f>
        <v>0</v>
      </c>
      <c r="B1631" s="7">
        <f>SUMPRODUCT($C$2:$X$2,'batch tool'!$B1625:$W1625)+$Y$2</f>
        <v>-49.12272534143483</v>
      </c>
      <c r="C1631" s="7">
        <f>SUMPRODUCT($C$3:$X$3,'batch tool'!$B1625:$W1625)+$Y$3</f>
        <v>-36.514029388465531</v>
      </c>
      <c r="D1631" s="7">
        <f>SUMPRODUCT($C$4:$X$4,'batch tool'!$B1625:$W1625)+$Y$4</f>
        <v>-44.639843068043824</v>
      </c>
      <c r="E1631" s="7">
        <f>SUMPRODUCT($C$5:$X$5,'batch tool'!$B1625:$W1625)+$Y$5</f>
        <v>-51.578889182477603</v>
      </c>
      <c r="F1631" s="7">
        <f>SUMPRODUCT($C$6:$X$6,'batch tool'!$B1625:$W1625)+$Y$6</f>
        <v>-47.741473633885199</v>
      </c>
      <c r="G1631" s="7">
        <f>SUMPRODUCT($C$7:$X$7,'batch tool'!$B1625:$W1625)+$Y$7</f>
        <v>-19.739516238059196</v>
      </c>
      <c r="H1631" s="7">
        <f t="shared" si="50"/>
        <v>-19.739516238059196</v>
      </c>
      <c r="I1631">
        <f t="shared" si="51"/>
        <v>6</v>
      </c>
      <c r="J1631" t="str" cm="1">
        <f t="array" ref="J1631">INDEX($A$2:$A$7,I1631)</f>
        <v>Segment 6- Self-Conscious Male</v>
      </c>
    </row>
    <row r="1632" spans="1:10" x14ac:dyDescent="0.25">
      <c r="A1632" s="1">
        <f>'batch tool'!A1626</f>
        <v>0</v>
      </c>
      <c r="B1632" s="7">
        <f>SUMPRODUCT($C$2:$X$2,'batch tool'!$B1626:$W1626)+$Y$2</f>
        <v>-49.12272534143483</v>
      </c>
      <c r="C1632" s="7">
        <f>SUMPRODUCT($C$3:$X$3,'batch tool'!$B1626:$W1626)+$Y$3</f>
        <v>-36.514029388465531</v>
      </c>
      <c r="D1632" s="7">
        <f>SUMPRODUCT($C$4:$X$4,'batch tool'!$B1626:$W1626)+$Y$4</f>
        <v>-44.639843068043824</v>
      </c>
      <c r="E1632" s="7">
        <f>SUMPRODUCT($C$5:$X$5,'batch tool'!$B1626:$W1626)+$Y$5</f>
        <v>-51.578889182477603</v>
      </c>
      <c r="F1632" s="7">
        <f>SUMPRODUCT($C$6:$X$6,'batch tool'!$B1626:$W1626)+$Y$6</f>
        <v>-47.741473633885199</v>
      </c>
      <c r="G1632" s="7">
        <f>SUMPRODUCT($C$7:$X$7,'batch tool'!$B1626:$W1626)+$Y$7</f>
        <v>-19.739516238059196</v>
      </c>
      <c r="H1632" s="7">
        <f t="shared" si="50"/>
        <v>-19.739516238059196</v>
      </c>
      <c r="I1632">
        <f t="shared" si="51"/>
        <v>6</v>
      </c>
      <c r="J1632" t="str" cm="1">
        <f t="array" ref="J1632">INDEX($A$2:$A$7,I1632)</f>
        <v>Segment 6- Self-Conscious Male</v>
      </c>
    </row>
    <row r="1633" spans="1:10" x14ac:dyDescent="0.25">
      <c r="A1633" s="1">
        <f>'batch tool'!A1627</f>
        <v>0</v>
      </c>
      <c r="B1633" s="7">
        <f>SUMPRODUCT($C$2:$X$2,'batch tool'!$B1627:$W1627)+$Y$2</f>
        <v>-49.12272534143483</v>
      </c>
      <c r="C1633" s="7">
        <f>SUMPRODUCT($C$3:$X$3,'batch tool'!$B1627:$W1627)+$Y$3</f>
        <v>-36.514029388465531</v>
      </c>
      <c r="D1633" s="7">
        <f>SUMPRODUCT($C$4:$X$4,'batch tool'!$B1627:$W1627)+$Y$4</f>
        <v>-44.639843068043824</v>
      </c>
      <c r="E1633" s="7">
        <f>SUMPRODUCT($C$5:$X$5,'batch tool'!$B1627:$W1627)+$Y$5</f>
        <v>-51.578889182477603</v>
      </c>
      <c r="F1633" s="7">
        <f>SUMPRODUCT($C$6:$X$6,'batch tool'!$B1627:$W1627)+$Y$6</f>
        <v>-47.741473633885199</v>
      </c>
      <c r="G1633" s="7">
        <f>SUMPRODUCT($C$7:$X$7,'batch tool'!$B1627:$W1627)+$Y$7</f>
        <v>-19.739516238059196</v>
      </c>
      <c r="H1633" s="7">
        <f t="shared" si="50"/>
        <v>-19.739516238059196</v>
      </c>
      <c r="I1633">
        <f t="shared" si="51"/>
        <v>6</v>
      </c>
      <c r="J1633" t="str" cm="1">
        <f t="array" ref="J1633">INDEX($A$2:$A$7,I1633)</f>
        <v>Segment 6- Self-Conscious Male</v>
      </c>
    </row>
    <row r="1634" spans="1:10" x14ac:dyDescent="0.25">
      <c r="A1634" s="1">
        <f>'batch tool'!A1628</f>
        <v>0</v>
      </c>
      <c r="B1634" s="7">
        <f>SUMPRODUCT($C$2:$X$2,'batch tool'!$B1628:$W1628)+$Y$2</f>
        <v>-49.12272534143483</v>
      </c>
      <c r="C1634" s="7">
        <f>SUMPRODUCT($C$3:$X$3,'batch tool'!$B1628:$W1628)+$Y$3</f>
        <v>-36.514029388465531</v>
      </c>
      <c r="D1634" s="7">
        <f>SUMPRODUCT($C$4:$X$4,'batch tool'!$B1628:$W1628)+$Y$4</f>
        <v>-44.639843068043824</v>
      </c>
      <c r="E1634" s="7">
        <f>SUMPRODUCT($C$5:$X$5,'batch tool'!$B1628:$W1628)+$Y$5</f>
        <v>-51.578889182477603</v>
      </c>
      <c r="F1634" s="7">
        <f>SUMPRODUCT($C$6:$X$6,'batch tool'!$B1628:$W1628)+$Y$6</f>
        <v>-47.741473633885199</v>
      </c>
      <c r="G1634" s="7">
        <f>SUMPRODUCT($C$7:$X$7,'batch tool'!$B1628:$W1628)+$Y$7</f>
        <v>-19.739516238059196</v>
      </c>
      <c r="H1634" s="7">
        <f t="shared" si="50"/>
        <v>-19.739516238059196</v>
      </c>
      <c r="I1634">
        <f t="shared" si="51"/>
        <v>6</v>
      </c>
      <c r="J1634" t="str" cm="1">
        <f t="array" ref="J1634">INDEX($A$2:$A$7,I1634)</f>
        <v>Segment 6- Self-Conscious Male</v>
      </c>
    </row>
    <row r="1635" spans="1:10" x14ac:dyDescent="0.25">
      <c r="A1635" s="1">
        <f>'batch tool'!A1629</f>
        <v>0</v>
      </c>
      <c r="B1635" s="7">
        <f>SUMPRODUCT($C$2:$X$2,'batch tool'!$B1629:$W1629)+$Y$2</f>
        <v>-49.12272534143483</v>
      </c>
      <c r="C1635" s="7">
        <f>SUMPRODUCT($C$3:$X$3,'batch tool'!$B1629:$W1629)+$Y$3</f>
        <v>-36.514029388465531</v>
      </c>
      <c r="D1635" s="7">
        <f>SUMPRODUCT($C$4:$X$4,'batch tool'!$B1629:$W1629)+$Y$4</f>
        <v>-44.639843068043824</v>
      </c>
      <c r="E1635" s="7">
        <f>SUMPRODUCT($C$5:$X$5,'batch tool'!$B1629:$W1629)+$Y$5</f>
        <v>-51.578889182477603</v>
      </c>
      <c r="F1635" s="7">
        <f>SUMPRODUCT($C$6:$X$6,'batch tool'!$B1629:$W1629)+$Y$6</f>
        <v>-47.741473633885199</v>
      </c>
      <c r="G1635" s="7">
        <f>SUMPRODUCT($C$7:$X$7,'batch tool'!$B1629:$W1629)+$Y$7</f>
        <v>-19.739516238059196</v>
      </c>
      <c r="H1635" s="7">
        <f t="shared" si="50"/>
        <v>-19.739516238059196</v>
      </c>
      <c r="I1635">
        <f t="shared" si="51"/>
        <v>6</v>
      </c>
      <c r="J1635" t="str" cm="1">
        <f t="array" ref="J1635">INDEX($A$2:$A$7,I1635)</f>
        <v>Segment 6- Self-Conscious Male</v>
      </c>
    </row>
    <row r="1636" spans="1:10" x14ac:dyDescent="0.25">
      <c r="A1636" s="1">
        <f>'batch tool'!A1630</f>
        <v>0</v>
      </c>
      <c r="B1636" s="7">
        <f>SUMPRODUCT($C$2:$X$2,'batch tool'!$B1630:$W1630)+$Y$2</f>
        <v>-49.12272534143483</v>
      </c>
      <c r="C1636" s="7">
        <f>SUMPRODUCT($C$3:$X$3,'batch tool'!$B1630:$W1630)+$Y$3</f>
        <v>-36.514029388465531</v>
      </c>
      <c r="D1636" s="7">
        <f>SUMPRODUCT($C$4:$X$4,'batch tool'!$B1630:$W1630)+$Y$4</f>
        <v>-44.639843068043824</v>
      </c>
      <c r="E1636" s="7">
        <f>SUMPRODUCT($C$5:$X$5,'batch tool'!$B1630:$W1630)+$Y$5</f>
        <v>-51.578889182477603</v>
      </c>
      <c r="F1636" s="7">
        <f>SUMPRODUCT($C$6:$X$6,'batch tool'!$B1630:$W1630)+$Y$6</f>
        <v>-47.741473633885199</v>
      </c>
      <c r="G1636" s="7">
        <f>SUMPRODUCT($C$7:$X$7,'batch tool'!$B1630:$W1630)+$Y$7</f>
        <v>-19.739516238059196</v>
      </c>
      <c r="H1636" s="7">
        <f t="shared" si="50"/>
        <v>-19.739516238059196</v>
      </c>
      <c r="I1636">
        <f t="shared" si="51"/>
        <v>6</v>
      </c>
      <c r="J1636" t="str" cm="1">
        <f t="array" ref="J1636">INDEX($A$2:$A$7,I1636)</f>
        <v>Segment 6- Self-Conscious Male</v>
      </c>
    </row>
    <row r="1637" spans="1:10" x14ac:dyDescent="0.25">
      <c r="A1637" s="1">
        <f>'batch tool'!A1631</f>
        <v>0</v>
      </c>
      <c r="B1637" s="7">
        <f>SUMPRODUCT($C$2:$X$2,'batch tool'!$B1631:$W1631)+$Y$2</f>
        <v>-49.12272534143483</v>
      </c>
      <c r="C1637" s="7">
        <f>SUMPRODUCT($C$3:$X$3,'batch tool'!$B1631:$W1631)+$Y$3</f>
        <v>-36.514029388465531</v>
      </c>
      <c r="D1637" s="7">
        <f>SUMPRODUCT($C$4:$X$4,'batch tool'!$B1631:$W1631)+$Y$4</f>
        <v>-44.639843068043824</v>
      </c>
      <c r="E1637" s="7">
        <f>SUMPRODUCT($C$5:$X$5,'batch tool'!$B1631:$W1631)+$Y$5</f>
        <v>-51.578889182477603</v>
      </c>
      <c r="F1637" s="7">
        <f>SUMPRODUCT($C$6:$X$6,'batch tool'!$B1631:$W1631)+$Y$6</f>
        <v>-47.741473633885199</v>
      </c>
      <c r="G1637" s="7">
        <f>SUMPRODUCT($C$7:$X$7,'batch tool'!$B1631:$W1631)+$Y$7</f>
        <v>-19.739516238059196</v>
      </c>
      <c r="H1637" s="7">
        <f t="shared" si="50"/>
        <v>-19.739516238059196</v>
      </c>
      <c r="I1637">
        <f t="shared" si="51"/>
        <v>6</v>
      </c>
      <c r="J1637" t="str" cm="1">
        <f t="array" ref="J1637">INDEX($A$2:$A$7,I1637)</f>
        <v>Segment 6- Self-Conscious Male</v>
      </c>
    </row>
    <row r="1638" spans="1:10" x14ac:dyDescent="0.25">
      <c r="A1638" s="1">
        <f>'batch tool'!A1632</f>
        <v>0</v>
      </c>
      <c r="B1638" s="7">
        <f>SUMPRODUCT($C$2:$X$2,'batch tool'!$B1632:$W1632)+$Y$2</f>
        <v>-49.12272534143483</v>
      </c>
      <c r="C1638" s="7">
        <f>SUMPRODUCT($C$3:$X$3,'batch tool'!$B1632:$W1632)+$Y$3</f>
        <v>-36.514029388465531</v>
      </c>
      <c r="D1638" s="7">
        <f>SUMPRODUCT($C$4:$X$4,'batch tool'!$B1632:$W1632)+$Y$4</f>
        <v>-44.639843068043824</v>
      </c>
      <c r="E1638" s="7">
        <f>SUMPRODUCT($C$5:$X$5,'batch tool'!$B1632:$W1632)+$Y$5</f>
        <v>-51.578889182477603</v>
      </c>
      <c r="F1638" s="7">
        <f>SUMPRODUCT($C$6:$X$6,'batch tool'!$B1632:$W1632)+$Y$6</f>
        <v>-47.741473633885199</v>
      </c>
      <c r="G1638" s="7">
        <f>SUMPRODUCT($C$7:$X$7,'batch tool'!$B1632:$W1632)+$Y$7</f>
        <v>-19.739516238059196</v>
      </c>
      <c r="H1638" s="7">
        <f t="shared" si="50"/>
        <v>-19.739516238059196</v>
      </c>
      <c r="I1638">
        <f t="shared" si="51"/>
        <v>6</v>
      </c>
      <c r="J1638" t="str" cm="1">
        <f t="array" ref="J1638">INDEX($A$2:$A$7,I1638)</f>
        <v>Segment 6- Self-Conscious Male</v>
      </c>
    </row>
    <row r="1639" spans="1:10" x14ac:dyDescent="0.25">
      <c r="A1639" s="1">
        <f>'batch tool'!A1633</f>
        <v>0</v>
      </c>
      <c r="B1639" s="7">
        <f>SUMPRODUCT($C$2:$X$2,'batch tool'!$B1633:$W1633)+$Y$2</f>
        <v>-49.12272534143483</v>
      </c>
      <c r="C1639" s="7">
        <f>SUMPRODUCT($C$3:$X$3,'batch tool'!$B1633:$W1633)+$Y$3</f>
        <v>-36.514029388465531</v>
      </c>
      <c r="D1639" s="7">
        <f>SUMPRODUCT($C$4:$X$4,'batch tool'!$B1633:$W1633)+$Y$4</f>
        <v>-44.639843068043824</v>
      </c>
      <c r="E1639" s="7">
        <f>SUMPRODUCT($C$5:$X$5,'batch tool'!$B1633:$W1633)+$Y$5</f>
        <v>-51.578889182477603</v>
      </c>
      <c r="F1639" s="7">
        <f>SUMPRODUCT($C$6:$X$6,'batch tool'!$B1633:$W1633)+$Y$6</f>
        <v>-47.741473633885199</v>
      </c>
      <c r="G1639" s="7">
        <f>SUMPRODUCT($C$7:$X$7,'batch tool'!$B1633:$W1633)+$Y$7</f>
        <v>-19.739516238059196</v>
      </c>
      <c r="H1639" s="7">
        <f t="shared" si="50"/>
        <v>-19.739516238059196</v>
      </c>
      <c r="I1639">
        <f t="shared" si="51"/>
        <v>6</v>
      </c>
      <c r="J1639" t="str" cm="1">
        <f t="array" ref="J1639">INDEX($A$2:$A$7,I1639)</f>
        <v>Segment 6- Self-Conscious Male</v>
      </c>
    </row>
    <row r="1640" spans="1:10" x14ac:dyDescent="0.25">
      <c r="A1640" s="1">
        <f>'batch tool'!A1634</f>
        <v>0</v>
      </c>
      <c r="B1640" s="7">
        <f>SUMPRODUCT($C$2:$X$2,'batch tool'!$B1634:$W1634)+$Y$2</f>
        <v>-49.12272534143483</v>
      </c>
      <c r="C1640" s="7">
        <f>SUMPRODUCT($C$3:$X$3,'batch tool'!$B1634:$W1634)+$Y$3</f>
        <v>-36.514029388465531</v>
      </c>
      <c r="D1640" s="7">
        <f>SUMPRODUCT($C$4:$X$4,'batch tool'!$B1634:$W1634)+$Y$4</f>
        <v>-44.639843068043824</v>
      </c>
      <c r="E1640" s="7">
        <f>SUMPRODUCT($C$5:$X$5,'batch tool'!$B1634:$W1634)+$Y$5</f>
        <v>-51.578889182477603</v>
      </c>
      <c r="F1640" s="7">
        <f>SUMPRODUCT($C$6:$X$6,'batch tool'!$B1634:$W1634)+$Y$6</f>
        <v>-47.741473633885199</v>
      </c>
      <c r="G1640" s="7">
        <f>SUMPRODUCT($C$7:$X$7,'batch tool'!$B1634:$W1634)+$Y$7</f>
        <v>-19.739516238059196</v>
      </c>
      <c r="H1640" s="7">
        <f t="shared" si="50"/>
        <v>-19.739516238059196</v>
      </c>
      <c r="I1640">
        <f t="shared" si="51"/>
        <v>6</v>
      </c>
      <c r="J1640" t="str" cm="1">
        <f t="array" ref="J1640">INDEX($A$2:$A$7,I1640)</f>
        <v>Segment 6- Self-Conscious Male</v>
      </c>
    </row>
    <row r="1641" spans="1:10" x14ac:dyDescent="0.25">
      <c r="A1641" s="1">
        <f>'batch tool'!A1635</f>
        <v>0</v>
      </c>
      <c r="B1641" s="7">
        <f>SUMPRODUCT($C$2:$X$2,'batch tool'!$B1635:$W1635)+$Y$2</f>
        <v>-49.12272534143483</v>
      </c>
      <c r="C1641" s="7">
        <f>SUMPRODUCT($C$3:$X$3,'batch tool'!$B1635:$W1635)+$Y$3</f>
        <v>-36.514029388465531</v>
      </c>
      <c r="D1641" s="7">
        <f>SUMPRODUCT($C$4:$X$4,'batch tool'!$B1635:$W1635)+$Y$4</f>
        <v>-44.639843068043824</v>
      </c>
      <c r="E1641" s="7">
        <f>SUMPRODUCT($C$5:$X$5,'batch tool'!$B1635:$W1635)+$Y$5</f>
        <v>-51.578889182477603</v>
      </c>
      <c r="F1641" s="7">
        <f>SUMPRODUCT($C$6:$X$6,'batch tool'!$B1635:$W1635)+$Y$6</f>
        <v>-47.741473633885199</v>
      </c>
      <c r="G1641" s="7">
        <f>SUMPRODUCT($C$7:$X$7,'batch tool'!$B1635:$W1635)+$Y$7</f>
        <v>-19.739516238059196</v>
      </c>
      <c r="H1641" s="7">
        <f t="shared" si="50"/>
        <v>-19.739516238059196</v>
      </c>
      <c r="I1641">
        <f t="shared" si="51"/>
        <v>6</v>
      </c>
      <c r="J1641" t="str" cm="1">
        <f t="array" ref="J1641">INDEX($A$2:$A$7,I1641)</f>
        <v>Segment 6- Self-Conscious Male</v>
      </c>
    </row>
    <row r="1642" spans="1:10" x14ac:dyDescent="0.25">
      <c r="A1642" s="1">
        <f>'batch tool'!A1636</f>
        <v>0</v>
      </c>
      <c r="B1642" s="7">
        <f>SUMPRODUCT($C$2:$X$2,'batch tool'!$B1636:$W1636)+$Y$2</f>
        <v>-49.12272534143483</v>
      </c>
      <c r="C1642" s="7">
        <f>SUMPRODUCT($C$3:$X$3,'batch tool'!$B1636:$W1636)+$Y$3</f>
        <v>-36.514029388465531</v>
      </c>
      <c r="D1642" s="7">
        <f>SUMPRODUCT($C$4:$X$4,'batch tool'!$B1636:$W1636)+$Y$4</f>
        <v>-44.639843068043824</v>
      </c>
      <c r="E1642" s="7">
        <f>SUMPRODUCT($C$5:$X$5,'batch tool'!$B1636:$W1636)+$Y$5</f>
        <v>-51.578889182477603</v>
      </c>
      <c r="F1642" s="7">
        <f>SUMPRODUCT($C$6:$X$6,'batch tool'!$B1636:$W1636)+$Y$6</f>
        <v>-47.741473633885199</v>
      </c>
      <c r="G1642" s="7">
        <f>SUMPRODUCT($C$7:$X$7,'batch tool'!$B1636:$W1636)+$Y$7</f>
        <v>-19.739516238059196</v>
      </c>
      <c r="H1642" s="7">
        <f t="shared" si="50"/>
        <v>-19.739516238059196</v>
      </c>
      <c r="I1642">
        <f t="shared" si="51"/>
        <v>6</v>
      </c>
      <c r="J1642" t="str" cm="1">
        <f t="array" ref="J1642">INDEX($A$2:$A$7,I1642)</f>
        <v>Segment 6- Self-Conscious Male</v>
      </c>
    </row>
    <row r="1643" spans="1:10" x14ac:dyDescent="0.25">
      <c r="A1643" s="1">
        <f>'batch tool'!A1637</f>
        <v>0</v>
      </c>
      <c r="B1643" s="7">
        <f>SUMPRODUCT($C$2:$X$2,'batch tool'!$B1637:$W1637)+$Y$2</f>
        <v>-49.12272534143483</v>
      </c>
      <c r="C1643" s="7">
        <f>SUMPRODUCT($C$3:$X$3,'batch tool'!$B1637:$W1637)+$Y$3</f>
        <v>-36.514029388465531</v>
      </c>
      <c r="D1643" s="7">
        <f>SUMPRODUCT($C$4:$X$4,'batch tool'!$B1637:$W1637)+$Y$4</f>
        <v>-44.639843068043824</v>
      </c>
      <c r="E1643" s="7">
        <f>SUMPRODUCT($C$5:$X$5,'batch tool'!$B1637:$W1637)+$Y$5</f>
        <v>-51.578889182477603</v>
      </c>
      <c r="F1643" s="7">
        <f>SUMPRODUCT($C$6:$X$6,'batch tool'!$B1637:$W1637)+$Y$6</f>
        <v>-47.741473633885199</v>
      </c>
      <c r="G1643" s="7">
        <f>SUMPRODUCT($C$7:$X$7,'batch tool'!$B1637:$W1637)+$Y$7</f>
        <v>-19.739516238059196</v>
      </c>
      <c r="H1643" s="7">
        <f t="shared" si="50"/>
        <v>-19.739516238059196</v>
      </c>
      <c r="I1643">
        <f t="shared" si="51"/>
        <v>6</v>
      </c>
      <c r="J1643" t="str" cm="1">
        <f t="array" ref="J1643">INDEX($A$2:$A$7,I1643)</f>
        <v>Segment 6- Self-Conscious Male</v>
      </c>
    </row>
    <row r="1644" spans="1:10" x14ac:dyDescent="0.25">
      <c r="A1644" s="1">
        <f>'batch tool'!A1638</f>
        <v>0</v>
      </c>
      <c r="B1644" s="7">
        <f>SUMPRODUCT($C$2:$X$2,'batch tool'!$B1638:$W1638)+$Y$2</f>
        <v>-49.12272534143483</v>
      </c>
      <c r="C1644" s="7">
        <f>SUMPRODUCT($C$3:$X$3,'batch tool'!$B1638:$W1638)+$Y$3</f>
        <v>-36.514029388465531</v>
      </c>
      <c r="D1644" s="7">
        <f>SUMPRODUCT($C$4:$X$4,'batch tool'!$B1638:$W1638)+$Y$4</f>
        <v>-44.639843068043824</v>
      </c>
      <c r="E1644" s="7">
        <f>SUMPRODUCT($C$5:$X$5,'batch tool'!$B1638:$W1638)+$Y$5</f>
        <v>-51.578889182477603</v>
      </c>
      <c r="F1644" s="7">
        <f>SUMPRODUCT($C$6:$X$6,'batch tool'!$B1638:$W1638)+$Y$6</f>
        <v>-47.741473633885199</v>
      </c>
      <c r="G1644" s="7">
        <f>SUMPRODUCT($C$7:$X$7,'batch tool'!$B1638:$W1638)+$Y$7</f>
        <v>-19.739516238059196</v>
      </c>
      <c r="H1644" s="7">
        <f t="shared" si="50"/>
        <v>-19.739516238059196</v>
      </c>
      <c r="I1644">
        <f t="shared" si="51"/>
        <v>6</v>
      </c>
      <c r="J1644" t="str" cm="1">
        <f t="array" ref="J1644">INDEX($A$2:$A$7,I1644)</f>
        <v>Segment 6- Self-Conscious Male</v>
      </c>
    </row>
    <row r="1645" spans="1:10" x14ac:dyDescent="0.25">
      <c r="A1645" s="1">
        <f>'batch tool'!A1639</f>
        <v>0</v>
      </c>
      <c r="B1645" s="7">
        <f>SUMPRODUCT($C$2:$X$2,'batch tool'!$B1639:$W1639)+$Y$2</f>
        <v>-49.12272534143483</v>
      </c>
      <c r="C1645" s="7">
        <f>SUMPRODUCT($C$3:$X$3,'batch tool'!$B1639:$W1639)+$Y$3</f>
        <v>-36.514029388465531</v>
      </c>
      <c r="D1645" s="7">
        <f>SUMPRODUCT($C$4:$X$4,'batch tool'!$B1639:$W1639)+$Y$4</f>
        <v>-44.639843068043824</v>
      </c>
      <c r="E1645" s="7">
        <f>SUMPRODUCT($C$5:$X$5,'batch tool'!$B1639:$W1639)+$Y$5</f>
        <v>-51.578889182477603</v>
      </c>
      <c r="F1645" s="7">
        <f>SUMPRODUCT($C$6:$X$6,'batch tool'!$B1639:$W1639)+$Y$6</f>
        <v>-47.741473633885199</v>
      </c>
      <c r="G1645" s="7">
        <f>SUMPRODUCT($C$7:$X$7,'batch tool'!$B1639:$W1639)+$Y$7</f>
        <v>-19.739516238059196</v>
      </c>
      <c r="H1645" s="7">
        <f t="shared" si="50"/>
        <v>-19.739516238059196</v>
      </c>
      <c r="I1645">
        <f t="shared" si="51"/>
        <v>6</v>
      </c>
      <c r="J1645" t="str" cm="1">
        <f t="array" ref="J1645">INDEX($A$2:$A$7,I1645)</f>
        <v>Segment 6- Self-Conscious Male</v>
      </c>
    </row>
    <row r="1646" spans="1:10" x14ac:dyDescent="0.25">
      <c r="A1646" s="1">
        <f>'batch tool'!A1640</f>
        <v>0</v>
      </c>
      <c r="B1646" s="7">
        <f>SUMPRODUCT($C$2:$X$2,'batch tool'!$B1640:$W1640)+$Y$2</f>
        <v>-49.12272534143483</v>
      </c>
      <c r="C1646" s="7">
        <f>SUMPRODUCT($C$3:$X$3,'batch tool'!$B1640:$W1640)+$Y$3</f>
        <v>-36.514029388465531</v>
      </c>
      <c r="D1646" s="7">
        <f>SUMPRODUCT($C$4:$X$4,'batch tool'!$B1640:$W1640)+$Y$4</f>
        <v>-44.639843068043824</v>
      </c>
      <c r="E1646" s="7">
        <f>SUMPRODUCT($C$5:$X$5,'batch tool'!$B1640:$W1640)+$Y$5</f>
        <v>-51.578889182477603</v>
      </c>
      <c r="F1646" s="7">
        <f>SUMPRODUCT($C$6:$X$6,'batch tool'!$B1640:$W1640)+$Y$6</f>
        <v>-47.741473633885199</v>
      </c>
      <c r="G1646" s="7">
        <f>SUMPRODUCT($C$7:$X$7,'batch tool'!$B1640:$W1640)+$Y$7</f>
        <v>-19.739516238059196</v>
      </c>
      <c r="H1646" s="7">
        <f t="shared" si="50"/>
        <v>-19.739516238059196</v>
      </c>
      <c r="I1646">
        <f t="shared" si="51"/>
        <v>6</v>
      </c>
      <c r="J1646" t="str" cm="1">
        <f t="array" ref="J1646">INDEX($A$2:$A$7,I1646)</f>
        <v>Segment 6- Self-Conscious Male</v>
      </c>
    </row>
    <row r="1647" spans="1:10" x14ac:dyDescent="0.25">
      <c r="A1647" s="1">
        <f>'batch tool'!A1641</f>
        <v>0</v>
      </c>
      <c r="B1647" s="7">
        <f>SUMPRODUCT($C$2:$X$2,'batch tool'!$B1641:$W1641)+$Y$2</f>
        <v>-49.12272534143483</v>
      </c>
      <c r="C1647" s="7">
        <f>SUMPRODUCT($C$3:$X$3,'batch tool'!$B1641:$W1641)+$Y$3</f>
        <v>-36.514029388465531</v>
      </c>
      <c r="D1647" s="7">
        <f>SUMPRODUCT($C$4:$X$4,'batch tool'!$B1641:$W1641)+$Y$4</f>
        <v>-44.639843068043824</v>
      </c>
      <c r="E1647" s="7">
        <f>SUMPRODUCT($C$5:$X$5,'batch tool'!$B1641:$W1641)+$Y$5</f>
        <v>-51.578889182477603</v>
      </c>
      <c r="F1647" s="7">
        <f>SUMPRODUCT($C$6:$X$6,'batch tool'!$B1641:$W1641)+$Y$6</f>
        <v>-47.741473633885199</v>
      </c>
      <c r="G1647" s="7">
        <f>SUMPRODUCT($C$7:$X$7,'batch tool'!$B1641:$W1641)+$Y$7</f>
        <v>-19.739516238059196</v>
      </c>
      <c r="H1647" s="7">
        <f t="shared" si="50"/>
        <v>-19.739516238059196</v>
      </c>
      <c r="I1647">
        <f t="shared" si="51"/>
        <v>6</v>
      </c>
      <c r="J1647" t="str" cm="1">
        <f t="array" ref="J1647">INDEX($A$2:$A$7,I1647)</f>
        <v>Segment 6- Self-Conscious Male</v>
      </c>
    </row>
    <row r="1648" spans="1:10" x14ac:dyDescent="0.25">
      <c r="A1648" s="1">
        <f>'batch tool'!A1642</f>
        <v>0</v>
      </c>
      <c r="B1648" s="7">
        <f>SUMPRODUCT($C$2:$X$2,'batch tool'!$B1642:$W1642)+$Y$2</f>
        <v>-49.12272534143483</v>
      </c>
      <c r="C1648" s="7">
        <f>SUMPRODUCT($C$3:$X$3,'batch tool'!$B1642:$W1642)+$Y$3</f>
        <v>-36.514029388465531</v>
      </c>
      <c r="D1648" s="7">
        <f>SUMPRODUCT($C$4:$X$4,'batch tool'!$B1642:$W1642)+$Y$4</f>
        <v>-44.639843068043824</v>
      </c>
      <c r="E1648" s="7">
        <f>SUMPRODUCT($C$5:$X$5,'batch tool'!$B1642:$W1642)+$Y$5</f>
        <v>-51.578889182477603</v>
      </c>
      <c r="F1648" s="7">
        <f>SUMPRODUCT($C$6:$X$6,'batch tool'!$B1642:$W1642)+$Y$6</f>
        <v>-47.741473633885199</v>
      </c>
      <c r="G1648" s="7">
        <f>SUMPRODUCT($C$7:$X$7,'batch tool'!$B1642:$W1642)+$Y$7</f>
        <v>-19.739516238059196</v>
      </c>
      <c r="H1648" s="7">
        <f t="shared" si="50"/>
        <v>-19.739516238059196</v>
      </c>
      <c r="I1648">
        <f t="shared" si="51"/>
        <v>6</v>
      </c>
      <c r="J1648" t="str" cm="1">
        <f t="array" ref="J1648">INDEX($A$2:$A$7,I1648)</f>
        <v>Segment 6- Self-Conscious Male</v>
      </c>
    </row>
    <row r="1649" spans="1:10" x14ac:dyDescent="0.25">
      <c r="A1649" s="1">
        <f>'batch tool'!A1643</f>
        <v>0</v>
      </c>
      <c r="B1649" s="7">
        <f>SUMPRODUCT($C$2:$X$2,'batch tool'!$B1643:$W1643)+$Y$2</f>
        <v>-49.12272534143483</v>
      </c>
      <c r="C1649" s="7">
        <f>SUMPRODUCT($C$3:$X$3,'batch tool'!$B1643:$W1643)+$Y$3</f>
        <v>-36.514029388465531</v>
      </c>
      <c r="D1649" s="7">
        <f>SUMPRODUCT($C$4:$X$4,'batch tool'!$B1643:$W1643)+$Y$4</f>
        <v>-44.639843068043824</v>
      </c>
      <c r="E1649" s="7">
        <f>SUMPRODUCT($C$5:$X$5,'batch tool'!$B1643:$W1643)+$Y$5</f>
        <v>-51.578889182477603</v>
      </c>
      <c r="F1649" s="7">
        <f>SUMPRODUCT($C$6:$X$6,'batch tool'!$B1643:$W1643)+$Y$6</f>
        <v>-47.741473633885199</v>
      </c>
      <c r="G1649" s="7">
        <f>SUMPRODUCT($C$7:$X$7,'batch tool'!$B1643:$W1643)+$Y$7</f>
        <v>-19.739516238059196</v>
      </c>
      <c r="H1649" s="7">
        <f t="shared" si="50"/>
        <v>-19.739516238059196</v>
      </c>
      <c r="I1649">
        <f t="shared" si="51"/>
        <v>6</v>
      </c>
      <c r="J1649" t="str" cm="1">
        <f t="array" ref="J1649">INDEX($A$2:$A$7,I1649)</f>
        <v>Segment 6- Self-Conscious Male</v>
      </c>
    </row>
    <row r="1650" spans="1:10" x14ac:dyDescent="0.25">
      <c r="A1650" s="1">
        <f>'batch tool'!A1644</f>
        <v>0</v>
      </c>
      <c r="B1650" s="7">
        <f>SUMPRODUCT($C$2:$X$2,'batch tool'!$B1644:$W1644)+$Y$2</f>
        <v>-49.12272534143483</v>
      </c>
      <c r="C1650" s="7">
        <f>SUMPRODUCT($C$3:$X$3,'batch tool'!$B1644:$W1644)+$Y$3</f>
        <v>-36.514029388465531</v>
      </c>
      <c r="D1650" s="7">
        <f>SUMPRODUCT($C$4:$X$4,'batch tool'!$B1644:$W1644)+$Y$4</f>
        <v>-44.639843068043824</v>
      </c>
      <c r="E1650" s="7">
        <f>SUMPRODUCT($C$5:$X$5,'batch tool'!$B1644:$W1644)+$Y$5</f>
        <v>-51.578889182477603</v>
      </c>
      <c r="F1650" s="7">
        <f>SUMPRODUCT($C$6:$X$6,'batch tool'!$B1644:$W1644)+$Y$6</f>
        <v>-47.741473633885199</v>
      </c>
      <c r="G1650" s="7">
        <f>SUMPRODUCT($C$7:$X$7,'batch tool'!$B1644:$W1644)+$Y$7</f>
        <v>-19.739516238059196</v>
      </c>
      <c r="H1650" s="7">
        <f t="shared" si="50"/>
        <v>-19.739516238059196</v>
      </c>
      <c r="I1650">
        <f t="shared" si="51"/>
        <v>6</v>
      </c>
      <c r="J1650" t="str" cm="1">
        <f t="array" ref="J1650">INDEX($A$2:$A$7,I1650)</f>
        <v>Segment 6- Self-Conscious Male</v>
      </c>
    </row>
    <row r="1651" spans="1:10" x14ac:dyDescent="0.25">
      <c r="A1651" s="1">
        <f>'batch tool'!A1645</f>
        <v>0</v>
      </c>
      <c r="B1651" s="7">
        <f>SUMPRODUCT($C$2:$X$2,'batch tool'!$B1645:$W1645)+$Y$2</f>
        <v>-49.12272534143483</v>
      </c>
      <c r="C1651" s="7">
        <f>SUMPRODUCT($C$3:$X$3,'batch tool'!$B1645:$W1645)+$Y$3</f>
        <v>-36.514029388465531</v>
      </c>
      <c r="D1651" s="7">
        <f>SUMPRODUCT($C$4:$X$4,'batch tool'!$B1645:$W1645)+$Y$4</f>
        <v>-44.639843068043824</v>
      </c>
      <c r="E1651" s="7">
        <f>SUMPRODUCT($C$5:$X$5,'batch tool'!$B1645:$W1645)+$Y$5</f>
        <v>-51.578889182477603</v>
      </c>
      <c r="F1651" s="7">
        <f>SUMPRODUCT($C$6:$X$6,'batch tool'!$B1645:$W1645)+$Y$6</f>
        <v>-47.741473633885199</v>
      </c>
      <c r="G1651" s="7">
        <f>SUMPRODUCT($C$7:$X$7,'batch tool'!$B1645:$W1645)+$Y$7</f>
        <v>-19.739516238059196</v>
      </c>
      <c r="H1651" s="7">
        <f t="shared" si="50"/>
        <v>-19.739516238059196</v>
      </c>
      <c r="I1651">
        <f t="shared" si="51"/>
        <v>6</v>
      </c>
      <c r="J1651" t="str" cm="1">
        <f t="array" ref="J1651">INDEX($A$2:$A$7,I1651)</f>
        <v>Segment 6- Self-Conscious Male</v>
      </c>
    </row>
    <row r="1652" spans="1:10" x14ac:dyDescent="0.25">
      <c r="A1652" s="1">
        <f>'batch tool'!A1646</f>
        <v>0</v>
      </c>
      <c r="B1652" s="7">
        <f>SUMPRODUCT($C$2:$X$2,'batch tool'!$B1646:$W1646)+$Y$2</f>
        <v>-49.12272534143483</v>
      </c>
      <c r="C1652" s="7">
        <f>SUMPRODUCT($C$3:$X$3,'batch tool'!$B1646:$W1646)+$Y$3</f>
        <v>-36.514029388465531</v>
      </c>
      <c r="D1652" s="7">
        <f>SUMPRODUCT($C$4:$X$4,'batch tool'!$B1646:$W1646)+$Y$4</f>
        <v>-44.639843068043824</v>
      </c>
      <c r="E1652" s="7">
        <f>SUMPRODUCT($C$5:$X$5,'batch tool'!$B1646:$W1646)+$Y$5</f>
        <v>-51.578889182477603</v>
      </c>
      <c r="F1652" s="7">
        <f>SUMPRODUCT($C$6:$X$6,'batch tool'!$B1646:$W1646)+$Y$6</f>
        <v>-47.741473633885199</v>
      </c>
      <c r="G1652" s="7">
        <f>SUMPRODUCT($C$7:$X$7,'batch tool'!$B1646:$W1646)+$Y$7</f>
        <v>-19.739516238059196</v>
      </c>
      <c r="H1652" s="7">
        <f t="shared" si="50"/>
        <v>-19.739516238059196</v>
      </c>
      <c r="I1652">
        <f t="shared" si="51"/>
        <v>6</v>
      </c>
      <c r="J1652" t="str" cm="1">
        <f t="array" ref="J1652">INDEX($A$2:$A$7,I1652)</f>
        <v>Segment 6- Self-Conscious Male</v>
      </c>
    </row>
    <row r="1653" spans="1:10" x14ac:dyDescent="0.25">
      <c r="A1653" s="1">
        <f>'batch tool'!A1647</f>
        <v>0</v>
      </c>
      <c r="B1653" s="7">
        <f>SUMPRODUCT($C$2:$X$2,'batch tool'!$B1647:$W1647)+$Y$2</f>
        <v>-49.12272534143483</v>
      </c>
      <c r="C1653" s="7">
        <f>SUMPRODUCT($C$3:$X$3,'batch tool'!$B1647:$W1647)+$Y$3</f>
        <v>-36.514029388465531</v>
      </c>
      <c r="D1653" s="7">
        <f>SUMPRODUCT($C$4:$X$4,'batch tool'!$B1647:$W1647)+$Y$4</f>
        <v>-44.639843068043824</v>
      </c>
      <c r="E1653" s="7">
        <f>SUMPRODUCT($C$5:$X$5,'batch tool'!$B1647:$W1647)+$Y$5</f>
        <v>-51.578889182477603</v>
      </c>
      <c r="F1653" s="7">
        <f>SUMPRODUCT($C$6:$X$6,'batch tool'!$B1647:$W1647)+$Y$6</f>
        <v>-47.741473633885199</v>
      </c>
      <c r="G1653" s="7">
        <f>SUMPRODUCT($C$7:$X$7,'batch tool'!$B1647:$W1647)+$Y$7</f>
        <v>-19.739516238059196</v>
      </c>
      <c r="H1653" s="7">
        <f t="shared" si="50"/>
        <v>-19.739516238059196</v>
      </c>
      <c r="I1653">
        <f t="shared" si="51"/>
        <v>6</v>
      </c>
      <c r="J1653" t="str" cm="1">
        <f t="array" ref="J1653">INDEX($A$2:$A$7,I1653)</f>
        <v>Segment 6- Self-Conscious Male</v>
      </c>
    </row>
    <row r="1654" spans="1:10" x14ac:dyDescent="0.25">
      <c r="A1654" s="1">
        <f>'batch tool'!A1648</f>
        <v>0</v>
      </c>
      <c r="B1654" s="7">
        <f>SUMPRODUCT($C$2:$X$2,'batch tool'!$B1648:$W1648)+$Y$2</f>
        <v>-49.12272534143483</v>
      </c>
      <c r="C1654" s="7">
        <f>SUMPRODUCT($C$3:$X$3,'batch tool'!$B1648:$W1648)+$Y$3</f>
        <v>-36.514029388465531</v>
      </c>
      <c r="D1654" s="7">
        <f>SUMPRODUCT($C$4:$X$4,'batch tool'!$B1648:$W1648)+$Y$4</f>
        <v>-44.639843068043824</v>
      </c>
      <c r="E1654" s="7">
        <f>SUMPRODUCT($C$5:$X$5,'batch tool'!$B1648:$W1648)+$Y$5</f>
        <v>-51.578889182477603</v>
      </c>
      <c r="F1654" s="7">
        <f>SUMPRODUCT($C$6:$X$6,'batch tool'!$B1648:$W1648)+$Y$6</f>
        <v>-47.741473633885199</v>
      </c>
      <c r="G1654" s="7">
        <f>SUMPRODUCT($C$7:$X$7,'batch tool'!$B1648:$W1648)+$Y$7</f>
        <v>-19.739516238059196</v>
      </c>
      <c r="H1654" s="7">
        <f t="shared" si="50"/>
        <v>-19.739516238059196</v>
      </c>
      <c r="I1654">
        <f t="shared" si="51"/>
        <v>6</v>
      </c>
      <c r="J1654" t="str" cm="1">
        <f t="array" ref="J1654">INDEX($A$2:$A$7,I1654)</f>
        <v>Segment 6- Self-Conscious Male</v>
      </c>
    </row>
    <row r="1655" spans="1:10" x14ac:dyDescent="0.25">
      <c r="A1655" s="1">
        <f>'batch tool'!A1649</f>
        <v>0</v>
      </c>
      <c r="B1655" s="7">
        <f>SUMPRODUCT($C$2:$X$2,'batch tool'!$B1649:$W1649)+$Y$2</f>
        <v>-49.12272534143483</v>
      </c>
      <c r="C1655" s="7">
        <f>SUMPRODUCT($C$3:$X$3,'batch tool'!$B1649:$W1649)+$Y$3</f>
        <v>-36.514029388465531</v>
      </c>
      <c r="D1655" s="7">
        <f>SUMPRODUCT($C$4:$X$4,'batch tool'!$B1649:$W1649)+$Y$4</f>
        <v>-44.639843068043824</v>
      </c>
      <c r="E1655" s="7">
        <f>SUMPRODUCT($C$5:$X$5,'batch tool'!$B1649:$W1649)+$Y$5</f>
        <v>-51.578889182477603</v>
      </c>
      <c r="F1655" s="7">
        <f>SUMPRODUCT($C$6:$X$6,'batch tool'!$B1649:$W1649)+$Y$6</f>
        <v>-47.741473633885199</v>
      </c>
      <c r="G1655" s="7">
        <f>SUMPRODUCT($C$7:$X$7,'batch tool'!$B1649:$W1649)+$Y$7</f>
        <v>-19.739516238059196</v>
      </c>
      <c r="H1655" s="7">
        <f t="shared" si="50"/>
        <v>-19.739516238059196</v>
      </c>
      <c r="I1655">
        <f t="shared" si="51"/>
        <v>6</v>
      </c>
      <c r="J1655" t="str" cm="1">
        <f t="array" ref="J1655">INDEX($A$2:$A$7,I1655)</f>
        <v>Segment 6- Self-Conscious Male</v>
      </c>
    </row>
    <row r="1656" spans="1:10" x14ac:dyDescent="0.25">
      <c r="A1656" s="1">
        <f>'batch tool'!A1650</f>
        <v>0</v>
      </c>
      <c r="B1656" s="7">
        <f>SUMPRODUCT($C$2:$X$2,'batch tool'!$B1650:$W1650)+$Y$2</f>
        <v>-49.12272534143483</v>
      </c>
      <c r="C1656" s="7">
        <f>SUMPRODUCT($C$3:$X$3,'batch tool'!$B1650:$W1650)+$Y$3</f>
        <v>-36.514029388465531</v>
      </c>
      <c r="D1656" s="7">
        <f>SUMPRODUCT($C$4:$X$4,'batch tool'!$B1650:$W1650)+$Y$4</f>
        <v>-44.639843068043824</v>
      </c>
      <c r="E1656" s="7">
        <f>SUMPRODUCT($C$5:$X$5,'batch tool'!$B1650:$W1650)+$Y$5</f>
        <v>-51.578889182477603</v>
      </c>
      <c r="F1656" s="7">
        <f>SUMPRODUCT($C$6:$X$6,'batch tool'!$B1650:$W1650)+$Y$6</f>
        <v>-47.741473633885199</v>
      </c>
      <c r="G1656" s="7">
        <f>SUMPRODUCT($C$7:$X$7,'batch tool'!$B1650:$W1650)+$Y$7</f>
        <v>-19.739516238059196</v>
      </c>
      <c r="H1656" s="7">
        <f t="shared" si="50"/>
        <v>-19.739516238059196</v>
      </c>
      <c r="I1656">
        <f t="shared" si="51"/>
        <v>6</v>
      </c>
      <c r="J1656" t="str" cm="1">
        <f t="array" ref="J1656">INDEX($A$2:$A$7,I1656)</f>
        <v>Segment 6- Self-Conscious Male</v>
      </c>
    </row>
    <row r="1657" spans="1:10" x14ac:dyDescent="0.25">
      <c r="A1657" s="1">
        <f>'batch tool'!A1651</f>
        <v>0</v>
      </c>
      <c r="B1657" s="7">
        <f>SUMPRODUCT($C$2:$X$2,'batch tool'!$B1651:$W1651)+$Y$2</f>
        <v>-49.12272534143483</v>
      </c>
      <c r="C1657" s="7">
        <f>SUMPRODUCT($C$3:$X$3,'batch tool'!$B1651:$W1651)+$Y$3</f>
        <v>-36.514029388465531</v>
      </c>
      <c r="D1657" s="7">
        <f>SUMPRODUCT($C$4:$X$4,'batch tool'!$B1651:$W1651)+$Y$4</f>
        <v>-44.639843068043824</v>
      </c>
      <c r="E1657" s="7">
        <f>SUMPRODUCT($C$5:$X$5,'batch tool'!$B1651:$W1651)+$Y$5</f>
        <v>-51.578889182477603</v>
      </c>
      <c r="F1657" s="7">
        <f>SUMPRODUCT($C$6:$X$6,'batch tool'!$B1651:$W1651)+$Y$6</f>
        <v>-47.741473633885199</v>
      </c>
      <c r="G1657" s="7">
        <f>SUMPRODUCT($C$7:$X$7,'batch tool'!$B1651:$W1651)+$Y$7</f>
        <v>-19.739516238059196</v>
      </c>
      <c r="H1657" s="7">
        <f t="shared" si="50"/>
        <v>-19.739516238059196</v>
      </c>
      <c r="I1657">
        <f t="shared" si="51"/>
        <v>6</v>
      </c>
      <c r="J1657" t="str" cm="1">
        <f t="array" ref="J1657">INDEX($A$2:$A$7,I1657)</f>
        <v>Segment 6- Self-Conscious Male</v>
      </c>
    </row>
    <row r="1658" spans="1:10" x14ac:dyDescent="0.25">
      <c r="A1658" s="1">
        <f>'batch tool'!A1652</f>
        <v>0</v>
      </c>
      <c r="B1658" s="7">
        <f>SUMPRODUCT($C$2:$X$2,'batch tool'!$B1652:$W1652)+$Y$2</f>
        <v>-49.12272534143483</v>
      </c>
      <c r="C1658" s="7">
        <f>SUMPRODUCT($C$3:$X$3,'batch tool'!$B1652:$W1652)+$Y$3</f>
        <v>-36.514029388465531</v>
      </c>
      <c r="D1658" s="7">
        <f>SUMPRODUCT($C$4:$X$4,'batch tool'!$B1652:$W1652)+$Y$4</f>
        <v>-44.639843068043824</v>
      </c>
      <c r="E1658" s="7">
        <f>SUMPRODUCT($C$5:$X$5,'batch tool'!$B1652:$W1652)+$Y$5</f>
        <v>-51.578889182477603</v>
      </c>
      <c r="F1658" s="7">
        <f>SUMPRODUCT($C$6:$X$6,'batch tool'!$B1652:$W1652)+$Y$6</f>
        <v>-47.741473633885199</v>
      </c>
      <c r="G1658" s="7">
        <f>SUMPRODUCT($C$7:$X$7,'batch tool'!$B1652:$W1652)+$Y$7</f>
        <v>-19.739516238059196</v>
      </c>
      <c r="H1658" s="7">
        <f t="shared" si="50"/>
        <v>-19.739516238059196</v>
      </c>
      <c r="I1658">
        <f t="shared" si="51"/>
        <v>6</v>
      </c>
      <c r="J1658" t="str" cm="1">
        <f t="array" ref="J1658">INDEX($A$2:$A$7,I1658)</f>
        <v>Segment 6- Self-Conscious Male</v>
      </c>
    </row>
    <row r="1659" spans="1:10" x14ac:dyDescent="0.25">
      <c r="A1659" s="1">
        <f>'batch tool'!A1653</f>
        <v>0</v>
      </c>
      <c r="B1659" s="7">
        <f>SUMPRODUCT($C$2:$X$2,'batch tool'!$B1653:$W1653)+$Y$2</f>
        <v>-49.12272534143483</v>
      </c>
      <c r="C1659" s="7">
        <f>SUMPRODUCT($C$3:$X$3,'batch tool'!$B1653:$W1653)+$Y$3</f>
        <v>-36.514029388465531</v>
      </c>
      <c r="D1659" s="7">
        <f>SUMPRODUCT($C$4:$X$4,'batch tool'!$B1653:$W1653)+$Y$4</f>
        <v>-44.639843068043824</v>
      </c>
      <c r="E1659" s="7">
        <f>SUMPRODUCT($C$5:$X$5,'batch tool'!$B1653:$W1653)+$Y$5</f>
        <v>-51.578889182477603</v>
      </c>
      <c r="F1659" s="7">
        <f>SUMPRODUCT($C$6:$X$6,'batch tool'!$B1653:$W1653)+$Y$6</f>
        <v>-47.741473633885199</v>
      </c>
      <c r="G1659" s="7">
        <f>SUMPRODUCT($C$7:$X$7,'batch tool'!$B1653:$W1653)+$Y$7</f>
        <v>-19.739516238059196</v>
      </c>
      <c r="H1659" s="7">
        <f t="shared" si="50"/>
        <v>-19.739516238059196</v>
      </c>
      <c r="I1659">
        <f t="shared" si="51"/>
        <v>6</v>
      </c>
      <c r="J1659" t="str" cm="1">
        <f t="array" ref="J1659">INDEX($A$2:$A$7,I1659)</f>
        <v>Segment 6- Self-Conscious Male</v>
      </c>
    </row>
    <row r="1660" spans="1:10" x14ac:dyDescent="0.25">
      <c r="A1660" s="1">
        <f>'batch tool'!A1654</f>
        <v>0</v>
      </c>
      <c r="B1660" s="7">
        <f>SUMPRODUCT($C$2:$X$2,'batch tool'!$B1654:$W1654)+$Y$2</f>
        <v>-49.12272534143483</v>
      </c>
      <c r="C1660" s="7">
        <f>SUMPRODUCT($C$3:$X$3,'batch tool'!$B1654:$W1654)+$Y$3</f>
        <v>-36.514029388465531</v>
      </c>
      <c r="D1660" s="7">
        <f>SUMPRODUCT($C$4:$X$4,'batch tool'!$B1654:$W1654)+$Y$4</f>
        <v>-44.639843068043824</v>
      </c>
      <c r="E1660" s="7">
        <f>SUMPRODUCT($C$5:$X$5,'batch tool'!$B1654:$W1654)+$Y$5</f>
        <v>-51.578889182477603</v>
      </c>
      <c r="F1660" s="7">
        <f>SUMPRODUCT($C$6:$X$6,'batch tool'!$B1654:$W1654)+$Y$6</f>
        <v>-47.741473633885199</v>
      </c>
      <c r="G1660" s="7">
        <f>SUMPRODUCT($C$7:$X$7,'batch tool'!$B1654:$W1654)+$Y$7</f>
        <v>-19.739516238059196</v>
      </c>
      <c r="H1660" s="7">
        <f t="shared" si="50"/>
        <v>-19.739516238059196</v>
      </c>
      <c r="I1660">
        <f t="shared" si="51"/>
        <v>6</v>
      </c>
      <c r="J1660" t="str" cm="1">
        <f t="array" ref="J1660">INDEX($A$2:$A$7,I1660)</f>
        <v>Segment 6- Self-Conscious Male</v>
      </c>
    </row>
    <row r="1661" spans="1:10" x14ac:dyDescent="0.25">
      <c r="A1661" s="1">
        <f>'batch tool'!A1655</f>
        <v>0</v>
      </c>
      <c r="B1661" s="7">
        <f>SUMPRODUCT($C$2:$X$2,'batch tool'!$B1655:$W1655)+$Y$2</f>
        <v>-49.12272534143483</v>
      </c>
      <c r="C1661" s="7">
        <f>SUMPRODUCT($C$3:$X$3,'batch tool'!$B1655:$W1655)+$Y$3</f>
        <v>-36.514029388465531</v>
      </c>
      <c r="D1661" s="7">
        <f>SUMPRODUCT($C$4:$X$4,'batch tool'!$B1655:$W1655)+$Y$4</f>
        <v>-44.639843068043824</v>
      </c>
      <c r="E1661" s="7">
        <f>SUMPRODUCT($C$5:$X$5,'batch tool'!$B1655:$W1655)+$Y$5</f>
        <v>-51.578889182477603</v>
      </c>
      <c r="F1661" s="7">
        <f>SUMPRODUCT($C$6:$X$6,'batch tool'!$B1655:$W1655)+$Y$6</f>
        <v>-47.741473633885199</v>
      </c>
      <c r="G1661" s="7">
        <f>SUMPRODUCT($C$7:$X$7,'batch tool'!$B1655:$W1655)+$Y$7</f>
        <v>-19.739516238059196</v>
      </c>
      <c r="H1661" s="7">
        <f t="shared" si="50"/>
        <v>-19.739516238059196</v>
      </c>
      <c r="I1661">
        <f t="shared" si="51"/>
        <v>6</v>
      </c>
      <c r="J1661" t="str" cm="1">
        <f t="array" ref="J1661">INDEX($A$2:$A$7,I1661)</f>
        <v>Segment 6- Self-Conscious Male</v>
      </c>
    </row>
    <row r="1662" spans="1:10" x14ac:dyDescent="0.25">
      <c r="A1662" s="1">
        <f>'batch tool'!A1656</f>
        <v>0</v>
      </c>
      <c r="B1662" s="7">
        <f>SUMPRODUCT($C$2:$X$2,'batch tool'!$B1656:$W1656)+$Y$2</f>
        <v>-49.12272534143483</v>
      </c>
      <c r="C1662" s="7">
        <f>SUMPRODUCT($C$3:$X$3,'batch tool'!$B1656:$W1656)+$Y$3</f>
        <v>-36.514029388465531</v>
      </c>
      <c r="D1662" s="7">
        <f>SUMPRODUCT($C$4:$X$4,'batch tool'!$B1656:$W1656)+$Y$4</f>
        <v>-44.639843068043824</v>
      </c>
      <c r="E1662" s="7">
        <f>SUMPRODUCT($C$5:$X$5,'batch tool'!$B1656:$W1656)+$Y$5</f>
        <v>-51.578889182477603</v>
      </c>
      <c r="F1662" s="7">
        <f>SUMPRODUCT($C$6:$X$6,'batch tool'!$B1656:$W1656)+$Y$6</f>
        <v>-47.741473633885199</v>
      </c>
      <c r="G1662" s="7">
        <f>SUMPRODUCT($C$7:$X$7,'batch tool'!$B1656:$W1656)+$Y$7</f>
        <v>-19.739516238059196</v>
      </c>
      <c r="H1662" s="7">
        <f t="shared" si="50"/>
        <v>-19.739516238059196</v>
      </c>
      <c r="I1662">
        <f t="shared" si="51"/>
        <v>6</v>
      </c>
      <c r="J1662" t="str" cm="1">
        <f t="array" ref="J1662">INDEX($A$2:$A$7,I1662)</f>
        <v>Segment 6- Self-Conscious Male</v>
      </c>
    </row>
    <row r="1663" spans="1:10" x14ac:dyDescent="0.25">
      <c r="A1663" s="1">
        <f>'batch tool'!A1657</f>
        <v>0</v>
      </c>
      <c r="B1663" s="7">
        <f>SUMPRODUCT($C$2:$X$2,'batch tool'!$B1657:$W1657)+$Y$2</f>
        <v>-49.12272534143483</v>
      </c>
      <c r="C1663" s="7">
        <f>SUMPRODUCT($C$3:$X$3,'batch tool'!$B1657:$W1657)+$Y$3</f>
        <v>-36.514029388465531</v>
      </c>
      <c r="D1663" s="7">
        <f>SUMPRODUCT($C$4:$X$4,'batch tool'!$B1657:$W1657)+$Y$4</f>
        <v>-44.639843068043824</v>
      </c>
      <c r="E1663" s="7">
        <f>SUMPRODUCT($C$5:$X$5,'batch tool'!$B1657:$W1657)+$Y$5</f>
        <v>-51.578889182477603</v>
      </c>
      <c r="F1663" s="7">
        <f>SUMPRODUCT($C$6:$X$6,'batch tool'!$B1657:$W1657)+$Y$6</f>
        <v>-47.741473633885199</v>
      </c>
      <c r="G1663" s="7">
        <f>SUMPRODUCT($C$7:$X$7,'batch tool'!$B1657:$W1657)+$Y$7</f>
        <v>-19.739516238059196</v>
      </c>
      <c r="H1663" s="7">
        <f t="shared" si="50"/>
        <v>-19.739516238059196</v>
      </c>
      <c r="I1663">
        <f t="shared" si="51"/>
        <v>6</v>
      </c>
      <c r="J1663" t="str" cm="1">
        <f t="array" ref="J1663">INDEX($A$2:$A$7,I1663)</f>
        <v>Segment 6- Self-Conscious Male</v>
      </c>
    </row>
    <row r="1664" spans="1:10" x14ac:dyDescent="0.25">
      <c r="A1664" s="1">
        <f>'batch tool'!A1658</f>
        <v>0</v>
      </c>
      <c r="B1664" s="7">
        <f>SUMPRODUCT($C$2:$X$2,'batch tool'!$B1658:$W1658)+$Y$2</f>
        <v>-49.12272534143483</v>
      </c>
      <c r="C1664" s="7">
        <f>SUMPRODUCT($C$3:$X$3,'batch tool'!$B1658:$W1658)+$Y$3</f>
        <v>-36.514029388465531</v>
      </c>
      <c r="D1664" s="7">
        <f>SUMPRODUCT($C$4:$X$4,'batch tool'!$B1658:$W1658)+$Y$4</f>
        <v>-44.639843068043824</v>
      </c>
      <c r="E1664" s="7">
        <f>SUMPRODUCT($C$5:$X$5,'batch tool'!$B1658:$W1658)+$Y$5</f>
        <v>-51.578889182477603</v>
      </c>
      <c r="F1664" s="7">
        <f>SUMPRODUCT($C$6:$X$6,'batch tool'!$B1658:$W1658)+$Y$6</f>
        <v>-47.741473633885199</v>
      </c>
      <c r="G1664" s="7">
        <f>SUMPRODUCT($C$7:$X$7,'batch tool'!$B1658:$W1658)+$Y$7</f>
        <v>-19.739516238059196</v>
      </c>
      <c r="H1664" s="7">
        <f t="shared" si="50"/>
        <v>-19.739516238059196</v>
      </c>
      <c r="I1664">
        <f t="shared" si="51"/>
        <v>6</v>
      </c>
      <c r="J1664" t="str" cm="1">
        <f t="array" ref="J1664">INDEX($A$2:$A$7,I1664)</f>
        <v>Segment 6- Self-Conscious Male</v>
      </c>
    </row>
    <row r="1665" spans="1:10" x14ac:dyDescent="0.25">
      <c r="A1665" s="1">
        <f>'batch tool'!A1659</f>
        <v>0</v>
      </c>
      <c r="B1665" s="7">
        <f>SUMPRODUCT($C$2:$X$2,'batch tool'!$B1659:$W1659)+$Y$2</f>
        <v>-49.12272534143483</v>
      </c>
      <c r="C1665" s="7">
        <f>SUMPRODUCT($C$3:$X$3,'batch tool'!$B1659:$W1659)+$Y$3</f>
        <v>-36.514029388465531</v>
      </c>
      <c r="D1665" s="7">
        <f>SUMPRODUCT($C$4:$X$4,'batch tool'!$B1659:$W1659)+$Y$4</f>
        <v>-44.639843068043824</v>
      </c>
      <c r="E1665" s="7">
        <f>SUMPRODUCT($C$5:$X$5,'batch tool'!$B1659:$W1659)+$Y$5</f>
        <v>-51.578889182477603</v>
      </c>
      <c r="F1665" s="7">
        <f>SUMPRODUCT($C$6:$X$6,'batch tool'!$B1659:$W1659)+$Y$6</f>
        <v>-47.741473633885199</v>
      </c>
      <c r="G1665" s="7">
        <f>SUMPRODUCT($C$7:$X$7,'batch tool'!$B1659:$W1659)+$Y$7</f>
        <v>-19.739516238059196</v>
      </c>
      <c r="H1665" s="7">
        <f t="shared" si="50"/>
        <v>-19.739516238059196</v>
      </c>
      <c r="I1665">
        <f t="shared" si="51"/>
        <v>6</v>
      </c>
      <c r="J1665" t="str" cm="1">
        <f t="array" ref="J1665">INDEX($A$2:$A$7,I1665)</f>
        <v>Segment 6- Self-Conscious Male</v>
      </c>
    </row>
    <row r="1666" spans="1:10" x14ac:dyDescent="0.25">
      <c r="A1666" s="1">
        <f>'batch tool'!A1660</f>
        <v>0</v>
      </c>
      <c r="B1666" s="7">
        <f>SUMPRODUCT($C$2:$X$2,'batch tool'!$B1660:$W1660)+$Y$2</f>
        <v>-49.12272534143483</v>
      </c>
      <c r="C1666" s="7">
        <f>SUMPRODUCT($C$3:$X$3,'batch tool'!$B1660:$W1660)+$Y$3</f>
        <v>-36.514029388465531</v>
      </c>
      <c r="D1666" s="7">
        <f>SUMPRODUCT($C$4:$X$4,'batch tool'!$B1660:$W1660)+$Y$4</f>
        <v>-44.639843068043824</v>
      </c>
      <c r="E1666" s="7">
        <f>SUMPRODUCT($C$5:$X$5,'batch tool'!$B1660:$W1660)+$Y$5</f>
        <v>-51.578889182477603</v>
      </c>
      <c r="F1666" s="7">
        <f>SUMPRODUCT($C$6:$X$6,'batch tool'!$B1660:$W1660)+$Y$6</f>
        <v>-47.741473633885199</v>
      </c>
      <c r="G1666" s="7">
        <f>SUMPRODUCT($C$7:$X$7,'batch tool'!$B1660:$W1660)+$Y$7</f>
        <v>-19.739516238059196</v>
      </c>
      <c r="H1666" s="7">
        <f t="shared" si="50"/>
        <v>-19.739516238059196</v>
      </c>
      <c r="I1666">
        <f t="shared" si="51"/>
        <v>6</v>
      </c>
      <c r="J1666" t="str" cm="1">
        <f t="array" ref="J1666">INDEX($A$2:$A$7,I1666)</f>
        <v>Segment 6- Self-Conscious Male</v>
      </c>
    </row>
    <row r="1667" spans="1:10" x14ac:dyDescent="0.25">
      <c r="A1667" s="1">
        <f>'batch tool'!A1661</f>
        <v>0</v>
      </c>
      <c r="B1667" s="7">
        <f>SUMPRODUCT($C$2:$X$2,'batch tool'!$B1661:$W1661)+$Y$2</f>
        <v>-49.12272534143483</v>
      </c>
      <c r="C1667" s="7">
        <f>SUMPRODUCT($C$3:$X$3,'batch tool'!$B1661:$W1661)+$Y$3</f>
        <v>-36.514029388465531</v>
      </c>
      <c r="D1667" s="7">
        <f>SUMPRODUCT($C$4:$X$4,'batch tool'!$B1661:$W1661)+$Y$4</f>
        <v>-44.639843068043824</v>
      </c>
      <c r="E1667" s="7">
        <f>SUMPRODUCT($C$5:$X$5,'batch tool'!$B1661:$W1661)+$Y$5</f>
        <v>-51.578889182477603</v>
      </c>
      <c r="F1667" s="7">
        <f>SUMPRODUCT($C$6:$X$6,'batch tool'!$B1661:$W1661)+$Y$6</f>
        <v>-47.741473633885199</v>
      </c>
      <c r="G1667" s="7">
        <f>SUMPRODUCT($C$7:$X$7,'batch tool'!$B1661:$W1661)+$Y$7</f>
        <v>-19.739516238059196</v>
      </c>
      <c r="H1667" s="7">
        <f t="shared" si="50"/>
        <v>-19.739516238059196</v>
      </c>
      <c r="I1667">
        <f t="shared" si="51"/>
        <v>6</v>
      </c>
      <c r="J1667" t="str" cm="1">
        <f t="array" ref="J1667">INDEX($A$2:$A$7,I1667)</f>
        <v>Segment 6- Self-Conscious Male</v>
      </c>
    </row>
    <row r="1668" spans="1:10" x14ac:dyDescent="0.25">
      <c r="A1668" s="1">
        <f>'batch tool'!A1662</f>
        <v>0</v>
      </c>
      <c r="B1668" s="7">
        <f>SUMPRODUCT($C$2:$X$2,'batch tool'!$B1662:$W1662)+$Y$2</f>
        <v>-49.12272534143483</v>
      </c>
      <c r="C1668" s="7">
        <f>SUMPRODUCT($C$3:$X$3,'batch tool'!$B1662:$W1662)+$Y$3</f>
        <v>-36.514029388465531</v>
      </c>
      <c r="D1668" s="7">
        <f>SUMPRODUCT($C$4:$X$4,'batch tool'!$B1662:$W1662)+$Y$4</f>
        <v>-44.639843068043824</v>
      </c>
      <c r="E1668" s="7">
        <f>SUMPRODUCT($C$5:$X$5,'batch tool'!$B1662:$W1662)+$Y$5</f>
        <v>-51.578889182477603</v>
      </c>
      <c r="F1668" s="7">
        <f>SUMPRODUCT($C$6:$X$6,'batch tool'!$B1662:$W1662)+$Y$6</f>
        <v>-47.741473633885199</v>
      </c>
      <c r="G1668" s="7">
        <f>SUMPRODUCT($C$7:$X$7,'batch tool'!$B1662:$W1662)+$Y$7</f>
        <v>-19.739516238059196</v>
      </c>
      <c r="H1668" s="7">
        <f t="shared" si="50"/>
        <v>-19.739516238059196</v>
      </c>
      <c r="I1668">
        <f t="shared" si="51"/>
        <v>6</v>
      </c>
      <c r="J1668" t="str" cm="1">
        <f t="array" ref="J1668">INDEX($A$2:$A$7,I1668)</f>
        <v>Segment 6- Self-Conscious Male</v>
      </c>
    </row>
    <row r="1669" spans="1:10" x14ac:dyDescent="0.25">
      <c r="A1669" s="1">
        <f>'batch tool'!A1663</f>
        <v>0</v>
      </c>
      <c r="B1669" s="7">
        <f>SUMPRODUCT($C$2:$X$2,'batch tool'!$B1663:$W1663)+$Y$2</f>
        <v>-49.12272534143483</v>
      </c>
      <c r="C1669" s="7">
        <f>SUMPRODUCT($C$3:$X$3,'batch tool'!$B1663:$W1663)+$Y$3</f>
        <v>-36.514029388465531</v>
      </c>
      <c r="D1669" s="7">
        <f>SUMPRODUCT($C$4:$X$4,'batch tool'!$B1663:$W1663)+$Y$4</f>
        <v>-44.639843068043824</v>
      </c>
      <c r="E1669" s="7">
        <f>SUMPRODUCT($C$5:$X$5,'batch tool'!$B1663:$W1663)+$Y$5</f>
        <v>-51.578889182477603</v>
      </c>
      <c r="F1669" s="7">
        <f>SUMPRODUCT($C$6:$X$6,'batch tool'!$B1663:$W1663)+$Y$6</f>
        <v>-47.741473633885199</v>
      </c>
      <c r="G1669" s="7">
        <f>SUMPRODUCT($C$7:$X$7,'batch tool'!$B1663:$W1663)+$Y$7</f>
        <v>-19.739516238059196</v>
      </c>
      <c r="H1669" s="7">
        <f t="shared" si="50"/>
        <v>-19.739516238059196</v>
      </c>
      <c r="I1669">
        <f t="shared" si="51"/>
        <v>6</v>
      </c>
      <c r="J1669" t="str" cm="1">
        <f t="array" ref="J1669">INDEX($A$2:$A$7,I1669)</f>
        <v>Segment 6- Self-Conscious Male</v>
      </c>
    </row>
    <row r="1670" spans="1:10" x14ac:dyDescent="0.25">
      <c r="A1670" s="1">
        <f>'batch tool'!A1664</f>
        <v>0</v>
      </c>
      <c r="B1670" s="7">
        <f>SUMPRODUCT($C$2:$X$2,'batch tool'!$B1664:$W1664)+$Y$2</f>
        <v>-49.12272534143483</v>
      </c>
      <c r="C1670" s="7">
        <f>SUMPRODUCT($C$3:$X$3,'batch tool'!$B1664:$W1664)+$Y$3</f>
        <v>-36.514029388465531</v>
      </c>
      <c r="D1670" s="7">
        <f>SUMPRODUCT($C$4:$X$4,'batch tool'!$B1664:$W1664)+$Y$4</f>
        <v>-44.639843068043824</v>
      </c>
      <c r="E1670" s="7">
        <f>SUMPRODUCT($C$5:$X$5,'batch tool'!$B1664:$W1664)+$Y$5</f>
        <v>-51.578889182477603</v>
      </c>
      <c r="F1670" s="7">
        <f>SUMPRODUCT($C$6:$X$6,'batch tool'!$B1664:$W1664)+$Y$6</f>
        <v>-47.741473633885199</v>
      </c>
      <c r="G1670" s="7">
        <f>SUMPRODUCT($C$7:$X$7,'batch tool'!$B1664:$W1664)+$Y$7</f>
        <v>-19.739516238059196</v>
      </c>
      <c r="H1670" s="7">
        <f t="shared" si="50"/>
        <v>-19.739516238059196</v>
      </c>
      <c r="I1670">
        <f t="shared" si="51"/>
        <v>6</v>
      </c>
      <c r="J1670" t="str" cm="1">
        <f t="array" ref="J1670">INDEX($A$2:$A$7,I1670)</f>
        <v>Segment 6- Self-Conscious Male</v>
      </c>
    </row>
    <row r="1671" spans="1:10" x14ac:dyDescent="0.25">
      <c r="A1671" s="1">
        <f>'batch tool'!A1665</f>
        <v>0</v>
      </c>
      <c r="B1671" s="7">
        <f>SUMPRODUCT($C$2:$X$2,'batch tool'!$B1665:$W1665)+$Y$2</f>
        <v>-49.12272534143483</v>
      </c>
      <c r="C1671" s="7">
        <f>SUMPRODUCT($C$3:$X$3,'batch tool'!$B1665:$W1665)+$Y$3</f>
        <v>-36.514029388465531</v>
      </c>
      <c r="D1671" s="7">
        <f>SUMPRODUCT($C$4:$X$4,'batch tool'!$B1665:$W1665)+$Y$4</f>
        <v>-44.639843068043824</v>
      </c>
      <c r="E1671" s="7">
        <f>SUMPRODUCT($C$5:$X$5,'batch tool'!$B1665:$W1665)+$Y$5</f>
        <v>-51.578889182477603</v>
      </c>
      <c r="F1671" s="7">
        <f>SUMPRODUCT($C$6:$X$6,'batch tool'!$B1665:$W1665)+$Y$6</f>
        <v>-47.741473633885199</v>
      </c>
      <c r="G1671" s="7">
        <f>SUMPRODUCT($C$7:$X$7,'batch tool'!$B1665:$W1665)+$Y$7</f>
        <v>-19.739516238059196</v>
      </c>
      <c r="H1671" s="7">
        <f t="shared" si="50"/>
        <v>-19.739516238059196</v>
      </c>
      <c r="I1671">
        <f t="shared" si="51"/>
        <v>6</v>
      </c>
      <c r="J1671" t="str" cm="1">
        <f t="array" ref="J1671">INDEX($A$2:$A$7,I1671)</f>
        <v>Segment 6- Self-Conscious Male</v>
      </c>
    </row>
    <row r="1672" spans="1:10" x14ac:dyDescent="0.25">
      <c r="A1672" s="1">
        <f>'batch tool'!A1666</f>
        <v>0</v>
      </c>
      <c r="B1672" s="7">
        <f>SUMPRODUCT($C$2:$X$2,'batch tool'!$B1666:$W1666)+$Y$2</f>
        <v>-49.12272534143483</v>
      </c>
      <c r="C1672" s="7">
        <f>SUMPRODUCT($C$3:$X$3,'batch tool'!$B1666:$W1666)+$Y$3</f>
        <v>-36.514029388465531</v>
      </c>
      <c r="D1672" s="7">
        <f>SUMPRODUCT($C$4:$X$4,'batch tool'!$B1666:$W1666)+$Y$4</f>
        <v>-44.639843068043824</v>
      </c>
      <c r="E1672" s="7">
        <f>SUMPRODUCT($C$5:$X$5,'batch tool'!$B1666:$W1666)+$Y$5</f>
        <v>-51.578889182477603</v>
      </c>
      <c r="F1672" s="7">
        <f>SUMPRODUCT($C$6:$X$6,'batch tool'!$B1666:$W1666)+$Y$6</f>
        <v>-47.741473633885199</v>
      </c>
      <c r="G1672" s="7">
        <f>SUMPRODUCT($C$7:$X$7,'batch tool'!$B1666:$W1666)+$Y$7</f>
        <v>-19.739516238059196</v>
      </c>
      <c r="H1672" s="7">
        <f t="shared" si="50"/>
        <v>-19.739516238059196</v>
      </c>
      <c r="I1672">
        <f t="shared" si="51"/>
        <v>6</v>
      </c>
      <c r="J1672" t="str" cm="1">
        <f t="array" ref="J1672">INDEX($A$2:$A$7,I1672)</f>
        <v>Segment 6- Self-Conscious Male</v>
      </c>
    </row>
    <row r="1673" spans="1:10" x14ac:dyDescent="0.25">
      <c r="A1673" s="1">
        <f>'batch tool'!A1667</f>
        <v>0</v>
      </c>
      <c r="B1673" s="7">
        <f>SUMPRODUCT($C$2:$X$2,'batch tool'!$B1667:$W1667)+$Y$2</f>
        <v>-49.12272534143483</v>
      </c>
      <c r="C1673" s="7">
        <f>SUMPRODUCT($C$3:$X$3,'batch tool'!$B1667:$W1667)+$Y$3</f>
        <v>-36.514029388465531</v>
      </c>
      <c r="D1673" s="7">
        <f>SUMPRODUCT($C$4:$X$4,'batch tool'!$B1667:$W1667)+$Y$4</f>
        <v>-44.639843068043824</v>
      </c>
      <c r="E1673" s="7">
        <f>SUMPRODUCT($C$5:$X$5,'batch tool'!$B1667:$W1667)+$Y$5</f>
        <v>-51.578889182477603</v>
      </c>
      <c r="F1673" s="7">
        <f>SUMPRODUCT($C$6:$X$6,'batch tool'!$B1667:$W1667)+$Y$6</f>
        <v>-47.741473633885199</v>
      </c>
      <c r="G1673" s="7">
        <f>SUMPRODUCT($C$7:$X$7,'batch tool'!$B1667:$W1667)+$Y$7</f>
        <v>-19.739516238059196</v>
      </c>
      <c r="H1673" s="7">
        <f t="shared" si="50"/>
        <v>-19.739516238059196</v>
      </c>
      <c r="I1673">
        <f t="shared" si="51"/>
        <v>6</v>
      </c>
      <c r="J1673" t="str" cm="1">
        <f t="array" ref="J1673">INDEX($A$2:$A$7,I1673)</f>
        <v>Segment 6- Self-Conscious Male</v>
      </c>
    </row>
    <row r="1674" spans="1:10" x14ac:dyDescent="0.25">
      <c r="A1674" s="1">
        <f>'batch tool'!A1668</f>
        <v>0</v>
      </c>
      <c r="B1674" s="7">
        <f>SUMPRODUCT($C$2:$X$2,'batch tool'!$B1668:$W1668)+$Y$2</f>
        <v>-49.12272534143483</v>
      </c>
      <c r="C1674" s="7">
        <f>SUMPRODUCT($C$3:$X$3,'batch tool'!$B1668:$W1668)+$Y$3</f>
        <v>-36.514029388465531</v>
      </c>
      <c r="D1674" s="7">
        <f>SUMPRODUCT($C$4:$X$4,'batch tool'!$B1668:$W1668)+$Y$4</f>
        <v>-44.639843068043824</v>
      </c>
      <c r="E1674" s="7">
        <f>SUMPRODUCT($C$5:$X$5,'batch tool'!$B1668:$W1668)+$Y$5</f>
        <v>-51.578889182477603</v>
      </c>
      <c r="F1674" s="7">
        <f>SUMPRODUCT($C$6:$X$6,'batch tool'!$B1668:$W1668)+$Y$6</f>
        <v>-47.741473633885199</v>
      </c>
      <c r="G1674" s="7">
        <f>SUMPRODUCT($C$7:$X$7,'batch tool'!$B1668:$W1668)+$Y$7</f>
        <v>-19.739516238059196</v>
      </c>
      <c r="H1674" s="7">
        <f t="shared" si="50"/>
        <v>-19.739516238059196</v>
      </c>
      <c r="I1674">
        <f t="shared" si="51"/>
        <v>6</v>
      </c>
      <c r="J1674" t="str" cm="1">
        <f t="array" ref="J1674">INDEX($A$2:$A$7,I1674)</f>
        <v>Segment 6- Self-Conscious Male</v>
      </c>
    </row>
    <row r="1675" spans="1:10" x14ac:dyDescent="0.25">
      <c r="A1675" s="1">
        <f>'batch tool'!A1669</f>
        <v>0</v>
      </c>
      <c r="B1675" s="7">
        <f>SUMPRODUCT($C$2:$X$2,'batch tool'!$B1669:$W1669)+$Y$2</f>
        <v>-49.12272534143483</v>
      </c>
      <c r="C1675" s="7">
        <f>SUMPRODUCT($C$3:$X$3,'batch tool'!$B1669:$W1669)+$Y$3</f>
        <v>-36.514029388465531</v>
      </c>
      <c r="D1675" s="7">
        <f>SUMPRODUCT($C$4:$X$4,'batch tool'!$B1669:$W1669)+$Y$4</f>
        <v>-44.639843068043824</v>
      </c>
      <c r="E1675" s="7">
        <f>SUMPRODUCT($C$5:$X$5,'batch tool'!$B1669:$W1669)+$Y$5</f>
        <v>-51.578889182477603</v>
      </c>
      <c r="F1675" s="7">
        <f>SUMPRODUCT($C$6:$X$6,'batch tool'!$B1669:$W1669)+$Y$6</f>
        <v>-47.741473633885199</v>
      </c>
      <c r="G1675" s="7">
        <f>SUMPRODUCT($C$7:$X$7,'batch tool'!$B1669:$W1669)+$Y$7</f>
        <v>-19.739516238059196</v>
      </c>
      <c r="H1675" s="7">
        <f t="shared" ref="H1675:H1738" si="52">MAX(B1675:G1675)</f>
        <v>-19.739516238059196</v>
      </c>
      <c r="I1675">
        <f t="shared" ref="I1675:I1738" si="53">MATCH(H1675,B1675:G1675,0)</f>
        <v>6</v>
      </c>
      <c r="J1675" t="str" cm="1">
        <f t="array" ref="J1675">INDEX($A$2:$A$7,I1675)</f>
        <v>Segment 6- Self-Conscious Male</v>
      </c>
    </row>
    <row r="1676" spans="1:10" x14ac:dyDescent="0.25">
      <c r="A1676" s="1">
        <f>'batch tool'!A1670</f>
        <v>0</v>
      </c>
      <c r="B1676" s="7">
        <f>SUMPRODUCT($C$2:$X$2,'batch tool'!$B1670:$W1670)+$Y$2</f>
        <v>-49.12272534143483</v>
      </c>
      <c r="C1676" s="7">
        <f>SUMPRODUCT($C$3:$X$3,'batch tool'!$B1670:$W1670)+$Y$3</f>
        <v>-36.514029388465531</v>
      </c>
      <c r="D1676" s="7">
        <f>SUMPRODUCT($C$4:$X$4,'batch tool'!$B1670:$W1670)+$Y$4</f>
        <v>-44.639843068043824</v>
      </c>
      <c r="E1676" s="7">
        <f>SUMPRODUCT($C$5:$X$5,'batch tool'!$B1670:$W1670)+$Y$5</f>
        <v>-51.578889182477603</v>
      </c>
      <c r="F1676" s="7">
        <f>SUMPRODUCT($C$6:$X$6,'batch tool'!$B1670:$W1670)+$Y$6</f>
        <v>-47.741473633885199</v>
      </c>
      <c r="G1676" s="7">
        <f>SUMPRODUCT($C$7:$X$7,'batch tool'!$B1670:$W1670)+$Y$7</f>
        <v>-19.739516238059196</v>
      </c>
      <c r="H1676" s="7">
        <f t="shared" si="52"/>
        <v>-19.739516238059196</v>
      </c>
      <c r="I1676">
        <f t="shared" si="53"/>
        <v>6</v>
      </c>
      <c r="J1676" t="str" cm="1">
        <f t="array" ref="J1676">INDEX($A$2:$A$7,I1676)</f>
        <v>Segment 6- Self-Conscious Male</v>
      </c>
    </row>
    <row r="1677" spans="1:10" x14ac:dyDescent="0.25">
      <c r="A1677" s="1">
        <f>'batch tool'!A1671</f>
        <v>0</v>
      </c>
      <c r="B1677" s="7">
        <f>SUMPRODUCT($C$2:$X$2,'batch tool'!$B1671:$W1671)+$Y$2</f>
        <v>-49.12272534143483</v>
      </c>
      <c r="C1677" s="7">
        <f>SUMPRODUCT($C$3:$X$3,'batch tool'!$B1671:$W1671)+$Y$3</f>
        <v>-36.514029388465531</v>
      </c>
      <c r="D1677" s="7">
        <f>SUMPRODUCT($C$4:$X$4,'batch tool'!$B1671:$W1671)+$Y$4</f>
        <v>-44.639843068043824</v>
      </c>
      <c r="E1677" s="7">
        <f>SUMPRODUCT($C$5:$X$5,'batch tool'!$B1671:$W1671)+$Y$5</f>
        <v>-51.578889182477603</v>
      </c>
      <c r="F1677" s="7">
        <f>SUMPRODUCT($C$6:$X$6,'batch tool'!$B1671:$W1671)+$Y$6</f>
        <v>-47.741473633885199</v>
      </c>
      <c r="G1677" s="7">
        <f>SUMPRODUCT($C$7:$X$7,'batch tool'!$B1671:$W1671)+$Y$7</f>
        <v>-19.739516238059196</v>
      </c>
      <c r="H1677" s="7">
        <f t="shared" si="52"/>
        <v>-19.739516238059196</v>
      </c>
      <c r="I1677">
        <f t="shared" si="53"/>
        <v>6</v>
      </c>
      <c r="J1677" t="str" cm="1">
        <f t="array" ref="J1677">INDEX($A$2:$A$7,I1677)</f>
        <v>Segment 6- Self-Conscious Male</v>
      </c>
    </row>
    <row r="1678" spans="1:10" x14ac:dyDescent="0.25">
      <c r="A1678" s="1">
        <f>'batch tool'!A1672</f>
        <v>0</v>
      </c>
      <c r="B1678" s="7">
        <f>SUMPRODUCT($C$2:$X$2,'batch tool'!$B1672:$W1672)+$Y$2</f>
        <v>-49.12272534143483</v>
      </c>
      <c r="C1678" s="7">
        <f>SUMPRODUCT($C$3:$X$3,'batch tool'!$B1672:$W1672)+$Y$3</f>
        <v>-36.514029388465531</v>
      </c>
      <c r="D1678" s="7">
        <f>SUMPRODUCT($C$4:$X$4,'batch tool'!$B1672:$W1672)+$Y$4</f>
        <v>-44.639843068043824</v>
      </c>
      <c r="E1678" s="7">
        <f>SUMPRODUCT($C$5:$X$5,'batch tool'!$B1672:$W1672)+$Y$5</f>
        <v>-51.578889182477603</v>
      </c>
      <c r="F1678" s="7">
        <f>SUMPRODUCT($C$6:$X$6,'batch tool'!$B1672:$W1672)+$Y$6</f>
        <v>-47.741473633885199</v>
      </c>
      <c r="G1678" s="7">
        <f>SUMPRODUCT($C$7:$X$7,'batch tool'!$B1672:$W1672)+$Y$7</f>
        <v>-19.739516238059196</v>
      </c>
      <c r="H1678" s="7">
        <f t="shared" si="52"/>
        <v>-19.739516238059196</v>
      </c>
      <c r="I1678">
        <f t="shared" si="53"/>
        <v>6</v>
      </c>
      <c r="J1678" t="str" cm="1">
        <f t="array" ref="J1678">INDEX($A$2:$A$7,I1678)</f>
        <v>Segment 6- Self-Conscious Male</v>
      </c>
    </row>
    <row r="1679" spans="1:10" x14ac:dyDescent="0.25">
      <c r="A1679" s="1">
        <f>'batch tool'!A1673</f>
        <v>0</v>
      </c>
      <c r="B1679" s="7">
        <f>SUMPRODUCT($C$2:$X$2,'batch tool'!$B1673:$W1673)+$Y$2</f>
        <v>-49.12272534143483</v>
      </c>
      <c r="C1679" s="7">
        <f>SUMPRODUCT($C$3:$X$3,'batch tool'!$B1673:$W1673)+$Y$3</f>
        <v>-36.514029388465531</v>
      </c>
      <c r="D1679" s="7">
        <f>SUMPRODUCT($C$4:$X$4,'batch tool'!$B1673:$W1673)+$Y$4</f>
        <v>-44.639843068043824</v>
      </c>
      <c r="E1679" s="7">
        <f>SUMPRODUCT($C$5:$X$5,'batch tool'!$B1673:$W1673)+$Y$5</f>
        <v>-51.578889182477603</v>
      </c>
      <c r="F1679" s="7">
        <f>SUMPRODUCT($C$6:$X$6,'batch tool'!$B1673:$W1673)+$Y$6</f>
        <v>-47.741473633885199</v>
      </c>
      <c r="G1679" s="7">
        <f>SUMPRODUCT($C$7:$X$7,'batch tool'!$B1673:$W1673)+$Y$7</f>
        <v>-19.739516238059196</v>
      </c>
      <c r="H1679" s="7">
        <f t="shared" si="52"/>
        <v>-19.739516238059196</v>
      </c>
      <c r="I1679">
        <f t="shared" si="53"/>
        <v>6</v>
      </c>
      <c r="J1679" t="str" cm="1">
        <f t="array" ref="J1679">INDEX($A$2:$A$7,I1679)</f>
        <v>Segment 6- Self-Conscious Male</v>
      </c>
    </row>
    <row r="1680" spans="1:10" x14ac:dyDescent="0.25">
      <c r="A1680" s="1">
        <f>'batch tool'!A1674</f>
        <v>0</v>
      </c>
      <c r="B1680" s="7">
        <f>SUMPRODUCT($C$2:$X$2,'batch tool'!$B1674:$W1674)+$Y$2</f>
        <v>-49.12272534143483</v>
      </c>
      <c r="C1680" s="7">
        <f>SUMPRODUCT($C$3:$X$3,'batch tool'!$B1674:$W1674)+$Y$3</f>
        <v>-36.514029388465531</v>
      </c>
      <c r="D1680" s="7">
        <f>SUMPRODUCT($C$4:$X$4,'batch tool'!$B1674:$W1674)+$Y$4</f>
        <v>-44.639843068043824</v>
      </c>
      <c r="E1680" s="7">
        <f>SUMPRODUCT($C$5:$X$5,'batch tool'!$B1674:$W1674)+$Y$5</f>
        <v>-51.578889182477603</v>
      </c>
      <c r="F1680" s="7">
        <f>SUMPRODUCT($C$6:$X$6,'batch tool'!$B1674:$W1674)+$Y$6</f>
        <v>-47.741473633885199</v>
      </c>
      <c r="G1680" s="7">
        <f>SUMPRODUCT($C$7:$X$7,'batch tool'!$B1674:$W1674)+$Y$7</f>
        <v>-19.739516238059196</v>
      </c>
      <c r="H1680" s="7">
        <f t="shared" si="52"/>
        <v>-19.739516238059196</v>
      </c>
      <c r="I1680">
        <f t="shared" si="53"/>
        <v>6</v>
      </c>
      <c r="J1680" t="str" cm="1">
        <f t="array" ref="J1680">INDEX($A$2:$A$7,I1680)</f>
        <v>Segment 6- Self-Conscious Male</v>
      </c>
    </row>
    <row r="1681" spans="1:10" x14ac:dyDescent="0.25">
      <c r="A1681" s="1">
        <f>'batch tool'!A1675</f>
        <v>0</v>
      </c>
      <c r="B1681" s="7">
        <f>SUMPRODUCT($C$2:$X$2,'batch tool'!$B1675:$W1675)+$Y$2</f>
        <v>-49.12272534143483</v>
      </c>
      <c r="C1681" s="7">
        <f>SUMPRODUCT($C$3:$X$3,'batch tool'!$B1675:$W1675)+$Y$3</f>
        <v>-36.514029388465531</v>
      </c>
      <c r="D1681" s="7">
        <f>SUMPRODUCT($C$4:$X$4,'batch tool'!$B1675:$W1675)+$Y$4</f>
        <v>-44.639843068043824</v>
      </c>
      <c r="E1681" s="7">
        <f>SUMPRODUCT($C$5:$X$5,'batch tool'!$B1675:$W1675)+$Y$5</f>
        <v>-51.578889182477603</v>
      </c>
      <c r="F1681" s="7">
        <f>SUMPRODUCT($C$6:$X$6,'batch tool'!$B1675:$W1675)+$Y$6</f>
        <v>-47.741473633885199</v>
      </c>
      <c r="G1681" s="7">
        <f>SUMPRODUCT($C$7:$X$7,'batch tool'!$B1675:$W1675)+$Y$7</f>
        <v>-19.739516238059196</v>
      </c>
      <c r="H1681" s="7">
        <f t="shared" si="52"/>
        <v>-19.739516238059196</v>
      </c>
      <c r="I1681">
        <f t="shared" si="53"/>
        <v>6</v>
      </c>
      <c r="J1681" t="str" cm="1">
        <f t="array" ref="J1681">INDEX($A$2:$A$7,I1681)</f>
        <v>Segment 6- Self-Conscious Male</v>
      </c>
    </row>
    <row r="1682" spans="1:10" x14ac:dyDescent="0.25">
      <c r="A1682" s="1">
        <f>'batch tool'!A1676</f>
        <v>0</v>
      </c>
      <c r="B1682" s="7">
        <f>SUMPRODUCT($C$2:$X$2,'batch tool'!$B1676:$W1676)+$Y$2</f>
        <v>-49.12272534143483</v>
      </c>
      <c r="C1682" s="7">
        <f>SUMPRODUCT($C$3:$X$3,'batch tool'!$B1676:$W1676)+$Y$3</f>
        <v>-36.514029388465531</v>
      </c>
      <c r="D1682" s="7">
        <f>SUMPRODUCT($C$4:$X$4,'batch tool'!$B1676:$W1676)+$Y$4</f>
        <v>-44.639843068043824</v>
      </c>
      <c r="E1682" s="7">
        <f>SUMPRODUCT($C$5:$X$5,'batch tool'!$B1676:$W1676)+$Y$5</f>
        <v>-51.578889182477603</v>
      </c>
      <c r="F1682" s="7">
        <f>SUMPRODUCT($C$6:$X$6,'batch tool'!$B1676:$W1676)+$Y$6</f>
        <v>-47.741473633885199</v>
      </c>
      <c r="G1682" s="7">
        <f>SUMPRODUCT($C$7:$X$7,'batch tool'!$B1676:$W1676)+$Y$7</f>
        <v>-19.739516238059196</v>
      </c>
      <c r="H1682" s="7">
        <f t="shared" si="52"/>
        <v>-19.739516238059196</v>
      </c>
      <c r="I1682">
        <f t="shared" si="53"/>
        <v>6</v>
      </c>
      <c r="J1682" t="str" cm="1">
        <f t="array" ref="J1682">INDEX($A$2:$A$7,I1682)</f>
        <v>Segment 6- Self-Conscious Male</v>
      </c>
    </row>
    <row r="1683" spans="1:10" x14ac:dyDescent="0.25">
      <c r="A1683" s="1">
        <f>'batch tool'!A1677</f>
        <v>0</v>
      </c>
      <c r="B1683" s="7">
        <f>SUMPRODUCT($C$2:$X$2,'batch tool'!$B1677:$W1677)+$Y$2</f>
        <v>-49.12272534143483</v>
      </c>
      <c r="C1683" s="7">
        <f>SUMPRODUCT($C$3:$X$3,'batch tool'!$B1677:$W1677)+$Y$3</f>
        <v>-36.514029388465531</v>
      </c>
      <c r="D1683" s="7">
        <f>SUMPRODUCT($C$4:$X$4,'batch tool'!$B1677:$W1677)+$Y$4</f>
        <v>-44.639843068043824</v>
      </c>
      <c r="E1683" s="7">
        <f>SUMPRODUCT($C$5:$X$5,'batch tool'!$B1677:$W1677)+$Y$5</f>
        <v>-51.578889182477603</v>
      </c>
      <c r="F1683" s="7">
        <f>SUMPRODUCT($C$6:$X$6,'batch tool'!$B1677:$W1677)+$Y$6</f>
        <v>-47.741473633885199</v>
      </c>
      <c r="G1683" s="7">
        <f>SUMPRODUCT($C$7:$X$7,'batch tool'!$B1677:$W1677)+$Y$7</f>
        <v>-19.739516238059196</v>
      </c>
      <c r="H1683" s="7">
        <f t="shared" si="52"/>
        <v>-19.739516238059196</v>
      </c>
      <c r="I1683">
        <f t="shared" si="53"/>
        <v>6</v>
      </c>
      <c r="J1683" t="str" cm="1">
        <f t="array" ref="J1683">INDEX($A$2:$A$7,I1683)</f>
        <v>Segment 6- Self-Conscious Male</v>
      </c>
    </row>
    <row r="1684" spans="1:10" x14ac:dyDescent="0.25">
      <c r="A1684" s="1">
        <f>'batch tool'!A1678</f>
        <v>0</v>
      </c>
      <c r="B1684" s="7">
        <f>SUMPRODUCT($C$2:$X$2,'batch tool'!$B1678:$W1678)+$Y$2</f>
        <v>-49.12272534143483</v>
      </c>
      <c r="C1684" s="7">
        <f>SUMPRODUCT($C$3:$X$3,'batch tool'!$B1678:$W1678)+$Y$3</f>
        <v>-36.514029388465531</v>
      </c>
      <c r="D1684" s="7">
        <f>SUMPRODUCT($C$4:$X$4,'batch tool'!$B1678:$W1678)+$Y$4</f>
        <v>-44.639843068043824</v>
      </c>
      <c r="E1684" s="7">
        <f>SUMPRODUCT($C$5:$X$5,'batch tool'!$B1678:$W1678)+$Y$5</f>
        <v>-51.578889182477603</v>
      </c>
      <c r="F1684" s="7">
        <f>SUMPRODUCT($C$6:$X$6,'batch tool'!$B1678:$W1678)+$Y$6</f>
        <v>-47.741473633885199</v>
      </c>
      <c r="G1684" s="7">
        <f>SUMPRODUCT($C$7:$X$7,'batch tool'!$B1678:$W1678)+$Y$7</f>
        <v>-19.739516238059196</v>
      </c>
      <c r="H1684" s="7">
        <f t="shared" si="52"/>
        <v>-19.739516238059196</v>
      </c>
      <c r="I1684">
        <f t="shared" si="53"/>
        <v>6</v>
      </c>
      <c r="J1684" t="str" cm="1">
        <f t="array" ref="J1684">INDEX($A$2:$A$7,I1684)</f>
        <v>Segment 6- Self-Conscious Male</v>
      </c>
    </row>
    <row r="1685" spans="1:10" x14ac:dyDescent="0.25">
      <c r="A1685" s="1">
        <f>'batch tool'!A1679</f>
        <v>0</v>
      </c>
      <c r="B1685" s="7">
        <f>SUMPRODUCT($C$2:$X$2,'batch tool'!$B1679:$W1679)+$Y$2</f>
        <v>-49.12272534143483</v>
      </c>
      <c r="C1685" s="7">
        <f>SUMPRODUCT($C$3:$X$3,'batch tool'!$B1679:$W1679)+$Y$3</f>
        <v>-36.514029388465531</v>
      </c>
      <c r="D1685" s="7">
        <f>SUMPRODUCT($C$4:$X$4,'batch tool'!$B1679:$W1679)+$Y$4</f>
        <v>-44.639843068043824</v>
      </c>
      <c r="E1685" s="7">
        <f>SUMPRODUCT($C$5:$X$5,'batch tool'!$B1679:$W1679)+$Y$5</f>
        <v>-51.578889182477603</v>
      </c>
      <c r="F1685" s="7">
        <f>SUMPRODUCT($C$6:$X$6,'batch tool'!$B1679:$W1679)+$Y$6</f>
        <v>-47.741473633885199</v>
      </c>
      <c r="G1685" s="7">
        <f>SUMPRODUCT($C$7:$X$7,'batch tool'!$B1679:$W1679)+$Y$7</f>
        <v>-19.739516238059196</v>
      </c>
      <c r="H1685" s="7">
        <f t="shared" si="52"/>
        <v>-19.739516238059196</v>
      </c>
      <c r="I1685">
        <f t="shared" si="53"/>
        <v>6</v>
      </c>
      <c r="J1685" t="str" cm="1">
        <f t="array" ref="J1685">INDEX($A$2:$A$7,I1685)</f>
        <v>Segment 6- Self-Conscious Male</v>
      </c>
    </row>
    <row r="1686" spans="1:10" x14ac:dyDescent="0.25">
      <c r="A1686" s="1">
        <f>'batch tool'!A1680</f>
        <v>0</v>
      </c>
      <c r="B1686" s="7">
        <f>SUMPRODUCT($C$2:$X$2,'batch tool'!$B1680:$W1680)+$Y$2</f>
        <v>-49.12272534143483</v>
      </c>
      <c r="C1686" s="7">
        <f>SUMPRODUCT($C$3:$X$3,'batch tool'!$B1680:$W1680)+$Y$3</f>
        <v>-36.514029388465531</v>
      </c>
      <c r="D1686" s="7">
        <f>SUMPRODUCT($C$4:$X$4,'batch tool'!$B1680:$W1680)+$Y$4</f>
        <v>-44.639843068043824</v>
      </c>
      <c r="E1686" s="7">
        <f>SUMPRODUCT($C$5:$X$5,'batch tool'!$B1680:$W1680)+$Y$5</f>
        <v>-51.578889182477603</v>
      </c>
      <c r="F1686" s="7">
        <f>SUMPRODUCT($C$6:$X$6,'batch tool'!$B1680:$W1680)+$Y$6</f>
        <v>-47.741473633885199</v>
      </c>
      <c r="G1686" s="7">
        <f>SUMPRODUCT($C$7:$X$7,'batch tool'!$B1680:$W1680)+$Y$7</f>
        <v>-19.739516238059196</v>
      </c>
      <c r="H1686" s="7">
        <f t="shared" si="52"/>
        <v>-19.739516238059196</v>
      </c>
      <c r="I1686">
        <f t="shared" si="53"/>
        <v>6</v>
      </c>
      <c r="J1686" t="str" cm="1">
        <f t="array" ref="J1686">INDEX($A$2:$A$7,I1686)</f>
        <v>Segment 6- Self-Conscious Male</v>
      </c>
    </row>
    <row r="1687" spans="1:10" x14ac:dyDescent="0.25">
      <c r="A1687" s="1">
        <f>'batch tool'!A1681</f>
        <v>0</v>
      </c>
      <c r="B1687" s="7">
        <f>SUMPRODUCT($C$2:$X$2,'batch tool'!$B1681:$W1681)+$Y$2</f>
        <v>-49.12272534143483</v>
      </c>
      <c r="C1687" s="7">
        <f>SUMPRODUCT($C$3:$X$3,'batch tool'!$B1681:$W1681)+$Y$3</f>
        <v>-36.514029388465531</v>
      </c>
      <c r="D1687" s="7">
        <f>SUMPRODUCT($C$4:$X$4,'batch tool'!$B1681:$W1681)+$Y$4</f>
        <v>-44.639843068043824</v>
      </c>
      <c r="E1687" s="7">
        <f>SUMPRODUCT($C$5:$X$5,'batch tool'!$B1681:$W1681)+$Y$5</f>
        <v>-51.578889182477603</v>
      </c>
      <c r="F1687" s="7">
        <f>SUMPRODUCT($C$6:$X$6,'batch tool'!$B1681:$W1681)+$Y$6</f>
        <v>-47.741473633885199</v>
      </c>
      <c r="G1687" s="7">
        <f>SUMPRODUCT($C$7:$X$7,'batch tool'!$B1681:$W1681)+$Y$7</f>
        <v>-19.739516238059196</v>
      </c>
      <c r="H1687" s="7">
        <f t="shared" si="52"/>
        <v>-19.739516238059196</v>
      </c>
      <c r="I1687">
        <f t="shared" si="53"/>
        <v>6</v>
      </c>
      <c r="J1687" t="str" cm="1">
        <f t="array" ref="J1687">INDEX($A$2:$A$7,I1687)</f>
        <v>Segment 6- Self-Conscious Male</v>
      </c>
    </row>
    <row r="1688" spans="1:10" x14ac:dyDescent="0.25">
      <c r="A1688" s="1">
        <f>'batch tool'!A1682</f>
        <v>0</v>
      </c>
      <c r="B1688" s="7">
        <f>SUMPRODUCT($C$2:$X$2,'batch tool'!$B1682:$W1682)+$Y$2</f>
        <v>-49.12272534143483</v>
      </c>
      <c r="C1688" s="7">
        <f>SUMPRODUCT($C$3:$X$3,'batch tool'!$B1682:$W1682)+$Y$3</f>
        <v>-36.514029388465531</v>
      </c>
      <c r="D1688" s="7">
        <f>SUMPRODUCT($C$4:$X$4,'batch tool'!$B1682:$W1682)+$Y$4</f>
        <v>-44.639843068043824</v>
      </c>
      <c r="E1688" s="7">
        <f>SUMPRODUCT($C$5:$X$5,'batch tool'!$B1682:$W1682)+$Y$5</f>
        <v>-51.578889182477603</v>
      </c>
      <c r="F1688" s="7">
        <f>SUMPRODUCT($C$6:$X$6,'batch tool'!$B1682:$W1682)+$Y$6</f>
        <v>-47.741473633885199</v>
      </c>
      <c r="G1688" s="7">
        <f>SUMPRODUCT($C$7:$X$7,'batch tool'!$B1682:$W1682)+$Y$7</f>
        <v>-19.739516238059196</v>
      </c>
      <c r="H1688" s="7">
        <f t="shared" si="52"/>
        <v>-19.739516238059196</v>
      </c>
      <c r="I1688">
        <f t="shared" si="53"/>
        <v>6</v>
      </c>
      <c r="J1688" t="str" cm="1">
        <f t="array" ref="J1688">INDEX($A$2:$A$7,I1688)</f>
        <v>Segment 6- Self-Conscious Male</v>
      </c>
    </row>
    <row r="1689" spans="1:10" x14ac:dyDescent="0.25">
      <c r="A1689" s="1">
        <f>'batch tool'!A1683</f>
        <v>0</v>
      </c>
      <c r="B1689" s="7">
        <f>SUMPRODUCT($C$2:$X$2,'batch tool'!$B1683:$W1683)+$Y$2</f>
        <v>-49.12272534143483</v>
      </c>
      <c r="C1689" s="7">
        <f>SUMPRODUCT($C$3:$X$3,'batch tool'!$B1683:$W1683)+$Y$3</f>
        <v>-36.514029388465531</v>
      </c>
      <c r="D1689" s="7">
        <f>SUMPRODUCT($C$4:$X$4,'batch tool'!$B1683:$W1683)+$Y$4</f>
        <v>-44.639843068043824</v>
      </c>
      <c r="E1689" s="7">
        <f>SUMPRODUCT($C$5:$X$5,'batch tool'!$B1683:$W1683)+$Y$5</f>
        <v>-51.578889182477603</v>
      </c>
      <c r="F1689" s="7">
        <f>SUMPRODUCT($C$6:$X$6,'batch tool'!$B1683:$W1683)+$Y$6</f>
        <v>-47.741473633885199</v>
      </c>
      <c r="G1689" s="7">
        <f>SUMPRODUCT($C$7:$X$7,'batch tool'!$B1683:$W1683)+$Y$7</f>
        <v>-19.739516238059196</v>
      </c>
      <c r="H1689" s="7">
        <f t="shared" si="52"/>
        <v>-19.739516238059196</v>
      </c>
      <c r="I1689">
        <f t="shared" si="53"/>
        <v>6</v>
      </c>
      <c r="J1689" t="str" cm="1">
        <f t="array" ref="J1689">INDEX($A$2:$A$7,I1689)</f>
        <v>Segment 6- Self-Conscious Male</v>
      </c>
    </row>
    <row r="1690" spans="1:10" x14ac:dyDescent="0.25">
      <c r="A1690" s="1">
        <f>'batch tool'!A1684</f>
        <v>0</v>
      </c>
      <c r="B1690" s="7">
        <f>SUMPRODUCT($C$2:$X$2,'batch tool'!$B1684:$W1684)+$Y$2</f>
        <v>-49.12272534143483</v>
      </c>
      <c r="C1690" s="7">
        <f>SUMPRODUCT($C$3:$X$3,'batch tool'!$B1684:$W1684)+$Y$3</f>
        <v>-36.514029388465531</v>
      </c>
      <c r="D1690" s="7">
        <f>SUMPRODUCT($C$4:$X$4,'batch tool'!$B1684:$W1684)+$Y$4</f>
        <v>-44.639843068043824</v>
      </c>
      <c r="E1690" s="7">
        <f>SUMPRODUCT($C$5:$X$5,'batch tool'!$B1684:$W1684)+$Y$5</f>
        <v>-51.578889182477603</v>
      </c>
      <c r="F1690" s="7">
        <f>SUMPRODUCT($C$6:$X$6,'batch tool'!$B1684:$W1684)+$Y$6</f>
        <v>-47.741473633885199</v>
      </c>
      <c r="G1690" s="7">
        <f>SUMPRODUCT($C$7:$X$7,'batch tool'!$B1684:$W1684)+$Y$7</f>
        <v>-19.739516238059196</v>
      </c>
      <c r="H1690" s="7">
        <f t="shared" si="52"/>
        <v>-19.739516238059196</v>
      </c>
      <c r="I1690">
        <f t="shared" si="53"/>
        <v>6</v>
      </c>
      <c r="J1690" t="str" cm="1">
        <f t="array" ref="J1690">INDEX($A$2:$A$7,I1690)</f>
        <v>Segment 6- Self-Conscious Male</v>
      </c>
    </row>
    <row r="1691" spans="1:10" x14ac:dyDescent="0.25">
      <c r="A1691" s="1">
        <f>'batch tool'!A1685</f>
        <v>0</v>
      </c>
      <c r="B1691" s="7">
        <f>SUMPRODUCT($C$2:$X$2,'batch tool'!$B1685:$W1685)+$Y$2</f>
        <v>-49.12272534143483</v>
      </c>
      <c r="C1691" s="7">
        <f>SUMPRODUCT($C$3:$X$3,'batch tool'!$B1685:$W1685)+$Y$3</f>
        <v>-36.514029388465531</v>
      </c>
      <c r="D1691" s="7">
        <f>SUMPRODUCT($C$4:$X$4,'batch tool'!$B1685:$W1685)+$Y$4</f>
        <v>-44.639843068043824</v>
      </c>
      <c r="E1691" s="7">
        <f>SUMPRODUCT($C$5:$X$5,'batch tool'!$B1685:$W1685)+$Y$5</f>
        <v>-51.578889182477603</v>
      </c>
      <c r="F1691" s="7">
        <f>SUMPRODUCT($C$6:$X$6,'batch tool'!$B1685:$W1685)+$Y$6</f>
        <v>-47.741473633885199</v>
      </c>
      <c r="G1691" s="7">
        <f>SUMPRODUCT($C$7:$X$7,'batch tool'!$B1685:$W1685)+$Y$7</f>
        <v>-19.739516238059196</v>
      </c>
      <c r="H1691" s="7">
        <f t="shared" si="52"/>
        <v>-19.739516238059196</v>
      </c>
      <c r="I1691">
        <f t="shared" si="53"/>
        <v>6</v>
      </c>
      <c r="J1691" t="str" cm="1">
        <f t="array" ref="J1691">INDEX($A$2:$A$7,I1691)</f>
        <v>Segment 6- Self-Conscious Male</v>
      </c>
    </row>
    <row r="1692" spans="1:10" x14ac:dyDescent="0.25">
      <c r="A1692" s="1">
        <f>'batch tool'!A1686</f>
        <v>0</v>
      </c>
      <c r="B1692" s="7">
        <f>SUMPRODUCT($C$2:$X$2,'batch tool'!$B1686:$W1686)+$Y$2</f>
        <v>-49.12272534143483</v>
      </c>
      <c r="C1692" s="7">
        <f>SUMPRODUCT($C$3:$X$3,'batch tool'!$B1686:$W1686)+$Y$3</f>
        <v>-36.514029388465531</v>
      </c>
      <c r="D1692" s="7">
        <f>SUMPRODUCT($C$4:$X$4,'batch tool'!$B1686:$W1686)+$Y$4</f>
        <v>-44.639843068043824</v>
      </c>
      <c r="E1692" s="7">
        <f>SUMPRODUCT($C$5:$X$5,'batch tool'!$B1686:$W1686)+$Y$5</f>
        <v>-51.578889182477603</v>
      </c>
      <c r="F1692" s="7">
        <f>SUMPRODUCT($C$6:$X$6,'batch tool'!$B1686:$W1686)+$Y$6</f>
        <v>-47.741473633885199</v>
      </c>
      <c r="G1692" s="7">
        <f>SUMPRODUCT($C$7:$X$7,'batch tool'!$B1686:$W1686)+$Y$7</f>
        <v>-19.739516238059196</v>
      </c>
      <c r="H1692" s="7">
        <f t="shared" si="52"/>
        <v>-19.739516238059196</v>
      </c>
      <c r="I1692">
        <f t="shared" si="53"/>
        <v>6</v>
      </c>
      <c r="J1692" t="str" cm="1">
        <f t="array" ref="J1692">INDEX($A$2:$A$7,I1692)</f>
        <v>Segment 6- Self-Conscious Male</v>
      </c>
    </row>
    <row r="1693" spans="1:10" x14ac:dyDescent="0.25">
      <c r="A1693" s="1">
        <f>'batch tool'!A1687</f>
        <v>0</v>
      </c>
      <c r="B1693" s="7">
        <f>SUMPRODUCT($C$2:$X$2,'batch tool'!$B1687:$W1687)+$Y$2</f>
        <v>-49.12272534143483</v>
      </c>
      <c r="C1693" s="7">
        <f>SUMPRODUCT($C$3:$X$3,'batch tool'!$B1687:$W1687)+$Y$3</f>
        <v>-36.514029388465531</v>
      </c>
      <c r="D1693" s="7">
        <f>SUMPRODUCT($C$4:$X$4,'batch tool'!$B1687:$W1687)+$Y$4</f>
        <v>-44.639843068043824</v>
      </c>
      <c r="E1693" s="7">
        <f>SUMPRODUCT($C$5:$X$5,'batch tool'!$B1687:$W1687)+$Y$5</f>
        <v>-51.578889182477603</v>
      </c>
      <c r="F1693" s="7">
        <f>SUMPRODUCT($C$6:$X$6,'batch tool'!$B1687:$W1687)+$Y$6</f>
        <v>-47.741473633885199</v>
      </c>
      <c r="G1693" s="7">
        <f>SUMPRODUCT($C$7:$X$7,'batch tool'!$B1687:$W1687)+$Y$7</f>
        <v>-19.739516238059196</v>
      </c>
      <c r="H1693" s="7">
        <f t="shared" si="52"/>
        <v>-19.739516238059196</v>
      </c>
      <c r="I1693">
        <f t="shared" si="53"/>
        <v>6</v>
      </c>
      <c r="J1693" t="str" cm="1">
        <f t="array" ref="J1693">INDEX($A$2:$A$7,I1693)</f>
        <v>Segment 6- Self-Conscious Male</v>
      </c>
    </row>
    <row r="1694" spans="1:10" x14ac:dyDescent="0.25">
      <c r="A1694" s="1">
        <f>'batch tool'!A1688</f>
        <v>0</v>
      </c>
      <c r="B1694" s="7">
        <f>SUMPRODUCT($C$2:$X$2,'batch tool'!$B1688:$W1688)+$Y$2</f>
        <v>-49.12272534143483</v>
      </c>
      <c r="C1694" s="7">
        <f>SUMPRODUCT($C$3:$X$3,'batch tool'!$B1688:$W1688)+$Y$3</f>
        <v>-36.514029388465531</v>
      </c>
      <c r="D1694" s="7">
        <f>SUMPRODUCT($C$4:$X$4,'batch tool'!$B1688:$W1688)+$Y$4</f>
        <v>-44.639843068043824</v>
      </c>
      <c r="E1694" s="7">
        <f>SUMPRODUCT($C$5:$X$5,'batch tool'!$B1688:$W1688)+$Y$5</f>
        <v>-51.578889182477603</v>
      </c>
      <c r="F1694" s="7">
        <f>SUMPRODUCT($C$6:$X$6,'batch tool'!$B1688:$W1688)+$Y$6</f>
        <v>-47.741473633885199</v>
      </c>
      <c r="G1694" s="7">
        <f>SUMPRODUCT($C$7:$X$7,'batch tool'!$B1688:$W1688)+$Y$7</f>
        <v>-19.739516238059196</v>
      </c>
      <c r="H1694" s="7">
        <f t="shared" si="52"/>
        <v>-19.739516238059196</v>
      </c>
      <c r="I1694">
        <f t="shared" si="53"/>
        <v>6</v>
      </c>
      <c r="J1694" t="str" cm="1">
        <f t="array" ref="J1694">INDEX($A$2:$A$7,I1694)</f>
        <v>Segment 6- Self-Conscious Male</v>
      </c>
    </row>
    <row r="1695" spans="1:10" x14ac:dyDescent="0.25">
      <c r="A1695" s="1">
        <f>'batch tool'!A1689</f>
        <v>0</v>
      </c>
      <c r="B1695" s="7">
        <f>SUMPRODUCT($C$2:$X$2,'batch tool'!$B1689:$W1689)+$Y$2</f>
        <v>-49.12272534143483</v>
      </c>
      <c r="C1695" s="7">
        <f>SUMPRODUCT($C$3:$X$3,'batch tool'!$B1689:$W1689)+$Y$3</f>
        <v>-36.514029388465531</v>
      </c>
      <c r="D1695" s="7">
        <f>SUMPRODUCT($C$4:$X$4,'batch tool'!$B1689:$W1689)+$Y$4</f>
        <v>-44.639843068043824</v>
      </c>
      <c r="E1695" s="7">
        <f>SUMPRODUCT($C$5:$X$5,'batch tool'!$B1689:$W1689)+$Y$5</f>
        <v>-51.578889182477603</v>
      </c>
      <c r="F1695" s="7">
        <f>SUMPRODUCT($C$6:$X$6,'batch tool'!$B1689:$W1689)+$Y$6</f>
        <v>-47.741473633885199</v>
      </c>
      <c r="G1695" s="7">
        <f>SUMPRODUCT($C$7:$X$7,'batch tool'!$B1689:$W1689)+$Y$7</f>
        <v>-19.739516238059196</v>
      </c>
      <c r="H1695" s="7">
        <f t="shared" si="52"/>
        <v>-19.739516238059196</v>
      </c>
      <c r="I1695">
        <f t="shared" si="53"/>
        <v>6</v>
      </c>
      <c r="J1695" t="str" cm="1">
        <f t="array" ref="J1695">INDEX($A$2:$A$7,I1695)</f>
        <v>Segment 6- Self-Conscious Male</v>
      </c>
    </row>
    <row r="1696" spans="1:10" x14ac:dyDescent="0.25">
      <c r="A1696" s="1">
        <f>'batch tool'!A1690</f>
        <v>0</v>
      </c>
      <c r="B1696" s="7">
        <f>SUMPRODUCT($C$2:$X$2,'batch tool'!$B1690:$W1690)+$Y$2</f>
        <v>-49.12272534143483</v>
      </c>
      <c r="C1696" s="7">
        <f>SUMPRODUCT($C$3:$X$3,'batch tool'!$B1690:$W1690)+$Y$3</f>
        <v>-36.514029388465531</v>
      </c>
      <c r="D1696" s="7">
        <f>SUMPRODUCT($C$4:$X$4,'batch tool'!$B1690:$W1690)+$Y$4</f>
        <v>-44.639843068043824</v>
      </c>
      <c r="E1696" s="7">
        <f>SUMPRODUCT($C$5:$X$5,'batch tool'!$B1690:$W1690)+$Y$5</f>
        <v>-51.578889182477603</v>
      </c>
      <c r="F1696" s="7">
        <f>SUMPRODUCT($C$6:$X$6,'batch tool'!$B1690:$W1690)+$Y$6</f>
        <v>-47.741473633885199</v>
      </c>
      <c r="G1696" s="7">
        <f>SUMPRODUCT($C$7:$X$7,'batch tool'!$B1690:$W1690)+$Y$7</f>
        <v>-19.739516238059196</v>
      </c>
      <c r="H1696" s="7">
        <f t="shared" si="52"/>
        <v>-19.739516238059196</v>
      </c>
      <c r="I1696">
        <f t="shared" si="53"/>
        <v>6</v>
      </c>
      <c r="J1696" t="str" cm="1">
        <f t="array" ref="J1696">INDEX($A$2:$A$7,I1696)</f>
        <v>Segment 6- Self-Conscious Male</v>
      </c>
    </row>
    <row r="1697" spans="1:10" x14ac:dyDescent="0.25">
      <c r="A1697" s="1">
        <f>'batch tool'!A1691</f>
        <v>0</v>
      </c>
      <c r="B1697" s="7">
        <f>SUMPRODUCT($C$2:$X$2,'batch tool'!$B1691:$W1691)+$Y$2</f>
        <v>-49.12272534143483</v>
      </c>
      <c r="C1697" s="7">
        <f>SUMPRODUCT($C$3:$X$3,'batch tool'!$B1691:$W1691)+$Y$3</f>
        <v>-36.514029388465531</v>
      </c>
      <c r="D1697" s="7">
        <f>SUMPRODUCT($C$4:$X$4,'batch tool'!$B1691:$W1691)+$Y$4</f>
        <v>-44.639843068043824</v>
      </c>
      <c r="E1697" s="7">
        <f>SUMPRODUCT($C$5:$X$5,'batch tool'!$B1691:$W1691)+$Y$5</f>
        <v>-51.578889182477603</v>
      </c>
      <c r="F1697" s="7">
        <f>SUMPRODUCT($C$6:$X$6,'batch tool'!$B1691:$W1691)+$Y$6</f>
        <v>-47.741473633885199</v>
      </c>
      <c r="G1697" s="7">
        <f>SUMPRODUCT($C$7:$X$7,'batch tool'!$B1691:$W1691)+$Y$7</f>
        <v>-19.739516238059196</v>
      </c>
      <c r="H1697" s="7">
        <f t="shared" si="52"/>
        <v>-19.739516238059196</v>
      </c>
      <c r="I1697">
        <f t="shared" si="53"/>
        <v>6</v>
      </c>
      <c r="J1697" t="str" cm="1">
        <f t="array" ref="J1697">INDEX($A$2:$A$7,I1697)</f>
        <v>Segment 6- Self-Conscious Male</v>
      </c>
    </row>
    <row r="1698" spans="1:10" x14ac:dyDescent="0.25">
      <c r="A1698" s="1">
        <f>'batch tool'!A1692</f>
        <v>0</v>
      </c>
      <c r="B1698" s="7">
        <f>SUMPRODUCT($C$2:$X$2,'batch tool'!$B1692:$W1692)+$Y$2</f>
        <v>-49.12272534143483</v>
      </c>
      <c r="C1698" s="7">
        <f>SUMPRODUCT($C$3:$X$3,'batch tool'!$B1692:$W1692)+$Y$3</f>
        <v>-36.514029388465531</v>
      </c>
      <c r="D1698" s="7">
        <f>SUMPRODUCT($C$4:$X$4,'batch tool'!$B1692:$W1692)+$Y$4</f>
        <v>-44.639843068043824</v>
      </c>
      <c r="E1698" s="7">
        <f>SUMPRODUCT($C$5:$X$5,'batch tool'!$B1692:$W1692)+$Y$5</f>
        <v>-51.578889182477603</v>
      </c>
      <c r="F1698" s="7">
        <f>SUMPRODUCT($C$6:$X$6,'batch tool'!$B1692:$W1692)+$Y$6</f>
        <v>-47.741473633885199</v>
      </c>
      <c r="G1698" s="7">
        <f>SUMPRODUCT($C$7:$X$7,'batch tool'!$B1692:$W1692)+$Y$7</f>
        <v>-19.739516238059196</v>
      </c>
      <c r="H1698" s="7">
        <f t="shared" si="52"/>
        <v>-19.739516238059196</v>
      </c>
      <c r="I1698">
        <f t="shared" si="53"/>
        <v>6</v>
      </c>
      <c r="J1698" t="str" cm="1">
        <f t="array" ref="J1698">INDEX($A$2:$A$7,I1698)</f>
        <v>Segment 6- Self-Conscious Male</v>
      </c>
    </row>
    <row r="1699" spans="1:10" x14ac:dyDescent="0.25">
      <c r="A1699" s="1">
        <f>'batch tool'!A1693</f>
        <v>0</v>
      </c>
      <c r="B1699" s="7">
        <f>SUMPRODUCT($C$2:$X$2,'batch tool'!$B1693:$W1693)+$Y$2</f>
        <v>-49.12272534143483</v>
      </c>
      <c r="C1699" s="7">
        <f>SUMPRODUCT($C$3:$X$3,'batch tool'!$B1693:$W1693)+$Y$3</f>
        <v>-36.514029388465531</v>
      </c>
      <c r="D1699" s="7">
        <f>SUMPRODUCT($C$4:$X$4,'batch tool'!$B1693:$W1693)+$Y$4</f>
        <v>-44.639843068043824</v>
      </c>
      <c r="E1699" s="7">
        <f>SUMPRODUCT($C$5:$X$5,'batch tool'!$B1693:$W1693)+$Y$5</f>
        <v>-51.578889182477603</v>
      </c>
      <c r="F1699" s="7">
        <f>SUMPRODUCT($C$6:$X$6,'batch tool'!$B1693:$W1693)+$Y$6</f>
        <v>-47.741473633885199</v>
      </c>
      <c r="G1699" s="7">
        <f>SUMPRODUCT($C$7:$X$7,'batch tool'!$B1693:$W1693)+$Y$7</f>
        <v>-19.739516238059196</v>
      </c>
      <c r="H1699" s="7">
        <f t="shared" si="52"/>
        <v>-19.739516238059196</v>
      </c>
      <c r="I1699">
        <f t="shared" si="53"/>
        <v>6</v>
      </c>
      <c r="J1699" t="str" cm="1">
        <f t="array" ref="J1699">INDEX($A$2:$A$7,I1699)</f>
        <v>Segment 6- Self-Conscious Male</v>
      </c>
    </row>
    <row r="1700" spans="1:10" x14ac:dyDescent="0.25">
      <c r="A1700" s="1">
        <f>'batch tool'!A1694</f>
        <v>0</v>
      </c>
      <c r="B1700" s="7">
        <f>SUMPRODUCT($C$2:$X$2,'batch tool'!$B1694:$W1694)+$Y$2</f>
        <v>-49.12272534143483</v>
      </c>
      <c r="C1700" s="7">
        <f>SUMPRODUCT($C$3:$X$3,'batch tool'!$B1694:$W1694)+$Y$3</f>
        <v>-36.514029388465531</v>
      </c>
      <c r="D1700" s="7">
        <f>SUMPRODUCT($C$4:$X$4,'batch tool'!$B1694:$W1694)+$Y$4</f>
        <v>-44.639843068043824</v>
      </c>
      <c r="E1700" s="7">
        <f>SUMPRODUCT($C$5:$X$5,'batch tool'!$B1694:$W1694)+$Y$5</f>
        <v>-51.578889182477603</v>
      </c>
      <c r="F1700" s="7">
        <f>SUMPRODUCT($C$6:$X$6,'batch tool'!$B1694:$W1694)+$Y$6</f>
        <v>-47.741473633885199</v>
      </c>
      <c r="G1700" s="7">
        <f>SUMPRODUCT($C$7:$X$7,'batch tool'!$B1694:$W1694)+$Y$7</f>
        <v>-19.739516238059196</v>
      </c>
      <c r="H1700" s="7">
        <f t="shared" si="52"/>
        <v>-19.739516238059196</v>
      </c>
      <c r="I1700">
        <f t="shared" si="53"/>
        <v>6</v>
      </c>
      <c r="J1700" t="str" cm="1">
        <f t="array" ref="J1700">INDEX($A$2:$A$7,I1700)</f>
        <v>Segment 6- Self-Conscious Male</v>
      </c>
    </row>
    <row r="1701" spans="1:10" x14ac:dyDescent="0.25">
      <c r="A1701" s="1">
        <f>'batch tool'!A1695</f>
        <v>0</v>
      </c>
      <c r="B1701" s="7">
        <f>SUMPRODUCT($C$2:$X$2,'batch tool'!$B1695:$W1695)+$Y$2</f>
        <v>-49.12272534143483</v>
      </c>
      <c r="C1701" s="7">
        <f>SUMPRODUCT($C$3:$X$3,'batch tool'!$B1695:$W1695)+$Y$3</f>
        <v>-36.514029388465531</v>
      </c>
      <c r="D1701" s="7">
        <f>SUMPRODUCT($C$4:$X$4,'batch tool'!$B1695:$W1695)+$Y$4</f>
        <v>-44.639843068043824</v>
      </c>
      <c r="E1701" s="7">
        <f>SUMPRODUCT($C$5:$X$5,'batch tool'!$B1695:$W1695)+$Y$5</f>
        <v>-51.578889182477603</v>
      </c>
      <c r="F1701" s="7">
        <f>SUMPRODUCT($C$6:$X$6,'batch tool'!$B1695:$W1695)+$Y$6</f>
        <v>-47.741473633885199</v>
      </c>
      <c r="G1701" s="7">
        <f>SUMPRODUCT($C$7:$X$7,'batch tool'!$B1695:$W1695)+$Y$7</f>
        <v>-19.739516238059196</v>
      </c>
      <c r="H1701" s="7">
        <f t="shared" si="52"/>
        <v>-19.739516238059196</v>
      </c>
      <c r="I1701">
        <f t="shared" si="53"/>
        <v>6</v>
      </c>
      <c r="J1701" t="str" cm="1">
        <f t="array" ref="J1701">INDEX($A$2:$A$7,I1701)</f>
        <v>Segment 6- Self-Conscious Male</v>
      </c>
    </row>
    <row r="1702" spans="1:10" x14ac:dyDescent="0.25">
      <c r="A1702" s="1">
        <f>'batch tool'!A1696</f>
        <v>0</v>
      </c>
      <c r="B1702" s="7">
        <f>SUMPRODUCT($C$2:$X$2,'batch tool'!$B1696:$W1696)+$Y$2</f>
        <v>-49.12272534143483</v>
      </c>
      <c r="C1702" s="7">
        <f>SUMPRODUCT($C$3:$X$3,'batch tool'!$B1696:$W1696)+$Y$3</f>
        <v>-36.514029388465531</v>
      </c>
      <c r="D1702" s="7">
        <f>SUMPRODUCT($C$4:$X$4,'batch tool'!$B1696:$W1696)+$Y$4</f>
        <v>-44.639843068043824</v>
      </c>
      <c r="E1702" s="7">
        <f>SUMPRODUCT($C$5:$X$5,'batch tool'!$B1696:$W1696)+$Y$5</f>
        <v>-51.578889182477603</v>
      </c>
      <c r="F1702" s="7">
        <f>SUMPRODUCT($C$6:$X$6,'batch tool'!$B1696:$W1696)+$Y$6</f>
        <v>-47.741473633885199</v>
      </c>
      <c r="G1702" s="7">
        <f>SUMPRODUCT($C$7:$X$7,'batch tool'!$B1696:$W1696)+$Y$7</f>
        <v>-19.739516238059196</v>
      </c>
      <c r="H1702" s="7">
        <f t="shared" si="52"/>
        <v>-19.739516238059196</v>
      </c>
      <c r="I1702">
        <f t="shared" si="53"/>
        <v>6</v>
      </c>
      <c r="J1702" t="str" cm="1">
        <f t="array" ref="J1702">INDEX($A$2:$A$7,I1702)</f>
        <v>Segment 6- Self-Conscious Male</v>
      </c>
    </row>
    <row r="1703" spans="1:10" x14ac:dyDescent="0.25">
      <c r="A1703" s="1">
        <f>'batch tool'!A1697</f>
        <v>0</v>
      </c>
      <c r="B1703" s="7">
        <f>SUMPRODUCT($C$2:$X$2,'batch tool'!$B1697:$W1697)+$Y$2</f>
        <v>-49.12272534143483</v>
      </c>
      <c r="C1703" s="7">
        <f>SUMPRODUCT($C$3:$X$3,'batch tool'!$B1697:$W1697)+$Y$3</f>
        <v>-36.514029388465531</v>
      </c>
      <c r="D1703" s="7">
        <f>SUMPRODUCT($C$4:$X$4,'batch tool'!$B1697:$W1697)+$Y$4</f>
        <v>-44.639843068043824</v>
      </c>
      <c r="E1703" s="7">
        <f>SUMPRODUCT($C$5:$X$5,'batch tool'!$B1697:$W1697)+$Y$5</f>
        <v>-51.578889182477603</v>
      </c>
      <c r="F1703" s="7">
        <f>SUMPRODUCT($C$6:$X$6,'batch tool'!$B1697:$W1697)+$Y$6</f>
        <v>-47.741473633885199</v>
      </c>
      <c r="G1703" s="7">
        <f>SUMPRODUCT($C$7:$X$7,'batch tool'!$B1697:$W1697)+$Y$7</f>
        <v>-19.739516238059196</v>
      </c>
      <c r="H1703" s="7">
        <f t="shared" si="52"/>
        <v>-19.739516238059196</v>
      </c>
      <c r="I1703">
        <f t="shared" si="53"/>
        <v>6</v>
      </c>
      <c r="J1703" t="str" cm="1">
        <f t="array" ref="J1703">INDEX($A$2:$A$7,I1703)</f>
        <v>Segment 6- Self-Conscious Male</v>
      </c>
    </row>
    <row r="1704" spans="1:10" x14ac:dyDescent="0.25">
      <c r="A1704" s="1">
        <f>'batch tool'!A1698</f>
        <v>0</v>
      </c>
      <c r="B1704" s="7">
        <f>SUMPRODUCT($C$2:$X$2,'batch tool'!$B1698:$W1698)+$Y$2</f>
        <v>-49.12272534143483</v>
      </c>
      <c r="C1704" s="7">
        <f>SUMPRODUCT($C$3:$X$3,'batch tool'!$B1698:$W1698)+$Y$3</f>
        <v>-36.514029388465531</v>
      </c>
      <c r="D1704" s="7">
        <f>SUMPRODUCT($C$4:$X$4,'batch tool'!$B1698:$W1698)+$Y$4</f>
        <v>-44.639843068043824</v>
      </c>
      <c r="E1704" s="7">
        <f>SUMPRODUCT($C$5:$X$5,'batch tool'!$B1698:$W1698)+$Y$5</f>
        <v>-51.578889182477603</v>
      </c>
      <c r="F1704" s="7">
        <f>SUMPRODUCT($C$6:$X$6,'batch tool'!$B1698:$W1698)+$Y$6</f>
        <v>-47.741473633885199</v>
      </c>
      <c r="G1704" s="7">
        <f>SUMPRODUCT($C$7:$X$7,'batch tool'!$B1698:$W1698)+$Y$7</f>
        <v>-19.739516238059196</v>
      </c>
      <c r="H1704" s="7">
        <f t="shared" si="52"/>
        <v>-19.739516238059196</v>
      </c>
      <c r="I1704">
        <f t="shared" si="53"/>
        <v>6</v>
      </c>
      <c r="J1704" t="str" cm="1">
        <f t="array" ref="J1704">INDEX($A$2:$A$7,I1704)</f>
        <v>Segment 6- Self-Conscious Male</v>
      </c>
    </row>
    <row r="1705" spans="1:10" x14ac:dyDescent="0.25">
      <c r="A1705" s="1">
        <f>'batch tool'!A1699</f>
        <v>0</v>
      </c>
      <c r="B1705" s="7">
        <f>SUMPRODUCT($C$2:$X$2,'batch tool'!$B1699:$W1699)+$Y$2</f>
        <v>-49.12272534143483</v>
      </c>
      <c r="C1705" s="7">
        <f>SUMPRODUCT($C$3:$X$3,'batch tool'!$B1699:$W1699)+$Y$3</f>
        <v>-36.514029388465531</v>
      </c>
      <c r="D1705" s="7">
        <f>SUMPRODUCT($C$4:$X$4,'batch tool'!$B1699:$W1699)+$Y$4</f>
        <v>-44.639843068043824</v>
      </c>
      <c r="E1705" s="7">
        <f>SUMPRODUCT($C$5:$X$5,'batch tool'!$B1699:$W1699)+$Y$5</f>
        <v>-51.578889182477603</v>
      </c>
      <c r="F1705" s="7">
        <f>SUMPRODUCT($C$6:$X$6,'batch tool'!$B1699:$W1699)+$Y$6</f>
        <v>-47.741473633885199</v>
      </c>
      <c r="G1705" s="7">
        <f>SUMPRODUCT($C$7:$X$7,'batch tool'!$B1699:$W1699)+$Y$7</f>
        <v>-19.739516238059196</v>
      </c>
      <c r="H1705" s="7">
        <f t="shared" si="52"/>
        <v>-19.739516238059196</v>
      </c>
      <c r="I1705">
        <f t="shared" si="53"/>
        <v>6</v>
      </c>
      <c r="J1705" t="str" cm="1">
        <f t="array" ref="J1705">INDEX($A$2:$A$7,I1705)</f>
        <v>Segment 6- Self-Conscious Male</v>
      </c>
    </row>
    <row r="1706" spans="1:10" x14ac:dyDescent="0.25">
      <c r="A1706" s="1">
        <f>'batch tool'!A1700</f>
        <v>0</v>
      </c>
      <c r="B1706" s="7">
        <f>SUMPRODUCT($C$2:$X$2,'batch tool'!$B1700:$W1700)+$Y$2</f>
        <v>-49.12272534143483</v>
      </c>
      <c r="C1706" s="7">
        <f>SUMPRODUCT($C$3:$X$3,'batch tool'!$B1700:$W1700)+$Y$3</f>
        <v>-36.514029388465531</v>
      </c>
      <c r="D1706" s="7">
        <f>SUMPRODUCT($C$4:$X$4,'batch tool'!$B1700:$W1700)+$Y$4</f>
        <v>-44.639843068043824</v>
      </c>
      <c r="E1706" s="7">
        <f>SUMPRODUCT($C$5:$X$5,'batch tool'!$B1700:$W1700)+$Y$5</f>
        <v>-51.578889182477603</v>
      </c>
      <c r="F1706" s="7">
        <f>SUMPRODUCT($C$6:$X$6,'batch tool'!$B1700:$W1700)+$Y$6</f>
        <v>-47.741473633885199</v>
      </c>
      <c r="G1706" s="7">
        <f>SUMPRODUCT($C$7:$X$7,'batch tool'!$B1700:$W1700)+$Y$7</f>
        <v>-19.739516238059196</v>
      </c>
      <c r="H1706" s="7">
        <f t="shared" si="52"/>
        <v>-19.739516238059196</v>
      </c>
      <c r="I1706">
        <f t="shared" si="53"/>
        <v>6</v>
      </c>
      <c r="J1706" t="str" cm="1">
        <f t="array" ref="J1706">INDEX($A$2:$A$7,I1706)</f>
        <v>Segment 6- Self-Conscious Male</v>
      </c>
    </row>
    <row r="1707" spans="1:10" x14ac:dyDescent="0.25">
      <c r="A1707" s="1">
        <f>'batch tool'!A1701</f>
        <v>0</v>
      </c>
      <c r="B1707" s="7">
        <f>SUMPRODUCT($C$2:$X$2,'batch tool'!$B1701:$W1701)+$Y$2</f>
        <v>-49.12272534143483</v>
      </c>
      <c r="C1707" s="7">
        <f>SUMPRODUCT($C$3:$X$3,'batch tool'!$B1701:$W1701)+$Y$3</f>
        <v>-36.514029388465531</v>
      </c>
      <c r="D1707" s="7">
        <f>SUMPRODUCT($C$4:$X$4,'batch tool'!$B1701:$W1701)+$Y$4</f>
        <v>-44.639843068043824</v>
      </c>
      <c r="E1707" s="7">
        <f>SUMPRODUCT($C$5:$X$5,'batch tool'!$B1701:$W1701)+$Y$5</f>
        <v>-51.578889182477603</v>
      </c>
      <c r="F1707" s="7">
        <f>SUMPRODUCT($C$6:$X$6,'batch tool'!$B1701:$W1701)+$Y$6</f>
        <v>-47.741473633885199</v>
      </c>
      <c r="G1707" s="7">
        <f>SUMPRODUCT($C$7:$X$7,'batch tool'!$B1701:$W1701)+$Y$7</f>
        <v>-19.739516238059196</v>
      </c>
      <c r="H1707" s="7">
        <f t="shared" si="52"/>
        <v>-19.739516238059196</v>
      </c>
      <c r="I1707">
        <f t="shared" si="53"/>
        <v>6</v>
      </c>
      <c r="J1707" t="str" cm="1">
        <f t="array" ref="J1707">INDEX($A$2:$A$7,I1707)</f>
        <v>Segment 6- Self-Conscious Male</v>
      </c>
    </row>
    <row r="1708" spans="1:10" x14ac:dyDescent="0.25">
      <c r="A1708" s="1">
        <f>'batch tool'!A1702</f>
        <v>0</v>
      </c>
      <c r="B1708" s="7">
        <f>SUMPRODUCT($C$2:$X$2,'batch tool'!$B1702:$W1702)+$Y$2</f>
        <v>-49.12272534143483</v>
      </c>
      <c r="C1708" s="7">
        <f>SUMPRODUCT($C$3:$X$3,'batch tool'!$B1702:$W1702)+$Y$3</f>
        <v>-36.514029388465531</v>
      </c>
      <c r="D1708" s="7">
        <f>SUMPRODUCT($C$4:$X$4,'batch tool'!$B1702:$W1702)+$Y$4</f>
        <v>-44.639843068043824</v>
      </c>
      <c r="E1708" s="7">
        <f>SUMPRODUCT($C$5:$X$5,'batch tool'!$B1702:$W1702)+$Y$5</f>
        <v>-51.578889182477603</v>
      </c>
      <c r="F1708" s="7">
        <f>SUMPRODUCT($C$6:$X$6,'batch tool'!$B1702:$W1702)+$Y$6</f>
        <v>-47.741473633885199</v>
      </c>
      <c r="G1708" s="7">
        <f>SUMPRODUCT($C$7:$X$7,'batch tool'!$B1702:$W1702)+$Y$7</f>
        <v>-19.739516238059196</v>
      </c>
      <c r="H1708" s="7">
        <f t="shared" si="52"/>
        <v>-19.739516238059196</v>
      </c>
      <c r="I1708">
        <f t="shared" si="53"/>
        <v>6</v>
      </c>
      <c r="J1708" t="str" cm="1">
        <f t="array" ref="J1708">INDEX($A$2:$A$7,I1708)</f>
        <v>Segment 6- Self-Conscious Male</v>
      </c>
    </row>
    <row r="1709" spans="1:10" x14ac:dyDescent="0.25">
      <c r="A1709" s="1">
        <f>'batch tool'!A1703</f>
        <v>0</v>
      </c>
      <c r="B1709" s="7">
        <f>SUMPRODUCT($C$2:$X$2,'batch tool'!$B1703:$W1703)+$Y$2</f>
        <v>-49.12272534143483</v>
      </c>
      <c r="C1709" s="7">
        <f>SUMPRODUCT($C$3:$X$3,'batch tool'!$B1703:$W1703)+$Y$3</f>
        <v>-36.514029388465531</v>
      </c>
      <c r="D1709" s="7">
        <f>SUMPRODUCT($C$4:$X$4,'batch tool'!$B1703:$W1703)+$Y$4</f>
        <v>-44.639843068043824</v>
      </c>
      <c r="E1709" s="7">
        <f>SUMPRODUCT($C$5:$X$5,'batch tool'!$B1703:$W1703)+$Y$5</f>
        <v>-51.578889182477603</v>
      </c>
      <c r="F1709" s="7">
        <f>SUMPRODUCT($C$6:$X$6,'batch tool'!$B1703:$W1703)+$Y$6</f>
        <v>-47.741473633885199</v>
      </c>
      <c r="G1709" s="7">
        <f>SUMPRODUCT($C$7:$X$7,'batch tool'!$B1703:$W1703)+$Y$7</f>
        <v>-19.739516238059196</v>
      </c>
      <c r="H1709" s="7">
        <f t="shared" si="52"/>
        <v>-19.739516238059196</v>
      </c>
      <c r="I1709">
        <f t="shared" si="53"/>
        <v>6</v>
      </c>
      <c r="J1709" t="str" cm="1">
        <f t="array" ref="J1709">INDEX($A$2:$A$7,I1709)</f>
        <v>Segment 6- Self-Conscious Male</v>
      </c>
    </row>
    <row r="1710" spans="1:10" x14ac:dyDescent="0.25">
      <c r="A1710" s="1">
        <f>'batch tool'!A1704</f>
        <v>0</v>
      </c>
      <c r="B1710" s="7">
        <f>SUMPRODUCT($C$2:$X$2,'batch tool'!$B1704:$W1704)+$Y$2</f>
        <v>-49.12272534143483</v>
      </c>
      <c r="C1710" s="7">
        <f>SUMPRODUCT($C$3:$X$3,'batch tool'!$B1704:$W1704)+$Y$3</f>
        <v>-36.514029388465531</v>
      </c>
      <c r="D1710" s="7">
        <f>SUMPRODUCT($C$4:$X$4,'batch tool'!$B1704:$W1704)+$Y$4</f>
        <v>-44.639843068043824</v>
      </c>
      <c r="E1710" s="7">
        <f>SUMPRODUCT($C$5:$X$5,'batch tool'!$B1704:$W1704)+$Y$5</f>
        <v>-51.578889182477603</v>
      </c>
      <c r="F1710" s="7">
        <f>SUMPRODUCT($C$6:$X$6,'batch tool'!$B1704:$W1704)+$Y$6</f>
        <v>-47.741473633885199</v>
      </c>
      <c r="G1710" s="7">
        <f>SUMPRODUCT($C$7:$X$7,'batch tool'!$B1704:$W1704)+$Y$7</f>
        <v>-19.739516238059196</v>
      </c>
      <c r="H1710" s="7">
        <f t="shared" si="52"/>
        <v>-19.739516238059196</v>
      </c>
      <c r="I1710">
        <f t="shared" si="53"/>
        <v>6</v>
      </c>
      <c r="J1710" t="str" cm="1">
        <f t="array" ref="J1710">INDEX($A$2:$A$7,I1710)</f>
        <v>Segment 6- Self-Conscious Male</v>
      </c>
    </row>
    <row r="1711" spans="1:10" x14ac:dyDescent="0.25">
      <c r="A1711" s="1">
        <f>'batch tool'!A1705</f>
        <v>0</v>
      </c>
      <c r="B1711" s="7">
        <f>SUMPRODUCT($C$2:$X$2,'batch tool'!$B1705:$W1705)+$Y$2</f>
        <v>-49.12272534143483</v>
      </c>
      <c r="C1711" s="7">
        <f>SUMPRODUCT($C$3:$X$3,'batch tool'!$B1705:$W1705)+$Y$3</f>
        <v>-36.514029388465531</v>
      </c>
      <c r="D1711" s="7">
        <f>SUMPRODUCT($C$4:$X$4,'batch tool'!$B1705:$W1705)+$Y$4</f>
        <v>-44.639843068043824</v>
      </c>
      <c r="E1711" s="7">
        <f>SUMPRODUCT($C$5:$X$5,'batch tool'!$B1705:$W1705)+$Y$5</f>
        <v>-51.578889182477603</v>
      </c>
      <c r="F1711" s="7">
        <f>SUMPRODUCT($C$6:$X$6,'batch tool'!$B1705:$W1705)+$Y$6</f>
        <v>-47.741473633885199</v>
      </c>
      <c r="G1711" s="7">
        <f>SUMPRODUCT($C$7:$X$7,'batch tool'!$B1705:$W1705)+$Y$7</f>
        <v>-19.739516238059196</v>
      </c>
      <c r="H1711" s="7">
        <f t="shared" si="52"/>
        <v>-19.739516238059196</v>
      </c>
      <c r="I1711">
        <f t="shared" si="53"/>
        <v>6</v>
      </c>
      <c r="J1711" t="str" cm="1">
        <f t="array" ref="J1711">INDEX($A$2:$A$7,I1711)</f>
        <v>Segment 6- Self-Conscious Male</v>
      </c>
    </row>
    <row r="1712" spans="1:10" x14ac:dyDescent="0.25">
      <c r="A1712" s="1">
        <f>'batch tool'!A1706</f>
        <v>0</v>
      </c>
      <c r="B1712" s="7">
        <f>SUMPRODUCT($C$2:$X$2,'batch tool'!$B1706:$W1706)+$Y$2</f>
        <v>-49.12272534143483</v>
      </c>
      <c r="C1712" s="7">
        <f>SUMPRODUCT($C$3:$X$3,'batch tool'!$B1706:$W1706)+$Y$3</f>
        <v>-36.514029388465531</v>
      </c>
      <c r="D1712" s="7">
        <f>SUMPRODUCT($C$4:$X$4,'batch tool'!$B1706:$W1706)+$Y$4</f>
        <v>-44.639843068043824</v>
      </c>
      <c r="E1712" s="7">
        <f>SUMPRODUCT($C$5:$X$5,'batch tool'!$B1706:$W1706)+$Y$5</f>
        <v>-51.578889182477603</v>
      </c>
      <c r="F1712" s="7">
        <f>SUMPRODUCT($C$6:$X$6,'batch tool'!$B1706:$W1706)+$Y$6</f>
        <v>-47.741473633885199</v>
      </c>
      <c r="G1712" s="7">
        <f>SUMPRODUCT($C$7:$X$7,'batch tool'!$B1706:$W1706)+$Y$7</f>
        <v>-19.739516238059196</v>
      </c>
      <c r="H1712" s="7">
        <f t="shared" si="52"/>
        <v>-19.739516238059196</v>
      </c>
      <c r="I1712">
        <f t="shared" si="53"/>
        <v>6</v>
      </c>
      <c r="J1712" t="str" cm="1">
        <f t="array" ref="J1712">INDEX($A$2:$A$7,I1712)</f>
        <v>Segment 6- Self-Conscious Male</v>
      </c>
    </row>
    <row r="1713" spans="1:10" x14ac:dyDescent="0.25">
      <c r="A1713" s="1">
        <f>'batch tool'!A1707</f>
        <v>0</v>
      </c>
      <c r="B1713" s="7">
        <f>SUMPRODUCT($C$2:$X$2,'batch tool'!$B1707:$W1707)+$Y$2</f>
        <v>-49.12272534143483</v>
      </c>
      <c r="C1713" s="7">
        <f>SUMPRODUCT($C$3:$X$3,'batch tool'!$B1707:$W1707)+$Y$3</f>
        <v>-36.514029388465531</v>
      </c>
      <c r="D1713" s="7">
        <f>SUMPRODUCT($C$4:$X$4,'batch tool'!$B1707:$W1707)+$Y$4</f>
        <v>-44.639843068043824</v>
      </c>
      <c r="E1713" s="7">
        <f>SUMPRODUCT($C$5:$X$5,'batch tool'!$B1707:$W1707)+$Y$5</f>
        <v>-51.578889182477603</v>
      </c>
      <c r="F1713" s="7">
        <f>SUMPRODUCT($C$6:$X$6,'batch tool'!$B1707:$W1707)+$Y$6</f>
        <v>-47.741473633885199</v>
      </c>
      <c r="G1713" s="7">
        <f>SUMPRODUCT($C$7:$X$7,'batch tool'!$B1707:$W1707)+$Y$7</f>
        <v>-19.739516238059196</v>
      </c>
      <c r="H1713" s="7">
        <f t="shared" si="52"/>
        <v>-19.739516238059196</v>
      </c>
      <c r="I1713">
        <f t="shared" si="53"/>
        <v>6</v>
      </c>
      <c r="J1713" t="str" cm="1">
        <f t="array" ref="J1713">INDEX($A$2:$A$7,I1713)</f>
        <v>Segment 6- Self-Conscious Male</v>
      </c>
    </row>
    <row r="1714" spans="1:10" x14ac:dyDescent="0.25">
      <c r="A1714" s="1">
        <f>'batch tool'!A1708</f>
        <v>0</v>
      </c>
      <c r="B1714" s="7">
        <f>SUMPRODUCT($C$2:$X$2,'batch tool'!$B1708:$W1708)+$Y$2</f>
        <v>-49.12272534143483</v>
      </c>
      <c r="C1714" s="7">
        <f>SUMPRODUCT($C$3:$X$3,'batch tool'!$B1708:$W1708)+$Y$3</f>
        <v>-36.514029388465531</v>
      </c>
      <c r="D1714" s="7">
        <f>SUMPRODUCT($C$4:$X$4,'batch tool'!$B1708:$W1708)+$Y$4</f>
        <v>-44.639843068043824</v>
      </c>
      <c r="E1714" s="7">
        <f>SUMPRODUCT($C$5:$X$5,'batch tool'!$B1708:$W1708)+$Y$5</f>
        <v>-51.578889182477603</v>
      </c>
      <c r="F1714" s="7">
        <f>SUMPRODUCT($C$6:$X$6,'batch tool'!$B1708:$W1708)+$Y$6</f>
        <v>-47.741473633885199</v>
      </c>
      <c r="G1714" s="7">
        <f>SUMPRODUCT($C$7:$X$7,'batch tool'!$B1708:$W1708)+$Y$7</f>
        <v>-19.739516238059196</v>
      </c>
      <c r="H1714" s="7">
        <f t="shared" si="52"/>
        <v>-19.739516238059196</v>
      </c>
      <c r="I1714">
        <f t="shared" si="53"/>
        <v>6</v>
      </c>
      <c r="J1714" t="str" cm="1">
        <f t="array" ref="J1714">INDEX($A$2:$A$7,I1714)</f>
        <v>Segment 6- Self-Conscious Male</v>
      </c>
    </row>
    <row r="1715" spans="1:10" x14ac:dyDescent="0.25">
      <c r="A1715" s="1">
        <f>'batch tool'!A1709</f>
        <v>0</v>
      </c>
      <c r="B1715" s="7">
        <f>SUMPRODUCT($C$2:$X$2,'batch tool'!$B1709:$W1709)+$Y$2</f>
        <v>-49.12272534143483</v>
      </c>
      <c r="C1715" s="7">
        <f>SUMPRODUCT($C$3:$X$3,'batch tool'!$B1709:$W1709)+$Y$3</f>
        <v>-36.514029388465531</v>
      </c>
      <c r="D1715" s="7">
        <f>SUMPRODUCT($C$4:$X$4,'batch tool'!$B1709:$W1709)+$Y$4</f>
        <v>-44.639843068043824</v>
      </c>
      <c r="E1715" s="7">
        <f>SUMPRODUCT($C$5:$X$5,'batch tool'!$B1709:$W1709)+$Y$5</f>
        <v>-51.578889182477603</v>
      </c>
      <c r="F1715" s="7">
        <f>SUMPRODUCT($C$6:$X$6,'batch tool'!$B1709:$W1709)+$Y$6</f>
        <v>-47.741473633885199</v>
      </c>
      <c r="G1715" s="7">
        <f>SUMPRODUCT($C$7:$X$7,'batch tool'!$B1709:$W1709)+$Y$7</f>
        <v>-19.739516238059196</v>
      </c>
      <c r="H1715" s="7">
        <f t="shared" si="52"/>
        <v>-19.739516238059196</v>
      </c>
      <c r="I1715">
        <f t="shared" si="53"/>
        <v>6</v>
      </c>
      <c r="J1715" t="str" cm="1">
        <f t="array" ref="J1715">INDEX($A$2:$A$7,I1715)</f>
        <v>Segment 6- Self-Conscious Male</v>
      </c>
    </row>
    <row r="1716" spans="1:10" x14ac:dyDescent="0.25">
      <c r="A1716" s="1">
        <f>'batch tool'!A1710</f>
        <v>0</v>
      </c>
      <c r="B1716" s="7">
        <f>SUMPRODUCT($C$2:$X$2,'batch tool'!$B1710:$W1710)+$Y$2</f>
        <v>-49.12272534143483</v>
      </c>
      <c r="C1716" s="7">
        <f>SUMPRODUCT($C$3:$X$3,'batch tool'!$B1710:$W1710)+$Y$3</f>
        <v>-36.514029388465531</v>
      </c>
      <c r="D1716" s="7">
        <f>SUMPRODUCT($C$4:$X$4,'batch tool'!$B1710:$W1710)+$Y$4</f>
        <v>-44.639843068043824</v>
      </c>
      <c r="E1716" s="7">
        <f>SUMPRODUCT($C$5:$X$5,'batch tool'!$B1710:$W1710)+$Y$5</f>
        <v>-51.578889182477603</v>
      </c>
      <c r="F1716" s="7">
        <f>SUMPRODUCT($C$6:$X$6,'batch tool'!$B1710:$W1710)+$Y$6</f>
        <v>-47.741473633885199</v>
      </c>
      <c r="G1716" s="7">
        <f>SUMPRODUCT($C$7:$X$7,'batch tool'!$B1710:$W1710)+$Y$7</f>
        <v>-19.739516238059196</v>
      </c>
      <c r="H1716" s="7">
        <f t="shared" si="52"/>
        <v>-19.739516238059196</v>
      </c>
      <c r="I1716">
        <f t="shared" si="53"/>
        <v>6</v>
      </c>
      <c r="J1716" t="str" cm="1">
        <f t="array" ref="J1716">INDEX($A$2:$A$7,I1716)</f>
        <v>Segment 6- Self-Conscious Male</v>
      </c>
    </row>
    <row r="1717" spans="1:10" x14ac:dyDescent="0.25">
      <c r="A1717" s="1">
        <f>'batch tool'!A1711</f>
        <v>0</v>
      </c>
      <c r="B1717" s="7">
        <f>SUMPRODUCT($C$2:$X$2,'batch tool'!$B1711:$W1711)+$Y$2</f>
        <v>-49.12272534143483</v>
      </c>
      <c r="C1717" s="7">
        <f>SUMPRODUCT($C$3:$X$3,'batch tool'!$B1711:$W1711)+$Y$3</f>
        <v>-36.514029388465531</v>
      </c>
      <c r="D1717" s="7">
        <f>SUMPRODUCT($C$4:$X$4,'batch tool'!$B1711:$W1711)+$Y$4</f>
        <v>-44.639843068043824</v>
      </c>
      <c r="E1717" s="7">
        <f>SUMPRODUCT($C$5:$X$5,'batch tool'!$B1711:$W1711)+$Y$5</f>
        <v>-51.578889182477603</v>
      </c>
      <c r="F1717" s="7">
        <f>SUMPRODUCT($C$6:$X$6,'batch tool'!$B1711:$W1711)+$Y$6</f>
        <v>-47.741473633885199</v>
      </c>
      <c r="G1717" s="7">
        <f>SUMPRODUCT($C$7:$X$7,'batch tool'!$B1711:$W1711)+$Y$7</f>
        <v>-19.739516238059196</v>
      </c>
      <c r="H1717" s="7">
        <f t="shared" si="52"/>
        <v>-19.739516238059196</v>
      </c>
      <c r="I1717">
        <f t="shared" si="53"/>
        <v>6</v>
      </c>
      <c r="J1717" t="str" cm="1">
        <f t="array" ref="J1717">INDEX($A$2:$A$7,I1717)</f>
        <v>Segment 6- Self-Conscious Male</v>
      </c>
    </row>
    <row r="1718" spans="1:10" x14ac:dyDescent="0.25">
      <c r="A1718" s="1">
        <f>'batch tool'!A1712</f>
        <v>0</v>
      </c>
      <c r="B1718" s="7">
        <f>SUMPRODUCT($C$2:$X$2,'batch tool'!$B1712:$W1712)+$Y$2</f>
        <v>-49.12272534143483</v>
      </c>
      <c r="C1718" s="7">
        <f>SUMPRODUCT($C$3:$X$3,'batch tool'!$B1712:$W1712)+$Y$3</f>
        <v>-36.514029388465531</v>
      </c>
      <c r="D1718" s="7">
        <f>SUMPRODUCT($C$4:$X$4,'batch tool'!$B1712:$W1712)+$Y$4</f>
        <v>-44.639843068043824</v>
      </c>
      <c r="E1718" s="7">
        <f>SUMPRODUCT($C$5:$X$5,'batch tool'!$B1712:$W1712)+$Y$5</f>
        <v>-51.578889182477603</v>
      </c>
      <c r="F1718" s="7">
        <f>SUMPRODUCT($C$6:$X$6,'batch tool'!$B1712:$W1712)+$Y$6</f>
        <v>-47.741473633885199</v>
      </c>
      <c r="G1718" s="7">
        <f>SUMPRODUCT($C$7:$X$7,'batch tool'!$B1712:$W1712)+$Y$7</f>
        <v>-19.739516238059196</v>
      </c>
      <c r="H1718" s="7">
        <f t="shared" si="52"/>
        <v>-19.739516238059196</v>
      </c>
      <c r="I1718">
        <f t="shared" si="53"/>
        <v>6</v>
      </c>
      <c r="J1718" t="str" cm="1">
        <f t="array" ref="J1718">INDEX($A$2:$A$7,I1718)</f>
        <v>Segment 6- Self-Conscious Male</v>
      </c>
    </row>
    <row r="1719" spans="1:10" x14ac:dyDescent="0.25">
      <c r="A1719" s="1">
        <f>'batch tool'!A1713</f>
        <v>0</v>
      </c>
      <c r="B1719" s="7">
        <f>SUMPRODUCT($C$2:$X$2,'batch tool'!$B1713:$W1713)+$Y$2</f>
        <v>-49.12272534143483</v>
      </c>
      <c r="C1719" s="7">
        <f>SUMPRODUCT($C$3:$X$3,'batch tool'!$B1713:$W1713)+$Y$3</f>
        <v>-36.514029388465531</v>
      </c>
      <c r="D1719" s="7">
        <f>SUMPRODUCT($C$4:$X$4,'batch tool'!$B1713:$W1713)+$Y$4</f>
        <v>-44.639843068043824</v>
      </c>
      <c r="E1719" s="7">
        <f>SUMPRODUCT($C$5:$X$5,'batch tool'!$B1713:$W1713)+$Y$5</f>
        <v>-51.578889182477603</v>
      </c>
      <c r="F1719" s="7">
        <f>SUMPRODUCT($C$6:$X$6,'batch tool'!$B1713:$W1713)+$Y$6</f>
        <v>-47.741473633885199</v>
      </c>
      <c r="G1719" s="7">
        <f>SUMPRODUCT($C$7:$X$7,'batch tool'!$B1713:$W1713)+$Y$7</f>
        <v>-19.739516238059196</v>
      </c>
      <c r="H1719" s="7">
        <f t="shared" si="52"/>
        <v>-19.739516238059196</v>
      </c>
      <c r="I1719">
        <f t="shared" si="53"/>
        <v>6</v>
      </c>
      <c r="J1719" t="str" cm="1">
        <f t="array" ref="J1719">INDEX($A$2:$A$7,I1719)</f>
        <v>Segment 6- Self-Conscious Male</v>
      </c>
    </row>
    <row r="1720" spans="1:10" x14ac:dyDescent="0.25">
      <c r="A1720" s="1">
        <f>'batch tool'!A1714</f>
        <v>0</v>
      </c>
      <c r="B1720" s="7">
        <f>SUMPRODUCT($C$2:$X$2,'batch tool'!$B1714:$W1714)+$Y$2</f>
        <v>-49.12272534143483</v>
      </c>
      <c r="C1720" s="7">
        <f>SUMPRODUCT($C$3:$X$3,'batch tool'!$B1714:$W1714)+$Y$3</f>
        <v>-36.514029388465531</v>
      </c>
      <c r="D1720" s="7">
        <f>SUMPRODUCT($C$4:$X$4,'batch tool'!$B1714:$W1714)+$Y$4</f>
        <v>-44.639843068043824</v>
      </c>
      <c r="E1720" s="7">
        <f>SUMPRODUCT($C$5:$X$5,'batch tool'!$B1714:$W1714)+$Y$5</f>
        <v>-51.578889182477603</v>
      </c>
      <c r="F1720" s="7">
        <f>SUMPRODUCT($C$6:$X$6,'batch tool'!$B1714:$W1714)+$Y$6</f>
        <v>-47.741473633885199</v>
      </c>
      <c r="G1720" s="7">
        <f>SUMPRODUCT($C$7:$X$7,'batch tool'!$B1714:$W1714)+$Y$7</f>
        <v>-19.739516238059196</v>
      </c>
      <c r="H1720" s="7">
        <f t="shared" si="52"/>
        <v>-19.739516238059196</v>
      </c>
      <c r="I1720">
        <f t="shared" si="53"/>
        <v>6</v>
      </c>
      <c r="J1720" t="str" cm="1">
        <f t="array" ref="J1720">INDEX($A$2:$A$7,I1720)</f>
        <v>Segment 6- Self-Conscious Male</v>
      </c>
    </row>
    <row r="1721" spans="1:10" x14ac:dyDescent="0.25">
      <c r="A1721" s="1">
        <f>'batch tool'!A1715</f>
        <v>0</v>
      </c>
      <c r="B1721" s="7">
        <f>SUMPRODUCT($C$2:$X$2,'batch tool'!$B1715:$W1715)+$Y$2</f>
        <v>-49.12272534143483</v>
      </c>
      <c r="C1721" s="7">
        <f>SUMPRODUCT($C$3:$X$3,'batch tool'!$B1715:$W1715)+$Y$3</f>
        <v>-36.514029388465531</v>
      </c>
      <c r="D1721" s="7">
        <f>SUMPRODUCT($C$4:$X$4,'batch tool'!$B1715:$W1715)+$Y$4</f>
        <v>-44.639843068043824</v>
      </c>
      <c r="E1721" s="7">
        <f>SUMPRODUCT($C$5:$X$5,'batch tool'!$B1715:$W1715)+$Y$5</f>
        <v>-51.578889182477603</v>
      </c>
      <c r="F1721" s="7">
        <f>SUMPRODUCT($C$6:$X$6,'batch tool'!$B1715:$W1715)+$Y$6</f>
        <v>-47.741473633885199</v>
      </c>
      <c r="G1721" s="7">
        <f>SUMPRODUCT($C$7:$X$7,'batch tool'!$B1715:$W1715)+$Y$7</f>
        <v>-19.739516238059196</v>
      </c>
      <c r="H1721" s="7">
        <f t="shared" si="52"/>
        <v>-19.739516238059196</v>
      </c>
      <c r="I1721">
        <f t="shared" si="53"/>
        <v>6</v>
      </c>
      <c r="J1721" t="str" cm="1">
        <f t="array" ref="J1721">INDEX($A$2:$A$7,I1721)</f>
        <v>Segment 6- Self-Conscious Male</v>
      </c>
    </row>
    <row r="1722" spans="1:10" x14ac:dyDescent="0.25">
      <c r="A1722" s="1">
        <f>'batch tool'!A1716</f>
        <v>0</v>
      </c>
      <c r="B1722" s="7">
        <f>SUMPRODUCT($C$2:$X$2,'batch tool'!$B1716:$W1716)+$Y$2</f>
        <v>-49.12272534143483</v>
      </c>
      <c r="C1722" s="7">
        <f>SUMPRODUCT($C$3:$X$3,'batch tool'!$B1716:$W1716)+$Y$3</f>
        <v>-36.514029388465531</v>
      </c>
      <c r="D1722" s="7">
        <f>SUMPRODUCT($C$4:$X$4,'batch tool'!$B1716:$W1716)+$Y$4</f>
        <v>-44.639843068043824</v>
      </c>
      <c r="E1722" s="7">
        <f>SUMPRODUCT($C$5:$X$5,'batch tool'!$B1716:$W1716)+$Y$5</f>
        <v>-51.578889182477603</v>
      </c>
      <c r="F1722" s="7">
        <f>SUMPRODUCT($C$6:$X$6,'batch tool'!$B1716:$W1716)+$Y$6</f>
        <v>-47.741473633885199</v>
      </c>
      <c r="G1722" s="7">
        <f>SUMPRODUCT($C$7:$X$7,'batch tool'!$B1716:$W1716)+$Y$7</f>
        <v>-19.739516238059196</v>
      </c>
      <c r="H1722" s="7">
        <f t="shared" si="52"/>
        <v>-19.739516238059196</v>
      </c>
      <c r="I1722">
        <f t="shared" si="53"/>
        <v>6</v>
      </c>
      <c r="J1722" t="str" cm="1">
        <f t="array" ref="J1722">INDEX($A$2:$A$7,I1722)</f>
        <v>Segment 6- Self-Conscious Male</v>
      </c>
    </row>
    <row r="1723" spans="1:10" x14ac:dyDescent="0.25">
      <c r="A1723" s="1">
        <f>'batch tool'!A1717</f>
        <v>0</v>
      </c>
      <c r="B1723" s="7">
        <f>SUMPRODUCT($C$2:$X$2,'batch tool'!$B1717:$W1717)+$Y$2</f>
        <v>-49.12272534143483</v>
      </c>
      <c r="C1723" s="7">
        <f>SUMPRODUCT($C$3:$X$3,'batch tool'!$B1717:$W1717)+$Y$3</f>
        <v>-36.514029388465531</v>
      </c>
      <c r="D1723" s="7">
        <f>SUMPRODUCT($C$4:$X$4,'batch tool'!$B1717:$W1717)+$Y$4</f>
        <v>-44.639843068043824</v>
      </c>
      <c r="E1723" s="7">
        <f>SUMPRODUCT($C$5:$X$5,'batch tool'!$B1717:$W1717)+$Y$5</f>
        <v>-51.578889182477603</v>
      </c>
      <c r="F1723" s="7">
        <f>SUMPRODUCT($C$6:$X$6,'batch tool'!$B1717:$W1717)+$Y$6</f>
        <v>-47.741473633885199</v>
      </c>
      <c r="G1723" s="7">
        <f>SUMPRODUCT($C$7:$X$7,'batch tool'!$B1717:$W1717)+$Y$7</f>
        <v>-19.739516238059196</v>
      </c>
      <c r="H1723" s="7">
        <f t="shared" si="52"/>
        <v>-19.739516238059196</v>
      </c>
      <c r="I1723">
        <f t="shared" si="53"/>
        <v>6</v>
      </c>
      <c r="J1723" t="str" cm="1">
        <f t="array" ref="J1723">INDEX($A$2:$A$7,I1723)</f>
        <v>Segment 6- Self-Conscious Male</v>
      </c>
    </row>
    <row r="1724" spans="1:10" x14ac:dyDescent="0.25">
      <c r="A1724" s="1">
        <f>'batch tool'!A1718</f>
        <v>0</v>
      </c>
      <c r="B1724" s="7">
        <f>SUMPRODUCT($C$2:$X$2,'batch tool'!$B1718:$W1718)+$Y$2</f>
        <v>-49.12272534143483</v>
      </c>
      <c r="C1724" s="7">
        <f>SUMPRODUCT($C$3:$X$3,'batch tool'!$B1718:$W1718)+$Y$3</f>
        <v>-36.514029388465531</v>
      </c>
      <c r="D1724" s="7">
        <f>SUMPRODUCT($C$4:$X$4,'batch tool'!$B1718:$W1718)+$Y$4</f>
        <v>-44.639843068043824</v>
      </c>
      <c r="E1724" s="7">
        <f>SUMPRODUCT($C$5:$X$5,'batch tool'!$B1718:$W1718)+$Y$5</f>
        <v>-51.578889182477603</v>
      </c>
      <c r="F1724" s="7">
        <f>SUMPRODUCT($C$6:$X$6,'batch tool'!$B1718:$W1718)+$Y$6</f>
        <v>-47.741473633885199</v>
      </c>
      <c r="G1724" s="7">
        <f>SUMPRODUCT($C$7:$X$7,'batch tool'!$B1718:$W1718)+$Y$7</f>
        <v>-19.739516238059196</v>
      </c>
      <c r="H1724" s="7">
        <f t="shared" si="52"/>
        <v>-19.739516238059196</v>
      </c>
      <c r="I1724">
        <f t="shared" si="53"/>
        <v>6</v>
      </c>
      <c r="J1724" t="str" cm="1">
        <f t="array" ref="J1724">INDEX($A$2:$A$7,I1724)</f>
        <v>Segment 6- Self-Conscious Male</v>
      </c>
    </row>
    <row r="1725" spans="1:10" x14ac:dyDescent="0.25">
      <c r="A1725" s="1">
        <f>'batch tool'!A1719</f>
        <v>0</v>
      </c>
      <c r="B1725" s="7">
        <f>SUMPRODUCT($C$2:$X$2,'batch tool'!$B1719:$W1719)+$Y$2</f>
        <v>-49.12272534143483</v>
      </c>
      <c r="C1725" s="7">
        <f>SUMPRODUCT($C$3:$X$3,'batch tool'!$B1719:$W1719)+$Y$3</f>
        <v>-36.514029388465531</v>
      </c>
      <c r="D1725" s="7">
        <f>SUMPRODUCT($C$4:$X$4,'batch tool'!$B1719:$W1719)+$Y$4</f>
        <v>-44.639843068043824</v>
      </c>
      <c r="E1725" s="7">
        <f>SUMPRODUCT($C$5:$X$5,'batch tool'!$B1719:$W1719)+$Y$5</f>
        <v>-51.578889182477603</v>
      </c>
      <c r="F1725" s="7">
        <f>SUMPRODUCT($C$6:$X$6,'batch tool'!$B1719:$W1719)+$Y$6</f>
        <v>-47.741473633885199</v>
      </c>
      <c r="G1725" s="7">
        <f>SUMPRODUCT($C$7:$X$7,'batch tool'!$B1719:$W1719)+$Y$7</f>
        <v>-19.739516238059196</v>
      </c>
      <c r="H1725" s="7">
        <f t="shared" si="52"/>
        <v>-19.739516238059196</v>
      </c>
      <c r="I1725">
        <f t="shared" si="53"/>
        <v>6</v>
      </c>
      <c r="J1725" t="str" cm="1">
        <f t="array" ref="J1725">INDEX($A$2:$A$7,I1725)</f>
        <v>Segment 6- Self-Conscious Male</v>
      </c>
    </row>
    <row r="1726" spans="1:10" x14ac:dyDescent="0.25">
      <c r="A1726" s="1">
        <f>'batch tool'!A1720</f>
        <v>0</v>
      </c>
      <c r="B1726" s="7">
        <f>SUMPRODUCT($C$2:$X$2,'batch tool'!$B1720:$W1720)+$Y$2</f>
        <v>-49.12272534143483</v>
      </c>
      <c r="C1726" s="7">
        <f>SUMPRODUCT($C$3:$X$3,'batch tool'!$B1720:$W1720)+$Y$3</f>
        <v>-36.514029388465531</v>
      </c>
      <c r="D1726" s="7">
        <f>SUMPRODUCT($C$4:$X$4,'batch tool'!$B1720:$W1720)+$Y$4</f>
        <v>-44.639843068043824</v>
      </c>
      <c r="E1726" s="7">
        <f>SUMPRODUCT($C$5:$X$5,'batch tool'!$B1720:$W1720)+$Y$5</f>
        <v>-51.578889182477603</v>
      </c>
      <c r="F1726" s="7">
        <f>SUMPRODUCT($C$6:$X$6,'batch tool'!$B1720:$W1720)+$Y$6</f>
        <v>-47.741473633885199</v>
      </c>
      <c r="G1726" s="7">
        <f>SUMPRODUCT($C$7:$X$7,'batch tool'!$B1720:$W1720)+$Y$7</f>
        <v>-19.739516238059196</v>
      </c>
      <c r="H1726" s="7">
        <f t="shared" si="52"/>
        <v>-19.739516238059196</v>
      </c>
      <c r="I1726">
        <f t="shared" si="53"/>
        <v>6</v>
      </c>
      <c r="J1726" t="str" cm="1">
        <f t="array" ref="J1726">INDEX($A$2:$A$7,I1726)</f>
        <v>Segment 6- Self-Conscious Male</v>
      </c>
    </row>
    <row r="1727" spans="1:10" x14ac:dyDescent="0.25">
      <c r="A1727" s="1">
        <f>'batch tool'!A1721</f>
        <v>0</v>
      </c>
      <c r="B1727" s="7">
        <f>SUMPRODUCT($C$2:$X$2,'batch tool'!$B1721:$W1721)+$Y$2</f>
        <v>-49.12272534143483</v>
      </c>
      <c r="C1727" s="7">
        <f>SUMPRODUCT($C$3:$X$3,'batch tool'!$B1721:$W1721)+$Y$3</f>
        <v>-36.514029388465531</v>
      </c>
      <c r="D1727" s="7">
        <f>SUMPRODUCT($C$4:$X$4,'batch tool'!$B1721:$W1721)+$Y$4</f>
        <v>-44.639843068043824</v>
      </c>
      <c r="E1727" s="7">
        <f>SUMPRODUCT($C$5:$X$5,'batch tool'!$B1721:$W1721)+$Y$5</f>
        <v>-51.578889182477603</v>
      </c>
      <c r="F1727" s="7">
        <f>SUMPRODUCT($C$6:$X$6,'batch tool'!$B1721:$W1721)+$Y$6</f>
        <v>-47.741473633885199</v>
      </c>
      <c r="G1727" s="7">
        <f>SUMPRODUCT($C$7:$X$7,'batch tool'!$B1721:$W1721)+$Y$7</f>
        <v>-19.739516238059196</v>
      </c>
      <c r="H1727" s="7">
        <f t="shared" si="52"/>
        <v>-19.739516238059196</v>
      </c>
      <c r="I1727">
        <f t="shared" si="53"/>
        <v>6</v>
      </c>
      <c r="J1727" t="str" cm="1">
        <f t="array" ref="J1727">INDEX($A$2:$A$7,I1727)</f>
        <v>Segment 6- Self-Conscious Male</v>
      </c>
    </row>
    <row r="1728" spans="1:10" x14ac:dyDescent="0.25">
      <c r="A1728" s="1">
        <f>'batch tool'!A1722</f>
        <v>0</v>
      </c>
      <c r="B1728" s="7">
        <f>SUMPRODUCT($C$2:$X$2,'batch tool'!$B1722:$W1722)+$Y$2</f>
        <v>-49.12272534143483</v>
      </c>
      <c r="C1728" s="7">
        <f>SUMPRODUCT($C$3:$X$3,'batch tool'!$B1722:$W1722)+$Y$3</f>
        <v>-36.514029388465531</v>
      </c>
      <c r="D1728" s="7">
        <f>SUMPRODUCT($C$4:$X$4,'batch tool'!$B1722:$W1722)+$Y$4</f>
        <v>-44.639843068043824</v>
      </c>
      <c r="E1728" s="7">
        <f>SUMPRODUCT($C$5:$X$5,'batch tool'!$B1722:$W1722)+$Y$5</f>
        <v>-51.578889182477603</v>
      </c>
      <c r="F1728" s="7">
        <f>SUMPRODUCT($C$6:$X$6,'batch tool'!$B1722:$W1722)+$Y$6</f>
        <v>-47.741473633885199</v>
      </c>
      <c r="G1728" s="7">
        <f>SUMPRODUCT($C$7:$X$7,'batch tool'!$B1722:$W1722)+$Y$7</f>
        <v>-19.739516238059196</v>
      </c>
      <c r="H1728" s="7">
        <f t="shared" si="52"/>
        <v>-19.739516238059196</v>
      </c>
      <c r="I1728">
        <f t="shared" si="53"/>
        <v>6</v>
      </c>
      <c r="J1728" t="str" cm="1">
        <f t="array" ref="J1728">INDEX($A$2:$A$7,I1728)</f>
        <v>Segment 6- Self-Conscious Male</v>
      </c>
    </row>
    <row r="1729" spans="1:10" x14ac:dyDescent="0.25">
      <c r="A1729" s="1">
        <f>'batch tool'!A1723</f>
        <v>0</v>
      </c>
      <c r="B1729" s="7">
        <f>SUMPRODUCT($C$2:$X$2,'batch tool'!$B1723:$W1723)+$Y$2</f>
        <v>-49.12272534143483</v>
      </c>
      <c r="C1729" s="7">
        <f>SUMPRODUCT($C$3:$X$3,'batch tool'!$B1723:$W1723)+$Y$3</f>
        <v>-36.514029388465531</v>
      </c>
      <c r="D1729" s="7">
        <f>SUMPRODUCT($C$4:$X$4,'batch tool'!$B1723:$W1723)+$Y$4</f>
        <v>-44.639843068043824</v>
      </c>
      <c r="E1729" s="7">
        <f>SUMPRODUCT($C$5:$X$5,'batch tool'!$B1723:$W1723)+$Y$5</f>
        <v>-51.578889182477603</v>
      </c>
      <c r="F1729" s="7">
        <f>SUMPRODUCT($C$6:$X$6,'batch tool'!$B1723:$W1723)+$Y$6</f>
        <v>-47.741473633885199</v>
      </c>
      <c r="G1729" s="7">
        <f>SUMPRODUCT($C$7:$X$7,'batch tool'!$B1723:$W1723)+$Y$7</f>
        <v>-19.739516238059196</v>
      </c>
      <c r="H1729" s="7">
        <f t="shared" si="52"/>
        <v>-19.739516238059196</v>
      </c>
      <c r="I1729">
        <f t="shared" si="53"/>
        <v>6</v>
      </c>
      <c r="J1729" t="str" cm="1">
        <f t="array" ref="J1729">INDEX($A$2:$A$7,I1729)</f>
        <v>Segment 6- Self-Conscious Male</v>
      </c>
    </row>
    <row r="1730" spans="1:10" x14ac:dyDescent="0.25">
      <c r="A1730" s="1">
        <f>'batch tool'!A1724</f>
        <v>0</v>
      </c>
      <c r="B1730" s="7">
        <f>SUMPRODUCT($C$2:$X$2,'batch tool'!$B1724:$W1724)+$Y$2</f>
        <v>-49.12272534143483</v>
      </c>
      <c r="C1730" s="7">
        <f>SUMPRODUCT($C$3:$X$3,'batch tool'!$B1724:$W1724)+$Y$3</f>
        <v>-36.514029388465531</v>
      </c>
      <c r="D1730" s="7">
        <f>SUMPRODUCT($C$4:$X$4,'batch tool'!$B1724:$W1724)+$Y$4</f>
        <v>-44.639843068043824</v>
      </c>
      <c r="E1730" s="7">
        <f>SUMPRODUCT($C$5:$X$5,'batch tool'!$B1724:$W1724)+$Y$5</f>
        <v>-51.578889182477603</v>
      </c>
      <c r="F1730" s="7">
        <f>SUMPRODUCT($C$6:$X$6,'batch tool'!$B1724:$W1724)+$Y$6</f>
        <v>-47.741473633885199</v>
      </c>
      <c r="G1730" s="7">
        <f>SUMPRODUCT($C$7:$X$7,'batch tool'!$B1724:$W1724)+$Y$7</f>
        <v>-19.739516238059196</v>
      </c>
      <c r="H1730" s="7">
        <f t="shared" si="52"/>
        <v>-19.739516238059196</v>
      </c>
      <c r="I1730">
        <f t="shared" si="53"/>
        <v>6</v>
      </c>
      <c r="J1730" t="str" cm="1">
        <f t="array" ref="J1730">INDEX($A$2:$A$7,I1730)</f>
        <v>Segment 6- Self-Conscious Male</v>
      </c>
    </row>
    <row r="1731" spans="1:10" x14ac:dyDescent="0.25">
      <c r="A1731" s="1">
        <f>'batch tool'!A1725</f>
        <v>0</v>
      </c>
      <c r="B1731" s="7">
        <f>SUMPRODUCT($C$2:$X$2,'batch tool'!$B1725:$W1725)+$Y$2</f>
        <v>-49.12272534143483</v>
      </c>
      <c r="C1731" s="7">
        <f>SUMPRODUCT($C$3:$X$3,'batch tool'!$B1725:$W1725)+$Y$3</f>
        <v>-36.514029388465531</v>
      </c>
      <c r="D1731" s="7">
        <f>SUMPRODUCT($C$4:$X$4,'batch tool'!$B1725:$W1725)+$Y$4</f>
        <v>-44.639843068043824</v>
      </c>
      <c r="E1731" s="7">
        <f>SUMPRODUCT($C$5:$X$5,'batch tool'!$B1725:$W1725)+$Y$5</f>
        <v>-51.578889182477603</v>
      </c>
      <c r="F1731" s="7">
        <f>SUMPRODUCT($C$6:$X$6,'batch tool'!$B1725:$W1725)+$Y$6</f>
        <v>-47.741473633885199</v>
      </c>
      <c r="G1731" s="7">
        <f>SUMPRODUCT($C$7:$X$7,'batch tool'!$B1725:$W1725)+$Y$7</f>
        <v>-19.739516238059196</v>
      </c>
      <c r="H1731" s="7">
        <f t="shared" si="52"/>
        <v>-19.739516238059196</v>
      </c>
      <c r="I1731">
        <f t="shared" si="53"/>
        <v>6</v>
      </c>
      <c r="J1731" t="str" cm="1">
        <f t="array" ref="J1731">INDEX($A$2:$A$7,I1731)</f>
        <v>Segment 6- Self-Conscious Male</v>
      </c>
    </row>
    <row r="1732" spans="1:10" x14ac:dyDescent="0.25">
      <c r="A1732" s="1">
        <f>'batch tool'!A1726</f>
        <v>0</v>
      </c>
      <c r="B1732" s="7">
        <f>SUMPRODUCT($C$2:$X$2,'batch tool'!$B1726:$W1726)+$Y$2</f>
        <v>-49.12272534143483</v>
      </c>
      <c r="C1732" s="7">
        <f>SUMPRODUCT($C$3:$X$3,'batch tool'!$B1726:$W1726)+$Y$3</f>
        <v>-36.514029388465531</v>
      </c>
      <c r="D1732" s="7">
        <f>SUMPRODUCT($C$4:$X$4,'batch tool'!$B1726:$W1726)+$Y$4</f>
        <v>-44.639843068043824</v>
      </c>
      <c r="E1732" s="7">
        <f>SUMPRODUCT($C$5:$X$5,'batch tool'!$B1726:$W1726)+$Y$5</f>
        <v>-51.578889182477603</v>
      </c>
      <c r="F1732" s="7">
        <f>SUMPRODUCT($C$6:$X$6,'batch tool'!$B1726:$W1726)+$Y$6</f>
        <v>-47.741473633885199</v>
      </c>
      <c r="G1732" s="7">
        <f>SUMPRODUCT($C$7:$X$7,'batch tool'!$B1726:$W1726)+$Y$7</f>
        <v>-19.739516238059196</v>
      </c>
      <c r="H1732" s="7">
        <f t="shared" si="52"/>
        <v>-19.739516238059196</v>
      </c>
      <c r="I1732">
        <f t="shared" si="53"/>
        <v>6</v>
      </c>
      <c r="J1732" t="str" cm="1">
        <f t="array" ref="J1732">INDEX($A$2:$A$7,I1732)</f>
        <v>Segment 6- Self-Conscious Male</v>
      </c>
    </row>
    <row r="1733" spans="1:10" x14ac:dyDescent="0.25">
      <c r="A1733" s="1">
        <f>'batch tool'!A1727</f>
        <v>0</v>
      </c>
      <c r="B1733" s="7">
        <f>SUMPRODUCT($C$2:$X$2,'batch tool'!$B1727:$W1727)+$Y$2</f>
        <v>-49.12272534143483</v>
      </c>
      <c r="C1733" s="7">
        <f>SUMPRODUCT($C$3:$X$3,'batch tool'!$B1727:$W1727)+$Y$3</f>
        <v>-36.514029388465531</v>
      </c>
      <c r="D1733" s="7">
        <f>SUMPRODUCT($C$4:$X$4,'batch tool'!$B1727:$W1727)+$Y$4</f>
        <v>-44.639843068043824</v>
      </c>
      <c r="E1733" s="7">
        <f>SUMPRODUCT($C$5:$X$5,'batch tool'!$B1727:$W1727)+$Y$5</f>
        <v>-51.578889182477603</v>
      </c>
      <c r="F1733" s="7">
        <f>SUMPRODUCT($C$6:$X$6,'batch tool'!$B1727:$W1727)+$Y$6</f>
        <v>-47.741473633885199</v>
      </c>
      <c r="G1733" s="7">
        <f>SUMPRODUCT($C$7:$X$7,'batch tool'!$B1727:$W1727)+$Y$7</f>
        <v>-19.739516238059196</v>
      </c>
      <c r="H1733" s="7">
        <f t="shared" si="52"/>
        <v>-19.739516238059196</v>
      </c>
      <c r="I1733">
        <f t="shared" si="53"/>
        <v>6</v>
      </c>
      <c r="J1733" t="str" cm="1">
        <f t="array" ref="J1733">INDEX($A$2:$A$7,I1733)</f>
        <v>Segment 6- Self-Conscious Male</v>
      </c>
    </row>
    <row r="1734" spans="1:10" x14ac:dyDescent="0.25">
      <c r="A1734" s="1">
        <f>'batch tool'!A1728</f>
        <v>0</v>
      </c>
      <c r="B1734" s="7">
        <f>SUMPRODUCT($C$2:$X$2,'batch tool'!$B1728:$W1728)+$Y$2</f>
        <v>-49.12272534143483</v>
      </c>
      <c r="C1734" s="7">
        <f>SUMPRODUCT($C$3:$X$3,'batch tool'!$B1728:$W1728)+$Y$3</f>
        <v>-36.514029388465531</v>
      </c>
      <c r="D1734" s="7">
        <f>SUMPRODUCT($C$4:$X$4,'batch tool'!$B1728:$W1728)+$Y$4</f>
        <v>-44.639843068043824</v>
      </c>
      <c r="E1734" s="7">
        <f>SUMPRODUCT($C$5:$X$5,'batch tool'!$B1728:$W1728)+$Y$5</f>
        <v>-51.578889182477603</v>
      </c>
      <c r="F1734" s="7">
        <f>SUMPRODUCT($C$6:$X$6,'batch tool'!$B1728:$W1728)+$Y$6</f>
        <v>-47.741473633885199</v>
      </c>
      <c r="G1734" s="7">
        <f>SUMPRODUCT($C$7:$X$7,'batch tool'!$B1728:$W1728)+$Y$7</f>
        <v>-19.739516238059196</v>
      </c>
      <c r="H1734" s="7">
        <f t="shared" si="52"/>
        <v>-19.739516238059196</v>
      </c>
      <c r="I1734">
        <f t="shared" si="53"/>
        <v>6</v>
      </c>
      <c r="J1734" t="str" cm="1">
        <f t="array" ref="J1734">INDEX($A$2:$A$7,I1734)</f>
        <v>Segment 6- Self-Conscious Male</v>
      </c>
    </row>
    <row r="1735" spans="1:10" x14ac:dyDescent="0.25">
      <c r="A1735" s="1">
        <f>'batch tool'!A1729</f>
        <v>0</v>
      </c>
      <c r="B1735" s="7">
        <f>SUMPRODUCT($C$2:$X$2,'batch tool'!$B1729:$W1729)+$Y$2</f>
        <v>-49.12272534143483</v>
      </c>
      <c r="C1735" s="7">
        <f>SUMPRODUCT($C$3:$X$3,'batch tool'!$B1729:$W1729)+$Y$3</f>
        <v>-36.514029388465531</v>
      </c>
      <c r="D1735" s="7">
        <f>SUMPRODUCT($C$4:$X$4,'batch tool'!$B1729:$W1729)+$Y$4</f>
        <v>-44.639843068043824</v>
      </c>
      <c r="E1735" s="7">
        <f>SUMPRODUCT($C$5:$X$5,'batch tool'!$B1729:$W1729)+$Y$5</f>
        <v>-51.578889182477603</v>
      </c>
      <c r="F1735" s="7">
        <f>SUMPRODUCT($C$6:$X$6,'batch tool'!$B1729:$W1729)+$Y$6</f>
        <v>-47.741473633885199</v>
      </c>
      <c r="G1735" s="7">
        <f>SUMPRODUCT($C$7:$X$7,'batch tool'!$B1729:$W1729)+$Y$7</f>
        <v>-19.739516238059196</v>
      </c>
      <c r="H1735" s="7">
        <f t="shared" si="52"/>
        <v>-19.739516238059196</v>
      </c>
      <c r="I1735">
        <f t="shared" si="53"/>
        <v>6</v>
      </c>
      <c r="J1735" t="str" cm="1">
        <f t="array" ref="J1735">INDEX($A$2:$A$7,I1735)</f>
        <v>Segment 6- Self-Conscious Male</v>
      </c>
    </row>
    <row r="1736" spans="1:10" x14ac:dyDescent="0.25">
      <c r="A1736" s="1">
        <f>'batch tool'!A1730</f>
        <v>0</v>
      </c>
      <c r="B1736" s="7">
        <f>SUMPRODUCT($C$2:$X$2,'batch tool'!$B1730:$W1730)+$Y$2</f>
        <v>-49.12272534143483</v>
      </c>
      <c r="C1736" s="7">
        <f>SUMPRODUCT($C$3:$X$3,'batch tool'!$B1730:$W1730)+$Y$3</f>
        <v>-36.514029388465531</v>
      </c>
      <c r="D1736" s="7">
        <f>SUMPRODUCT($C$4:$X$4,'batch tool'!$B1730:$W1730)+$Y$4</f>
        <v>-44.639843068043824</v>
      </c>
      <c r="E1736" s="7">
        <f>SUMPRODUCT($C$5:$X$5,'batch tool'!$B1730:$W1730)+$Y$5</f>
        <v>-51.578889182477603</v>
      </c>
      <c r="F1736" s="7">
        <f>SUMPRODUCT($C$6:$X$6,'batch tool'!$B1730:$W1730)+$Y$6</f>
        <v>-47.741473633885199</v>
      </c>
      <c r="G1736" s="7">
        <f>SUMPRODUCT($C$7:$X$7,'batch tool'!$B1730:$W1730)+$Y$7</f>
        <v>-19.739516238059196</v>
      </c>
      <c r="H1736" s="7">
        <f t="shared" si="52"/>
        <v>-19.739516238059196</v>
      </c>
      <c r="I1736">
        <f t="shared" si="53"/>
        <v>6</v>
      </c>
      <c r="J1736" t="str" cm="1">
        <f t="array" ref="J1736">INDEX($A$2:$A$7,I1736)</f>
        <v>Segment 6- Self-Conscious Male</v>
      </c>
    </row>
    <row r="1737" spans="1:10" x14ac:dyDescent="0.25">
      <c r="A1737" s="1">
        <f>'batch tool'!A1731</f>
        <v>0</v>
      </c>
      <c r="B1737" s="7">
        <f>SUMPRODUCT($C$2:$X$2,'batch tool'!$B1731:$W1731)+$Y$2</f>
        <v>-49.12272534143483</v>
      </c>
      <c r="C1737" s="7">
        <f>SUMPRODUCT($C$3:$X$3,'batch tool'!$B1731:$W1731)+$Y$3</f>
        <v>-36.514029388465531</v>
      </c>
      <c r="D1737" s="7">
        <f>SUMPRODUCT($C$4:$X$4,'batch tool'!$B1731:$W1731)+$Y$4</f>
        <v>-44.639843068043824</v>
      </c>
      <c r="E1737" s="7">
        <f>SUMPRODUCT($C$5:$X$5,'batch tool'!$B1731:$W1731)+$Y$5</f>
        <v>-51.578889182477603</v>
      </c>
      <c r="F1737" s="7">
        <f>SUMPRODUCT($C$6:$X$6,'batch tool'!$B1731:$W1731)+$Y$6</f>
        <v>-47.741473633885199</v>
      </c>
      <c r="G1737" s="7">
        <f>SUMPRODUCT($C$7:$X$7,'batch tool'!$B1731:$W1731)+$Y$7</f>
        <v>-19.739516238059196</v>
      </c>
      <c r="H1737" s="7">
        <f t="shared" si="52"/>
        <v>-19.739516238059196</v>
      </c>
      <c r="I1737">
        <f t="shared" si="53"/>
        <v>6</v>
      </c>
      <c r="J1737" t="str" cm="1">
        <f t="array" ref="J1737">INDEX($A$2:$A$7,I1737)</f>
        <v>Segment 6- Self-Conscious Male</v>
      </c>
    </row>
    <row r="1738" spans="1:10" x14ac:dyDescent="0.25">
      <c r="A1738" s="1">
        <f>'batch tool'!A1732</f>
        <v>0</v>
      </c>
      <c r="B1738" s="7">
        <f>SUMPRODUCT($C$2:$X$2,'batch tool'!$B1732:$W1732)+$Y$2</f>
        <v>-49.12272534143483</v>
      </c>
      <c r="C1738" s="7">
        <f>SUMPRODUCT($C$3:$X$3,'batch tool'!$B1732:$W1732)+$Y$3</f>
        <v>-36.514029388465531</v>
      </c>
      <c r="D1738" s="7">
        <f>SUMPRODUCT($C$4:$X$4,'batch tool'!$B1732:$W1732)+$Y$4</f>
        <v>-44.639843068043824</v>
      </c>
      <c r="E1738" s="7">
        <f>SUMPRODUCT($C$5:$X$5,'batch tool'!$B1732:$W1732)+$Y$5</f>
        <v>-51.578889182477603</v>
      </c>
      <c r="F1738" s="7">
        <f>SUMPRODUCT($C$6:$X$6,'batch tool'!$B1732:$W1732)+$Y$6</f>
        <v>-47.741473633885199</v>
      </c>
      <c r="G1738" s="7">
        <f>SUMPRODUCT($C$7:$X$7,'batch tool'!$B1732:$W1732)+$Y$7</f>
        <v>-19.739516238059196</v>
      </c>
      <c r="H1738" s="7">
        <f t="shared" si="52"/>
        <v>-19.739516238059196</v>
      </c>
      <c r="I1738">
        <f t="shared" si="53"/>
        <v>6</v>
      </c>
      <c r="J1738" t="str" cm="1">
        <f t="array" ref="J1738">INDEX($A$2:$A$7,I1738)</f>
        <v>Segment 6- Self-Conscious Male</v>
      </c>
    </row>
    <row r="1739" spans="1:10" x14ac:dyDescent="0.25">
      <c r="A1739" s="1">
        <f>'batch tool'!A1733</f>
        <v>0</v>
      </c>
      <c r="B1739" s="7">
        <f>SUMPRODUCT($C$2:$X$2,'batch tool'!$B1733:$W1733)+$Y$2</f>
        <v>-49.12272534143483</v>
      </c>
      <c r="C1739" s="7">
        <f>SUMPRODUCT($C$3:$X$3,'batch tool'!$B1733:$W1733)+$Y$3</f>
        <v>-36.514029388465531</v>
      </c>
      <c r="D1739" s="7">
        <f>SUMPRODUCT($C$4:$X$4,'batch tool'!$B1733:$W1733)+$Y$4</f>
        <v>-44.639843068043824</v>
      </c>
      <c r="E1739" s="7">
        <f>SUMPRODUCT($C$5:$X$5,'batch tool'!$B1733:$W1733)+$Y$5</f>
        <v>-51.578889182477603</v>
      </c>
      <c r="F1739" s="7">
        <f>SUMPRODUCT($C$6:$X$6,'batch tool'!$B1733:$W1733)+$Y$6</f>
        <v>-47.741473633885199</v>
      </c>
      <c r="G1739" s="7">
        <f>SUMPRODUCT($C$7:$X$7,'batch tool'!$B1733:$W1733)+$Y$7</f>
        <v>-19.739516238059196</v>
      </c>
      <c r="H1739" s="7">
        <f t="shared" ref="H1739:H1802" si="54">MAX(B1739:G1739)</f>
        <v>-19.739516238059196</v>
      </c>
      <c r="I1739">
        <f t="shared" ref="I1739:I1802" si="55">MATCH(H1739,B1739:G1739,0)</f>
        <v>6</v>
      </c>
      <c r="J1739" t="str" cm="1">
        <f t="array" ref="J1739">INDEX($A$2:$A$7,I1739)</f>
        <v>Segment 6- Self-Conscious Male</v>
      </c>
    </row>
    <row r="1740" spans="1:10" x14ac:dyDescent="0.25">
      <c r="A1740" s="1">
        <f>'batch tool'!A1734</f>
        <v>0</v>
      </c>
      <c r="B1740" s="7">
        <f>SUMPRODUCT($C$2:$X$2,'batch tool'!$B1734:$W1734)+$Y$2</f>
        <v>-49.12272534143483</v>
      </c>
      <c r="C1740" s="7">
        <f>SUMPRODUCT($C$3:$X$3,'batch tool'!$B1734:$W1734)+$Y$3</f>
        <v>-36.514029388465531</v>
      </c>
      <c r="D1740" s="7">
        <f>SUMPRODUCT($C$4:$X$4,'batch tool'!$B1734:$W1734)+$Y$4</f>
        <v>-44.639843068043824</v>
      </c>
      <c r="E1740" s="7">
        <f>SUMPRODUCT($C$5:$X$5,'batch tool'!$B1734:$W1734)+$Y$5</f>
        <v>-51.578889182477603</v>
      </c>
      <c r="F1740" s="7">
        <f>SUMPRODUCT($C$6:$X$6,'batch tool'!$B1734:$W1734)+$Y$6</f>
        <v>-47.741473633885199</v>
      </c>
      <c r="G1740" s="7">
        <f>SUMPRODUCT($C$7:$X$7,'batch tool'!$B1734:$W1734)+$Y$7</f>
        <v>-19.739516238059196</v>
      </c>
      <c r="H1740" s="7">
        <f t="shared" si="54"/>
        <v>-19.739516238059196</v>
      </c>
      <c r="I1740">
        <f t="shared" si="55"/>
        <v>6</v>
      </c>
      <c r="J1740" t="str" cm="1">
        <f t="array" ref="J1740">INDEX($A$2:$A$7,I1740)</f>
        <v>Segment 6- Self-Conscious Male</v>
      </c>
    </row>
    <row r="1741" spans="1:10" x14ac:dyDescent="0.25">
      <c r="A1741" s="1">
        <f>'batch tool'!A1735</f>
        <v>0</v>
      </c>
      <c r="B1741" s="7">
        <f>SUMPRODUCT($C$2:$X$2,'batch tool'!$B1735:$W1735)+$Y$2</f>
        <v>-49.12272534143483</v>
      </c>
      <c r="C1741" s="7">
        <f>SUMPRODUCT($C$3:$X$3,'batch tool'!$B1735:$W1735)+$Y$3</f>
        <v>-36.514029388465531</v>
      </c>
      <c r="D1741" s="7">
        <f>SUMPRODUCT($C$4:$X$4,'batch tool'!$B1735:$W1735)+$Y$4</f>
        <v>-44.639843068043824</v>
      </c>
      <c r="E1741" s="7">
        <f>SUMPRODUCT($C$5:$X$5,'batch tool'!$B1735:$W1735)+$Y$5</f>
        <v>-51.578889182477603</v>
      </c>
      <c r="F1741" s="7">
        <f>SUMPRODUCT($C$6:$X$6,'batch tool'!$B1735:$W1735)+$Y$6</f>
        <v>-47.741473633885199</v>
      </c>
      <c r="G1741" s="7">
        <f>SUMPRODUCT($C$7:$X$7,'batch tool'!$B1735:$W1735)+$Y$7</f>
        <v>-19.739516238059196</v>
      </c>
      <c r="H1741" s="7">
        <f t="shared" si="54"/>
        <v>-19.739516238059196</v>
      </c>
      <c r="I1741">
        <f t="shared" si="55"/>
        <v>6</v>
      </c>
      <c r="J1741" t="str" cm="1">
        <f t="array" ref="J1741">INDEX($A$2:$A$7,I1741)</f>
        <v>Segment 6- Self-Conscious Male</v>
      </c>
    </row>
    <row r="1742" spans="1:10" x14ac:dyDescent="0.25">
      <c r="A1742" s="1">
        <f>'batch tool'!A1736</f>
        <v>0</v>
      </c>
      <c r="B1742" s="7">
        <f>SUMPRODUCT($C$2:$X$2,'batch tool'!$B1736:$W1736)+$Y$2</f>
        <v>-49.12272534143483</v>
      </c>
      <c r="C1742" s="7">
        <f>SUMPRODUCT($C$3:$X$3,'batch tool'!$B1736:$W1736)+$Y$3</f>
        <v>-36.514029388465531</v>
      </c>
      <c r="D1742" s="7">
        <f>SUMPRODUCT($C$4:$X$4,'batch tool'!$B1736:$W1736)+$Y$4</f>
        <v>-44.639843068043824</v>
      </c>
      <c r="E1742" s="7">
        <f>SUMPRODUCT($C$5:$X$5,'batch tool'!$B1736:$W1736)+$Y$5</f>
        <v>-51.578889182477603</v>
      </c>
      <c r="F1742" s="7">
        <f>SUMPRODUCT($C$6:$X$6,'batch tool'!$B1736:$W1736)+$Y$6</f>
        <v>-47.741473633885199</v>
      </c>
      <c r="G1742" s="7">
        <f>SUMPRODUCT($C$7:$X$7,'batch tool'!$B1736:$W1736)+$Y$7</f>
        <v>-19.739516238059196</v>
      </c>
      <c r="H1742" s="7">
        <f t="shared" si="54"/>
        <v>-19.739516238059196</v>
      </c>
      <c r="I1742">
        <f t="shared" si="55"/>
        <v>6</v>
      </c>
      <c r="J1742" t="str" cm="1">
        <f t="array" ref="J1742">INDEX($A$2:$A$7,I1742)</f>
        <v>Segment 6- Self-Conscious Male</v>
      </c>
    </row>
    <row r="1743" spans="1:10" x14ac:dyDescent="0.25">
      <c r="A1743" s="1">
        <f>'batch tool'!A1737</f>
        <v>0</v>
      </c>
      <c r="B1743" s="7">
        <f>SUMPRODUCT($C$2:$X$2,'batch tool'!$B1737:$W1737)+$Y$2</f>
        <v>-49.12272534143483</v>
      </c>
      <c r="C1743" s="7">
        <f>SUMPRODUCT($C$3:$X$3,'batch tool'!$B1737:$W1737)+$Y$3</f>
        <v>-36.514029388465531</v>
      </c>
      <c r="D1743" s="7">
        <f>SUMPRODUCT($C$4:$X$4,'batch tool'!$B1737:$W1737)+$Y$4</f>
        <v>-44.639843068043824</v>
      </c>
      <c r="E1743" s="7">
        <f>SUMPRODUCT($C$5:$X$5,'batch tool'!$B1737:$W1737)+$Y$5</f>
        <v>-51.578889182477603</v>
      </c>
      <c r="F1743" s="7">
        <f>SUMPRODUCT($C$6:$X$6,'batch tool'!$B1737:$W1737)+$Y$6</f>
        <v>-47.741473633885199</v>
      </c>
      <c r="G1743" s="7">
        <f>SUMPRODUCT($C$7:$X$7,'batch tool'!$B1737:$W1737)+$Y$7</f>
        <v>-19.739516238059196</v>
      </c>
      <c r="H1743" s="7">
        <f t="shared" si="54"/>
        <v>-19.739516238059196</v>
      </c>
      <c r="I1743">
        <f t="shared" si="55"/>
        <v>6</v>
      </c>
      <c r="J1743" t="str" cm="1">
        <f t="array" ref="J1743">INDEX($A$2:$A$7,I1743)</f>
        <v>Segment 6- Self-Conscious Male</v>
      </c>
    </row>
    <row r="1744" spans="1:10" x14ac:dyDescent="0.25">
      <c r="A1744" s="1">
        <f>'batch tool'!A1738</f>
        <v>0</v>
      </c>
      <c r="B1744" s="7">
        <f>SUMPRODUCT($C$2:$X$2,'batch tool'!$B1738:$W1738)+$Y$2</f>
        <v>-49.12272534143483</v>
      </c>
      <c r="C1744" s="7">
        <f>SUMPRODUCT($C$3:$X$3,'batch tool'!$B1738:$W1738)+$Y$3</f>
        <v>-36.514029388465531</v>
      </c>
      <c r="D1744" s="7">
        <f>SUMPRODUCT($C$4:$X$4,'batch tool'!$B1738:$W1738)+$Y$4</f>
        <v>-44.639843068043824</v>
      </c>
      <c r="E1744" s="7">
        <f>SUMPRODUCT($C$5:$X$5,'batch tool'!$B1738:$W1738)+$Y$5</f>
        <v>-51.578889182477603</v>
      </c>
      <c r="F1744" s="7">
        <f>SUMPRODUCT($C$6:$X$6,'batch tool'!$B1738:$W1738)+$Y$6</f>
        <v>-47.741473633885199</v>
      </c>
      <c r="G1744" s="7">
        <f>SUMPRODUCT($C$7:$X$7,'batch tool'!$B1738:$W1738)+$Y$7</f>
        <v>-19.739516238059196</v>
      </c>
      <c r="H1744" s="7">
        <f t="shared" si="54"/>
        <v>-19.739516238059196</v>
      </c>
      <c r="I1744">
        <f t="shared" si="55"/>
        <v>6</v>
      </c>
      <c r="J1744" t="str" cm="1">
        <f t="array" ref="J1744">INDEX($A$2:$A$7,I1744)</f>
        <v>Segment 6- Self-Conscious Male</v>
      </c>
    </row>
    <row r="1745" spans="1:10" x14ac:dyDescent="0.25">
      <c r="A1745" s="1">
        <f>'batch tool'!A1739</f>
        <v>0</v>
      </c>
      <c r="B1745" s="7">
        <f>SUMPRODUCT($C$2:$X$2,'batch tool'!$B1739:$W1739)+$Y$2</f>
        <v>-49.12272534143483</v>
      </c>
      <c r="C1745" s="7">
        <f>SUMPRODUCT($C$3:$X$3,'batch tool'!$B1739:$W1739)+$Y$3</f>
        <v>-36.514029388465531</v>
      </c>
      <c r="D1745" s="7">
        <f>SUMPRODUCT($C$4:$X$4,'batch tool'!$B1739:$W1739)+$Y$4</f>
        <v>-44.639843068043824</v>
      </c>
      <c r="E1745" s="7">
        <f>SUMPRODUCT($C$5:$X$5,'batch tool'!$B1739:$W1739)+$Y$5</f>
        <v>-51.578889182477603</v>
      </c>
      <c r="F1745" s="7">
        <f>SUMPRODUCT($C$6:$X$6,'batch tool'!$B1739:$W1739)+$Y$6</f>
        <v>-47.741473633885199</v>
      </c>
      <c r="G1745" s="7">
        <f>SUMPRODUCT($C$7:$X$7,'batch tool'!$B1739:$W1739)+$Y$7</f>
        <v>-19.739516238059196</v>
      </c>
      <c r="H1745" s="7">
        <f t="shared" si="54"/>
        <v>-19.739516238059196</v>
      </c>
      <c r="I1745">
        <f t="shared" si="55"/>
        <v>6</v>
      </c>
      <c r="J1745" t="str" cm="1">
        <f t="array" ref="J1745">INDEX($A$2:$A$7,I1745)</f>
        <v>Segment 6- Self-Conscious Male</v>
      </c>
    </row>
    <row r="1746" spans="1:10" x14ac:dyDescent="0.25">
      <c r="A1746" s="1">
        <f>'batch tool'!A1740</f>
        <v>0</v>
      </c>
      <c r="B1746" s="7">
        <f>SUMPRODUCT($C$2:$X$2,'batch tool'!$B1740:$W1740)+$Y$2</f>
        <v>-49.12272534143483</v>
      </c>
      <c r="C1746" s="7">
        <f>SUMPRODUCT($C$3:$X$3,'batch tool'!$B1740:$W1740)+$Y$3</f>
        <v>-36.514029388465531</v>
      </c>
      <c r="D1746" s="7">
        <f>SUMPRODUCT($C$4:$X$4,'batch tool'!$B1740:$W1740)+$Y$4</f>
        <v>-44.639843068043824</v>
      </c>
      <c r="E1746" s="7">
        <f>SUMPRODUCT($C$5:$X$5,'batch tool'!$B1740:$W1740)+$Y$5</f>
        <v>-51.578889182477603</v>
      </c>
      <c r="F1746" s="7">
        <f>SUMPRODUCT($C$6:$X$6,'batch tool'!$B1740:$W1740)+$Y$6</f>
        <v>-47.741473633885199</v>
      </c>
      <c r="G1746" s="7">
        <f>SUMPRODUCT($C$7:$X$7,'batch tool'!$B1740:$W1740)+$Y$7</f>
        <v>-19.739516238059196</v>
      </c>
      <c r="H1746" s="7">
        <f t="shared" si="54"/>
        <v>-19.739516238059196</v>
      </c>
      <c r="I1746">
        <f t="shared" si="55"/>
        <v>6</v>
      </c>
      <c r="J1746" t="str" cm="1">
        <f t="array" ref="J1746">INDEX($A$2:$A$7,I1746)</f>
        <v>Segment 6- Self-Conscious Male</v>
      </c>
    </row>
    <row r="1747" spans="1:10" x14ac:dyDescent="0.25">
      <c r="A1747" s="1">
        <f>'batch tool'!A1741</f>
        <v>0</v>
      </c>
      <c r="B1747" s="7">
        <f>SUMPRODUCT($C$2:$X$2,'batch tool'!$B1741:$W1741)+$Y$2</f>
        <v>-49.12272534143483</v>
      </c>
      <c r="C1747" s="7">
        <f>SUMPRODUCT($C$3:$X$3,'batch tool'!$B1741:$W1741)+$Y$3</f>
        <v>-36.514029388465531</v>
      </c>
      <c r="D1747" s="7">
        <f>SUMPRODUCT($C$4:$X$4,'batch tool'!$B1741:$W1741)+$Y$4</f>
        <v>-44.639843068043824</v>
      </c>
      <c r="E1747" s="7">
        <f>SUMPRODUCT($C$5:$X$5,'batch tool'!$B1741:$W1741)+$Y$5</f>
        <v>-51.578889182477603</v>
      </c>
      <c r="F1747" s="7">
        <f>SUMPRODUCT($C$6:$X$6,'batch tool'!$B1741:$W1741)+$Y$6</f>
        <v>-47.741473633885199</v>
      </c>
      <c r="G1747" s="7">
        <f>SUMPRODUCT($C$7:$X$7,'batch tool'!$B1741:$W1741)+$Y$7</f>
        <v>-19.739516238059196</v>
      </c>
      <c r="H1747" s="7">
        <f t="shared" si="54"/>
        <v>-19.739516238059196</v>
      </c>
      <c r="I1747">
        <f t="shared" si="55"/>
        <v>6</v>
      </c>
      <c r="J1747" t="str" cm="1">
        <f t="array" ref="J1747">INDEX($A$2:$A$7,I1747)</f>
        <v>Segment 6- Self-Conscious Male</v>
      </c>
    </row>
    <row r="1748" spans="1:10" x14ac:dyDescent="0.25">
      <c r="A1748" s="1">
        <f>'batch tool'!A1742</f>
        <v>0</v>
      </c>
      <c r="B1748" s="7">
        <f>SUMPRODUCT($C$2:$X$2,'batch tool'!$B1742:$W1742)+$Y$2</f>
        <v>-49.12272534143483</v>
      </c>
      <c r="C1748" s="7">
        <f>SUMPRODUCT($C$3:$X$3,'batch tool'!$B1742:$W1742)+$Y$3</f>
        <v>-36.514029388465531</v>
      </c>
      <c r="D1748" s="7">
        <f>SUMPRODUCT($C$4:$X$4,'batch tool'!$B1742:$W1742)+$Y$4</f>
        <v>-44.639843068043824</v>
      </c>
      <c r="E1748" s="7">
        <f>SUMPRODUCT($C$5:$X$5,'batch tool'!$B1742:$W1742)+$Y$5</f>
        <v>-51.578889182477603</v>
      </c>
      <c r="F1748" s="7">
        <f>SUMPRODUCT($C$6:$X$6,'batch tool'!$B1742:$W1742)+$Y$6</f>
        <v>-47.741473633885199</v>
      </c>
      <c r="G1748" s="7">
        <f>SUMPRODUCT($C$7:$X$7,'batch tool'!$B1742:$W1742)+$Y$7</f>
        <v>-19.739516238059196</v>
      </c>
      <c r="H1748" s="7">
        <f t="shared" si="54"/>
        <v>-19.739516238059196</v>
      </c>
      <c r="I1748">
        <f t="shared" si="55"/>
        <v>6</v>
      </c>
      <c r="J1748" t="str" cm="1">
        <f t="array" ref="J1748">INDEX($A$2:$A$7,I1748)</f>
        <v>Segment 6- Self-Conscious Male</v>
      </c>
    </row>
    <row r="1749" spans="1:10" x14ac:dyDescent="0.25">
      <c r="A1749" s="1">
        <f>'batch tool'!A1743</f>
        <v>0</v>
      </c>
      <c r="B1749" s="7">
        <f>SUMPRODUCT($C$2:$X$2,'batch tool'!$B1743:$W1743)+$Y$2</f>
        <v>-49.12272534143483</v>
      </c>
      <c r="C1749" s="7">
        <f>SUMPRODUCT($C$3:$X$3,'batch tool'!$B1743:$W1743)+$Y$3</f>
        <v>-36.514029388465531</v>
      </c>
      <c r="D1749" s="7">
        <f>SUMPRODUCT($C$4:$X$4,'batch tool'!$B1743:$W1743)+$Y$4</f>
        <v>-44.639843068043824</v>
      </c>
      <c r="E1749" s="7">
        <f>SUMPRODUCT($C$5:$X$5,'batch tool'!$B1743:$W1743)+$Y$5</f>
        <v>-51.578889182477603</v>
      </c>
      <c r="F1749" s="7">
        <f>SUMPRODUCT($C$6:$X$6,'batch tool'!$B1743:$W1743)+$Y$6</f>
        <v>-47.741473633885199</v>
      </c>
      <c r="G1749" s="7">
        <f>SUMPRODUCT($C$7:$X$7,'batch tool'!$B1743:$W1743)+$Y$7</f>
        <v>-19.739516238059196</v>
      </c>
      <c r="H1749" s="7">
        <f t="shared" si="54"/>
        <v>-19.739516238059196</v>
      </c>
      <c r="I1749">
        <f t="shared" si="55"/>
        <v>6</v>
      </c>
      <c r="J1749" t="str" cm="1">
        <f t="array" ref="J1749">INDEX($A$2:$A$7,I1749)</f>
        <v>Segment 6- Self-Conscious Male</v>
      </c>
    </row>
    <row r="1750" spans="1:10" x14ac:dyDescent="0.25">
      <c r="A1750" s="1">
        <f>'batch tool'!A1744</f>
        <v>0</v>
      </c>
      <c r="B1750" s="7">
        <f>SUMPRODUCT($C$2:$X$2,'batch tool'!$B1744:$W1744)+$Y$2</f>
        <v>-49.12272534143483</v>
      </c>
      <c r="C1750" s="7">
        <f>SUMPRODUCT($C$3:$X$3,'batch tool'!$B1744:$W1744)+$Y$3</f>
        <v>-36.514029388465531</v>
      </c>
      <c r="D1750" s="7">
        <f>SUMPRODUCT($C$4:$X$4,'batch tool'!$B1744:$W1744)+$Y$4</f>
        <v>-44.639843068043824</v>
      </c>
      <c r="E1750" s="7">
        <f>SUMPRODUCT($C$5:$X$5,'batch tool'!$B1744:$W1744)+$Y$5</f>
        <v>-51.578889182477603</v>
      </c>
      <c r="F1750" s="7">
        <f>SUMPRODUCT($C$6:$X$6,'batch tool'!$B1744:$W1744)+$Y$6</f>
        <v>-47.741473633885199</v>
      </c>
      <c r="G1750" s="7">
        <f>SUMPRODUCT($C$7:$X$7,'batch tool'!$B1744:$W1744)+$Y$7</f>
        <v>-19.739516238059196</v>
      </c>
      <c r="H1750" s="7">
        <f t="shared" si="54"/>
        <v>-19.739516238059196</v>
      </c>
      <c r="I1750">
        <f t="shared" si="55"/>
        <v>6</v>
      </c>
      <c r="J1750" t="str" cm="1">
        <f t="array" ref="J1750">INDEX($A$2:$A$7,I1750)</f>
        <v>Segment 6- Self-Conscious Male</v>
      </c>
    </row>
    <row r="1751" spans="1:10" x14ac:dyDescent="0.25">
      <c r="A1751" s="1">
        <f>'batch tool'!A1745</f>
        <v>0</v>
      </c>
      <c r="B1751" s="7">
        <f>SUMPRODUCT($C$2:$X$2,'batch tool'!$B1745:$W1745)+$Y$2</f>
        <v>-49.12272534143483</v>
      </c>
      <c r="C1751" s="7">
        <f>SUMPRODUCT($C$3:$X$3,'batch tool'!$B1745:$W1745)+$Y$3</f>
        <v>-36.514029388465531</v>
      </c>
      <c r="D1751" s="7">
        <f>SUMPRODUCT($C$4:$X$4,'batch tool'!$B1745:$W1745)+$Y$4</f>
        <v>-44.639843068043824</v>
      </c>
      <c r="E1751" s="7">
        <f>SUMPRODUCT($C$5:$X$5,'batch tool'!$B1745:$W1745)+$Y$5</f>
        <v>-51.578889182477603</v>
      </c>
      <c r="F1751" s="7">
        <f>SUMPRODUCT($C$6:$X$6,'batch tool'!$B1745:$W1745)+$Y$6</f>
        <v>-47.741473633885199</v>
      </c>
      <c r="G1751" s="7">
        <f>SUMPRODUCT($C$7:$X$7,'batch tool'!$B1745:$W1745)+$Y$7</f>
        <v>-19.739516238059196</v>
      </c>
      <c r="H1751" s="7">
        <f t="shared" si="54"/>
        <v>-19.739516238059196</v>
      </c>
      <c r="I1751">
        <f t="shared" si="55"/>
        <v>6</v>
      </c>
      <c r="J1751" t="str" cm="1">
        <f t="array" ref="J1751">INDEX($A$2:$A$7,I1751)</f>
        <v>Segment 6- Self-Conscious Male</v>
      </c>
    </row>
    <row r="1752" spans="1:10" x14ac:dyDescent="0.25">
      <c r="A1752" s="1">
        <f>'batch tool'!A1746</f>
        <v>0</v>
      </c>
      <c r="B1752" s="7">
        <f>SUMPRODUCT($C$2:$X$2,'batch tool'!$B1746:$W1746)+$Y$2</f>
        <v>-49.12272534143483</v>
      </c>
      <c r="C1752" s="7">
        <f>SUMPRODUCT($C$3:$X$3,'batch tool'!$B1746:$W1746)+$Y$3</f>
        <v>-36.514029388465531</v>
      </c>
      <c r="D1752" s="7">
        <f>SUMPRODUCT($C$4:$X$4,'batch tool'!$B1746:$W1746)+$Y$4</f>
        <v>-44.639843068043824</v>
      </c>
      <c r="E1752" s="7">
        <f>SUMPRODUCT($C$5:$X$5,'batch tool'!$B1746:$W1746)+$Y$5</f>
        <v>-51.578889182477603</v>
      </c>
      <c r="F1752" s="7">
        <f>SUMPRODUCT($C$6:$X$6,'batch tool'!$B1746:$W1746)+$Y$6</f>
        <v>-47.741473633885199</v>
      </c>
      <c r="G1752" s="7">
        <f>SUMPRODUCT($C$7:$X$7,'batch tool'!$B1746:$W1746)+$Y$7</f>
        <v>-19.739516238059196</v>
      </c>
      <c r="H1752" s="7">
        <f t="shared" si="54"/>
        <v>-19.739516238059196</v>
      </c>
      <c r="I1752">
        <f t="shared" si="55"/>
        <v>6</v>
      </c>
      <c r="J1752" t="str" cm="1">
        <f t="array" ref="J1752">INDEX($A$2:$A$7,I1752)</f>
        <v>Segment 6- Self-Conscious Male</v>
      </c>
    </row>
    <row r="1753" spans="1:10" x14ac:dyDescent="0.25">
      <c r="A1753" s="1">
        <f>'batch tool'!A1747</f>
        <v>0</v>
      </c>
      <c r="B1753" s="7">
        <f>SUMPRODUCT($C$2:$X$2,'batch tool'!$B1747:$W1747)+$Y$2</f>
        <v>-49.12272534143483</v>
      </c>
      <c r="C1753" s="7">
        <f>SUMPRODUCT($C$3:$X$3,'batch tool'!$B1747:$W1747)+$Y$3</f>
        <v>-36.514029388465531</v>
      </c>
      <c r="D1753" s="7">
        <f>SUMPRODUCT($C$4:$X$4,'batch tool'!$B1747:$W1747)+$Y$4</f>
        <v>-44.639843068043824</v>
      </c>
      <c r="E1753" s="7">
        <f>SUMPRODUCT($C$5:$X$5,'batch tool'!$B1747:$W1747)+$Y$5</f>
        <v>-51.578889182477603</v>
      </c>
      <c r="F1753" s="7">
        <f>SUMPRODUCT($C$6:$X$6,'batch tool'!$B1747:$W1747)+$Y$6</f>
        <v>-47.741473633885199</v>
      </c>
      <c r="G1753" s="7">
        <f>SUMPRODUCT($C$7:$X$7,'batch tool'!$B1747:$W1747)+$Y$7</f>
        <v>-19.739516238059196</v>
      </c>
      <c r="H1753" s="7">
        <f t="shared" si="54"/>
        <v>-19.739516238059196</v>
      </c>
      <c r="I1753">
        <f t="shared" si="55"/>
        <v>6</v>
      </c>
      <c r="J1753" t="str" cm="1">
        <f t="array" ref="J1753">INDEX($A$2:$A$7,I1753)</f>
        <v>Segment 6- Self-Conscious Male</v>
      </c>
    </row>
    <row r="1754" spans="1:10" x14ac:dyDescent="0.25">
      <c r="A1754" s="1">
        <f>'batch tool'!A1748</f>
        <v>0</v>
      </c>
      <c r="B1754" s="7">
        <f>SUMPRODUCT($C$2:$X$2,'batch tool'!$B1748:$W1748)+$Y$2</f>
        <v>-49.12272534143483</v>
      </c>
      <c r="C1754" s="7">
        <f>SUMPRODUCT($C$3:$X$3,'batch tool'!$B1748:$W1748)+$Y$3</f>
        <v>-36.514029388465531</v>
      </c>
      <c r="D1754" s="7">
        <f>SUMPRODUCT($C$4:$X$4,'batch tool'!$B1748:$W1748)+$Y$4</f>
        <v>-44.639843068043824</v>
      </c>
      <c r="E1754" s="7">
        <f>SUMPRODUCT($C$5:$X$5,'batch tool'!$B1748:$W1748)+$Y$5</f>
        <v>-51.578889182477603</v>
      </c>
      <c r="F1754" s="7">
        <f>SUMPRODUCT($C$6:$X$6,'batch tool'!$B1748:$W1748)+$Y$6</f>
        <v>-47.741473633885199</v>
      </c>
      <c r="G1754" s="7">
        <f>SUMPRODUCT($C$7:$X$7,'batch tool'!$B1748:$W1748)+$Y$7</f>
        <v>-19.739516238059196</v>
      </c>
      <c r="H1754" s="7">
        <f t="shared" si="54"/>
        <v>-19.739516238059196</v>
      </c>
      <c r="I1754">
        <f t="shared" si="55"/>
        <v>6</v>
      </c>
      <c r="J1754" t="str" cm="1">
        <f t="array" ref="J1754">INDEX($A$2:$A$7,I1754)</f>
        <v>Segment 6- Self-Conscious Male</v>
      </c>
    </row>
    <row r="1755" spans="1:10" x14ac:dyDescent="0.25">
      <c r="A1755" s="1">
        <f>'batch tool'!A1749</f>
        <v>0</v>
      </c>
      <c r="B1755" s="7">
        <f>SUMPRODUCT($C$2:$X$2,'batch tool'!$B1749:$W1749)+$Y$2</f>
        <v>-49.12272534143483</v>
      </c>
      <c r="C1755" s="7">
        <f>SUMPRODUCT($C$3:$X$3,'batch tool'!$B1749:$W1749)+$Y$3</f>
        <v>-36.514029388465531</v>
      </c>
      <c r="D1755" s="7">
        <f>SUMPRODUCT($C$4:$X$4,'batch tool'!$B1749:$W1749)+$Y$4</f>
        <v>-44.639843068043824</v>
      </c>
      <c r="E1755" s="7">
        <f>SUMPRODUCT($C$5:$X$5,'batch tool'!$B1749:$W1749)+$Y$5</f>
        <v>-51.578889182477603</v>
      </c>
      <c r="F1755" s="7">
        <f>SUMPRODUCT($C$6:$X$6,'batch tool'!$B1749:$W1749)+$Y$6</f>
        <v>-47.741473633885199</v>
      </c>
      <c r="G1755" s="7">
        <f>SUMPRODUCT($C$7:$X$7,'batch tool'!$B1749:$W1749)+$Y$7</f>
        <v>-19.739516238059196</v>
      </c>
      <c r="H1755" s="7">
        <f t="shared" si="54"/>
        <v>-19.739516238059196</v>
      </c>
      <c r="I1755">
        <f t="shared" si="55"/>
        <v>6</v>
      </c>
      <c r="J1755" t="str" cm="1">
        <f t="array" ref="J1755">INDEX($A$2:$A$7,I1755)</f>
        <v>Segment 6- Self-Conscious Male</v>
      </c>
    </row>
    <row r="1756" spans="1:10" x14ac:dyDescent="0.25">
      <c r="A1756" s="1">
        <f>'batch tool'!A1750</f>
        <v>0</v>
      </c>
      <c r="B1756" s="7">
        <f>SUMPRODUCT($C$2:$X$2,'batch tool'!$B1750:$W1750)+$Y$2</f>
        <v>-49.12272534143483</v>
      </c>
      <c r="C1756" s="7">
        <f>SUMPRODUCT($C$3:$X$3,'batch tool'!$B1750:$W1750)+$Y$3</f>
        <v>-36.514029388465531</v>
      </c>
      <c r="D1756" s="7">
        <f>SUMPRODUCT($C$4:$X$4,'batch tool'!$B1750:$W1750)+$Y$4</f>
        <v>-44.639843068043824</v>
      </c>
      <c r="E1756" s="7">
        <f>SUMPRODUCT($C$5:$X$5,'batch tool'!$B1750:$W1750)+$Y$5</f>
        <v>-51.578889182477603</v>
      </c>
      <c r="F1756" s="7">
        <f>SUMPRODUCT($C$6:$X$6,'batch tool'!$B1750:$W1750)+$Y$6</f>
        <v>-47.741473633885199</v>
      </c>
      <c r="G1756" s="7">
        <f>SUMPRODUCT($C$7:$X$7,'batch tool'!$B1750:$W1750)+$Y$7</f>
        <v>-19.739516238059196</v>
      </c>
      <c r="H1756" s="7">
        <f t="shared" si="54"/>
        <v>-19.739516238059196</v>
      </c>
      <c r="I1756">
        <f t="shared" si="55"/>
        <v>6</v>
      </c>
      <c r="J1756" t="str" cm="1">
        <f t="array" ref="J1756">INDEX($A$2:$A$7,I1756)</f>
        <v>Segment 6- Self-Conscious Male</v>
      </c>
    </row>
    <row r="1757" spans="1:10" x14ac:dyDescent="0.25">
      <c r="A1757" s="1">
        <f>'batch tool'!A1751</f>
        <v>0</v>
      </c>
      <c r="B1757" s="7">
        <f>SUMPRODUCT($C$2:$X$2,'batch tool'!$B1751:$W1751)+$Y$2</f>
        <v>-49.12272534143483</v>
      </c>
      <c r="C1757" s="7">
        <f>SUMPRODUCT($C$3:$X$3,'batch tool'!$B1751:$W1751)+$Y$3</f>
        <v>-36.514029388465531</v>
      </c>
      <c r="D1757" s="7">
        <f>SUMPRODUCT($C$4:$X$4,'batch tool'!$B1751:$W1751)+$Y$4</f>
        <v>-44.639843068043824</v>
      </c>
      <c r="E1757" s="7">
        <f>SUMPRODUCT($C$5:$X$5,'batch tool'!$B1751:$W1751)+$Y$5</f>
        <v>-51.578889182477603</v>
      </c>
      <c r="F1757" s="7">
        <f>SUMPRODUCT($C$6:$X$6,'batch tool'!$B1751:$W1751)+$Y$6</f>
        <v>-47.741473633885199</v>
      </c>
      <c r="G1757" s="7">
        <f>SUMPRODUCT($C$7:$X$7,'batch tool'!$B1751:$W1751)+$Y$7</f>
        <v>-19.739516238059196</v>
      </c>
      <c r="H1757" s="7">
        <f t="shared" si="54"/>
        <v>-19.739516238059196</v>
      </c>
      <c r="I1757">
        <f t="shared" si="55"/>
        <v>6</v>
      </c>
      <c r="J1757" t="str" cm="1">
        <f t="array" ref="J1757">INDEX($A$2:$A$7,I1757)</f>
        <v>Segment 6- Self-Conscious Male</v>
      </c>
    </row>
    <row r="1758" spans="1:10" x14ac:dyDescent="0.25">
      <c r="A1758" s="1">
        <f>'batch tool'!A1752</f>
        <v>0</v>
      </c>
      <c r="B1758" s="7">
        <f>SUMPRODUCT($C$2:$X$2,'batch tool'!$B1752:$W1752)+$Y$2</f>
        <v>-49.12272534143483</v>
      </c>
      <c r="C1758" s="7">
        <f>SUMPRODUCT($C$3:$X$3,'batch tool'!$B1752:$W1752)+$Y$3</f>
        <v>-36.514029388465531</v>
      </c>
      <c r="D1758" s="7">
        <f>SUMPRODUCT($C$4:$X$4,'batch tool'!$B1752:$W1752)+$Y$4</f>
        <v>-44.639843068043824</v>
      </c>
      <c r="E1758" s="7">
        <f>SUMPRODUCT($C$5:$X$5,'batch tool'!$B1752:$W1752)+$Y$5</f>
        <v>-51.578889182477603</v>
      </c>
      <c r="F1758" s="7">
        <f>SUMPRODUCT($C$6:$X$6,'batch tool'!$B1752:$W1752)+$Y$6</f>
        <v>-47.741473633885199</v>
      </c>
      <c r="G1758" s="7">
        <f>SUMPRODUCT($C$7:$X$7,'batch tool'!$B1752:$W1752)+$Y$7</f>
        <v>-19.739516238059196</v>
      </c>
      <c r="H1758" s="7">
        <f t="shared" si="54"/>
        <v>-19.739516238059196</v>
      </c>
      <c r="I1758">
        <f t="shared" si="55"/>
        <v>6</v>
      </c>
      <c r="J1758" t="str" cm="1">
        <f t="array" ref="J1758">INDEX($A$2:$A$7,I1758)</f>
        <v>Segment 6- Self-Conscious Male</v>
      </c>
    </row>
    <row r="1759" spans="1:10" x14ac:dyDescent="0.25">
      <c r="A1759" s="1">
        <f>'batch tool'!A1753</f>
        <v>0</v>
      </c>
      <c r="B1759" s="7">
        <f>SUMPRODUCT($C$2:$X$2,'batch tool'!$B1753:$W1753)+$Y$2</f>
        <v>-49.12272534143483</v>
      </c>
      <c r="C1759" s="7">
        <f>SUMPRODUCT($C$3:$X$3,'batch tool'!$B1753:$W1753)+$Y$3</f>
        <v>-36.514029388465531</v>
      </c>
      <c r="D1759" s="7">
        <f>SUMPRODUCT($C$4:$X$4,'batch tool'!$B1753:$W1753)+$Y$4</f>
        <v>-44.639843068043824</v>
      </c>
      <c r="E1759" s="7">
        <f>SUMPRODUCT($C$5:$X$5,'batch tool'!$B1753:$W1753)+$Y$5</f>
        <v>-51.578889182477603</v>
      </c>
      <c r="F1759" s="7">
        <f>SUMPRODUCT($C$6:$X$6,'batch tool'!$B1753:$W1753)+$Y$6</f>
        <v>-47.741473633885199</v>
      </c>
      <c r="G1759" s="7">
        <f>SUMPRODUCT($C$7:$X$7,'batch tool'!$B1753:$W1753)+$Y$7</f>
        <v>-19.739516238059196</v>
      </c>
      <c r="H1759" s="7">
        <f t="shared" si="54"/>
        <v>-19.739516238059196</v>
      </c>
      <c r="I1759">
        <f t="shared" si="55"/>
        <v>6</v>
      </c>
      <c r="J1759" t="str" cm="1">
        <f t="array" ref="J1759">INDEX($A$2:$A$7,I1759)</f>
        <v>Segment 6- Self-Conscious Male</v>
      </c>
    </row>
    <row r="1760" spans="1:10" x14ac:dyDescent="0.25">
      <c r="A1760" s="1">
        <f>'batch tool'!A1754</f>
        <v>0</v>
      </c>
      <c r="B1760" s="7">
        <f>SUMPRODUCT($C$2:$X$2,'batch tool'!$B1754:$W1754)+$Y$2</f>
        <v>-49.12272534143483</v>
      </c>
      <c r="C1760" s="7">
        <f>SUMPRODUCT($C$3:$X$3,'batch tool'!$B1754:$W1754)+$Y$3</f>
        <v>-36.514029388465531</v>
      </c>
      <c r="D1760" s="7">
        <f>SUMPRODUCT($C$4:$X$4,'batch tool'!$B1754:$W1754)+$Y$4</f>
        <v>-44.639843068043824</v>
      </c>
      <c r="E1760" s="7">
        <f>SUMPRODUCT($C$5:$X$5,'batch tool'!$B1754:$W1754)+$Y$5</f>
        <v>-51.578889182477603</v>
      </c>
      <c r="F1760" s="7">
        <f>SUMPRODUCT($C$6:$X$6,'batch tool'!$B1754:$W1754)+$Y$6</f>
        <v>-47.741473633885199</v>
      </c>
      <c r="G1760" s="7">
        <f>SUMPRODUCT($C$7:$X$7,'batch tool'!$B1754:$W1754)+$Y$7</f>
        <v>-19.739516238059196</v>
      </c>
      <c r="H1760" s="7">
        <f t="shared" si="54"/>
        <v>-19.739516238059196</v>
      </c>
      <c r="I1760">
        <f t="shared" si="55"/>
        <v>6</v>
      </c>
      <c r="J1760" t="str" cm="1">
        <f t="array" ref="J1760">INDEX($A$2:$A$7,I1760)</f>
        <v>Segment 6- Self-Conscious Male</v>
      </c>
    </row>
    <row r="1761" spans="1:10" x14ac:dyDescent="0.25">
      <c r="A1761" s="1">
        <f>'batch tool'!A1755</f>
        <v>0</v>
      </c>
      <c r="B1761" s="7">
        <f>SUMPRODUCT($C$2:$X$2,'batch tool'!$B1755:$W1755)+$Y$2</f>
        <v>-49.12272534143483</v>
      </c>
      <c r="C1761" s="7">
        <f>SUMPRODUCT($C$3:$X$3,'batch tool'!$B1755:$W1755)+$Y$3</f>
        <v>-36.514029388465531</v>
      </c>
      <c r="D1761" s="7">
        <f>SUMPRODUCT($C$4:$X$4,'batch tool'!$B1755:$W1755)+$Y$4</f>
        <v>-44.639843068043824</v>
      </c>
      <c r="E1761" s="7">
        <f>SUMPRODUCT($C$5:$X$5,'batch tool'!$B1755:$W1755)+$Y$5</f>
        <v>-51.578889182477603</v>
      </c>
      <c r="F1761" s="7">
        <f>SUMPRODUCT($C$6:$X$6,'batch tool'!$B1755:$W1755)+$Y$6</f>
        <v>-47.741473633885199</v>
      </c>
      <c r="G1761" s="7">
        <f>SUMPRODUCT($C$7:$X$7,'batch tool'!$B1755:$W1755)+$Y$7</f>
        <v>-19.739516238059196</v>
      </c>
      <c r="H1761" s="7">
        <f t="shared" si="54"/>
        <v>-19.739516238059196</v>
      </c>
      <c r="I1761">
        <f t="shared" si="55"/>
        <v>6</v>
      </c>
      <c r="J1761" t="str" cm="1">
        <f t="array" ref="J1761">INDEX($A$2:$A$7,I1761)</f>
        <v>Segment 6- Self-Conscious Male</v>
      </c>
    </row>
    <row r="1762" spans="1:10" x14ac:dyDescent="0.25">
      <c r="A1762" s="1">
        <f>'batch tool'!A1756</f>
        <v>0</v>
      </c>
      <c r="B1762" s="7">
        <f>SUMPRODUCT($C$2:$X$2,'batch tool'!$B1756:$W1756)+$Y$2</f>
        <v>-49.12272534143483</v>
      </c>
      <c r="C1762" s="7">
        <f>SUMPRODUCT($C$3:$X$3,'batch tool'!$B1756:$W1756)+$Y$3</f>
        <v>-36.514029388465531</v>
      </c>
      <c r="D1762" s="7">
        <f>SUMPRODUCT($C$4:$X$4,'batch tool'!$B1756:$W1756)+$Y$4</f>
        <v>-44.639843068043824</v>
      </c>
      <c r="E1762" s="7">
        <f>SUMPRODUCT($C$5:$X$5,'batch tool'!$B1756:$W1756)+$Y$5</f>
        <v>-51.578889182477603</v>
      </c>
      <c r="F1762" s="7">
        <f>SUMPRODUCT($C$6:$X$6,'batch tool'!$B1756:$W1756)+$Y$6</f>
        <v>-47.741473633885199</v>
      </c>
      <c r="G1762" s="7">
        <f>SUMPRODUCT($C$7:$X$7,'batch tool'!$B1756:$W1756)+$Y$7</f>
        <v>-19.739516238059196</v>
      </c>
      <c r="H1762" s="7">
        <f t="shared" si="54"/>
        <v>-19.739516238059196</v>
      </c>
      <c r="I1762">
        <f t="shared" si="55"/>
        <v>6</v>
      </c>
      <c r="J1762" t="str" cm="1">
        <f t="array" ref="J1762">INDEX($A$2:$A$7,I1762)</f>
        <v>Segment 6- Self-Conscious Male</v>
      </c>
    </row>
    <row r="1763" spans="1:10" x14ac:dyDescent="0.25">
      <c r="A1763" s="1">
        <f>'batch tool'!A1757</f>
        <v>0</v>
      </c>
      <c r="B1763" s="7">
        <f>SUMPRODUCT($C$2:$X$2,'batch tool'!$B1757:$W1757)+$Y$2</f>
        <v>-49.12272534143483</v>
      </c>
      <c r="C1763" s="7">
        <f>SUMPRODUCT($C$3:$X$3,'batch tool'!$B1757:$W1757)+$Y$3</f>
        <v>-36.514029388465531</v>
      </c>
      <c r="D1763" s="7">
        <f>SUMPRODUCT($C$4:$X$4,'batch tool'!$B1757:$W1757)+$Y$4</f>
        <v>-44.639843068043824</v>
      </c>
      <c r="E1763" s="7">
        <f>SUMPRODUCT($C$5:$X$5,'batch tool'!$B1757:$W1757)+$Y$5</f>
        <v>-51.578889182477603</v>
      </c>
      <c r="F1763" s="7">
        <f>SUMPRODUCT($C$6:$X$6,'batch tool'!$B1757:$W1757)+$Y$6</f>
        <v>-47.741473633885199</v>
      </c>
      <c r="G1763" s="7">
        <f>SUMPRODUCT($C$7:$X$7,'batch tool'!$B1757:$W1757)+$Y$7</f>
        <v>-19.739516238059196</v>
      </c>
      <c r="H1763" s="7">
        <f t="shared" si="54"/>
        <v>-19.739516238059196</v>
      </c>
      <c r="I1763">
        <f t="shared" si="55"/>
        <v>6</v>
      </c>
      <c r="J1763" t="str" cm="1">
        <f t="array" ref="J1763">INDEX($A$2:$A$7,I1763)</f>
        <v>Segment 6- Self-Conscious Male</v>
      </c>
    </row>
    <row r="1764" spans="1:10" x14ac:dyDescent="0.25">
      <c r="A1764" s="1">
        <f>'batch tool'!A1758</f>
        <v>0</v>
      </c>
      <c r="B1764" s="7">
        <f>SUMPRODUCT($C$2:$X$2,'batch tool'!$B1758:$W1758)+$Y$2</f>
        <v>-49.12272534143483</v>
      </c>
      <c r="C1764" s="7">
        <f>SUMPRODUCT($C$3:$X$3,'batch tool'!$B1758:$W1758)+$Y$3</f>
        <v>-36.514029388465531</v>
      </c>
      <c r="D1764" s="7">
        <f>SUMPRODUCT($C$4:$X$4,'batch tool'!$B1758:$W1758)+$Y$4</f>
        <v>-44.639843068043824</v>
      </c>
      <c r="E1764" s="7">
        <f>SUMPRODUCT($C$5:$X$5,'batch tool'!$B1758:$W1758)+$Y$5</f>
        <v>-51.578889182477603</v>
      </c>
      <c r="F1764" s="7">
        <f>SUMPRODUCT($C$6:$X$6,'batch tool'!$B1758:$W1758)+$Y$6</f>
        <v>-47.741473633885199</v>
      </c>
      <c r="G1764" s="7">
        <f>SUMPRODUCT($C$7:$X$7,'batch tool'!$B1758:$W1758)+$Y$7</f>
        <v>-19.739516238059196</v>
      </c>
      <c r="H1764" s="7">
        <f t="shared" si="54"/>
        <v>-19.739516238059196</v>
      </c>
      <c r="I1764">
        <f t="shared" si="55"/>
        <v>6</v>
      </c>
      <c r="J1764" t="str" cm="1">
        <f t="array" ref="J1764">INDEX($A$2:$A$7,I1764)</f>
        <v>Segment 6- Self-Conscious Male</v>
      </c>
    </row>
    <row r="1765" spans="1:10" x14ac:dyDescent="0.25">
      <c r="A1765" s="1">
        <f>'batch tool'!A1759</f>
        <v>0</v>
      </c>
      <c r="B1765" s="7">
        <f>SUMPRODUCT($C$2:$X$2,'batch tool'!$B1759:$W1759)+$Y$2</f>
        <v>-49.12272534143483</v>
      </c>
      <c r="C1765" s="7">
        <f>SUMPRODUCT($C$3:$X$3,'batch tool'!$B1759:$W1759)+$Y$3</f>
        <v>-36.514029388465531</v>
      </c>
      <c r="D1765" s="7">
        <f>SUMPRODUCT($C$4:$X$4,'batch tool'!$B1759:$W1759)+$Y$4</f>
        <v>-44.639843068043824</v>
      </c>
      <c r="E1765" s="7">
        <f>SUMPRODUCT($C$5:$X$5,'batch tool'!$B1759:$W1759)+$Y$5</f>
        <v>-51.578889182477603</v>
      </c>
      <c r="F1765" s="7">
        <f>SUMPRODUCT($C$6:$X$6,'batch tool'!$B1759:$W1759)+$Y$6</f>
        <v>-47.741473633885199</v>
      </c>
      <c r="G1765" s="7">
        <f>SUMPRODUCT($C$7:$X$7,'batch tool'!$B1759:$W1759)+$Y$7</f>
        <v>-19.739516238059196</v>
      </c>
      <c r="H1765" s="7">
        <f t="shared" si="54"/>
        <v>-19.739516238059196</v>
      </c>
      <c r="I1765">
        <f t="shared" si="55"/>
        <v>6</v>
      </c>
      <c r="J1765" t="str" cm="1">
        <f t="array" ref="J1765">INDEX($A$2:$A$7,I1765)</f>
        <v>Segment 6- Self-Conscious Male</v>
      </c>
    </row>
    <row r="1766" spans="1:10" x14ac:dyDescent="0.25">
      <c r="A1766" s="1">
        <f>'batch tool'!A1760</f>
        <v>0</v>
      </c>
      <c r="B1766" s="7">
        <f>SUMPRODUCT($C$2:$X$2,'batch tool'!$B1760:$W1760)+$Y$2</f>
        <v>-49.12272534143483</v>
      </c>
      <c r="C1766" s="7">
        <f>SUMPRODUCT($C$3:$X$3,'batch tool'!$B1760:$W1760)+$Y$3</f>
        <v>-36.514029388465531</v>
      </c>
      <c r="D1766" s="7">
        <f>SUMPRODUCT($C$4:$X$4,'batch tool'!$B1760:$W1760)+$Y$4</f>
        <v>-44.639843068043824</v>
      </c>
      <c r="E1766" s="7">
        <f>SUMPRODUCT($C$5:$X$5,'batch tool'!$B1760:$W1760)+$Y$5</f>
        <v>-51.578889182477603</v>
      </c>
      <c r="F1766" s="7">
        <f>SUMPRODUCT($C$6:$X$6,'batch tool'!$B1760:$W1760)+$Y$6</f>
        <v>-47.741473633885199</v>
      </c>
      <c r="G1766" s="7">
        <f>SUMPRODUCT($C$7:$X$7,'batch tool'!$B1760:$W1760)+$Y$7</f>
        <v>-19.739516238059196</v>
      </c>
      <c r="H1766" s="7">
        <f t="shared" si="54"/>
        <v>-19.739516238059196</v>
      </c>
      <c r="I1766">
        <f t="shared" si="55"/>
        <v>6</v>
      </c>
      <c r="J1766" t="str" cm="1">
        <f t="array" ref="J1766">INDEX($A$2:$A$7,I1766)</f>
        <v>Segment 6- Self-Conscious Male</v>
      </c>
    </row>
    <row r="1767" spans="1:10" x14ac:dyDescent="0.25">
      <c r="A1767" s="1">
        <f>'batch tool'!A1761</f>
        <v>0</v>
      </c>
      <c r="B1767" s="7">
        <f>SUMPRODUCT($C$2:$X$2,'batch tool'!$B1761:$W1761)+$Y$2</f>
        <v>-49.12272534143483</v>
      </c>
      <c r="C1767" s="7">
        <f>SUMPRODUCT($C$3:$X$3,'batch tool'!$B1761:$W1761)+$Y$3</f>
        <v>-36.514029388465531</v>
      </c>
      <c r="D1767" s="7">
        <f>SUMPRODUCT($C$4:$X$4,'batch tool'!$B1761:$W1761)+$Y$4</f>
        <v>-44.639843068043824</v>
      </c>
      <c r="E1767" s="7">
        <f>SUMPRODUCT($C$5:$X$5,'batch tool'!$B1761:$W1761)+$Y$5</f>
        <v>-51.578889182477603</v>
      </c>
      <c r="F1767" s="7">
        <f>SUMPRODUCT($C$6:$X$6,'batch tool'!$B1761:$W1761)+$Y$6</f>
        <v>-47.741473633885199</v>
      </c>
      <c r="G1767" s="7">
        <f>SUMPRODUCT($C$7:$X$7,'batch tool'!$B1761:$W1761)+$Y$7</f>
        <v>-19.739516238059196</v>
      </c>
      <c r="H1767" s="7">
        <f t="shared" si="54"/>
        <v>-19.739516238059196</v>
      </c>
      <c r="I1767">
        <f t="shared" si="55"/>
        <v>6</v>
      </c>
      <c r="J1767" t="str" cm="1">
        <f t="array" ref="J1767">INDEX($A$2:$A$7,I1767)</f>
        <v>Segment 6- Self-Conscious Male</v>
      </c>
    </row>
    <row r="1768" spans="1:10" x14ac:dyDescent="0.25">
      <c r="A1768" s="1">
        <f>'batch tool'!A1762</f>
        <v>0</v>
      </c>
      <c r="B1768" s="7">
        <f>SUMPRODUCT($C$2:$X$2,'batch tool'!$B1762:$W1762)+$Y$2</f>
        <v>-49.12272534143483</v>
      </c>
      <c r="C1768" s="7">
        <f>SUMPRODUCT($C$3:$X$3,'batch tool'!$B1762:$W1762)+$Y$3</f>
        <v>-36.514029388465531</v>
      </c>
      <c r="D1768" s="7">
        <f>SUMPRODUCT($C$4:$X$4,'batch tool'!$B1762:$W1762)+$Y$4</f>
        <v>-44.639843068043824</v>
      </c>
      <c r="E1768" s="7">
        <f>SUMPRODUCT($C$5:$X$5,'batch tool'!$B1762:$W1762)+$Y$5</f>
        <v>-51.578889182477603</v>
      </c>
      <c r="F1768" s="7">
        <f>SUMPRODUCT($C$6:$X$6,'batch tool'!$B1762:$W1762)+$Y$6</f>
        <v>-47.741473633885199</v>
      </c>
      <c r="G1768" s="7">
        <f>SUMPRODUCT($C$7:$X$7,'batch tool'!$B1762:$W1762)+$Y$7</f>
        <v>-19.739516238059196</v>
      </c>
      <c r="H1768" s="7">
        <f t="shared" si="54"/>
        <v>-19.739516238059196</v>
      </c>
      <c r="I1768">
        <f t="shared" si="55"/>
        <v>6</v>
      </c>
      <c r="J1768" t="str" cm="1">
        <f t="array" ref="J1768">INDEX($A$2:$A$7,I1768)</f>
        <v>Segment 6- Self-Conscious Male</v>
      </c>
    </row>
    <row r="1769" spans="1:10" x14ac:dyDescent="0.25">
      <c r="A1769" s="1">
        <f>'batch tool'!A1763</f>
        <v>0</v>
      </c>
      <c r="B1769" s="7">
        <f>SUMPRODUCT($C$2:$X$2,'batch tool'!$B1763:$W1763)+$Y$2</f>
        <v>-49.12272534143483</v>
      </c>
      <c r="C1769" s="7">
        <f>SUMPRODUCT($C$3:$X$3,'batch tool'!$B1763:$W1763)+$Y$3</f>
        <v>-36.514029388465531</v>
      </c>
      <c r="D1769" s="7">
        <f>SUMPRODUCT($C$4:$X$4,'batch tool'!$B1763:$W1763)+$Y$4</f>
        <v>-44.639843068043824</v>
      </c>
      <c r="E1769" s="7">
        <f>SUMPRODUCT($C$5:$X$5,'batch tool'!$B1763:$W1763)+$Y$5</f>
        <v>-51.578889182477603</v>
      </c>
      <c r="F1769" s="7">
        <f>SUMPRODUCT($C$6:$X$6,'batch tool'!$B1763:$W1763)+$Y$6</f>
        <v>-47.741473633885199</v>
      </c>
      <c r="G1769" s="7">
        <f>SUMPRODUCT($C$7:$X$7,'batch tool'!$B1763:$W1763)+$Y$7</f>
        <v>-19.739516238059196</v>
      </c>
      <c r="H1769" s="7">
        <f t="shared" si="54"/>
        <v>-19.739516238059196</v>
      </c>
      <c r="I1769">
        <f t="shared" si="55"/>
        <v>6</v>
      </c>
      <c r="J1769" t="str" cm="1">
        <f t="array" ref="J1769">INDEX($A$2:$A$7,I1769)</f>
        <v>Segment 6- Self-Conscious Male</v>
      </c>
    </row>
    <row r="1770" spans="1:10" x14ac:dyDescent="0.25">
      <c r="A1770" s="1">
        <f>'batch tool'!A1764</f>
        <v>0</v>
      </c>
      <c r="B1770" s="7">
        <f>SUMPRODUCT($C$2:$X$2,'batch tool'!$B1764:$W1764)+$Y$2</f>
        <v>-49.12272534143483</v>
      </c>
      <c r="C1770" s="7">
        <f>SUMPRODUCT($C$3:$X$3,'batch tool'!$B1764:$W1764)+$Y$3</f>
        <v>-36.514029388465531</v>
      </c>
      <c r="D1770" s="7">
        <f>SUMPRODUCT($C$4:$X$4,'batch tool'!$B1764:$W1764)+$Y$4</f>
        <v>-44.639843068043824</v>
      </c>
      <c r="E1770" s="7">
        <f>SUMPRODUCT($C$5:$X$5,'batch tool'!$B1764:$W1764)+$Y$5</f>
        <v>-51.578889182477603</v>
      </c>
      <c r="F1770" s="7">
        <f>SUMPRODUCT($C$6:$X$6,'batch tool'!$B1764:$W1764)+$Y$6</f>
        <v>-47.741473633885199</v>
      </c>
      <c r="G1770" s="7">
        <f>SUMPRODUCT($C$7:$X$7,'batch tool'!$B1764:$W1764)+$Y$7</f>
        <v>-19.739516238059196</v>
      </c>
      <c r="H1770" s="7">
        <f t="shared" si="54"/>
        <v>-19.739516238059196</v>
      </c>
      <c r="I1770">
        <f t="shared" si="55"/>
        <v>6</v>
      </c>
      <c r="J1770" t="str" cm="1">
        <f t="array" ref="J1770">INDEX($A$2:$A$7,I1770)</f>
        <v>Segment 6- Self-Conscious Male</v>
      </c>
    </row>
    <row r="1771" spans="1:10" x14ac:dyDescent="0.25">
      <c r="A1771" s="1">
        <f>'batch tool'!A1765</f>
        <v>0</v>
      </c>
      <c r="B1771" s="7">
        <f>SUMPRODUCT($C$2:$X$2,'batch tool'!$B1765:$W1765)+$Y$2</f>
        <v>-49.12272534143483</v>
      </c>
      <c r="C1771" s="7">
        <f>SUMPRODUCT($C$3:$X$3,'batch tool'!$B1765:$W1765)+$Y$3</f>
        <v>-36.514029388465531</v>
      </c>
      <c r="D1771" s="7">
        <f>SUMPRODUCT($C$4:$X$4,'batch tool'!$B1765:$W1765)+$Y$4</f>
        <v>-44.639843068043824</v>
      </c>
      <c r="E1771" s="7">
        <f>SUMPRODUCT($C$5:$X$5,'batch tool'!$B1765:$W1765)+$Y$5</f>
        <v>-51.578889182477603</v>
      </c>
      <c r="F1771" s="7">
        <f>SUMPRODUCT($C$6:$X$6,'batch tool'!$B1765:$W1765)+$Y$6</f>
        <v>-47.741473633885199</v>
      </c>
      <c r="G1771" s="7">
        <f>SUMPRODUCT($C$7:$X$7,'batch tool'!$B1765:$W1765)+$Y$7</f>
        <v>-19.739516238059196</v>
      </c>
      <c r="H1771" s="7">
        <f t="shared" si="54"/>
        <v>-19.739516238059196</v>
      </c>
      <c r="I1771">
        <f t="shared" si="55"/>
        <v>6</v>
      </c>
      <c r="J1771" t="str" cm="1">
        <f t="array" ref="J1771">INDEX($A$2:$A$7,I1771)</f>
        <v>Segment 6- Self-Conscious Male</v>
      </c>
    </row>
    <row r="1772" spans="1:10" x14ac:dyDescent="0.25">
      <c r="A1772" s="1">
        <f>'batch tool'!A1766</f>
        <v>0</v>
      </c>
      <c r="B1772" s="7">
        <f>SUMPRODUCT($C$2:$X$2,'batch tool'!$B1766:$W1766)+$Y$2</f>
        <v>-49.12272534143483</v>
      </c>
      <c r="C1772" s="7">
        <f>SUMPRODUCT($C$3:$X$3,'batch tool'!$B1766:$W1766)+$Y$3</f>
        <v>-36.514029388465531</v>
      </c>
      <c r="D1772" s="7">
        <f>SUMPRODUCT($C$4:$X$4,'batch tool'!$B1766:$W1766)+$Y$4</f>
        <v>-44.639843068043824</v>
      </c>
      <c r="E1772" s="7">
        <f>SUMPRODUCT($C$5:$X$5,'batch tool'!$B1766:$W1766)+$Y$5</f>
        <v>-51.578889182477603</v>
      </c>
      <c r="F1772" s="7">
        <f>SUMPRODUCT($C$6:$X$6,'batch tool'!$B1766:$W1766)+$Y$6</f>
        <v>-47.741473633885199</v>
      </c>
      <c r="G1772" s="7">
        <f>SUMPRODUCT($C$7:$X$7,'batch tool'!$B1766:$W1766)+$Y$7</f>
        <v>-19.739516238059196</v>
      </c>
      <c r="H1772" s="7">
        <f t="shared" si="54"/>
        <v>-19.739516238059196</v>
      </c>
      <c r="I1772">
        <f t="shared" si="55"/>
        <v>6</v>
      </c>
      <c r="J1772" t="str" cm="1">
        <f t="array" ref="J1772">INDEX($A$2:$A$7,I1772)</f>
        <v>Segment 6- Self-Conscious Male</v>
      </c>
    </row>
    <row r="1773" spans="1:10" x14ac:dyDescent="0.25">
      <c r="A1773" s="1">
        <f>'batch tool'!A1767</f>
        <v>0</v>
      </c>
      <c r="B1773" s="7">
        <f>SUMPRODUCT($C$2:$X$2,'batch tool'!$B1767:$W1767)+$Y$2</f>
        <v>-49.12272534143483</v>
      </c>
      <c r="C1773" s="7">
        <f>SUMPRODUCT($C$3:$X$3,'batch tool'!$B1767:$W1767)+$Y$3</f>
        <v>-36.514029388465531</v>
      </c>
      <c r="D1773" s="7">
        <f>SUMPRODUCT($C$4:$X$4,'batch tool'!$B1767:$W1767)+$Y$4</f>
        <v>-44.639843068043824</v>
      </c>
      <c r="E1773" s="7">
        <f>SUMPRODUCT($C$5:$X$5,'batch tool'!$B1767:$W1767)+$Y$5</f>
        <v>-51.578889182477603</v>
      </c>
      <c r="F1773" s="7">
        <f>SUMPRODUCT($C$6:$X$6,'batch tool'!$B1767:$W1767)+$Y$6</f>
        <v>-47.741473633885199</v>
      </c>
      <c r="G1773" s="7">
        <f>SUMPRODUCT($C$7:$X$7,'batch tool'!$B1767:$W1767)+$Y$7</f>
        <v>-19.739516238059196</v>
      </c>
      <c r="H1773" s="7">
        <f t="shared" si="54"/>
        <v>-19.739516238059196</v>
      </c>
      <c r="I1773">
        <f t="shared" si="55"/>
        <v>6</v>
      </c>
      <c r="J1773" t="str" cm="1">
        <f t="array" ref="J1773">INDEX($A$2:$A$7,I1773)</f>
        <v>Segment 6- Self-Conscious Male</v>
      </c>
    </row>
    <row r="1774" spans="1:10" x14ac:dyDescent="0.25">
      <c r="A1774" s="1">
        <f>'batch tool'!A1768</f>
        <v>0</v>
      </c>
      <c r="B1774" s="7">
        <f>SUMPRODUCT($C$2:$X$2,'batch tool'!$B1768:$W1768)+$Y$2</f>
        <v>-49.12272534143483</v>
      </c>
      <c r="C1774" s="7">
        <f>SUMPRODUCT($C$3:$X$3,'batch tool'!$B1768:$W1768)+$Y$3</f>
        <v>-36.514029388465531</v>
      </c>
      <c r="D1774" s="7">
        <f>SUMPRODUCT($C$4:$X$4,'batch tool'!$B1768:$W1768)+$Y$4</f>
        <v>-44.639843068043824</v>
      </c>
      <c r="E1774" s="7">
        <f>SUMPRODUCT($C$5:$X$5,'batch tool'!$B1768:$W1768)+$Y$5</f>
        <v>-51.578889182477603</v>
      </c>
      <c r="F1774" s="7">
        <f>SUMPRODUCT($C$6:$X$6,'batch tool'!$B1768:$W1768)+$Y$6</f>
        <v>-47.741473633885199</v>
      </c>
      <c r="G1774" s="7">
        <f>SUMPRODUCT($C$7:$X$7,'batch tool'!$B1768:$W1768)+$Y$7</f>
        <v>-19.739516238059196</v>
      </c>
      <c r="H1774" s="7">
        <f t="shared" si="54"/>
        <v>-19.739516238059196</v>
      </c>
      <c r="I1774">
        <f t="shared" si="55"/>
        <v>6</v>
      </c>
      <c r="J1774" t="str" cm="1">
        <f t="array" ref="J1774">INDEX($A$2:$A$7,I1774)</f>
        <v>Segment 6- Self-Conscious Male</v>
      </c>
    </row>
    <row r="1775" spans="1:10" x14ac:dyDescent="0.25">
      <c r="A1775" s="1">
        <f>'batch tool'!A1769</f>
        <v>0</v>
      </c>
      <c r="B1775" s="7">
        <f>SUMPRODUCT($C$2:$X$2,'batch tool'!$B1769:$W1769)+$Y$2</f>
        <v>-49.12272534143483</v>
      </c>
      <c r="C1775" s="7">
        <f>SUMPRODUCT($C$3:$X$3,'batch tool'!$B1769:$W1769)+$Y$3</f>
        <v>-36.514029388465531</v>
      </c>
      <c r="D1775" s="7">
        <f>SUMPRODUCT($C$4:$X$4,'batch tool'!$B1769:$W1769)+$Y$4</f>
        <v>-44.639843068043824</v>
      </c>
      <c r="E1775" s="7">
        <f>SUMPRODUCT($C$5:$X$5,'batch tool'!$B1769:$W1769)+$Y$5</f>
        <v>-51.578889182477603</v>
      </c>
      <c r="F1775" s="7">
        <f>SUMPRODUCT($C$6:$X$6,'batch tool'!$B1769:$W1769)+$Y$6</f>
        <v>-47.741473633885199</v>
      </c>
      <c r="G1775" s="7">
        <f>SUMPRODUCT($C$7:$X$7,'batch tool'!$B1769:$W1769)+$Y$7</f>
        <v>-19.739516238059196</v>
      </c>
      <c r="H1775" s="7">
        <f t="shared" si="54"/>
        <v>-19.739516238059196</v>
      </c>
      <c r="I1775">
        <f t="shared" si="55"/>
        <v>6</v>
      </c>
      <c r="J1775" t="str" cm="1">
        <f t="array" ref="J1775">INDEX($A$2:$A$7,I1775)</f>
        <v>Segment 6- Self-Conscious Male</v>
      </c>
    </row>
    <row r="1776" spans="1:10" x14ac:dyDescent="0.25">
      <c r="A1776" s="1">
        <f>'batch tool'!A1770</f>
        <v>0</v>
      </c>
      <c r="B1776" s="7">
        <f>SUMPRODUCT($C$2:$X$2,'batch tool'!$B1770:$W1770)+$Y$2</f>
        <v>-49.12272534143483</v>
      </c>
      <c r="C1776" s="7">
        <f>SUMPRODUCT($C$3:$X$3,'batch tool'!$B1770:$W1770)+$Y$3</f>
        <v>-36.514029388465531</v>
      </c>
      <c r="D1776" s="7">
        <f>SUMPRODUCT($C$4:$X$4,'batch tool'!$B1770:$W1770)+$Y$4</f>
        <v>-44.639843068043824</v>
      </c>
      <c r="E1776" s="7">
        <f>SUMPRODUCT($C$5:$X$5,'batch tool'!$B1770:$W1770)+$Y$5</f>
        <v>-51.578889182477603</v>
      </c>
      <c r="F1776" s="7">
        <f>SUMPRODUCT($C$6:$X$6,'batch tool'!$B1770:$W1770)+$Y$6</f>
        <v>-47.741473633885199</v>
      </c>
      <c r="G1776" s="7">
        <f>SUMPRODUCT($C$7:$X$7,'batch tool'!$B1770:$W1770)+$Y$7</f>
        <v>-19.739516238059196</v>
      </c>
      <c r="H1776" s="7">
        <f t="shared" si="54"/>
        <v>-19.739516238059196</v>
      </c>
      <c r="I1776">
        <f t="shared" si="55"/>
        <v>6</v>
      </c>
      <c r="J1776" t="str" cm="1">
        <f t="array" ref="J1776">INDEX($A$2:$A$7,I1776)</f>
        <v>Segment 6- Self-Conscious Male</v>
      </c>
    </row>
    <row r="1777" spans="1:10" x14ac:dyDescent="0.25">
      <c r="A1777" s="1">
        <f>'batch tool'!A1771</f>
        <v>0</v>
      </c>
      <c r="B1777" s="7">
        <f>SUMPRODUCT($C$2:$X$2,'batch tool'!$B1771:$W1771)+$Y$2</f>
        <v>-49.12272534143483</v>
      </c>
      <c r="C1777" s="7">
        <f>SUMPRODUCT($C$3:$X$3,'batch tool'!$B1771:$W1771)+$Y$3</f>
        <v>-36.514029388465531</v>
      </c>
      <c r="D1777" s="7">
        <f>SUMPRODUCT($C$4:$X$4,'batch tool'!$B1771:$W1771)+$Y$4</f>
        <v>-44.639843068043824</v>
      </c>
      <c r="E1777" s="7">
        <f>SUMPRODUCT($C$5:$X$5,'batch tool'!$B1771:$W1771)+$Y$5</f>
        <v>-51.578889182477603</v>
      </c>
      <c r="F1777" s="7">
        <f>SUMPRODUCT($C$6:$X$6,'batch tool'!$B1771:$W1771)+$Y$6</f>
        <v>-47.741473633885199</v>
      </c>
      <c r="G1777" s="7">
        <f>SUMPRODUCT($C$7:$X$7,'batch tool'!$B1771:$W1771)+$Y$7</f>
        <v>-19.739516238059196</v>
      </c>
      <c r="H1777" s="7">
        <f t="shared" si="54"/>
        <v>-19.739516238059196</v>
      </c>
      <c r="I1777">
        <f t="shared" si="55"/>
        <v>6</v>
      </c>
      <c r="J1777" t="str" cm="1">
        <f t="array" ref="J1777">INDEX($A$2:$A$7,I1777)</f>
        <v>Segment 6- Self-Conscious Male</v>
      </c>
    </row>
    <row r="1778" spans="1:10" x14ac:dyDescent="0.25">
      <c r="A1778" s="1">
        <f>'batch tool'!A1772</f>
        <v>0</v>
      </c>
      <c r="B1778" s="7">
        <f>SUMPRODUCT($C$2:$X$2,'batch tool'!$B1772:$W1772)+$Y$2</f>
        <v>-49.12272534143483</v>
      </c>
      <c r="C1778" s="7">
        <f>SUMPRODUCT($C$3:$X$3,'batch tool'!$B1772:$W1772)+$Y$3</f>
        <v>-36.514029388465531</v>
      </c>
      <c r="D1778" s="7">
        <f>SUMPRODUCT($C$4:$X$4,'batch tool'!$B1772:$W1772)+$Y$4</f>
        <v>-44.639843068043824</v>
      </c>
      <c r="E1778" s="7">
        <f>SUMPRODUCT($C$5:$X$5,'batch tool'!$B1772:$W1772)+$Y$5</f>
        <v>-51.578889182477603</v>
      </c>
      <c r="F1778" s="7">
        <f>SUMPRODUCT($C$6:$X$6,'batch tool'!$B1772:$W1772)+$Y$6</f>
        <v>-47.741473633885199</v>
      </c>
      <c r="G1778" s="7">
        <f>SUMPRODUCT($C$7:$X$7,'batch tool'!$B1772:$W1772)+$Y$7</f>
        <v>-19.739516238059196</v>
      </c>
      <c r="H1778" s="7">
        <f t="shared" si="54"/>
        <v>-19.739516238059196</v>
      </c>
      <c r="I1778">
        <f t="shared" si="55"/>
        <v>6</v>
      </c>
      <c r="J1778" t="str" cm="1">
        <f t="array" ref="J1778">INDEX($A$2:$A$7,I1778)</f>
        <v>Segment 6- Self-Conscious Male</v>
      </c>
    </row>
    <row r="1779" spans="1:10" x14ac:dyDescent="0.25">
      <c r="A1779" s="1">
        <f>'batch tool'!A1773</f>
        <v>0</v>
      </c>
      <c r="B1779" s="7">
        <f>SUMPRODUCT($C$2:$X$2,'batch tool'!$B1773:$W1773)+$Y$2</f>
        <v>-49.12272534143483</v>
      </c>
      <c r="C1779" s="7">
        <f>SUMPRODUCT($C$3:$X$3,'batch tool'!$B1773:$W1773)+$Y$3</f>
        <v>-36.514029388465531</v>
      </c>
      <c r="D1779" s="7">
        <f>SUMPRODUCT($C$4:$X$4,'batch tool'!$B1773:$W1773)+$Y$4</f>
        <v>-44.639843068043824</v>
      </c>
      <c r="E1779" s="7">
        <f>SUMPRODUCT($C$5:$X$5,'batch tool'!$B1773:$W1773)+$Y$5</f>
        <v>-51.578889182477603</v>
      </c>
      <c r="F1779" s="7">
        <f>SUMPRODUCT($C$6:$X$6,'batch tool'!$B1773:$W1773)+$Y$6</f>
        <v>-47.741473633885199</v>
      </c>
      <c r="G1779" s="7">
        <f>SUMPRODUCT($C$7:$X$7,'batch tool'!$B1773:$W1773)+$Y$7</f>
        <v>-19.739516238059196</v>
      </c>
      <c r="H1779" s="7">
        <f t="shared" si="54"/>
        <v>-19.739516238059196</v>
      </c>
      <c r="I1779">
        <f t="shared" si="55"/>
        <v>6</v>
      </c>
      <c r="J1779" t="str" cm="1">
        <f t="array" ref="J1779">INDEX($A$2:$A$7,I1779)</f>
        <v>Segment 6- Self-Conscious Male</v>
      </c>
    </row>
    <row r="1780" spans="1:10" x14ac:dyDescent="0.25">
      <c r="A1780" s="1">
        <f>'batch tool'!A1774</f>
        <v>0</v>
      </c>
      <c r="B1780" s="7">
        <f>SUMPRODUCT($C$2:$X$2,'batch tool'!$B1774:$W1774)+$Y$2</f>
        <v>-49.12272534143483</v>
      </c>
      <c r="C1780" s="7">
        <f>SUMPRODUCT($C$3:$X$3,'batch tool'!$B1774:$W1774)+$Y$3</f>
        <v>-36.514029388465531</v>
      </c>
      <c r="D1780" s="7">
        <f>SUMPRODUCT($C$4:$X$4,'batch tool'!$B1774:$W1774)+$Y$4</f>
        <v>-44.639843068043824</v>
      </c>
      <c r="E1780" s="7">
        <f>SUMPRODUCT($C$5:$X$5,'batch tool'!$B1774:$W1774)+$Y$5</f>
        <v>-51.578889182477603</v>
      </c>
      <c r="F1780" s="7">
        <f>SUMPRODUCT($C$6:$X$6,'batch tool'!$B1774:$W1774)+$Y$6</f>
        <v>-47.741473633885199</v>
      </c>
      <c r="G1780" s="7">
        <f>SUMPRODUCT($C$7:$X$7,'batch tool'!$B1774:$W1774)+$Y$7</f>
        <v>-19.739516238059196</v>
      </c>
      <c r="H1780" s="7">
        <f t="shared" si="54"/>
        <v>-19.739516238059196</v>
      </c>
      <c r="I1780">
        <f t="shared" si="55"/>
        <v>6</v>
      </c>
      <c r="J1780" t="str" cm="1">
        <f t="array" ref="J1780">INDEX($A$2:$A$7,I1780)</f>
        <v>Segment 6- Self-Conscious Male</v>
      </c>
    </row>
    <row r="1781" spans="1:10" x14ac:dyDescent="0.25">
      <c r="A1781" s="1">
        <f>'batch tool'!A1775</f>
        <v>0</v>
      </c>
      <c r="B1781" s="7">
        <f>SUMPRODUCT($C$2:$X$2,'batch tool'!$B1775:$W1775)+$Y$2</f>
        <v>-49.12272534143483</v>
      </c>
      <c r="C1781" s="7">
        <f>SUMPRODUCT($C$3:$X$3,'batch tool'!$B1775:$W1775)+$Y$3</f>
        <v>-36.514029388465531</v>
      </c>
      <c r="D1781" s="7">
        <f>SUMPRODUCT($C$4:$X$4,'batch tool'!$B1775:$W1775)+$Y$4</f>
        <v>-44.639843068043824</v>
      </c>
      <c r="E1781" s="7">
        <f>SUMPRODUCT($C$5:$X$5,'batch tool'!$B1775:$W1775)+$Y$5</f>
        <v>-51.578889182477603</v>
      </c>
      <c r="F1781" s="7">
        <f>SUMPRODUCT($C$6:$X$6,'batch tool'!$B1775:$W1775)+$Y$6</f>
        <v>-47.741473633885199</v>
      </c>
      <c r="G1781" s="7">
        <f>SUMPRODUCT($C$7:$X$7,'batch tool'!$B1775:$W1775)+$Y$7</f>
        <v>-19.739516238059196</v>
      </c>
      <c r="H1781" s="7">
        <f t="shared" si="54"/>
        <v>-19.739516238059196</v>
      </c>
      <c r="I1781">
        <f t="shared" si="55"/>
        <v>6</v>
      </c>
      <c r="J1781" t="str" cm="1">
        <f t="array" ref="J1781">INDEX($A$2:$A$7,I1781)</f>
        <v>Segment 6- Self-Conscious Male</v>
      </c>
    </row>
    <row r="1782" spans="1:10" x14ac:dyDescent="0.25">
      <c r="A1782" s="1">
        <f>'batch tool'!A1776</f>
        <v>0</v>
      </c>
      <c r="B1782" s="7">
        <f>SUMPRODUCT($C$2:$X$2,'batch tool'!$B1776:$W1776)+$Y$2</f>
        <v>-49.12272534143483</v>
      </c>
      <c r="C1782" s="7">
        <f>SUMPRODUCT($C$3:$X$3,'batch tool'!$B1776:$W1776)+$Y$3</f>
        <v>-36.514029388465531</v>
      </c>
      <c r="D1782" s="7">
        <f>SUMPRODUCT($C$4:$X$4,'batch tool'!$B1776:$W1776)+$Y$4</f>
        <v>-44.639843068043824</v>
      </c>
      <c r="E1782" s="7">
        <f>SUMPRODUCT($C$5:$X$5,'batch tool'!$B1776:$W1776)+$Y$5</f>
        <v>-51.578889182477603</v>
      </c>
      <c r="F1782" s="7">
        <f>SUMPRODUCT($C$6:$X$6,'batch tool'!$B1776:$W1776)+$Y$6</f>
        <v>-47.741473633885199</v>
      </c>
      <c r="G1782" s="7">
        <f>SUMPRODUCT($C$7:$X$7,'batch tool'!$B1776:$W1776)+$Y$7</f>
        <v>-19.739516238059196</v>
      </c>
      <c r="H1782" s="7">
        <f t="shared" si="54"/>
        <v>-19.739516238059196</v>
      </c>
      <c r="I1782">
        <f t="shared" si="55"/>
        <v>6</v>
      </c>
      <c r="J1782" t="str" cm="1">
        <f t="array" ref="J1782">INDEX($A$2:$A$7,I1782)</f>
        <v>Segment 6- Self-Conscious Male</v>
      </c>
    </row>
    <row r="1783" spans="1:10" x14ac:dyDescent="0.25">
      <c r="A1783" s="1">
        <f>'batch tool'!A1777</f>
        <v>0</v>
      </c>
      <c r="B1783" s="7">
        <f>SUMPRODUCT($C$2:$X$2,'batch tool'!$B1777:$W1777)+$Y$2</f>
        <v>-49.12272534143483</v>
      </c>
      <c r="C1783" s="7">
        <f>SUMPRODUCT($C$3:$X$3,'batch tool'!$B1777:$W1777)+$Y$3</f>
        <v>-36.514029388465531</v>
      </c>
      <c r="D1783" s="7">
        <f>SUMPRODUCT($C$4:$X$4,'batch tool'!$B1777:$W1777)+$Y$4</f>
        <v>-44.639843068043824</v>
      </c>
      <c r="E1783" s="7">
        <f>SUMPRODUCT($C$5:$X$5,'batch tool'!$B1777:$W1777)+$Y$5</f>
        <v>-51.578889182477603</v>
      </c>
      <c r="F1783" s="7">
        <f>SUMPRODUCT($C$6:$X$6,'batch tool'!$B1777:$W1777)+$Y$6</f>
        <v>-47.741473633885199</v>
      </c>
      <c r="G1783" s="7">
        <f>SUMPRODUCT($C$7:$X$7,'batch tool'!$B1777:$W1777)+$Y$7</f>
        <v>-19.739516238059196</v>
      </c>
      <c r="H1783" s="7">
        <f t="shared" si="54"/>
        <v>-19.739516238059196</v>
      </c>
      <c r="I1783">
        <f t="shared" si="55"/>
        <v>6</v>
      </c>
      <c r="J1783" t="str" cm="1">
        <f t="array" ref="J1783">INDEX($A$2:$A$7,I1783)</f>
        <v>Segment 6- Self-Conscious Male</v>
      </c>
    </row>
    <row r="1784" spans="1:10" x14ac:dyDescent="0.25">
      <c r="A1784" s="1">
        <f>'batch tool'!A1778</f>
        <v>0</v>
      </c>
      <c r="B1784" s="7">
        <f>SUMPRODUCT($C$2:$X$2,'batch tool'!$B1778:$W1778)+$Y$2</f>
        <v>-49.12272534143483</v>
      </c>
      <c r="C1784" s="7">
        <f>SUMPRODUCT($C$3:$X$3,'batch tool'!$B1778:$W1778)+$Y$3</f>
        <v>-36.514029388465531</v>
      </c>
      <c r="D1784" s="7">
        <f>SUMPRODUCT($C$4:$X$4,'batch tool'!$B1778:$W1778)+$Y$4</f>
        <v>-44.639843068043824</v>
      </c>
      <c r="E1784" s="7">
        <f>SUMPRODUCT($C$5:$X$5,'batch tool'!$B1778:$W1778)+$Y$5</f>
        <v>-51.578889182477603</v>
      </c>
      <c r="F1784" s="7">
        <f>SUMPRODUCT($C$6:$X$6,'batch tool'!$B1778:$W1778)+$Y$6</f>
        <v>-47.741473633885199</v>
      </c>
      <c r="G1784" s="7">
        <f>SUMPRODUCT($C$7:$X$7,'batch tool'!$B1778:$W1778)+$Y$7</f>
        <v>-19.739516238059196</v>
      </c>
      <c r="H1784" s="7">
        <f t="shared" si="54"/>
        <v>-19.739516238059196</v>
      </c>
      <c r="I1784">
        <f t="shared" si="55"/>
        <v>6</v>
      </c>
      <c r="J1784" t="str" cm="1">
        <f t="array" ref="J1784">INDEX($A$2:$A$7,I1784)</f>
        <v>Segment 6- Self-Conscious Male</v>
      </c>
    </row>
    <row r="1785" spans="1:10" x14ac:dyDescent="0.25">
      <c r="A1785" s="1">
        <f>'batch tool'!A1779</f>
        <v>0</v>
      </c>
      <c r="B1785" s="7">
        <f>SUMPRODUCT($C$2:$X$2,'batch tool'!$B1779:$W1779)+$Y$2</f>
        <v>-49.12272534143483</v>
      </c>
      <c r="C1785" s="7">
        <f>SUMPRODUCT($C$3:$X$3,'batch tool'!$B1779:$W1779)+$Y$3</f>
        <v>-36.514029388465531</v>
      </c>
      <c r="D1785" s="7">
        <f>SUMPRODUCT($C$4:$X$4,'batch tool'!$B1779:$W1779)+$Y$4</f>
        <v>-44.639843068043824</v>
      </c>
      <c r="E1785" s="7">
        <f>SUMPRODUCT($C$5:$X$5,'batch tool'!$B1779:$W1779)+$Y$5</f>
        <v>-51.578889182477603</v>
      </c>
      <c r="F1785" s="7">
        <f>SUMPRODUCT($C$6:$X$6,'batch tool'!$B1779:$W1779)+$Y$6</f>
        <v>-47.741473633885199</v>
      </c>
      <c r="G1785" s="7">
        <f>SUMPRODUCT($C$7:$X$7,'batch tool'!$B1779:$W1779)+$Y$7</f>
        <v>-19.739516238059196</v>
      </c>
      <c r="H1785" s="7">
        <f t="shared" si="54"/>
        <v>-19.739516238059196</v>
      </c>
      <c r="I1785">
        <f t="shared" si="55"/>
        <v>6</v>
      </c>
      <c r="J1785" t="str" cm="1">
        <f t="array" ref="J1785">INDEX($A$2:$A$7,I1785)</f>
        <v>Segment 6- Self-Conscious Male</v>
      </c>
    </row>
    <row r="1786" spans="1:10" x14ac:dyDescent="0.25">
      <c r="A1786" s="1">
        <f>'batch tool'!A1780</f>
        <v>0</v>
      </c>
      <c r="B1786" s="7">
        <f>SUMPRODUCT($C$2:$X$2,'batch tool'!$B1780:$W1780)+$Y$2</f>
        <v>-49.12272534143483</v>
      </c>
      <c r="C1786" s="7">
        <f>SUMPRODUCT($C$3:$X$3,'batch tool'!$B1780:$W1780)+$Y$3</f>
        <v>-36.514029388465531</v>
      </c>
      <c r="D1786" s="7">
        <f>SUMPRODUCT($C$4:$X$4,'batch tool'!$B1780:$W1780)+$Y$4</f>
        <v>-44.639843068043824</v>
      </c>
      <c r="E1786" s="7">
        <f>SUMPRODUCT($C$5:$X$5,'batch tool'!$B1780:$W1780)+$Y$5</f>
        <v>-51.578889182477603</v>
      </c>
      <c r="F1786" s="7">
        <f>SUMPRODUCT($C$6:$X$6,'batch tool'!$B1780:$W1780)+$Y$6</f>
        <v>-47.741473633885199</v>
      </c>
      <c r="G1786" s="7">
        <f>SUMPRODUCT($C$7:$X$7,'batch tool'!$B1780:$W1780)+$Y$7</f>
        <v>-19.739516238059196</v>
      </c>
      <c r="H1786" s="7">
        <f t="shared" si="54"/>
        <v>-19.739516238059196</v>
      </c>
      <c r="I1786">
        <f t="shared" si="55"/>
        <v>6</v>
      </c>
      <c r="J1786" t="str" cm="1">
        <f t="array" ref="J1786">INDEX($A$2:$A$7,I1786)</f>
        <v>Segment 6- Self-Conscious Male</v>
      </c>
    </row>
    <row r="1787" spans="1:10" x14ac:dyDescent="0.25">
      <c r="A1787" s="1">
        <f>'batch tool'!A1781</f>
        <v>0</v>
      </c>
      <c r="B1787" s="7">
        <f>SUMPRODUCT($C$2:$X$2,'batch tool'!$B1781:$W1781)+$Y$2</f>
        <v>-49.12272534143483</v>
      </c>
      <c r="C1787" s="7">
        <f>SUMPRODUCT($C$3:$X$3,'batch tool'!$B1781:$W1781)+$Y$3</f>
        <v>-36.514029388465531</v>
      </c>
      <c r="D1787" s="7">
        <f>SUMPRODUCT($C$4:$X$4,'batch tool'!$B1781:$W1781)+$Y$4</f>
        <v>-44.639843068043824</v>
      </c>
      <c r="E1787" s="7">
        <f>SUMPRODUCT($C$5:$X$5,'batch tool'!$B1781:$W1781)+$Y$5</f>
        <v>-51.578889182477603</v>
      </c>
      <c r="F1787" s="7">
        <f>SUMPRODUCT($C$6:$X$6,'batch tool'!$B1781:$W1781)+$Y$6</f>
        <v>-47.741473633885199</v>
      </c>
      <c r="G1787" s="7">
        <f>SUMPRODUCT($C$7:$X$7,'batch tool'!$B1781:$W1781)+$Y$7</f>
        <v>-19.739516238059196</v>
      </c>
      <c r="H1787" s="7">
        <f t="shared" si="54"/>
        <v>-19.739516238059196</v>
      </c>
      <c r="I1787">
        <f t="shared" si="55"/>
        <v>6</v>
      </c>
      <c r="J1787" t="str" cm="1">
        <f t="array" ref="J1787">INDEX($A$2:$A$7,I1787)</f>
        <v>Segment 6- Self-Conscious Male</v>
      </c>
    </row>
    <row r="1788" spans="1:10" x14ac:dyDescent="0.25">
      <c r="A1788" s="1">
        <f>'batch tool'!A1782</f>
        <v>0</v>
      </c>
      <c r="B1788" s="7">
        <f>SUMPRODUCT($C$2:$X$2,'batch tool'!$B1782:$W1782)+$Y$2</f>
        <v>-49.12272534143483</v>
      </c>
      <c r="C1788" s="7">
        <f>SUMPRODUCT($C$3:$X$3,'batch tool'!$B1782:$W1782)+$Y$3</f>
        <v>-36.514029388465531</v>
      </c>
      <c r="D1788" s="7">
        <f>SUMPRODUCT($C$4:$X$4,'batch tool'!$B1782:$W1782)+$Y$4</f>
        <v>-44.639843068043824</v>
      </c>
      <c r="E1788" s="7">
        <f>SUMPRODUCT($C$5:$X$5,'batch tool'!$B1782:$W1782)+$Y$5</f>
        <v>-51.578889182477603</v>
      </c>
      <c r="F1788" s="7">
        <f>SUMPRODUCT($C$6:$X$6,'batch tool'!$B1782:$W1782)+$Y$6</f>
        <v>-47.741473633885199</v>
      </c>
      <c r="G1788" s="7">
        <f>SUMPRODUCT($C$7:$X$7,'batch tool'!$B1782:$W1782)+$Y$7</f>
        <v>-19.739516238059196</v>
      </c>
      <c r="H1788" s="7">
        <f t="shared" si="54"/>
        <v>-19.739516238059196</v>
      </c>
      <c r="I1788">
        <f t="shared" si="55"/>
        <v>6</v>
      </c>
      <c r="J1788" t="str" cm="1">
        <f t="array" ref="J1788">INDEX($A$2:$A$7,I1788)</f>
        <v>Segment 6- Self-Conscious Male</v>
      </c>
    </row>
    <row r="1789" spans="1:10" x14ac:dyDescent="0.25">
      <c r="A1789" s="1">
        <f>'batch tool'!A1783</f>
        <v>0</v>
      </c>
      <c r="B1789" s="7">
        <f>SUMPRODUCT($C$2:$X$2,'batch tool'!$B1783:$W1783)+$Y$2</f>
        <v>-49.12272534143483</v>
      </c>
      <c r="C1789" s="7">
        <f>SUMPRODUCT($C$3:$X$3,'batch tool'!$B1783:$W1783)+$Y$3</f>
        <v>-36.514029388465531</v>
      </c>
      <c r="D1789" s="7">
        <f>SUMPRODUCT($C$4:$X$4,'batch tool'!$B1783:$W1783)+$Y$4</f>
        <v>-44.639843068043824</v>
      </c>
      <c r="E1789" s="7">
        <f>SUMPRODUCT($C$5:$X$5,'batch tool'!$B1783:$W1783)+$Y$5</f>
        <v>-51.578889182477603</v>
      </c>
      <c r="F1789" s="7">
        <f>SUMPRODUCT($C$6:$X$6,'batch tool'!$B1783:$W1783)+$Y$6</f>
        <v>-47.741473633885199</v>
      </c>
      <c r="G1789" s="7">
        <f>SUMPRODUCT($C$7:$X$7,'batch tool'!$B1783:$W1783)+$Y$7</f>
        <v>-19.739516238059196</v>
      </c>
      <c r="H1789" s="7">
        <f t="shared" si="54"/>
        <v>-19.739516238059196</v>
      </c>
      <c r="I1789">
        <f t="shared" si="55"/>
        <v>6</v>
      </c>
      <c r="J1789" t="str" cm="1">
        <f t="array" ref="J1789">INDEX($A$2:$A$7,I1789)</f>
        <v>Segment 6- Self-Conscious Male</v>
      </c>
    </row>
    <row r="1790" spans="1:10" x14ac:dyDescent="0.25">
      <c r="A1790" s="1">
        <f>'batch tool'!A1784</f>
        <v>0</v>
      </c>
      <c r="B1790" s="7">
        <f>SUMPRODUCT($C$2:$X$2,'batch tool'!$B1784:$W1784)+$Y$2</f>
        <v>-49.12272534143483</v>
      </c>
      <c r="C1790" s="7">
        <f>SUMPRODUCT($C$3:$X$3,'batch tool'!$B1784:$W1784)+$Y$3</f>
        <v>-36.514029388465531</v>
      </c>
      <c r="D1790" s="7">
        <f>SUMPRODUCT($C$4:$X$4,'batch tool'!$B1784:$W1784)+$Y$4</f>
        <v>-44.639843068043824</v>
      </c>
      <c r="E1790" s="7">
        <f>SUMPRODUCT($C$5:$X$5,'batch tool'!$B1784:$W1784)+$Y$5</f>
        <v>-51.578889182477603</v>
      </c>
      <c r="F1790" s="7">
        <f>SUMPRODUCT($C$6:$X$6,'batch tool'!$B1784:$W1784)+$Y$6</f>
        <v>-47.741473633885199</v>
      </c>
      <c r="G1790" s="7">
        <f>SUMPRODUCT($C$7:$X$7,'batch tool'!$B1784:$W1784)+$Y$7</f>
        <v>-19.739516238059196</v>
      </c>
      <c r="H1790" s="7">
        <f t="shared" si="54"/>
        <v>-19.739516238059196</v>
      </c>
      <c r="I1790">
        <f t="shared" si="55"/>
        <v>6</v>
      </c>
      <c r="J1790" t="str" cm="1">
        <f t="array" ref="J1790">INDEX($A$2:$A$7,I1790)</f>
        <v>Segment 6- Self-Conscious Male</v>
      </c>
    </row>
    <row r="1791" spans="1:10" x14ac:dyDescent="0.25">
      <c r="A1791" s="1">
        <f>'batch tool'!A1785</f>
        <v>0</v>
      </c>
      <c r="B1791" s="7">
        <f>SUMPRODUCT($C$2:$X$2,'batch tool'!$B1785:$W1785)+$Y$2</f>
        <v>-49.12272534143483</v>
      </c>
      <c r="C1791" s="7">
        <f>SUMPRODUCT($C$3:$X$3,'batch tool'!$B1785:$W1785)+$Y$3</f>
        <v>-36.514029388465531</v>
      </c>
      <c r="D1791" s="7">
        <f>SUMPRODUCT($C$4:$X$4,'batch tool'!$B1785:$W1785)+$Y$4</f>
        <v>-44.639843068043824</v>
      </c>
      <c r="E1791" s="7">
        <f>SUMPRODUCT($C$5:$X$5,'batch tool'!$B1785:$W1785)+$Y$5</f>
        <v>-51.578889182477603</v>
      </c>
      <c r="F1791" s="7">
        <f>SUMPRODUCT($C$6:$X$6,'batch tool'!$B1785:$W1785)+$Y$6</f>
        <v>-47.741473633885199</v>
      </c>
      <c r="G1791" s="7">
        <f>SUMPRODUCT($C$7:$X$7,'batch tool'!$B1785:$W1785)+$Y$7</f>
        <v>-19.739516238059196</v>
      </c>
      <c r="H1791" s="7">
        <f t="shared" si="54"/>
        <v>-19.739516238059196</v>
      </c>
      <c r="I1791">
        <f t="shared" si="55"/>
        <v>6</v>
      </c>
      <c r="J1791" t="str" cm="1">
        <f t="array" ref="J1791">INDEX($A$2:$A$7,I1791)</f>
        <v>Segment 6- Self-Conscious Male</v>
      </c>
    </row>
    <row r="1792" spans="1:10" x14ac:dyDescent="0.25">
      <c r="A1792" s="1">
        <f>'batch tool'!A1786</f>
        <v>0</v>
      </c>
      <c r="B1792" s="7">
        <f>SUMPRODUCT($C$2:$X$2,'batch tool'!$B1786:$W1786)+$Y$2</f>
        <v>-49.12272534143483</v>
      </c>
      <c r="C1792" s="7">
        <f>SUMPRODUCT($C$3:$X$3,'batch tool'!$B1786:$W1786)+$Y$3</f>
        <v>-36.514029388465531</v>
      </c>
      <c r="D1792" s="7">
        <f>SUMPRODUCT($C$4:$X$4,'batch tool'!$B1786:$W1786)+$Y$4</f>
        <v>-44.639843068043824</v>
      </c>
      <c r="E1792" s="7">
        <f>SUMPRODUCT($C$5:$X$5,'batch tool'!$B1786:$W1786)+$Y$5</f>
        <v>-51.578889182477603</v>
      </c>
      <c r="F1792" s="7">
        <f>SUMPRODUCT($C$6:$X$6,'batch tool'!$B1786:$W1786)+$Y$6</f>
        <v>-47.741473633885199</v>
      </c>
      <c r="G1792" s="7">
        <f>SUMPRODUCT($C$7:$X$7,'batch tool'!$B1786:$W1786)+$Y$7</f>
        <v>-19.739516238059196</v>
      </c>
      <c r="H1792" s="7">
        <f t="shared" si="54"/>
        <v>-19.739516238059196</v>
      </c>
      <c r="I1792">
        <f t="shared" si="55"/>
        <v>6</v>
      </c>
      <c r="J1792" t="str" cm="1">
        <f t="array" ref="J1792">INDEX($A$2:$A$7,I1792)</f>
        <v>Segment 6- Self-Conscious Male</v>
      </c>
    </row>
    <row r="1793" spans="1:10" x14ac:dyDescent="0.25">
      <c r="A1793" s="1">
        <f>'batch tool'!A1787</f>
        <v>0</v>
      </c>
      <c r="B1793" s="7">
        <f>SUMPRODUCT($C$2:$X$2,'batch tool'!$B1787:$W1787)+$Y$2</f>
        <v>-49.12272534143483</v>
      </c>
      <c r="C1793" s="7">
        <f>SUMPRODUCT($C$3:$X$3,'batch tool'!$B1787:$W1787)+$Y$3</f>
        <v>-36.514029388465531</v>
      </c>
      <c r="D1793" s="7">
        <f>SUMPRODUCT($C$4:$X$4,'batch tool'!$B1787:$W1787)+$Y$4</f>
        <v>-44.639843068043824</v>
      </c>
      <c r="E1793" s="7">
        <f>SUMPRODUCT($C$5:$X$5,'batch tool'!$B1787:$W1787)+$Y$5</f>
        <v>-51.578889182477603</v>
      </c>
      <c r="F1793" s="7">
        <f>SUMPRODUCT($C$6:$X$6,'batch tool'!$B1787:$W1787)+$Y$6</f>
        <v>-47.741473633885199</v>
      </c>
      <c r="G1793" s="7">
        <f>SUMPRODUCT($C$7:$X$7,'batch tool'!$B1787:$W1787)+$Y$7</f>
        <v>-19.739516238059196</v>
      </c>
      <c r="H1793" s="7">
        <f t="shared" si="54"/>
        <v>-19.739516238059196</v>
      </c>
      <c r="I1793">
        <f t="shared" si="55"/>
        <v>6</v>
      </c>
      <c r="J1793" t="str" cm="1">
        <f t="array" ref="J1793">INDEX($A$2:$A$7,I1793)</f>
        <v>Segment 6- Self-Conscious Male</v>
      </c>
    </row>
    <row r="1794" spans="1:10" x14ac:dyDescent="0.25">
      <c r="A1794" s="1">
        <f>'batch tool'!A1788</f>
        <v>0</v>
      </c>
      <c r="B1794" s="7">
        <f>SUMPRODUCT($C$2:$X$2,'batch tool'!$B1788:$W1788)+$Y$2</f>
        <v>-49.12272534143483</v>
      </c>
      <c r="C1794" s="7">
        <f>SUMPRODUCT($C$3:$X$3,'batch tool'!$B1788:$W1788)+$Y$3</f>
        <v>-36.514029388465531</v>
      </c>
      <c r="D1794" s="7">
        <f>SUMPRODUCT($C$4:$X$4,'batch tool'!$B1788:$W1788)+$Y$4</f>
        <v>-44.639843068043824</v>
      </c>
      <c r="E1794" s="7">
        <f>SUMPRODUCT($C$5:$X$5,'batch tool'!$B1788:$W1788)+$Y$5</f>
        <v>-51.578889182477603</v>
      </c>
      <c r="F1794" s="7">
        <f>SUMPRODUCT($C$6:$X$6,'batch tool'!$B1788:$W1788)+$Y$6</f>
        <v>-47.741473633885199</v>
      </c>
      <c r="G1794" s="7">
        <f>SUMPRODUCT($C$7:$X$7,'batch tool'!$B1788:$W1788)+$Y$7</f>
        <v>-19.739516238059196</v>
      </c>
      <c r="H1794" s="7">
        <f t="shared" si="54"/>
        <v>-19.739516238059196</v>
      </c>
      <c r="I1794">
        <f t="shared" si="55"/>
        <v>6</v>
      </c>
      <c r="J1794" t="str" cm="1">
        <f t="array" ref="J1794">INDEX($A$2:$A$7,I1794)</f>
        <v>Segment 6- Self-Conscious Male</v>
      </c>
    </row>
    <row r="1795" spans="1:10" x14ac:dyDescent="0.25">
      <c r="A1795" s="1">
        <f>'batch tool'!A1789</f>
        <v>0</v>
      </c>
      <c r="B1795" s="7">
        <f>SUMPRODUCT($C$2:$X$2,'batch tool'!$B1789:$W1789)+$Y$2</f>
        <v>-49.12272534143483</v>
      </c>
      <c r="C1795" s="7">
        <f>SUMPRODUCT($C$3:$X$3,'batch tool'!$B1789:$W1789)+$Y$3</f>
        <v>-36.514029388465531</v>
      </c>
      <c r="D1795" s="7">
        <f>SUMPRODUCT($C$4:$X$4,'batch tool'!$B1789:$W1789)+$Y$4</f>
        <v>-44.639843068043824</v>
      </c>
      <c r="E1795" s="7">
        <f>SUMPRODUCT($C$5:$X$5,'batch tool'!$B1789:$W1789)+$Y$5</f>
        <v>-51.578889182477603</v>
      </c>
      <c r="F1795" s="7">
        <f>SUMPRODUCT($C$6:$X$6,'batch tool'!$B1789:$W1789)+$Y$6</f>
        <v>-47.741473633885199</v>
      </c>
      <c r="G1795" s="7">
        <f>SUMPRODUCT($C$7:$X$7,'batch tool'!$B1789:$W1789)+$Y$7</f>
        <v>-19.739516238059196</v>
      </c>
      <c r="H1795" s="7">
        <f t="shared" si="54"/>
        <v>-19.739516238059196</v>
      </c>
      <c r="I1795">
        <f t="shared" si="55"/>
        <v>6</v>
      </c>
      <c r="J1795" t="str" cm="1">
        <f t="array" ref="J1795">INDEX($A$2:$A$7,I1795)</f>
        <v>Segment 6- Self-Conscious Male</v>
      </c>
    </row>
    <row r="1796" spans="1:10" x14ac:dyDescent="0.25">
      <c r="A1796" s="1">
        <f>'batch tool'!A1790</f>
        <v>0</v>
      </c>
      <c r="B1796" s="7">
        <f>SUMPRODUCT($C$2:$X$2,'batch tool'!$B1790:$W1790)+$Y$2</f>
        <v>-49.12272534143483</v>
      </c>
      <c r="C1796" s="7">
        <f>SUMPRODUCT($C$3:$X$3,'batch tool'!$B1790:$W1790)+$Y$3</f>
        <v>-36.514029388465531</v>
      </c>
      <c r="D1796" s="7">
        <f>SUMPRODUCT($C$4:$X$4,'batch tool'!$B1790:$W1790)+$Y$4</f>
        <v>-44.639843068043824</v>
      </c>
      <c r="E1796" s="7">
        <f>SUMPRODUCT($C$5:$X$5,'batch tool'!$B1790:$W1790)+$Y$5</f>
        <v>-51.578889182477603</v>
      </c>
      <c r="F1796" s="7">
        <f>SUMPRODUCT($C$6:$X$6,'batch tool'!$B1790:$W1790)+$Y$6</f>
        <v>-47.741473633885199</v>
      </c>
      <c r="G1796" s="7">
        <f>SUMPRODUCT($C$7:$X$7,'batch tool'!$B1790:$W1790)+$Y$7</f>
        <v>-19.739516238059196</v>
      </c>
      <c r="H1796" s="7">
        <f t="shared" si="54"/>
        <v>-19.739516238059196</v>
      </c>
      <c r="I1796">
        <f t="shared" si="55"/>
        <v>6</v>
      </c>
      <c r="J1796" t="str" cm="1">
        <f t="array" ref="J1796">INDEX($A$2:$A$7,I1796)</f>
        <v>Segment 6- Self-Conscious Male</v>
      </c>
    </row>
    <row r="1797" spans="1:10" x14ac:dyDescent="0.25">
      <c r="A1797" s="1">
        <f>'batch tool'!A1791</f>
        <v>0</v>
      </c>
      <c r="B1797" s="7">
        <f>SUMPRODUCT($C$2:$X$2,'batch tool'!$B1791:$W1791)+$Y$2</f>
        <v>-49.12272534143483</v>
      </c>
      <c r="C1797" s="7">
        <f>SUMPRODUCT($C$3:$X$3,'batch tool'!$B1791:$W1791)+$Y$3</f>
        <v>-36.514029388465531</v>
      </c>
      <c r="D1797" s="7">
        <f>SUMPRODUCT($C$4:$X$4,'batch tool'!$B1791:$W1791)+$Y$4</f>
        <v>-44.639843068043824</v>
      </c>
      <c r="E1797" s="7">
        <f>SUMPRODUCT($C$5:$X$5,'batch tool'!$B1791:$W1791)+$Y$5</f>
        <v>-51.578889182477603</v>
      </c>
      <c r="F1797" s="7">
        <f>SUMPRODUCT($C$6:$X$6,'batch tool'!$B1791:$W1791)+$Y$6</f>
        <v>-47.741473633885199</v>
      </c>
      <c r="G1797" s="7">
        <f>SUMPRODUCT($C$7:$X$7,'batch tool'!$B1791:$W1791)+$Y$7</f>
        <v>-19.739516238059196</v>
      </c>
      <c r="H1797" s="7">
        <f t="shared" si="54"/>
        <v>-19.739516238059196</v>
      </c>
      <c r="I1797">
        <f t="shared" si="55"/>
        <v>6</v>
      </c>
      <c r="J1797" t="str" cm="1">
        <f t="array" ref="J1797">INDEX($A$2:$A$7,I1797)</f>
        <v>Segment 6- Self-Conscious Male</v>
      </c>
    </row>
    <row r="1798" spans="1:10" x14ac:dyDescent="0.25">
      <c r="A1798" s="1">
        <f>'batch tool'!A1792</f>
        <v>0</v>
      </c>
      <c r="B1798" s="7">
        <f>SUMPRODUCT($C$2:$X$2,'batch tool'!$B1792:$W1792)+$Y$2</f>
        <v>-49.12272534143483</v>
      </c>
      <c r="C1798" s="7">
        <f>SUMPRODUCT($C$3:$X$3,'batch tool'!$B1792:$W1792)+$Y$3</f>
        <v>-36.514029388465531</v>
      </c>
      <c r="D1798" s="7">
        <f>SUMPRODUCT($C$4:$X$4,'batch tool'!$B1792:$W1792)+$Y$4</f>
        <v>-44.639843068043824</v>
      </c>
      <c r="E1798" s="7">
        <f>SUMPRODUCT($C$5:$X$5,'batch tool'!$B1792:$W1792)+$Y$5</f>
        <v>-51.578889182477603</v>
      </c>
      <c r="F1798" s="7">
        <f>SUMPRODUCT($C$6:$X$6,'batch tool'!$B1792:$W1792)+$Y$6</f>
        <v>-47.741473633885199</v>
      </c>
      <c r="G1798" s="7">
        <f>SUMPRODUCT($C$7:$X$7,'batch tool'!$B1792:$W1792)+$Y$7</f>
        <v>-19.739516238059196</v>
      </c>
      <c r="H1798" s="7">
        <f t="shared" si="54"/>
        <v>-19.739516238059196</v>
      </c>
      <c r="I1798">
        <f t="shared" si="55"/>
        <v>6</v>
      </c>
      <c r="J1798" t="str" cm="1">
        <f t="array" ref="J1798">INDEX($A$2:$A$7,I1798)</f>
        <v>Segment 6- Self-Conscious Male</v>
      </c>
    </row>
    <row r="1799" spans="1:10" x14ac:dyDescent="0.25">
      <c r="A1799" s="1">
        <f>'batch tool'!A1793</f>
        <v>0</v>
      </c>
      <c r="B1799" s="7">
        <f>SUMPRODUCT($C$2:$X$2,'batch tool'!$B1793:$W1793)+$Y$2</f>
        <v>-49.12272534143483</v>
      </c>
      <c r="C1799" s="7">
        <f>SUMPRODUCT($C$3:$X$3,'batch tool'!$B1793:$W1793)+$Y$3</f>
        <v>-36.514029388465531</v>
      </c>
      <c r="D1799" s="7">
        <f>SUMPRODUCT($C$4:$X$4,'batch tool'!$B1793:$W1793)+$Y$4</f>
        <v>-44.639843068043824</v>
      </c>
      <c r="E1799" s="7">
        <f>SUMPRODUCT($C$5:$X$5,'batch tool'!$B1793:$W1793)+$Y$5</f>
        <v>-51.578889182477603</v>
      </c>
      <c r="F1799" s="7">
        <f>SUMPRODUCT($C$6:$X$6,'batch tool'!$B1793:$W1793)+$Y$6</f>
        <v>-47.741473633885199</v>
      </c>
      <c r="G1799" s="7">
        <f>SUMPRODUCT($C$7:$X$7,'batch tool'!$B1793:$W1793)+$Y$7</f>
        <v>-19.739516238059196</v>
      </c>
      <c r="H1799" s="7">
        <f t="shared" si="54"/>
        <v>-19.739516238059196</v>
      </c>
      <c r="I1799">
        <f t="shared" si="55"/>
        <v>6</v>
      </c>
      <c r="J1799" t="str" cm="1">
        <f t="array" ref="J1799">INDEX($A$2:$A$7,I1799)</f>
        <v>Segment 6- Self-Conscious Male</v>
      </c>
    </row>
    <row r="1800" spans="1:10" x14ac:dyDescent="0.25">
      <c r="A1800" s="1">
        <f>'batch tool'!A1794</f>
        <v>0</v>
      </c>
      <c r="B1800" s="7">
        <f>SUMPRODUCT($C$2:$X$2,'batch tool'!$B1794:$W1794)+$Y$2</f>
        <v>-49.12272534143483</v>
      </c>
      <c r="C1800" s="7">
        <f>SUMPRODUCT($C$3:$X$3,'batch tool'!$B1794:$W1794)+$Y$3</f>
        <v>-36.514029388465531</v>
      </c>
      <c r="D1800" s="7">
        <f>SUMPRODUCT($C$4:$X$4,'batch tool'!$B1794:$W1794)+$Y$4</f>
        <v>-44.639843068043824</v>
      </c>
      <c r="E1800" s="7">
        <f>SUMPRODUCT($C$5:$X$5,'batch tool'!$B1794:$W1794)+$Y$5</f>
        <v>-51.578889182477603</v>
      </c>
      <c r="F1800" s="7">
        <f>SUMPRODUCT($C$6:$X$6,'batch tool'!$B1794:$W1794)+$Y$6</f>
        <v>-47.741473633885199</v>
      </c>
      <c r="G1800" s="7">
        <f>SUMPRODUCT($C$7:$X$7,'batch tool'!$B1794:$W1794)+$Y$7</f>
        <v>-19.739516238059196</v>
      </c>
      <c r="H1800" s="7">
        <f t="shared" si="54"/>
        <v>-19.739516238059196</v>
      </c>
      <c r="I1800">
        <f t="shared" si="55"/>
        <v>6</v>
      </c>
      <c r="J1800" t="str" cm="1">
        <f t="array" ref="J1800">INDEX($A$2:$A$7,I1800)</f>
        <v>Segment 6- Self-Conscious Male</v>
      </c>
    </row>
    <row r="1801" spans="1:10" x14ac:dyDescent="0.25">
      <c r="A1801" s="1">
        <f>'batch tool'!A1795</f>
        <v>0</v>
      </c>
      <c r="B1801" s="7">
        <f>SUMPRODUCT($C$2:$X$2,'batch tool'!$B1795:$W1795)+$Y$2</f>
        <v>-49.12272534143483</v>
      </c>
      <c r="C1801" s="7">
        <f>SUMPRODUCT($C$3:$X$3,'batch tool'!$B1795:$W1795)+$Y$3</f>
        <v>-36.514029388465531</v>
      </c>
      <c r="D1801" s="7">
        <f>SUMPRODUCT($C$4:$X$4,'batch tool'!$B1795:$W1795)+$Y$4</f>
        <v>-44.639843068043824</v>
      </c>
      <c r="E1801" s="7">
        <f>SUMPRODUCT($C$5:$X$5,'batch tool'!$B1795:$W1795)+$Y$5</f>
        <v>-51.578889182477603</v>
      </c>
      <c r="F1801" s="7">
        <f>SUMPRODUCT($C$6:$X$6,'batch tool'!$B1795:$W1795)+$Y$6</f>
        <v>-47.741473633885199</v>
      </c>
      <c r="G1801" s="7">
        <f>SUMPRODUCT($C$7:$X$7,'batch tool'!$B1795:$W1795)+$Y$7</f>
        <v>-19.739516238059196</v>
      </c>
      <c r="H1801" s="7">
        <f t="shared" si="54"/>
        <v>-19.739516238059196</v>
      </c>
      <c r="I1801">
        <f t="shared" si="55"/>
        <v>6</v>
      </c>
      <c r="J1801" t="str" cm="1">
        <f t="array" ref="J1801">INDEX($A$2:$A$7,I1801)</f>
        <v>Segment 6- Self-Conscious Male</v>
      </c>
    </row>
    <row r="1802" spans="1:10" x14ac:dyDescent="0.25">
      <c r="A1802" s="1">
        <f>'batch tool'!A1796</f>
        <v>0</v>
      </c>
      <c r="B1802" s="7">
        <f>SUMPRODUCT($C$2:$X$2,'batch tool'!$B1796:$W1796)+$Y$2</f>
        <v>-49.12272534143483</v>
      </c>
      <c r="C1802" s="7">
        <f>SUMPRODUCT($C$3:$X$3,'batch tool'!$B1796:$W1796)+$Y$3</f>
        <v>-36.514029388465531</v>
      </c>
      <c r="D1802" s="7">
        <f>SUMPRODUCT($C$4:$X$4,'batch tool'!$B1796:$W1796)+$Y$4</f>
        <v>-44.639843068043824</v>
      </c>
      <c r="E1802" s="7">
        <f>SUMPRODUCT($C$5:$X$5,'batch tool'!$B1796:$W1796)+$Y$5</f>
        <v>-51.578889182477603</v>
      </c>
      <c r="F1802" s="7">
        <f>SUMPRODUCT($C$6:$X$6,'batch tool'!$B1796:$W1796)+$Y$6</f>
        <v>-47.741473633885199</v>
      </c>
      <c r="G1802" s="7">
        <f>SUMPRODUCT($C$7:$X$7,'batch tool'!$B1796:$W1796)+$Y$7</f>
        <v>-19.739516238059196</v>
      </c>
      <c r="H1802" s="7">
        <f t="shared" si="54"/>
        <v>-19.739516238059196</v>
      </c>
      <c r="I1802">
        <f t="shared" si="55"/>
        <v>6</v>
      </c>
      <c r="J1802" t="str" cm="1">
        <f t="array" ref="J1802">INDEX($A$2:$A$7,I1802)</f>
        <v>Segment 6- Self-Conscious Male</v>
      </c>
    </row>
    <row r="1803" spans="1:10" x14ac:dyDescent="0.25">
      <c r="A1803" s="1">
        <f>'batch tool'!A1797</f>
        <v>0</v>
      </c>
      <c r="B1803" s="7">
        <f>SUMPRODUCT($C$2:$X$2,'batch tool'!$B1797:$W1797)+$Y$2</f>
        <v>-49.12272534143483</v>
      </c>
      <c r="C1803" s="7">
        <f>SUMPRODUCT($C$3:$X$3,'batch tool'!$B1797:$W1797)+$Y$3</f>
        <v>-36.514029388465531</v>
      </c>
      <c r="D1803" s="7">
        <f>SUMPRODUCT($C$4:$X$4,'batch tool'!$B1797:$W1797)+$Y$4</f>
        <v>-44.639843068043824</v>
      </c>
      <c r="E1803" s="7">
        <f>SUMPRODUCT($C$5:$X$5,'batch tool'!$B1797:$W1797)+$Y$5</f>
        <v>-51.578889182477603</v>
      </c>
      <c r="F1803" s="7">
        <f>SUMPRODUCT($C$6:$X$6,'batch tool'!$B1797:$W1797)+$Y$6</f>
        <v>-47.741473633885199</v>
      </c>
      <c r="G1803" s="7">
        <f>SUMPRODUCT($C$7:$X$7,'batch tool'!$B1797:$W1797)+$Y$7</f>
        <v>-19.739516238059196</v>
      </c>
      <c r="H1803" s="7">
        <f t="shared" ref="H1803:H1866" si="56">MAX(B1803:G1803)</f>
        <v>-19.739516238059196</v>
      </c>
      <c r="I1803">
        <f t="shared" ref="I1803:I1866" si="57">MATCH(H1803,B1803:G1803,0)</f>
        <v>6</v>
      </c>
      <c r="J1803" t="str" cm="1">
        <f t="array" ref="J1803">INDEX($A$2:$A$7,I1803)</f>
        <v>Segment 6- Self-Conscious Male</v>
      </c>
    </row>
    <row r="1804" spans="1:10" x14ac:dyDescent="0.25">
      <c r="A1804" s="1">
        <f>'batch tool'!A1798</f>
        <v>0</v>
      </c>
      <c r="B1804" s="7">
        <f>SUMPRODUCT($C$2:$X$2,'batch tool'!$B1798:$W1798)+$Y$2</f>
        <v>-49.12272534143483</v>
      </c>
      <c r="C1804" s="7">
        <f>SUMPRODUCT($C$3:$X$3,'batch tool'!$B1798:$W1798)+$Y$3</f>
        <v>-36.514029388465531</v>
      </c>
      <c r="D1804" s="7">
        <f>SUMPRODUCT($C$4:$X$4,'batch tool'!$B1798:$W1798)+$Y$4</f>
        <v>-44.639843068043824</v>
      </c>
      <c r="E1804" s="7">
        <f>SUMPRODUCT($C$5:$X$5,'batch tool'!$B1798:$W1798)+$Y$5</f>
        <v>-51.578889182477603</v>
      </c>
      <c r="F1804" s="7">
        <f>SUMPRODUCT($C$6:$X$6,'batch tool'!$B1798:$W1798)+$Y$6</f>
        <v>-47.741473633885199</v>
      </c>
      <c r="G1804" s="7">
        <f>SUMPRODUCT($C$7:$X$7,'batch tool'!$B1798:$W1798)+$Y$7</f>
        <v>-19.739516238059196</v>
      </c>
      <c r="H1804" s="7">
        <f t="shared" si="56"/>
        <v>-19.739516238059196</v>
      </c>
      <c r="I1804">
        <f t="shared" si="57"/>
        <v>6</v>
      </c>
      <c r="J1804" t="str" cm="1">
        <f t="array" ref="J1804">INDEX($A$2:$A$7,I1804)</f>
        <v>Segment 6- Self-Conscious Male</v>
      </c>
    </row>
    <row r="1805" spans="1:10" x14ac:dyDescent="0.25">
      <c r="A1805" s="1">
        <f>'batch tool'!A1799</f>
        <v>0</v>
      </c>
      <c r="B1805" s="7">
        <f>SUMPRODUCT($C$2:$X$2,'batch tool'!$B1799:$W1799)+$Y$2</f>
        <v>-49.12272534143483</v>
      </c>
      <c r="C1805" s="7">
        <f>SUMPRODUCT($C$3:$X$3,'batch tool'!$B1799:$W1799)+$Y$3</f>
        <v>-36.514029388465531</v>
      </c>
      <c r="D1805" s="7">
        <f>SUMPRODUCT($C$4:$X$4,'batch tool'!$B1799:$W1799)+$Y$4</f>
        <v>-44.639843068043824</v>
      </c>
      <c r="E1805" s="7">
        <f>SUMPRODUCT($C$5:$X$5,'batch tool'!$B1799:$W1799)+$Y$5</f>
        <v>-51.578889182477603</v>
      </c>
      <c r="F1805" s="7">
        <f>SUMPRODUCT($C$6:$X$6,'batch tool'!$B1799:$W1799)+$Y$6</f>
        <v>-47.741473633885199</v>
      </c>
      <c r="G1805" s="7">
        <f>SUMPRODUCT($C$7:$X$7,'batch tool'!$B1799:$W1799)+$Y$7</f>
        <v>-19.739516238059196</v>
      </c>
      <c r="H1805" s="7">
        <f t="shared" si="56"/>
        <v>-19.739516238059196</v>
      </c>
      <c r="I1805">
        <f t="shared" si="57"/>
        <v>6</v>
      </c>
      <c r="J1805" t="str" cm="1">
        <f t="array" ref="J1805">INDEX($A$2:$A$7,I1805)</f>
        <v>Segment 6- Self-Conscious Male</v>
      </c>
    </row>
    <row r="1806" spans="1:10" x14ac:dyDescent="0.25">
      <c r="A1806" s="1">
        <f>'batch tool'!A1800</f>
        <v>0</v>
      </c>
      <c r="B1806" s="7">
        <f>SUMPRODUCT($C$2:$X$2,'batch tool'!$B1800:$W1800)+$Y$2</f>
        <v>-49.12272534143483</v>
      </c>
      <c r="C1806" s="7">
        <f>SUMPRODUCT($C$3:$X$3,'batch tool'!$B1800:$W1800)+$Y$3</f>
        <v>-36.514029388465531</v>
      </c>
      <c r="D1806" s="7">
        <f>SUMPRODUCT($C$4:$X$4,'batch tool'!$B1800:$W1800)+$Y$4</f>
        <v>-44.639843068043824</v>
      </c>
      <c r="E1806" s="7">
        <f>SUMPRODUCT($C$5:$X$5,'batch tool'!$B1800:$W1800)+$Y$5</f>
        <v>-51.578889182477603</v>
      </c>
      <c r="F1806" s="7">
        <f>SUMPRODUCT($C$6:$X$6,'batch tool'!$B1800:$W1800)+$Y$6</f>
        <v>-47.741473633885199</v>
      </c>
      <c r="G1806" s="7">
        <f>SUMPRODUCT($C$7:$X$7,'batch tool'!$B1800:$W1800)+$Y$7</f>
        <v>-19.739516238059196</v>
      </c>
      <c r="H1806" s="7">
        <f t="shared" si="56"/>
        <v>-19.739516238059196</v>
      </c>
      <c r="I1806">
        <f t="shared" si="57"/>
        <v>6</v>
      </c>
      <c r="J1806" t="str" cm="1">
        <f t="array" ref="J1806">INDEX($A$2:$A$7,I1806)</f>
        <v>Segment 6- Self-Conscious Male</v>
      </c>
    </row>
    <row r="1807" spans="1:10" x14ac:dyDescent="0.25">
      <c r="A1807" s="1">
        <f>'batch tool'!A1801</f>
        <v>0</v>
      </c>
      <c r="B1807" s="7">
        <f>SUMPRODUCT($C$2:$X$2,'batch tool'!$B1801:$W1801)+$Y$2</f>
        <v>-49.12272534143483</v>
      </c>
      <c r="C1807" s="7">
        <f>SUMPRODUCT($C$3:$X$3,'batch tool'!$B1801:$W1801)+$Y$3</f>
        <v>-36.514029388465531</v>
      </c>
      <c r="D1807" s="7">
        <f>SUMPRODUCT($C$4:$X$4,'batch tool'!$B1801:$W1801)+$Y$4</f>
        <v>-44.639843068043824</v>
      </c>
      <c r="E1807" s="7">
        <f>SUMPRODUCT($C$5:$X$5,'batch tool'!$B1801:$W1801)+$Y$5</f>
        <v>-51.578889182477603</v>
      </c>
      <c r="F1807" s="7">
        <f>SUMPRODUCT($C$6:$X$6,'batch tool'!$B1801:$W1801)+$Y$6</f>
        <v>-47.741473633885199</v>
      </c>
      <c r="G1807" s="7">
        <f>SUMPRODUCT($C$7:$X$7,'batch tool'!$B1801:$W1801)+$Y$7</f>
        <v>-19.739516238059196</v>
      </c>
      <c r="H1807" s="7">
        <f t="shared" si="56"/>
        <v>-19.739516238059196</v>
      </c>
      <c r="I1807">
        <f t="shared" si="57"/>
        <v>6</v>
      </c>
      <c r="J1807" t="str" cm="1">
        <f t="array" ref="J1807">INDEX($A$2:$A$7,I1807)</f>
        <v>Segment 6- Self-Conscious Male</v>
      </c>
    </row>
    <row r="1808" spans="1:10" x14ac:dyDescent="0.25">
      <c r="A1808" s="1">
        <f>'batch tool'!A1802</f>
        <v>0</v>
      </c>
      <c r="B1808" s="7">
        <f>SUMPRODUCT($C$2:$X$2,'batch tool'!$B1802:$W1802)+$Y$2</f>
        <v>-49.12272534143483</v>
      </c>
      <c r="C1808" s="7">
        <f>SUMPRODUCT($C$3:$X$3,'batch tool'!$B1802:$W1802)+$Y$3</f>
        <v>-36.514029388465531</v>
      </c>
      <c r="D1808" s="7">
        <f>SUMPRODUCT($C$4:$X$4,'batch tool'!$B1802:$W1802)+$Y$4</f>
        <v>-44.639843068043824</v>
      </c>
      <c r="E1808" s="7">
        <f>SUMPRODUCT($C$5:$X$5,'batch tool'!$B1802:$W1802)+$Y$5</f>
        <v>-51.578889182477603</v>
      </c>
      <c r="F1808" s="7">
        <f>SUMPRODUCT($C$6:$X$6,'batch tool'!$B1802:$W1802)+$Y$6</f>
        <v>-47.741473633885199</v>
      </c>
      <c r="G1808" s="7">
        <f>SUMPRODUCT($C$7:$X$7,'batch tool'!$B1802:$W1802)+$Y$7</f>
        <v>-19.739516238059196</v>
      </c>
      <c r="H1808" s="7">
        <f t="shared" si="56"/>
        <v>-19.739516238059196</v>
      </c>
      <c r="I1808">
        <f t="shared" si="57"/>
        <v>6</v>
      </c>
      <c r="J1808" t="str" cm="1">
        <f t="array" ref="J1808">INDEX($A$2:$A$7,I1808)</f>
        <v>Segment 6- Self-Conscious Male</v>
      </c>
    </row>
    <row r="1809" spans="1:10" x14ac:dyDescent="0.25">
      <c r="A1809" s="1">
        <f>'batch tool'!A1803</f>
        <v>0</v>
      </c>
      <c r="B1809" s="7">
        <f>SUMPRODUCT($C$2:$X$2,'batch tool'!$B1803:$W1803)+$Y$2</f>
        <v>-49.12272534143483</v>
      </c>
      <c r="C1809" s="7">
        <f>SUMPRODUCT($C$3:$X$3,'batch tool'!$B1803:$W1803)+$Y$3</f>
        <v>-36.514029388465531</v>
      </c>
      <c r="D1809" s="7">
        <f>SUMPRODUCT($C$4:$X$4,'batch tool'!$B1803:$W1803)+$Y$4</f>
        <v>-44.639843068043824</v>
      </c>
      <c r="E1809" s="7">
        <f>SUMPRODUCT($C$5:$X$5,'batch tool'!$B1803:$W1803)+$Y$5</f>
        <v>-51.578889182477603</v>
      </c>
      <c r="F1809" s="7">
        <f>SUMPRODUCT($C$6:$X$6,'batch tool'!$B1803:$W1803)+$Y$6</f>
        <v>-47.741473633885199</v>
      </c>
      <c r="G1809" s="7">
        <f>SUMPRODUCT($C$7:$X$7,'batch tool'!$B1803:$W1803)+$Y$7</f>
        <v>-19.739516238059196</v>
      </c>
      <c r="H1809" s="7">
        <f t="shared" si="56"/>
        <v>-19.739516238059196</v>
      </c>
      <c r="I1809">
        <f t="shared" si="57"/>
        <v>6</v>
      </c>
      <c r="J1809" t="str" cm="1">
        <f t="array" ref="J1809">INDEX($A$2:$A$7,I1809)</f>
        <v>Segment 6- Self-Conscious Male</v>
      </c>
    </row>
    <row r="1810" spans="1:10" x14ac:dyDescent="0.25">
      <c r="A1810" s="1">
        <f>'batch tool'!A1804</f>
        <v>0</v>
      </c>
      <c r="B1810" s="7">
        <f>SUMPRODUCT($C$2:$X$2,'batch tool'!$B1804:$W1804)+$Y$2</f>
        <v>-49.12272534143483</v>
      </c>
      <c r="C1810" s="7">
        <f>SUMPRODUCT($C$3:$X$3,'batch tool'!$B1804:$W1804)+$Y$3</f>
        <v>-36.514029388465531</v>
      </c>
      <c r="D1810" s="7">
        <f>SUMPRODUCT($C$4:$X$4,'batch tool'!$B1804:$W1804)+$Y$4</f>
        <v>-44.639843068043824</v>
      </c>
      <c r="E1810" s="7">
        <f>SUMPRODUCT($C$5:$X$5,'batch tool'!$B1804:$W1804)+$Y$5</f>
        <v>-51.578889182477603</v>
      </c>
      <c r="F1810" s="7">
        <f>SUMPRODUCT($C$6:$X$6,'batch tool'!$B1804:$W1804)+$Y$6</f>
        <v>-47.741473633885199</v>
      </c>
      <c r="G1810" s="7">
        <f>SUMPRODUCT($C$7:$X$7,'batch tool'!$B1804:$W1804)+$Y$7</f>
        <v>-19.739516238059196</v>
      </c>
      <c r="H1810" s="7">
        <f t="shared" si="56"/>
        <v>-19.739516238059196</v>
      </c>
      <c r="I1810">
        <f t="shared" si="57"/>
        <v>6</v>
      </c>
      <c r="J1810" t="str" cm="1">
        <f t="array" ref="J1810">INDEX($A$2:$A$7,I1810)</f>
        <v>Segment 6- Self-Conscious Male</v>
      </c>
    </row>
    <row r="1811" spans="1:10" x14ac:dyDescent="0.25">
      <c r="A1811" s="1">
        <f>'batch tool'!A1805</f>
        <v>0</v>
      </c>
      <c r="B1811" s="7">
        <f>SUMPRODUCT($C$2:$X$2,'batch tool'!$B1805:$W1805)+$Y$2</f>
        <v>-49.12272534143483</v>
      </c>
      <c r="C1811" s="7">
        <f>SUMPRODUCT($C$3:$X$3,'batch tool'!$B1805:$W1805)+$Y$3</f>
        <v>-36.514029388465531</v>
      </c>
      <c r="D1811" s="7">
        <f>SUMPRODUCT($C$4:$X$4,'batch tool'!$B1805:$W1805)+$Y$4</f>
        <v>-44.639843068043824</v>
      </c>
      <c r="E1811" s="7">
        <f>SUMPRODUCT($C$5:$X$5,'batch tool'!$B1805:$W1805)+$Y$5</f>
        <v>-51.578889182477603</v>
      </c>
      <c r="F1811" s="7">
        <f>SUMPRODUCT($C$6:$X$6,'batch tool'!$B1805:$W1805)+$Y$6</f>
        <v>-47.741473633885199</v>
      </c>
      <c r="G1811" s="7">
        <f>SUMPRODUCT($C$7:$X$7,'batch tool'!$B1805:$W1805)+$Y$7</f>
        <v>-19.739516238059196</v>
      </c>
      <c r="H1811" s="7">
        <f t="shared" si="56"/>
        <v>-19.739516238059196</v>
      </c>
      <c r="I1811">
        <f t="shared" si="57"/>
        <v>6</v>
      </c>
      <c r="J1811" t="str" cm="1">
        <f t="array" ref="J1811">INDEX($A$2:$A$7,I1811)</f>
        <v>Segment 6- Self-Conscious Male</v>
      </c>
    </row>
    <row r="1812" spans="1:10" x14ac:dyDescent="0.25">
      <c r="A1812" s="1">
        <f>'batch tool'!A1806</f>
        <v>0</v>
      </c>
      <c r="B1812" s="7">
        <f>SUMPRODUCT($C$2:$X$2,'batch tool'!$B1806:$W1806)+$Y$2</f>
        <v>-49.12272534143483</v>
      </c>
      <c r="C1812" s="7">
        <f>SUMPRODUCT($C$3:$X$3,'batch tool'!$B1806:$W1806)+$Y$3</f>
        <v>-36.514029388465531</v>
      </c>
      <c r="D1812" s="7">
        <f>SUMPRODUCT($C$4:$X$4,'batch tool'!$B1806:$W1806)+$Y$4</f>
        <v>-44.639843068043824</v>
      </c>
      <c r="E1812" s="7">
        <f>SUMPRODUCT($C$5:$X$5,'batch tool'!$B1806:$W1806)+$Y$5</f>
        <v>-51.578889182477603</v>
      </c>
      <c r="F1812" s="7">
        <f>SUMPRODUCT($C$6:$X$6,'batch tool'!$B1806:$W1806)+$Y$6</f>
        <v>-47.741473633885199</v>
      </c>
      <c r="G1812" s="7">
        <f>SUMPRODUCT($C$7:$X$7,'batch tool'!$B1806:$W1806)+$Y$7</f>
        <v>-19.739516238059196</v>
      </c>
      <c r="H1812" s="7">
        <f t="shared" si="56"/>
        <v>-19.739516238059196</v>
      </c>
      <c r="I1812">
        <f t="shared" si="57"/>
        <v>6</v>
      </c>
      <c r="J1812" t="str" cm="1">
        <f t="array" ref="J1812">INDEX($A$2:$A$7,I1812)</f>
        <v>Segment 6- Self-Conscious Male</v>
      </c>
    </row>
    <row r="1813" spans="1:10" x14ac:dyDescent="0.25">
      <c r="A1813" s="1">
        <f>'batch tool'!A1807</f>
        <v>0</v>
      </c>
      <c r="B1813" s="7">
        <f>SUMPRODUCT($C$2:$X$2,'batch tool'!$B1807:$W1807)+$Y$2</f>
        <v>-49.12272534143483</v>
      </c>
      <c r="C1813" s="7">
        <f>SUMPRODUCT($C$3:$X$3,'batch tool'!$B1807:$W1807)+$Y$3</f>
        <v>-36.514029388465531</v>
      </c>
      <c r="D1813" s="7">
        <f>SUMPRODUCT($C$4:$X$4,'batch tool'!$B1807:$W1807)+$Y$4</f>
        <v>-44.639843068043824</v>
      </c>
      <c r="E1813" s="7">
        <f>SUMPRODUCT($C$5:$X$5,'batch tool'!$B1807:$W1807)+$Y$5</f>
        <v>-51.578889182477603</v>
      </c>
      <c r="F1813" s="7">
        <f>SUMPRODUCT($C$6:$X$6,'batch tool'!$B1807:$W1807)+$Y$6</f>
        <v>-47.741473633885199</v>
      </c>
      <c r="G1813" s="7">
        <f>SUMPRODUCT($C$7:$X$7,'batch tool'!$B1807:$W1807)+$Y$7</f>
        <v>-19.739516238059196</v>
      </c>
      <c r="H1813" s="7">
        <f t="shared" si="56"/>
        <v>-19.739516238059196</v>
      </c>
      <c r="I1813">
        <f t="shared" si="57"/>
        <v>6</v>
      </c>
      <c r="J1813" t="str" cm="1">
        <f t="array" ref="J1813">INDEX($A$2:$A$7,I1813)</f>
        <v>Segment 6- Self-Conscious Male</v>
      </c>
    </row>
    <row r="1814" spans="1:10" x14ac:dyDescent="0.25">
      <c r="A1814" s="1">
        <f>'batch tool'!A1808</f>
        <v>0</v>
      </c>
      <c r="B1814" s="7">
        <f>SUMPRODUCT($C$2:$X$2,'batch tool'!$B1808:$W1808)+$Y$2</f>
        <v>-49.12272534143483</v>
      </c>
      <c r="C1814" s="7">
        <f>SUMPRODUCT($C$3:$X$3,'batch tool'!$B1808:$W1808)+$Y$3</f>
        <v>-36.514029388465531</v>
      </c>
      <c r="D1814" s="7">
        <f>SUMPRODUCT($C$4:$X$4,'batch tool'!$B1808:$W1808)+$Y$4</f>
        <v>-44.639843068043824</v>
      </c>
      <c r="E1814" s="7">
        <f>SUMPRODUCT($C$5:$X$5,'batch tool'!$B1808:$W1808)+$Y$5</f>
        <v>-51.578889182477603</v>
      </c>
      <c r="F1814" s="7">
        <f>SUMPRODUCT($C$6:$X$6,'batch tool'!$B1808:$W1808)+$Y$6</f>
        <v>-47.741473633885199</v>
      </c>
      <c r="G1814" s="7">
        <f>SUMPRODUCT($C$7:$X$7,'batch tool'!$B1808:$W1808)+$Y$7</f>
        <v>-19.739516238059196</v>
      </c>
      <c r="H1814" s="7">
        <f t="shared" si="56"/>
        <v>-19.739516238059196</v>
      </c>
      <c r="I1814">
        <f t="shared" si="57"/>
        <v>6</v>
      </c>
      <c r="J1814" t="str" cm="1">
        <f t="array" ref="J1814">INDEX($A$2:$A$7,I1814)</f>
        <v>Segment 6- Self-Conscious Male</v>
      </c>
    </row>
    <row r="1815" spans="1:10" x14ac:dyDescent="0.25">
      <c r="A1815" s="1">
        <f>'batch tool'!A1809</f>
        <v>0</v>
      </c>
      <c r="B1815" s="7">
        <f>SUMPRODUCT($C$2:$X$2,'batch tool'!$B1809:$W1809)+$Y$2</f>
        <v>-49.12272534143483</v>
      </c>
      <c r="C1815" s="7">
        <f>SUMPRODUCT($C$3:$X$3,'batch tool'!$B1809:$W1809)+$Y$3</f>
        <v>-36.514029388465531</v>
      </c>
      <c r="D1815" s="7">
        <f>SUMPRODUCT($C$4:$X$4,'batch tool'!$B1809:$W1809)+$Y$4</f>
        <v>-44.639843068043824</v>
      </c>
      <c r="E1815" s="7">
        <f>SUMPRODUCT($C$5:$X$5,'batch tool'!$B1809:$W1809)+$Y$5</f>
        <v>-51.578889182477603</v>
      </c>
      <c r="F1815" s="7">
        <f>SUMPRODUCT($C$6:$X$6,'batch tool'!$B1809:$W1809)+$Y$6</f>
        <v>-47.741473633885199</v>
      </c>
      <c r="G1815" s="7">
        <f>SUMPRODUCT($C$7:$X$7,'batch tool'!$B1809:$W1809)+$Y$7</f>
        <v>-19.739516238059196</v>
      </c>
      <c r="H1815" s="7">
        <f t="shared" si="56"/>
        <v>-19.739516238059196</v>
      </c>
      <c r="I1815">
        <f t="shared" si="57"/>
        <v>6</v>
      </c>
      <c r="J1815" t="str" cm="1">
        <f t="array" ref="J1815">INDEX($A$2:$A$7,I1815)</f>
        <v>Segment 6- Self-Conscious Male</v>
      </c>
    </row>
    <row r="1816" spans="1:10" x14ac:dyDescent="0.25">
      <c r="A1816" s="1">
        <f>'batch tool'!A1810</f>
        <v>0</v>
      </c>
      <c r="B1816" s="7">
        <f>SUMPRODUCT($C$2:$X$2,'batch tool'!$B1810:$W1810)+$Y$2</f>
        <v>-49.12272534143483</v>
      </c>
      <c r="C1816" s="7">
        <f>SUMPRODUCT($C$3:$X$3,'batch tool'!$B1810:$W1810)+$Y$3</f>
        <v>-36.514029388465531</v>
      </c>
      <c r="D1816" s="7">
        <f>SUMPRODUCT($C$4:$X$4,'batch tool'!$B1810:$W1810)+$Y$4</f>
        <v>-44.639843068043824</v>
      </c>
      <c r="E1816" s="7">
        <f>SUMPRODUCT($C$5:$X$5,'batch tool'!$B1810:$W1810)+$Y$5</f>
        <v>-51.578889182477603</v>
      </c>
      <c r="F1816" s="7">
        <f>SUMPRODUCT($C$6:$X$6,'batch tool'!$B1810:$W1810)+$Y$6</f>
        <v>-47.741473633885199</v>
      </c>
      <c r="G1816" s="7">
        <f>SUMPRODUCT($C$7:$X$7,'batch tool'!$B1810:$W1810)+$Y$7</f>
        <v>-19.739516238059196</v>
      </c>
      <c r="H1816" s="7">
        <f t="shared" si="56"/>
        <v>-19.739516238059196</v>
      </c>
      <c r="I1816">
        <f t="shared" si="57"/>
        <v>6</v>
      </c>
      <c r="J1816" t="str" cm="1">
        <f t="array" ref="J1816">INDEX($A$2:$A$7,I1816)</f>
        <v>Segment 6- Self-Conscious Male</v>
      </c>
    </row>
    <row r="1817" spans="1:10" x14ac:dyDescent="0.25">
      <c r="A1817" s="1">
        <f>'batch tool'!A1811</f>
        <v>0</v>
      </c>
      <c r="B1817" s="7">
        <f>SUMPRODUCT($C$2:$X$2,'batch tool'!$B1811:$W1811)+$Y$2</f>
        <v>-49.12272534143483</v>
      </c>
      <c r="C1817" s="7">
        <f>SUMPRODUCT($C$3:$X$3,'batch tool'!$B1811:$W1811)+$Y$3</f>
        <v>-36.514029388465531</v>
      </c>
      <c r="D1817" s="7">
        <f>SUMPRODUCT($C$4:$X$4,'batch tool'!$B1811:$W1811)+$Y$4</f>
        <v>-44.639843068043824</v>
      </c>
      <c r="E1817" s="7">
        <f>SUMPRODUCT($C$5:$X$5,'batch tool'!$B1811:$W1811)+$Y$5</f>
        <v>-51.578889182477603</v>
      </c>
      <c r="F1817" s="7">
        <f>SUMPRODUCT($C$6:$X$6,'batch tool'!$B1811:$W1811)+$Y$6</f>
        <v>-47.741473633885199</v>
      </c>
      <c r="G1817" s="7">
        <f>SUMPRODUCT($C$7:$X$7,'batch tool'!$B1811:$W1811)+$Y$7</f>
        <v>-19.739516238059196</v>
      </c>
      <c r="H1817" s="7">
        <f t="shared" si="56"/>
        <v>-19.739516238059196</v>
      </c>
      <c r="I1817">
        <f t="shared" si="57"/>
        <v>6</v>
      </c>
      <c r="J1817" t="str" cm="1">
        <f t="array" ref="J1817">INDEX($A$2:$A$7,I1817)</f>
        <v>Segment 6- Self-Conscious Male</v>
      </c>
    </row>
    <row r="1818" spans="1:10" x14ac:dyDescent="0.25">
      <c r="A1818" s="1">
        <f>'batch tool'!A1812</f>
        <v>0</v>
      </c>
      <c r="B1818" s="7">
        <f>SUMPRODUCT($C$2:$X$2,'batch tool'!$B1812:$W1812)+$Y$2</f>
        <v>-49.12272534143483</v>
      </c>
      <c r="C1818" s="7">
        <f>SUMPRODUCT($C$3:$X$3,'batch tool'!$B1812:$W1812)+$Y$3</f>
        <v>-36.514029388465531</v>
      </c>
      <c r="D1818" s="7">
        <f>SUMPRODUCT($C$4:$X$4,'batch tool'!$B1812:$W1812)+$Y$4</f>
        <v>-44.639843068043824</v>
      </c>
      <c r="E1818" s="7">
        <f>SUMPRODUCT($C$5:$X$5,'batch tool'!$B1812:$W1812)+$Y$5</f>
        <v>-51.578889182477603</v>
      </c>
      <c r="F1818" s="7">
        <f>SUMPRODUCT($C$6:$X$6,'batch tool'!$B1812:$W1812)+$Y$6</f>
        <v>-47.741473633885199</v>
      </c>
      <c r="G1818" s="7">
        <f>SUMPRODUCT($C$7:$X$7,'batch tool'!$B1812:$W1812)+$Y$7</f>
        <v>-19.739516238059196</v>
      </c>
      <c r="H1818" s="7">
        <f t="shared" si="56"/>
        <v>-19.739516238059196</v>
      </c>
      <c r="I1818">
        <f t="shared" si="57"/>
        <v>6</v>
      </c>
      <c r="J1818" t="str" cm="1">
        <f t="array" ref="J1818">INDEX($A$2:$A$7,I1818)</f>
        <v>Segment 6- Self-Conscious Male</v>
      </c>
    </row>
    <row r="1819" spans="1:10" x14ac:dyDescent="0.25">
      <c r="A1819" s="1">
        <f>'batch tool'!A1813</f>
        <v>0</v>
      </c>
      <c r="B1819" s="7">
        <f>SUMPRODUCT($C$2:$X$2,'batch tool'!$B1813:$W1813)+$Y$2</f>
        <v>-49.12272534143483</v>
      </c>
      <c r="C1819" s="7">
        <f>SUMPRODUCT($C$3:$X$3,'batch tool'!$B1813:$W1813)+$Y$3</f>
        <v>-36.514029388465531</v>
      </c>
      <c r="D1819" s="7">
        <f>SUMPRODUCT($C$4:$X$4,'batch tool'!$B1813:$W1813)+$Y$4</f>
        <v>-44.639843068043824</v>
      </c>
      <c r="E1819" s="7">
        <f>SUMPRODUCT($C$5:$X$5,'batch tool'!$B1813:$W1813)+$Y$5</f>
        <v>-51.578889182477603</v>
      </c>
      <c r="F1819" s="7">
        <f>SUMPRODUCT($C$6:$X$6,'batch tool'!$B1813:$W1813)+$Y$6</f>
        <v>-47.741473633885199</v>
      </c>
      <c r="G1819" s="7">
        <f>SUMPRODUCT($C$7:$X$7,'batch tool'!$B1813:$W1813)+$Y$7</f>
        <v>-19.739516238059196</v>
      </c>
      <c r="H1819" s="7">
        <f t="shared" si="56"/>
        <v>-19.739516238059196</v>
      </c>
      <c r="I1819">
        <f t="shared" si="57"/>
        <v>6</v>
      </c>
      <c r="J1819" t="str" cm="1">
        <f t="array" ref="J1819">INDEX($A$2:$A$7,I1819)</f>
        <v>Segment 6- Self-Conscious Male</v>
      </c>
    </row>
    <row r="1820" spans="1:10" x14ac:dyDescent="0.25">
      <c r="A1820" s="1">
        <f>'batch tool'!A1814</f>
        <v>0</v>
      </c>
      <c r="B1820" s="7">
        <f>SUMPRODUCT($C$2:$X$2,'batch tool'!$B1814:$W1814)+$Y$2</f>
        <v>-49.12272534143483</v>
      </c>
      <c r="C1820" s="7">
        <f>SUMPRODUCT($C$3:$X$3,'batch tool'!$B1814:$W1814)+$Y$3</f>
        <v>-36.514029388465531</v>
      </c>
      <c r="D1820" s="7">
        <f>SUMPRODUCT($C$4:$X$4,'batch tool'!$B1814:$W1814)+$Y$4</f>
        <v>-44.639843068043824</v>
      </c>
      <c r="E1820" s="7">
        <f>SUMPRODUCT($C$5:$X$5,'batch tool'!$B1814:$W1814)+$Y$5</f>
        <v>-51.578889182477603</v>
      </c>
      <c r="F1820" s="7">
        <f>SUMPRODUCT($C$6:$X$6,'batch tool'!$B1814:$W1814)+$Y$6</f>
        <v>-47.741473633885199</v>
      </c>
      <c r="G1820" s="7">
        <f>SUMPRODUCT($C$7:$X$7,'batch tool'!$B1814:$W1814)+$Y$7</f>
        <v>-19.739516238059196</v>
      </c>
      <c r="H1820" s="7">
        <f t="shared" si="56"/>
        <v>-19.739516238059196</v>
      </c>
      <c r="I1820">
        <f t="shared" si="57"/>
        <v>6</v>
      </c>
      <c r="J1820" t="str" cm="1">
        <f t="array" ref="J1820">INDEX($A$2:$A$7,I1820)</f>
        <v>Segment 6- Self-Conscious Male</v>
      </c>
    </row>
    <row r="1821" spans="1:10" x14ac:dyDescent="0.25">
      <c r="A1821" s="1">
        <f>'batch tool'!A1815</f>
        <v>0</v>
      </c>
      <c r="B1821" s="7">
        <f>SUMPRODUCT($C$2:$X$2,'batch tool'!$B1815:$W1815)+$Y$2</f>
        <v>-49.12272534143483</v>
      </c>
      <c r="C1821" s="7">
        <f>SUMPRODUCT($C$3:$X$3,'batch tool'!$B1815:$W1815)+$Y$3</f>
        <v>-36.514029388465531</v>
      </c>
      <c r="D1821" s="7">
        <f>SUMPRODUCT($C$4:$X$4,'batch tool'!$B1815:$W1815)+$Y$4</f>
        <v>-44.639843068043824</v>
      </c>
      <c r="E1821" s="7">
        <f>SUMPRODUCT($C$5:$X$5,'batch tool'!$B1815:$W1815)+$Y$5</f>
        <v>-51.578889182477603</v>
      </c>
      <c r="F1821" s="7">
        <f>SUMPRODUCT($C$6:$X$6,'batch tool'!$B1815:$W1815)+$Y$6</f>
        <v>-47.741473633885199</v>
      </c>
      <c r="G1821" s="7">
        <f>SUMPRODUCT($C$7:$X$7,'batch tool'!$B1815:$W1815)+$Y$7</f>
        <v>-19.739516238059196</v>
      </c>
      <c r="H1821" s="7">
        <f t="shared" si="56"/>
        <v>-19.739516238059196</v>
      </c>
      <c r="I1821">
        <f t="shared" si="57"/>
        <v>6</v>
      </c>
      <c r="J1821" t="str" cm="1">
        <f t="array" ref="J1821">INDEX($A$2:$A$7,I1821)</f>
        <v>Segment 6- Self-Conscious Male</v>
      </c>
    </row>
    <row r="1822" spans="1:10" x14ac:dyDescent="0.25">
      <c r="A1822" s="1">
        <f>'batch tool'!A1816</f>
        <v>0</v>
      </c>
      <c r="B1822" s="7">
        <f>SUMPRODUCT($C$2:$X$2,'batch tool'!$B1816:$W1816)+$Y$2</f>
        <v>-49.12272534143483</v>
      </c>
      <c r="C1822" s="7">
        <f>SUMPRODUCT($C$3:$X$3,'batch tool'!$B1816:$W1816)+$Y$3</f>
        <v>-36.514029388465531</v>
      </c>
      <c r="D1822" s="7">
        <f>SUMPRODUCT($C$4:$X$4,'batch tool'!$B1816:$W1816)+$Y$4</f>
        <v>-44.639843068043824</v>
      </c>
      <c r="E1822" s="7">
        <f>SUMPRODUCT($C$5:$X$5,'batch tool'!$B1816:$W1816)+$Y$5</f>
        <v>-51.578889182477603</v>
      </c>
      <c r="F1822" s="7">
        <f>SUMPRODUCT($C$6:$X$6,'batch tool'!$B1816:$W1816)+$Y$6</f>
        <v>-47.741473633885199</v>
      </c>
      <c r="G1822" s="7">
        <f>SUMPRODUCT($C$7:$X$7,'batch tool'!$B1816:$W1816)+$Y$7</f>
        <v>-19.739516238059196</v>
      </c>
      <c r="H1822" s="7">
        <f t="shared" si="56"/>
        <v>-19.739516238059196</v>
      </c>
      <c r="I1822">
        <f t="shared" si="57"/>
        <v>6</v>
      </c>
      <c r="J1822" t="str" cm="1">
        <f t="array" ref="J1822">INDEX($A$2:$A$7,I1822)</f>
        <v>Segment 6- Self-Conscious Male</v>
      </c>
    </row>
    <row r="1823" spans="1:10" x14ac:dyDescent="0.25">
      <c r="A1823" s="1">
        <f>'batch tool'!A1817</f>
        <v>0</v>
      </c>
      <c r="B1823" s="7">
        <f>SUMPRODUCT($C$2:$X$2,'batch tool'!$B1817:$W1817)+$Y$2</f>
        <v>-49.12272534143483</v>
      </c>
      <c r="C1823" s="7">
        <f>SUMPRODUCT($C$3:$X$3,'batch tool'!$B1817:$W1817)+$Y$3</f>
        <v>-36.514029388465531</v>
      </c>
      <c r="D1823" s="7">
        <f>SUMPRODUCT($C$4:$X$4,'batch tool'!$B1817:$W1817)+$Y$4</f>
        <v>-44.639843068043824</v>
      </c>
      <c r="E1823" s="7">
        <f>SUMPRODUCT($C$5:$X$5,'batch tool'!$B1817:$W1817)+$Y$5</f>
        <v>-51.578889182477603</v>
      </c>
      <c r="F1823" s="7">
        <f>SUMPRODUCT($C$6:$X$6,'batch tool'!$B1817:$W1817)+$Y$6</f>
        <v>-47.741473633885199</v>
      </c>
      <c r="G1823" s="7">
        <f>SUMPRODUCT($C$7:$X$7,'batch tool'!$B1817:$W1817)+$Y$7</f>
        <v>-19.739516238059196</v>
      </c>
      <c r="H1823" s="7">
        <f t="shared" si="56"/>
        <v>-19.739516238059196</v>
      </c>
      <c r="I1823">
        <f t="shared" si="57"/>
        <v>6</v>
      </c>
      <c r="J1823" t="str" cm="1">
        <f t="array" ref="J1823">INDEX($A$2:$A$7,I1823)</f>
        <v>Segment 6- Self-Conscious Male</v>
      </c>
    </row>
    <row r="1824" spans="1:10" x14ac:dyDescent="0.25">
      <c r="A1824" s="1">
        <f>'batch tool'!A1818</f>
        <v>0</v>
      </c>
      <c r="B1824" s="7">
        <f>SUMPRODUCT($C$2:$X$2,'batch tool'!$B1818:$W1818)+$Y$2</f>
        <v>-49.12272534143483</v>
      </c>
      <c r="C1824" s="7">
        <f>SUMPRODUCT($C$3:$X$3,'batch tool'!$B1818:$W1818)+$Y$3</f>
        <v>-36.514029388465531</v>
      </c>
      <c r="D1824" s="7">
        <f>SUMPRODUCT($C$4:$X$4,'batch tool'!$B1818:$W1818)+$Y$4</f>
        <v>-44.639843068043824</v>
      </c>
      <c r="E1824" s="7">
        <f>SUMPRODUCT($C$5:$X$5,'batch tool'!$B1818:$W1818)+$Y$5</f>
        <v>-51.578889182477603</v>
      </c>
      <c r="F1824" s="7">
        <f>SUMPRODUCT($C$6:$X$6,'batch tool'!$B1818:$W1818)+$Y$6</f>
        <v>-47.741473633885199</v>
      </c>
      <c r="G1824" s="7">
        <f>SUMPRODUCT($C$7:$X$7,'batch tool'!$B1818:$W1818)+$Y$7</f>
        <v>-19.739516238059196</v>
      </c>
      <c r="H1824" s="7">
        <f t="shared" si="56"/>
        <v>-19.739516238059196</v>
      </c>
      <c r="I1824">
        <f t="shared" si="57"/>
        <v>6</v>
      </c>
      <c r="J1824" t="str" cm="1">
        <f t="array" ref="J1824">INDEX($A$2:$A$7,I1824)</f>
        <v>Segment 6- Self-Conscious Male</v>
      </c>
    </row>
    <row r="1825" spans="1:10" x14ac:dyDescent="0.25">
      <c r="A1825" s="1">
        <f>'batch tool'!A1819</f>
        <v>0</v>
      </c>
      <c r="B1825" s="7">
        <f>SUMPRODUCT($C$2:$X$2,'batch tool'!$B1819:$W1819)+$Y$2</f>
        <v>-49.12272534143483</v>
      </c>
      <c r="C1825" s="7">
        <f>SUMPRODUCT($C$3:$X$3,'batch tool'!$B1819:$W1819)+$Y$3</f>
        <v>-36.514029388465531</v>
      </c>
      <c r="D1825" s="7">
        <f>SUMPRODUCT($C$4:$X$4,'batch tool'!$B1819:$W1819)+$Y$4</f>
        <v>-44.639843068043824</v>
      </c>
      <c r="E1825" s="7">
        <f>SUMPRODUCT($C$5:$X$5,'batch tool'!$B1819:$W1819)+$Y$5</f>
        <v>-51.578889182477603</v>
      </c>
      <c r="F1825" s="7">
        <f>SUMPRODUCT($C$6:$X$6,'batch tool'!$B1819:$W1819)+$Y$6</f>
        <v>-47.741473633885199</v>
      </c>
      <c r="G1825" s="7">
        <f>SUMPRODUCT($C$7:$X$7,'batch tool'!$B1819:$W1819)+$Y$7</f>
        <v>-19.739516238059196</v>
      </c>
      <c r="H1825" s="7">
        <f t="shared" si="56"/>
        <v>-19.739516238059196</v>
      </c>
      <c r="I1825">
        <f t="shared" si="57"/>
        <v>6</v>
      </c>
      <c r="J1825" t="str" cm="1">
        <f t="array" ref="J1825">INDEX($A$2:$A$7,I1825)</f>
        <v>Segment 6- Self-Conscious Male</v>
      </c>
    </row>
    <row r="1826" spans="1:10" x14ac:dyDescent="0.25">
      <c r="A1826" s="1">
        <f>'batch tool'!A1820</f>
        <v>0</v>
      </c>
      <c r="B1826" s="7">
        <f>SUMPRODUCT($C$2:$X$2,'batch tool'!$B1820:$W1820)+$Y$2</f>
        <v>-49.12272534143483</v>
      </c>
      <c r="C1826" s="7">
        <f>SUMPRODUCT($C$3:$X$3,'batch tool'!$B1820:$W1820)+$Y$3</f>
        <v>-36.514029388465531</v>
      </c>
      <c r="D1826" s="7">
        <f>SUMPRODUCT($C$4:$X$4,'batch tool'!$B1820:$W1820)+$Y$4</f>
        <v>-44.639843068043824</v>
      </c>
      <c r="E1826" s="7">
        <f>SUMPRODUCT($C$5:$X$5,'batch tool'!$B1820:$W1820)+$Y$5</f>
        <v>-51.578889182477603</v>
      </c>
      <c r="F1826" s="7">
        <f>SUMPRODUCT($C$6:$X$6,'batch tool'!$B1820:$W1820)+$Y$6</f>
        <v>-47.741473633885199</v>
      </c>
      <c r="G1826" s="7">
        <f>SUMPRODUCT($C$7:$X$7,'batch tool'!$B1820:$W1820)+$Y$7</f>
        <v>-19.739516238059196</v>
      </c>
      <c r="H1826" s="7">
        <f t="shared" si="56"/>
        <v>-19.739516238059196</v>
      </c>
      <c r="I1826">
        <f t="shared" si="57"/>
        <v>6</v>
      </c>
      <c r="J1826" t="str" cm="1">
        <f t="array" ref="J1826">INDEX($A$2:$A$7,I1826)</f>
        <v>Segment 6- Self-Conscious Male</v>
      </c>
    </row>
    <row r="1827" spans="1:10" x14ac:dyDescent="0.25">
      <c r="A1827" s="1">
        <f>'batch tool'!A1821</f>
        <v>0</v>
      </c>
      <c r="B1827" s="7">
        <f>SUMPRODUCT($C$2:$X$2,'batch tool'!$B1821:$W1821)+$Y$2</f>
        <v>-49.12272534143483</v>
      </c>
      <c r="C1827" s="7">
        <f>SUMPRODUCT($C$3:$X$3,'batch tool'!$B1821:$W1821)+$Y$3</f>
        <v>-36.514029388465531</v>
      </c>
      <c r="D1827" s="7">
        <f>SUMPRODUCT($C$4:$X$4,'batch tool'!$B1821:$W1821)+$Y$4</f>
        <v>-44.639843068043824</v>
      </c>
      <c r="E1827" s="7">
        <f>SUMPRODUCT($C$5:$X$5,'batch tool'!$B1821:$W1821)+$Y$5</f>
        <v>-51.578889182477603</v>
      </c>
      <c r="F1827" s="7">
        <f>SUMPRODUCT($C$6:$X$6,'batch tool'!$B1821:$W1821)+$Y$6</f>
        <v>-47.741473633885199</v>
      </c>
      <c r="G1827" s="7">
        <f>SUMPRODUCT($C$7:$X$7,'batch tool'!$B1821:$W1821)+$Y$7</f>
        <v>-19.739516238059196</v>
      </c>
      <c r="H1827" s="7">
        <f t="shared" si="56"/>
        <v>-19.739516238059196</v>
      </c>
      <c r="I1827">
        <f t="shared" si="57"/>
        <v>6</v>
      </c>
      <c r="J1827" t="str" cm="1">
        <f t="array" ref="J1827">INDEX($A$2:$A$7,I1827)</f>
        <v>Segment 6- Self-Conscious Male</v>
      </c>
    </row>
    <row r="1828" spans="1:10" x14ac:dyDescent="0.25">
      <c r="A1828" s="1">
        <f>'batch tool'!A1822</f>
        <v>0</v>
      </c>
      <c r="B1828" s="7">
        <f>SUMPRODUCT($C$2:$X$2,'batch tool'!$B1822:$W1822)+$Y$2</f>
        <v>-49.12272534143483</v>
      </c>
      <c r="C1828" s="7">
        <f>SUMPRODUCT($C$3:$X$3,'batch tool'!$B1822:$W1822)+$Y$3</f>
        <v>-36.514029388465531</v>
      </c>
      <c r="D1828" s="7">
        <f>SUMPRODUCT($C$4:$X$4,'batch tool'!$B1822:$W1822)+$Y$4</f>
        <v>-44.639843068043824</v>
      </c>
      <c r="E1828" s="7">
        <f>SUMPRODUCT($C$5:$X$5,'batch tool'!$B1822:$W1822)+$Y$5</f>
        <v>-51.578889182477603</v>
      </c>
      <c r="F1828" s="7">
        <f>SUMPRODUCT($C$6:$X$6,'batch tool'!$B1822:$W1822)+$Y$6</f>
        <v>-47.741473633885199</v>
      </c>
      <c r="G1828" s="7">
        <f>SUMPRODUCT($C$7:$X$7,'batch tool'!$B1822:$W1822)+$Y$7</f>
        <v>-19.739516238059196</v>
      </c>
      <c r="H1828" s="7">
        <f t="shared" si="56"/>
        <v>-19.739516238059196</v>
      </c>
      <c r="I1828">
        <f t="shared" si="57"/>
        <v>6</v>
      </c>
      <c r="J1828" t="str" cm="1">
        <f t="array" ref="J1828">INDEX($A$2:$A$7,I1828)</f>
        <v>Segment 6- Self-Conscious Male</v>
      </c>
    </row>
    <row r="1829" spans="1:10" x14ac:dyDescent="0.25">
      <c r="A1829" s="1">
        <f>'batch tool'!A1823</f>
        <v>0</v>
      </c>
      <c r="B1829" s="7">
        <f>SUMPRODUCT($C$2:$X$2,'batch tool'!$B1823:$W1823)+$Y$2</f>
        <v>-49.12272534143483</v>
      </c>
      <c r="C1829" s="7">
        <f>SUMPRODUCT($C$3:$X$3,'batch tool'!$B1823:$W1823)+$Y$3</f>
        <v>-36.514029388465531</v>
      </c>
      <c r="D1829" s="7">
        <f>SUMPRODUCT($C$4:$X$4,'batch tool'!$B1823:$W1823)+$Y$4</f>
        <v>-44.639843068043824</v>
      </c>
      <c r="E1829" s="7">
        <f>SUMPRODUCT($C$5:$X$5,'batch tool'!$B1823:$W1823)+$Y$5</f>
        <v>-51.578889182477603</v>
      </c>
      <c r="F1829" s="7">
        <f>SUMPRODUCT($C$6:$X$6,'batch tool'!$B1823:$W1823)+$Y$6</f>
        <v>-47.741473633885199</v>
      </c>
      <c r="G1829" s="7">
        <f>SUMPRODUCT($C$7:$X$7,'batch tool'!$B1823:$W1823)+$Y$7</f>
        <v>-19.739516238059196</v>
      </c>
      <c r="H1829" s="7">
        <f t="shared" si="56"/>
        <v>-19.739516238059196</v>
      </c>
      <c r="I1829">
        <f t="shared" si="57"/>
        <v>6</v>
      </c>
      <c r="J1829" t="str" cm="1">
        <f t="array" ref="J1829">INDEX($A$2:$A$7,I1829)</f>
        <v>Segment 6- Self-Conscious Male</v>
      </c>
    </row>
    <row r="1830" spans="1:10" x14ac:dyDescent="0.25">
      <c r="A1830" s="1">
        <f>'batch tool'!A1824</f>
        <v>0</v>
      </c>
      <c r="B1830" s="7">
        <f>SUMPRODUCT($C$2:$X$2,'batch tool'!$B1824:$W1824)+$Y$2</f>
        <v>-49.12272534143483</v>
      </c>
      <c r="C1830" s="7">
        <f>SUMPRODUCT($C$3:$X$3,'batch tool'!$B1824:$W1824)+$Y$3</f>
        <v>-36.514029388465531</v>
      </c>
      <c r="D1830" s="7">
        <f>SUMPRODUCT($C$4:$X$4,'batch tool'!$B1824:$W1824)+$Y$4</f>
        <v>-44.639843068043824</v>
      </c>
      <c r="E1830" s="7">
        <f>SUMPRODUCT($C$5:$X$5,'batch tool'!$B1824:$W1824)+$Y$5</f>
        <v>-51.578889182477603</v>
      </c>
      <c r="F1830" s="7">
        <f>SUMPRODUCT($C$6:$X$6,'batch tool'!$B1824:$W1824)+$Y$6</f>
        <v>-47.741473633885199</v>
      </c>
      <c r="G1830" s="7">
        <f>SUMPRODUCT($C$7:$X$7,'batch tool'!$B1824:$W1824)+$Y$7</f>
        <v>-19.739516238059196</v>
      </c>
      <c r="H1830" s="7">
        <f t="shared" si="56"/>
        <v>-19.739516238059196</v>
      </c>
      <c r="I1830">
        <f t="shared" si="57"/>
        <v>6</v>
      </c>
      <c r="J1830" t="str" cm="1">
        <f t="array" ref="J1830">INDEX($A$2:$A$7,I1830)</f>
        <v>Segment 6- Self-Conscious Male</v>
      </c>
    </row>
    <row r="1831" spans="1:10" x14ac:dyDescent="0.25">
      <c r="A1831" s="1">
        <f>'batch tool'!A1825</f>
        <v>0</v>
      </c>
      <c r="B1831" s="7">
        <f>SUMPRODUCT($C$2:$X$2,'batch tool'!$B1825:$W1825)+$Y$2</f>
        <v>-49.12272534143483</v>
      </c>
      <c r="C1831" s="7">
        <f>SUMPRODUCT($C$3:$X$3,'batch tool'!$B1825:$W1825)+$Y$3</f>
        <v>-36.514029388465531</v>
      </c>
      <c r="D1831" s="7">
        <f>SUMPRODUCT($C$4:$X$4,'batch tool'!$B1825:$W1825)+$Y$4</f>
        <v>-44.639843068043824</v>
      </c>
      <c r="E1831" s="7">
        <f>SUMPRODUCT($C$5:$X$5,'batch tool'!$B1825:$W1825)+$Y$5</f>
        <v>-51.578889182477603</v>
      </c>
      <c r="F1831" s="7">
        <f>SUMPRODUCT($C$6:$X$6,'batch tool'!$B1825:$W1825)+$Y$6</f>
        <v>-47.741473633885199</v>
      </c>
      <c r="G1831" s="7">
        <f>SUMPRODUCT($C$7:$X$7,'batch tool'!$B1825:$W1825)+$Y$7</f>
        <v>-19.739516238059196</v>
      </c>
      <c r="H1831" s="7">
        <f t="shared" si="56"/>
        <v>-19.739516238059196</v>
      </c>
      <c r="I1831">
        <f t="shared" si="57"/>
        <v>6</v>
      </c>
      <c r="J1831" t="str" cm="1">
        <f t="array" ref="J1831">INDEX($A$2:$A$7,I1831)</f>
        <v>Segment 6- Self-Conscious Male</v>
      </c>
    </row>
    <row r="1832" spans="1:10" x14ac:dyDescent="0.25">
      <c r="A1832" s="1">
        <f>'batch tool'!A1826</f>
        <v>0</v>
      </c>
      <c r="B1832" s="7">
        <f>SUMPRODUCT($C$2:$X$2,'batch tool'!$B1826:$W1826)+$Y$2</f>
        <v>-49.12272534143483</v>
      </c>
      <c r="C1832" s="7">
        <f>SUMPRODUCT($C$3:$X$3,'batch tool'!$B1826:$W1826)+$Y$3</f>
        <v>-36.514029388465531</v>
      </c>
      <c r="D1832" s="7">
        <f>SUMPRODUCT($C$4:$X$4,'batch tool'!$B1826:$W1826)+$Y$4</f>
        <v>-44.639843068043824</v>
      </c>
      <c r="E1832" s="7">
        <f>SUMPRODUCT($C$5:$X$5,'batch tool'!$B1826:$W1826)+$Y$5</f>
        <v>-51.578889182477603</v>
      </c>
      <c r="F1832" s="7">
        <f>SUMPRODUCT($C$6:$X$6,'batch tool'!$B1826:$W1826)+$Y$6</f>
        <v>-47.741473633885199</v>
      </c>
      <c r="G1832" s="7">
        <f>SUMPRODUCT($C$7:$X$7,'batch tool'!$B1826:$W1826)+$Y$7</f>
        <v>-19.739516238059196</v>
      </c>
      <c r="H1832" s="7">
        <f t="shared" si="56"/>
        <v>-19.739516238059196</v>
      </c>
      <c r="I1832">
        <f t="shared" si="57"/>
        <v>6</v>
      </c>
      <c r="J1832" t="str" cm="1">
        <f t="array" ref="J1832">INDEX($A$2:$A$7,I1832)</f>
        <v>Segment 6- Self-Conscious Male</v>
      </c>
    </row>
    <row r="1833" spans="1:10" x14ac:dyDescent="0.25">
      <c r="A1833" s="1">
        <f>'batch tool'!A1827</f>
        <v>0</v>
      </c>
      <c r="B1833" s="7">
        <f>SUMPRODUCT($C$2:$X$2,'batch tool'!$B1827:$W1827)+$Y$2</f>
        <v>-49.12272534143483</v>
      </c>
      <c r="C1833" s="7">
        <f>SUMPRODUCT($C$3:$X$3,'batch tool'!$B1827:$W1827)+$Y$3</f>
        <v>-36.514029388465531</v>
      </c>
      <c r="D1833" s="7">
        <f>SUMPRODUCT($C$4:$X$4,'batch tool'!$B1827:$W1827)+$Y$4</f>
        <v>-44.639843068043824</v>
      </c>
      <c r="E1833" s="7">
        <f>SUMPRODUCT($C$5:$X$5,'batch tool'!$B1827:$W1827)+$Y$5</f>
        <v>-51.578889182477603</v>
      </c>
      <c r="F1833" s="7">
        <f>SUMPRODUCT($C$6:$X$6,'batch tool'!$B1827:$W1827)+$Y$6</f>
        <v>-47.741473633885199</v>
      </c>
      <c r="G1833" s="7">
        <f>SUMPRODUCT($C$7:$X$7,'batch tool'!$B1827:$W1827)+$Y$7</f>
        <v>-19.739516238059196</v>
      </c>
      <c r="H1833" s="7">
        <f t="shared" si="56"/>
        <v>-19.739516238059196</v>
      </c>
      <c r="I1833">
        <f t="shared" si="57"/>
        <v>6</v>
      </c>
      <c r="J1833" t="str" cm="1">
        <f t="array" ref="J1833">INDEX($A$2:$A$7,I1833)</f>
        <v>Segment 6- Self-Conscious Male</v>
      </c>
    </row>
    <row r="1834" spans="1:10" x14ac:dyDescent="0.25">
      <c r="A1834" s="1">
        <f>'batch tool'!A1828</f>
        <v>0</v>
      </c>
      <c r="B1834" s="7">
        <f>SUMPRODUCT($C$2:$X$2,'batch tool'!$B1828:$W1828)+$Y$2</f>
        <v>-49.12272534143483</v>
      </c>
      <c r="C1834" s="7">
        <f>SUMPRODUCT($C$3:$X$3,'batch tool'!$B1828:$W1828)+$Y$3</f>
        <v>-36.514029388465531</v>
      </c>
      <c r="D1834" s="7">
        <f>SUMPRODUCT($C$4:$X$4,'batch tool'!$B1828:$W1828)+$Y$4</f>
        <v>-44.639843068043824</v>
      </c>
      <c r="E1834" s="7">
        <f>SUMPRODUCT($C$5:$X$5,'batch tool'!$B1828:$W1828)+$Y$5</f>
        <v>-51.578889182477603</v>
      </c>
      <c r="F1834" s="7">
        <f>SUMPRODUCT($C$6:$X$6,'batch tool'!$B1828:$W1828)+$Y$6</f>
        <v>-47.741473633885199</v>
      </c>
      <c r="G1834" s="7">
        <f>SUMPRODUCT($C$7:$X$7,'batch tool'!$B1828:$W1828)+$Y$7</f>
        <v>-19.739516238059196</v>
      </c>
      <c r="H1834" s="7">
        <f t="shared" si="56"/>
        <v>-19.739516238059196</v>
      </c>
      <c r="I1834">
        <f t="shared" si="57"/>
        <v>6</v>
      </c>
      <c r="J1834" t="str" cm="1">
        <f t="array" ref="J1834">INDEX($A$2:$A$7,I1834)</f>
        <v>Segment 6- Self-Conscious Male</v>
      </c>
    </row>
    <row r="1835" spans="1:10" x14ac:dyDescent="0.25">
      <c r="A1835" s="1">
        <f>'batch tool'!A1829</f>
        <v>0</v>
      </c>
      <c r="B1835" s="7">
        <f>SUMPRODUCT($C$2:$X$2,'batch tool'!$B1829:$W1829)+$Y$2</f>
        <v>-49.12272534143483</v>
      </c>
      <c r="C1835" s="7">
        <f>SUMPRODUCT($C$3:$X$3,'batch tool'!$B1829:$W1829)+$Y$3</f>
        <v>-36.514029388465531</v>
      </c>
      <c r="D1835" s="7">
        <f>SUMPRODUCT($C$4:$X$4,'batch tool'!$B1829:$W1829)+$Y$4</f>
        <v>-44.639843068043824</v>
      </c>
      <c r="E1835" s="7">
        <f>SUMPRODUCT($C$5:$X$5,'batch tool'!$B1829:$W1829)+$Y$5</f>
        <v>-51.578889182477603</v>
      </c>
      <c r="F1835" s="7">
        <f>SUMPRODUCT($C$6:$X$6,'batch tool'!$B1829:$W1829)+$Y$6</f>
        <v>-47.741473633885199</v>
      </c>
      <c r="G1835" s="7">
        <f>SUMPRODUCT($C$7:$X$7,'batch tool'!$B1829:$W1829)+$Y$7</f>
        <v>-19.739516238059196</v>
      </c>
      <c r="H1835" s="7">
        <f t="shared" si="56"/>
        <v>-19.739516238059196</v>
      </c>
      <c r="I1835">
        <f t="shared" si="57"/>
        <v>6</v>
      </c>
      <c r="J1835" t="str" cm="1">
        <f t="array" ref="J1835">INDEX($A$2:$A$7,I1835)</f>
        <v>Segment 6- Self-Conscious Male</v>
      </c>
    </row>
    <row r="1836" spans="1:10" x14ac:dyDescent="0.25">
      <c r="A1836" s="1">
        <f>'batch tool'!A1830</f>
        <v>0</v>
      </c>
      <c r="B1836" s="7">
        <f>SUMPRODUCT($C$2:$X$2,'batch tool'!$B1830:$W1830)+$Y$2</f>
        <v>-49.12272534143483</v>
      </c>
      <c r="C1836" s="7">
        <f>SUMPRODUCT($C$3:$X$3,'batch tool'!$B1830:$W1830)+$Y$3</f>
        <v>-36.514029388465531</v>
      </c>
      <c r="D1836" s="7">
        <f>SUMPRODUCT($C$4:$X$4,'batch tool'!$B1830:$W1830)+$Y$4</f>
        <v>-44.639843068043824</v>
      </c>
      <c r="E1836" s="7">
        <f>SUMPRODUCT($C$5:$X$5,'batch tool'!$B1830:$W1830)+$Y$5</f>
        <v>-51.578889182477603</v>
      </c>
      <c r="F1836" s="7">
        <f>SUMPRODUCT($C$6:$X$6,'batch tool'!$B1830:$W1830)+$Y$6</f>
        <v>-47.741473633885199</v>
      </c>
      <c r="G1836" s="7">
        <f>SUMPRODUCT($C$7:$X$7,'batch tool'!$B1830:$W1830)+$Y$7</f>
        <v>-19.739516238059196</v>
      </c>
      <c r="H1836" s="7">
        <f t="shared" si="56"/>
        <v>-19.739516238059196</v>
      </c>
      <c r="I1836">
        <f t="shared" si="57"/>
        <v>6</v>
      </c>
      <c r="J1836" t="str" cm="1">
        <f t="array" ref="J1836">INDEX($A$2:$A$7,I1836)</f>
        <v>Segment 6- Self-Conscious Male</v>
      </c>
    </row>
    <row r="1837" spans="1:10" x14ac:dyDescent="0.25">
      <c r="A1837" s="1">
        <f>'batch tool'!A1831</f>
        <v>0</v>
      </c>
      <c r="B1837" s="7">
        <f>SUMPRODUCT($C$2:$X$2,'batch tool'!$B1831:$W1831)+$Y$2</f>
        <v>-49.12272534143483</v>
      </c>
      <c r="C1837" s="7">
        <f>SUMPRODUCT($C$3:$X$3,'batch tool'!$B1831:$W1831)+$Y$3</f>
        <v>-36.514029388465531</v>
      </c>
      <c r="D1837" s="7">
        <f>SUMPRODUCT($C$4:$X$4,'batch tool'!$B1831:$W1831)+$Y$4</f>
        <v>-44.639843068043824</v>
      </c>
      <c r="E1837" s="7">
        <f>SUMPRODUCT($C$5:$X$5,'batch tool'!$B1831:$W1831)+$Y$5</f>
        <v>-51.578889182477603</v>
      </c>
      <c r="F1837" s="7">
        <f>SUMPRODUCT($C$6:$X$6,'batch tool'!$B1831:$W1831)+$Y$6</f>
        <v>-47.741473633885199</v>
      </c>
      <c r="G1837" s="7">
        <f>SUMPRODUCT($C$7:$X$7,'batch tool'!$B1831:$W1831)+$Y$7</f>
        <v>-19.739516238059196</v>
      </c>
      <c r="H1837" s="7">
        <f t="shared" si="56"/>
        <v>-19.739516238059196</v>
      </c>
      <c r="I1837">
        <f t="shared" si="57"/>
        <v>6</v>
      </c>
      <c r="J1837" t="str" cm="1">
        <f t="array" ref="J1837">INDEX($A$2:$A$7,I1837)</f>
        <v>Segment 6- Self-Conscious Male</v>
      </c>
    </row>
    <row r="1838" spans="1:10" x14ac:dyDescent="0.25">
      <c r="A1838" s="1">
        <f>'batch tool'!A1832</f>
        <v>0</v>
      </c>
      <c r="B1838" s="7">
        <f>SUMPRODUCT($C$2:$X$2,'batch tool'!$B1832:$W1832)+$Y$2</f>
        <v>-49.12272534143483</v>
      </c>
      <c r="C1838" s="7">
        <f>SUMPRODUCT($C$3:$X$3,'batch tool'!$B1832:$W1832)+$Y$3</f>
        <v>-36.514029388465531</v>
      </c>
      <c r="D1838" s="7">
        <f>SUMPRODUCT($C$4:$X$4,'batch tool'!$B1832:$W1832)+$Y$4</f>
        <v>-44.639843068043824</v>
      </c>
      <c r="E1838" s="7">
        <f>SUMPRODUCT($C$5:$X$5,'batch tool'!$B1832:$W1832)+$Y$5</f>
        <v>-51.578889182477603</v>
      </c>
      <c r="F1838" s="7">
        <f>SUMPRODUCT($C$6:$X$6,'batch tool'!$B1832:$W1832)+$Y$6</f>
        <v>-47.741473633885199</v>
      </c>
      <c r="G1838" s="7">
        <f>SUMPRODUCT($C$7:$X$7,'batch tool'!$B1832:$W1832)+$Y$7</f>
        <v>-19.739516238059196</v>
      </c>
      <c r="H1838" s="7">
        <f t="shared" si="56"/>
        <v>-19.739516238059196</v>
      </c>
      <c r="I1838">
        <f t="shared" si="57"/>
        <v>6</v>
      </c>
      <c r="J1838" t="str" cm="1">
        <f t="array" ref="J1838">INDEX($A$2:$A$7,I1838)</f>
        <v>Segment 6- Self-Conscious Male</v>
      </c>
    </row>
    <row r="1839" spans="1:10" x14ac:dyDescent="0.25">
      <c r="A1839" s="1">
        <f>'batch tool'!A1833</f>
        <v>0</v>
      </c>
      <c r="B1839" s="7">
        <f>SUMPRODUCT($C$2:$X$2,'batch tool'!$B1833:$W1833)+$Y$2</f>
        <v>-49.12272534143483</v>
      </c>
      <c r="C1839" s="7">
        <f>SUMPRODUCT($C$3:$X$3,'batch tool'!$B1833:$W1833)+$Y$3</f>
        <v>-36.514029388465531</v>
      </c>
      <c r="D1839" s="7">
        <f>SUMPRODUCT($C$4:$X$4,'batch tool'!$B1833:$W1833)+$Y$4</f>
        <v>-44.639843068043824</v>
      </c>
      <c r="E1839" s="7">
        <f>SUMPRODUCT($C$5:$X$5,'batch tool'!$B1833:$W1833)+$Y$5</f>
        <v>-51.578889182477603</v>
      </c>
      <c r="F1839" s="7">
        <f>SUMPRODUCT($C$6:$X$6,'batch tool'!$B1833:$W1833)+$Y$6</f>
        <v>-47.741473633885199</v>
      </c>
      <c r="G1839" s="7">
        <f>SUMPRODUCT($C$7:$X$7,'batch tool'!$B1833:$W1833)+$Y$7</f>
        <v>-19.739516238059196</v>
      </c>
      <c r="H1839" s="7">
        <f t="shared" si="56"/>
        <v>-19.739516238059196</v>
      </c>
      <c r="I1839">
        <f t="shared" si="57"/>
        <v>6</v>
      </c>
      <c r="J1839" t="str" cm="1">
        <f t="array" ref="J1839">INDEX($A$2:$A$7,I1839)</f>
        <v>Segment 6- Self-Conscious Male</v>
      </c>
    </row>
    <row r="1840" spans="1:10" x14ac:dyDescent="0.25">
      <c r="A1840" s="1">
        <f>'batch tool'!A1834</f>
        <v>0</v>
      </c>
      <c r="B1840" s="7">
        <f>SUMPRODUCT($C$2:$X$2,'batch tool'!$B1834:$W1834)+$Y$2</f>
        <v>-49.12272534143483</v>
      </c>
      <c r="C1840" s="7">
        <f>SUMPRODUCT($C$3:$X$3,'batch tool'!$B1834:$W1834)+$Y$3</f>
        <v>-36.514029388465531</v>
      </c>
      <c r="D1840" s="7">
        <f>SUMPRODUCT($C$4:$X$4,'batch tool'!$B1834:$W1834)+$Y$4</f>
        <v>-44.639843068043824</v>
      </c>
      <c r="E1840" s="7">
        <f>SUMPRODUCT($C$5:$X$5,'batch tool'!$B1834:$W1834)+$Y$5</f>
        <v>-51.578889182477603</v>
      </c>
      <c r="F1840" s="7">
        <f>SUMPRODUCT($C$6:$X$6,'batch tool'!$B1834:$W1834)+$Y$6</f>
        <v>-47.741473633885199</v>
      </c>
      <c r="G1840" s="7">
        <f>SUMPRODUCT($C$7:$X$7,'batch tool'!$B1834:$W1834)+$Y$7</f>
        <v>-19.739516238059196</v>
      </c>
      <c r="H1840" s="7">
        <f t="shared" si="56"/>
        <v>-19.739516238059196</v>
      </c>
      <c r="I1840">
        <f t="shared" si="57"/>
        <v>6</v>
      </c>
      <c r="J1840" t="str" cm="1">
        <f t="array" ref="J1840">INDEX($A$2:$A$7,I1840)</f>
        <v>Segment 6- Self-Conscious Male</v>
      </c>
    </row>
    <row r="1841" spans="1:10" x14ac:dyDescent="0.25">
      <c r="A1841" s="1">
        <f>'batch tool'!A1835</f>
        <v>0</v>
      </c>
      <c r="B1841" s="7">
        <f>SUMPRODUCT($C$2:$X$2,'batch tool'!$B1835:$W1835)+$Y$2</f>
        <v>-49.12272534143483</v>
      </c>
      <c r="C1841" s="7">
        <f>SUMPRODUCT($C$3:$X$3,'batch tool'!$B1835:$W1835)+$Y$3</f>
        <v>-36.514029388465531</v>
      </c>
      <c r="D1841" s="7">
        <f>SUMPRODUCT($C$4:$X$4,'batch tool'!$B1835:$W1835)+$Y$4</f>
        <v>-44.639843068043824</v>
      </c>
      <c r="E1841" s="7">
        <f>SUMPRODUCT($C$5:$X$5,'batch tool'!$B1835:$W1835)+$Y$5</f>
        <v>-51.578889182477603</v>
      </c>
      <c r="F1841" s="7">
        <f>SUMPRODUCT($C$6:$X$6,'batch tool'!$B1835:$W1835)+$Y$6</f>
        <v>-47.741473633885199</v>
      </c>
      <c r="G1841" s="7">
        <f>SUMPRODUCT($C$7:$X$7,'batch tool'!$B1835:$W1835)+$Y$7</f>
        <v>-19.739516238059196</v>
      </c>
      <c r="H1841" s="7">
        <f t="shared" si="56"/>
        <v>-19.739516238059196</v>
      </c>
      <c r="I1841">
        <f t="shared" si="57"/>
        <v>6</v>
      </c>
      <c r="J1841" t="str" cm="1">
        <f t="array" ref="J1841">INDEX($A$2:$A$7,I1841)</f>
        <v>Segment 6- Self-Conscious Male</v>
      </c>
    </row>
    <row r="1842" spans="1:10" x14ac:dyDescent="0.25">
      <c r="A1842" s="1">
        <f>'batch tool'!A1836</f>
        <v>0</v>
      </c>
      <c r="B1842" s="7">
        <f>SUMPRODUCT($C$2:$X$2,'batch tool'!$B1836:$W1836)+$Y$2</f>
        <v>-49.12272534143483</v>
      </c>
      <c r="C1842" s="7">
        <f>SUMPRODUCT($C$3:$X$3,'batch tool'!$B1836:$W1836)+$Y$3</f>
        <v>-36.514029388465531</v>
      </c>
      <c r="D1842" s="7">
        <f>SUMPRODUCT($C$4:$X$4,'batch tool'!$B1836:$W1836)+$Y$4</f>
        <v>-44.639843068043824</v>
      </c>
      <c r="E1842" s="7">
        <f>SUMPRODUCT($C$5:$X$5,'batch tool'!$B1836:$W1836)+$Y$5</f>
        <v>-51.578889182477603</v>
      </c>
      <c r="F1842" s="7">
        <f>SUMPRODUCT($C$6:$X$6,'batch tool'!$B1836:$W1836)+$Y$6</f>
        <v>-47.741473633885199</v>
      </c>
      <c r="G1842" s="7">
        <f>SUMPRODUCT($C$7:$X$7,'batch tool'!$B1836:$W1836)+$Y$7</f>
        <v>-19.739516238059196</v>
      </c>
      <c r="H1842" s="7">
        <f t="shared" si="56"/>
        <v>-19.739516238059196</v>
      </c>
      <c r="I1842">
        <f t="shared" si="57"/>
        <v>6</v>
      </c>
      <c r="J1842" t="str" cm="1">
        <f t="array" ref="J1842">INDEX($A$2:$A$7,I1842)</f>
        <v>Segment 6- Self-Conscious Male</v>
      </c>
    </row>
    <row r="1843" spans="1:10" x14ac:dyDescent="0.25">
      <c r="A1843" s="1">
        <f>'batch tool'!A1837</f>
        <v>0</v>
      </c>
      <c r="B1843" s="7">
        <f>SUMPRODUCT($C$2:$X$2,'batch tool'!$B1837:$W1837)+$Y$2</f>
        <v>-49.12272534143483</v>
      </c>
      <c r="C1843" s="7">
        <f>SUMPRODUCT($C$3:$X$3,'batch tool'!$B1837:$W1837)+$Y$3</f>
        <v>-36.514029388465531</v>
      </c>
      <c r="D1843" s="7">
        <f>SUMPRODUCT($C$4:$X$4,'batch tool'!$B1837:$W1837)+$Y$4</f>
        <v>-44.639843068043824</v>
      </c>
      <c r="E1843" s="7">
        <f>SUMPRODUCT($C$5:$X$5,'batch tool'!$B1837:$W1837)+$Y$5</f>
        <v>-51.578889182477603</v>
      </c>
      <c r="F1843" s="7">
        <f>SUMPRODUCT($C$6:$X$6,'batch tool'!$B1837:$W1837)+$Y$6</f>
        <v>-47.741473633885199</v>
      </c>
      <c r="G1843" s="7">
        <f>SUMPRODUCT($C$7:$X$7,'batch tool'!$B1837:$W1837)+$Y$7</f>
        <v>-19.739516238059196</v>
      </c>
      <c r="H1843" s="7">
        <f t="shared" si="56"/>
        <v>-19.739516238059196</v>
      </c>
      <c r="I1843">
        <f t="shared" si="57"/>
        <v>6</v>
      </c>
      <c r="J1843" t="str" cm="1">
        <f t="array" ref="J1843">INDEX($A$2:$A$7,I1843)</f>
        <v>Segment 6- Self-Conscious Male</v>
      </c>
    </row>
    <row r="1844" spans="1:10" x14ac:dyDescent="0.25">
      <c r="A1844" s="1">
        <f>'batch tool'!A1838</f>
        <v>0</v>
      </c>
      <c r="B1844" s="7">
        <f>SUMPRODUCT($C$2:$X$2,'batch tool'!$B1838:$W1838)+$Y$2</f>
        <v>-49.12272534143483</v>
      </c>
      <c r="C1844" s="7">
        <f>SUMPRODUCT($C$3:$X$3,'batch tool'!$B1838:$W1838)+$Y$3</f>
        <v>-36.514029388465531</v>
      </c>
      <c r="D1844" s="7">
        <f>SUMPRODUCT($C$4:$X$4,'batch tool'!$B1838:$W1838)+$Y$4</f>
        <v>-44.639843068043824</v>
      </c>
      <c r="E1844" s="7">
        <f>SUMPRODUCT($C$5:$X$5,'batch tool'!$B1838:$W1838)+$Y$5</f>
        <v>-51.578889182477603</v>
      </c>
      <c r="F1844" s="7">
        <f>SUMPRODUCT($C$6:$X$6,'batch tool'!$B1838:$W1838)+$Y$6</f>
        <v>-47.741473633885199</v>
      </c>
      <c r="G1844" s="7">
        <f>SUMPRODUCT($C$7:$X$7,'batch tool'!$B1838:$W1838)+$Y$7</f>
        <v>-19.739516238059196</v>
      </c>
      <c r="H1844" s="7">
        <f t="shared" si="56"/>
        <v>-19.739516238059196</v>
      </c>
      <c r="I1844">
        <f t="shared" si="57"/>
        <v>6</v>
      </c>
      <c r="J1844" t="str" cm="1">
        <f t="array" ref="J1844">INDEX($A$2:$A$7,I1844)</f>
        <v>Segment 6- Self-Conscious Male</v>
      </c>
    </row>
    <row r="1845" spans="1:10" x14ac:dyDescent="0.25">
      <c r="A1845" s="1">
        <f>'batch tool'!A1839</f>
        <v>0</v>
      </c>
      <c r="B1845" s="7">
        <f>SUMPRODUCT($C$2:$X$2,'batch tool'!$B1839:$W1839)+$Y$2</f>
        <v>-49.12272534143483</v>
      </c>
      <c r="C1845" s="7">
        <f>SUMPRODUCT($C$3:$X$3,'batch tool'!$B1839:$W1839)+$Y$3</f>
        <v>-36.514029388465531</v>
      </c>
      <c r="D1845" s="7">
        <f>SUMPRODUCT($C$4:$X$4,'batch tool'!$B1839:$W1839)+$Y$4</f>
        <v>-44.639843068043824</v>
      </c>
      <c r="E1845" s="7">
        <f>SUMPRODUCT($C$5:$X$5,'batch tool'!$B1839:$W1839)+$Y$5</f>
        <v>-51.578889182477603</v>
      </c>
      <c r="F1845" s="7">
        <f>SUMPRODUCT($C$6:$X$6,'batch tool'!$B1839:$W1839)+$Y$6</f>
        <v>-47.741473633885199</v>
      </c>
      <c r="G1845" s="7">
        <f>SUMPRODUCT($C$7:$X$7,'batch tool'!$B1839:$W1839)+$Y$7</f>
        <v>-19.739516238059196</v>
      </c>
      <c r="H1845" s="7">
        <f t="shared" si="56"/>
        <v>-19.739516238059196</v>
      </c>
      <c r="I1845">
        <f t="shared" si="57"/>
        <v>6</v>
      </c>
      <c r="J1845" t="str" cm="1">
        <f t="array" ref="J1845">INDEX($A$2:$A$7,I1845)</f>
        <v>Segment 6- Self-Conscious Male</v>
      </c>
    </row>
    <row r="1846" spans="1:10" x14ac:dyDescent="0.25">
      <c r="A1846" s="1">
        <f>'batch tool'!A1840</f>
        <v>0</v>
      </c>
      <c r="B1846" s="7">
        <f>SUMPRODUCT($C$2:$X$2,'batch tool'!$B1840:$W1840)+$Y$2</f>
        <v>-49.12272534143483</v>
      </c>
      <c r="C1846" s="7">
        <f>SUMPRODUCT($C$3:$X$3,'batch tool'!$B1840:$W1840)+$Y$3</f>
        <v>-36.514029388465531</v>
      </c>
      <c r="D1846" s="7">
        <f>SUMPRODUCT($C$4:$X$4,'batch tool'!$B1840:$W1840)+$Y$4</f>
        <v>-44.639843068043824</v>
      </c>
      <c r="E1846" s="7">
        <f>SUMPRODUCT($C$5:$X$5,'batch tool'!$B1840:$W1840)+$Y$5</f>
        <v>-51.578889182477603</v>
      </c>
      <c r="F1846" s="7">
        <f>SUMPRODUCT($C$6:$X$6,'batch tool'!$B1840:$W1840)+$Y$6</f>
        <v>-47.741473633885199</v>
      </c>
      <c r="G1846" s="7">
        <f>SUMPRODUCT($C$7:$X$7,'batch tool'!$B1840:$W1840)+$Y$7</f>
        <v>-19.739516238059196</v>
      </c>
      <c r="H1846" s="7">
        <f t="shared" si="56"/>
        <v>-19.739516238059196</v>
      </c>
      <c r="I1846">
        <f t="shared" si="57"/>
        <v>6</v>
      </c>
      <c r="J1846" t="str" cm="1">
        <f t="array" ref="J1846">INDEX($A$2:$A$7,I1846)</f>
        <v>Segment 6- Self-Conscious Male</v>
      </c>
    </row>
    <row r="1847" spans="1:10" x14ac:dyDescent="0.25">
      <c r="A1847" s="1">
        <f>'batch tool'!A1841</f>
        <v>0</v>
      </c>
      <c r="B1847" s="7">
        <f>SUMPRODUCT($C$2:$X$2,'batch tool'!$B1841:$W1841)+$Y$2</f>
        <v>-49.12272534143483</v>
      </c>
      <c r="C1847" s="7">
        <f>SUMPRODUCT($C$3:$X$3,'batch tool'!$B1841:$W1841)+$Y$3</f>
        <v>-36.514029388465531</v>
      </c>
      <c r="D1847" s="7">
        <f>SUMPRODUCT($C$4:$X$4,'batch tool'!$B1841:$W1841)+$Y$4</f>
        <v>-44.639843068043824</v>
      </c>
      <c r="E1847" s="7">
        <f>SUMPRODUCT($C$5:$X$5,'batch tool'!$B1841:$W1841)+$Y$5</f>
        <v>-51.578889182477603</v>
      </c>
      <c r="F1847" s="7">
        <f>SUMPRODUCT($C$6:$X$6,'batch tool'!$B1841:$W1841)+$Y$6</f>
        <v>-47.741473633885199</v>
      </c>
      <c r="G1847" s="7">
        <f>SUMPRODUCT($C$7:$X$7,'batch tool'!$B1841:$W1841)+$Y$7</f>
        <v>-19.739516238059196</v>
      </c>
      <c r="H1847" s="7">
        <f t="shared" si="56"/>
        <v>-19.739516238059196</v>
      </c>
      <c r="I1847">
        <f t="shared" si="57"/>
        <v>6</v>
      </c>
      <c r="J1847" t="str" cm="1">
        <f t="array" ref="J1847">INDEX($A$2:$A$7,I1847)</f>
        <v>Segment 6- Self-Conscious Male</v>
      </c>
    </row>
    <row r="1848" spans="1:10" x14ac:dyDescent="0.25">
      <c r="A1848" s="1">
        <f>'batch tool'!A1842</f>
        <v>0</v>
      </c>
      <c r="B1848" s="7">
        <f>SUMPRODUCT($C$2:$X$2,'batch tool'!$B1842:$W1842)+$Y$2</f>
        <v>-49.12272534143483</v>
      </c>
      <c r="C1848" s="7">
        <f>SUMPRODUCT($C$3:$X$3,'batch tool'!$B1842:$W1842)+$Y$3</f>
        <v>-36.514029388465531</v>
      </c>
      <c r="D1848" s="7">
        <f>SUMPRODUCT($C$4:$X$4,'batch tool'!$B1842:$W1842)+$Y$4</f>
        <v>-44.639843068043824</v>
      </c>
      <c r="E1848" s="7">
        <f>SUMPRODUCT($C$5:$X$5,'batch tool'!$B1842:$W1842)+$Y$5</f>
        <v>-51.578889182477603</v>
      </c>
      <c r="F1848" s="7">
        <f>SUMPRODUCT($C$6:$X$6,'batch tool'!$B1842:$W1842)+$Y$6</f>
        <v>-47.741473633885199</v>
      </c>
      <c r="G1848" s="7">
        <f>SUMPRODUCT($C$7:$X$7,'batch tool'!$B1842:$W1842)+$Y$7</f>
        <v>-19.739516238059196</v>
      </c>
      <c r="H1848" s="7">
        <f t="shared" si="56"/>
        <v>-19.739516238059196</v>
      </c>
      <c r="I1848">
        <f t="shared" si="57"/>
        <v>6</v>
      </c>
      <c r="J1848" t="str" cm="1">
        <f t="array" ref="J1848">INDEX($A$2:$A$7,I1848)</f>
        <v>Segment 6- Self-Conscious Male</v>
      </c>
    </row>
    <row r="1849" spans="1:10" x14ac:dyDescent="0.25">
      <c r="A1849" s="1">
        <f>'batch tool'!A1843</f>
        <v>0</v>
      </c>
      <c r="B1849" s="7">
        <f>SUMPRODUCT($C$2:$X$2,'batch tool'!$B1843:$W1843)+$Y$2</f>
        <v>-49.12272534143483</v>
      </c>
      <c r="C1849" s="7">
        <f>SUMPRODUCT($C$3:$X$3,'batch tool'!$B1843:$W1843)+$Y$3</f>
        <v>-36.514029388465531</v>
      </c>
      <c r="D1849" s="7">
        <f>SUMPRODUCT($C$4:$X$4,'batch tool'!$B1843:$W1843)+$Y$4</f>
        <v>-44.639843068043824</v>
      </c>
      <c r="E1849" s="7">
        <f>SUMPRODUCT($C$5:$X$5,'batch tool'!$B1843:$W1843)+$Y$5</f>
        <v>-51.578889182477603</v>
      </c>
      <c r="F1849" s="7">
        <f>SUMPRODUCT($C$6:$X$6,'batch tool'!$B1843:$W1843)+$Y$6</f>
        <v>-47.741473633885199</v>
      </c>
      <c r="G1849" s="7">
        <f>SUMPRODUCT($C$7:$X$7,'batch tool'!$B1843:$W1843)+$Y$7</f>
        <v>-19.739516238059196</v>
      </c>
      <c r="H1849" s="7">
        <f t="shared" si="56"/>
        <v>-19.739516238059196</v>
      </c>
      <c r="I1849">
        <f t="shared" si="57"/>
        <v>6</v>
      </c>
      <c r="J1849" t="str" cm="1">
        <f t="array" ref="J1849">INDEX($A$2:$A$7,I1849)</f>
        <v>Segment 6- Self-Conscious Male</v>
      </c>
    </row>
    <row r="1850" spans="1:10" x14ac:dyDescent="0.25">
      <c r="A1850" s="1">
        <f>'batch tool'!A1844</f>
        <v>0</v>
      </c>
      <c r="B1850" s="7">
        <f>SUMPRODUCT($C$2:$X$2,'batch tool'!$B1844:$W1844)+$Y$2</f>
        <v>-49.12272534143483</v>
      </c>
      <c r="C1850" s="7">
        <f>SUMPRODUCT($C$3:$X$3,'batch tool'!$B1844:$W1844)+$Y$3</f>
        <v>-36.514029388465531</v>
      </c>
      <c r="D1850" s="7">
        <f>SUMPRODUCT($C$4:$X$4,'batch tool'!$B1844:$W1844)+$Y$4</f>
        <v>-44.639843068043824</v>
      </c>
      <c r="E1850" s="7">
        <f>SUMPRODUCT($C$5:$X$5,'batch tool'!$B1844:$W1844)+$Y$5</f>
        <v>-51.578889182477603</v>
      </c>
      <c r="F1850" s="7">
        <f>SUMPRODUCT($C$6:$X$6,'batch tool'!$B1844:$W1844)+$Y$6</f>
        <v>-47.741473633885199</v>
      </c>
      <c r="G1850" s="7">
        <f>SUMPRODUCT($C$7:$X$7,'batch tool'!$B1844:$W1844)+$Y$7</f>
        <v>-19.739516238059196</v>
      </c>
      <c r="H1850" s="7">
        <f t="shared" si="56"/>
        <v>-19.739516238059196</v>
      </c>
      <c r="I1850">
        <f t="shared" si="57"/>
        <v>6</v>
      </c>
      <c r="J1850" t="str" cm="1">
        <f t="array" ref="J1850">INDEX($A$2:$A$7,I1850)</f>
        <v>Segment 6- Self-Conscious Male</v>
      </c>
    </row>
    <row r="1851" spans="1:10" x14ac:dyDescent="0.25">
      <c r="A1851" s="1">
        <f>'batch tool'!A1845</f>
        <v>0</v>
      </c>
      <c r="B1851" s="7">
        <f>SUMPRODUCT($C$2:$X$2,'batch tool'!$B1845:$W1845)+$Y$2</f>
        <v>-49.12272534143483</v>
      </c>
      <c r="C1851" s="7">
        <f>SUMPRODUCT($C$3:$X$3,'batch tool'!$B1845:$W1845)+$Y$3</f>
        <v>-36.514029388465531</v>
      </c>
      <c r="D1851" s="7">
        <f>SUMPRODUCT($C$4:$X$4,'batch tool'!$B1845:$W1845)+$Y$4</f>
        <v>-44.639843068043824</v>
      </c>
      <c r="E1851" s="7">
        <f>SUMPRODUCT($C$5:$X$5,'batch tool'!$B1845:$W1845)+$Y$5</f>
        <v>-51.578889182477603</v>
      </c>
      <c r="F1851" s="7">
        <f>SUMPRODUCT($C$6:$X$6,'batch tool'!$B1845:$W1845)+$Y$6</f>
        <v>-47.741473633885199</v>
      </c>
      <c r="G1851" s="7">
        <f>SUMPRODUCT($C$7:$X$7,'batch tool'!$B1845:$W1845)+$Y$7</f>
        <v>-19.739516238059196</v>
      </c>
      <c r="H1851" s="7">
        <f t="shared" si="56"/>
        <v>-19.739516238059196</v>
      </c>
      <c r="I1851">
        <f t="shared" si="57"/>
        <v>6</v>
      </c>
      <c r="J1851" t="str" cm="1">
        <f t="array" ref="J1851">INDEX($A$2:$A$7,I1851)</f>
        <v>Segment 6- Self-Conscious Male</v>
      </c>
    </row>
    <row r="1852" spans="1:10" x14ac:dyDescent="0.25">
      <c r="A1852" s="1">
        <f>'batch tool'!A1846</f>
        <v>0</v>
      </c>
      <c r="B1852" s="7">
        <f>SUMPRODUCT($C$2:$X$2,'batch tool'!$B1846:$W1846)+$Y$2</f>
        <v>-49.12272534143483</v>
      </c>
      <c r="C1852" s="7">
        <f>SUMPRODUCT($C$3:$X$3,'batch tool'!$B1846:$W1846)+$Y$3</f>
        <v>-36.514029388465531</v>
      </c>
      <c r="D1852" s="7">
        <f>SUMPRODUCT($C$4:$X$4,'batch tool'!$B1846:$W1846)+$Y$4</f>
        <v>-44.639843068043824</v>
      </c>
      <c r="E1852" s="7">
        <f>SUMPRODUCT($C$5:$X$5,'batch tool'!$B1846:$W1846)+$Y$5</f>
        <v>-51.578889182477603</v>
      </c>
      <c r="F1852" s="7">
        <f>SUMPRODUCT($C$6:$X$6,'batch tool'!$B1846:$W1846)+$Y$6</f>
        <v>-47.741473633885199</v>
      </c>
      <c r="G1852" s="7">
        <f>SUMPRODUCT($C$7:$X$7,'batch tool'!$B1846:$W1846)+$Y$7</f>
        <v>-19.739516238059196</v>
      </c>
      <c r="H1852" s="7">
        <f t="shared" si="56"/>
        <v>-19.739516238059196</v>
      </c>
      <c r="I1852">
        <f t="shared" si="57"/>
        <v>6</v>
      </c>
      <c r="J1852" t="str" cm="1">
        <f t="array" ref="J1852">INDEX($A$2:$A$7,I1852)</f>
        <v>Segment 6- Self-Conscious Male</v>
      </c>
    </row>
    <row r="1853" spans="1:10" x14ac:dyDescent="0.25">
      <c r="A1853" s="1">
        <f>'batch tool'!A1847</f>
        <v>0</v>
      </c>
      <c r="B1853" s="7">
        <f>SUMPRODUCT($C$2:$X$2,'batch tool'!$B1847:$W1847)+$Y$2</f>
        <v>-49.12272534143483</v>
      </c>
      <c r="C1853" s="7">
        <f>SUMPRODUCT($C$3:$X$3,'batch tool'!$B1847:$W1847)+$Y$3</f>
        <v>-36.514029388465531</v>
      </c>
      <c r="D1853" s="7">
        <f>SUMPRODUCT($C$4:$X$4,'batch tool'!$B1847:$W1847)+$Y$4</f>
        <v>-44.639843068043824</v>
      </c>
      <c r="E1853" s="7">
        <f>SUMPRODUCT($C$5:$X$5,'batch tool'!$B1847:$W1847)+$Y$5</f>
        <v>-51.578889182477603</v>
      </c>
      <c r="F1853" s="7">
        <f>SUMPRODUCT($C$6:$X$6,'batch tool'!$B1847:$W1847)+$Y$6</f>
        <v>-47.741473633885199</v>
      </c>
      <c r="G1853" s="7">
        <f>SUMPRODUCT($C$7:$X$7,'batch tool'!$B1847:$W1847)+$Y$7</f>
        <v>-19.739516238059196</v>
      </c>
      <c r="H1853" s="7">
        <f t="shared" si="56"/>
        <v>-19.739516238059196</v>
      </c>
      <c r="I1853">
        <f t="shared" si="57"/>
        <v>6</v>
      </c>
      <c r="J1853" t="str" cm="1">
        <f t="array" ref="J1853">INDEX($A$2:$A$7,I1853)</f>
        <v>Segment 6- Self-Conscious Male</v>
      </c>
    </row>
    <row r="1854" spans="1:10" x14ac:dyDescent="0.25">
      <c r="A1854" s="1">
        <f>'batch tool'!A1848</f>
        <v>0</v>
      </c>
      <c r="B1854" s="7">
        <f>SUMPRODUCT($C$2:$X$2,'batch tool'!$B1848:$W1848)+$Y$2</f>
        <v>-49.12272534143483</v>
      </c>
      <c r="C1854" s="7">
        <f>SUMPRODUCT($C$3:$X$3,'batch tool'!$B1848:$W1848)+$Y$3</f>
        <v>-36.514029388465531</v>
      </c>
      <c r="D1854" s="7">
        <f>SUMPRODUCT($C$4:$X$4,'batch tool'!$B1848:$W1848)+$Y$4</f>
        <v>-44.639843068043824</v>
      </c>
      <c r="E1854" s="7">
        <f>SUMPRODUCT($C$5:$X$5,'batch tool'!$B1848:$W1848)+$Y$5</f>
        <v>-51.578889182477603</v>
      </c>
      <c r="F1854" s="7">
        <f>SUMPRODUCT($C$6:$X$6,'batch tool'!$B1848:$W1848)+$Y$6</f>
        <v>-47.741473633885199</v>
      </c>
      <c r="G1854" s="7">
        <f>SUMPRODUCT($C$7:$X$7,'batch tool'!$B1848:$W1848)+$Y$7</f>
        <v>-19.739516238059196</v>
      </c>
      <c r="H1854" s="7">
        <f t="shared" si="56"/>
        <v>-19.739516238059196</v>
      </c>
      <c r="I1854">
        <f t="shared" si="57"/>
        <v>6</v>
      </c>
      <c r="J1854" t="str" cm="1">
        <f t="array" ref="J1854">INDEX($A$2:$A$7,I1854)</f>
        <v>Segment 6- Self-Conscious Male</v>
      </c>
    </row>
    <row r="1855" spans="1:10" x14ac:dyDescent="0.25">
      <c r="A1855" s="1">
        <f>'batch tool'!A1849</f>
        <v>0</v>
      </c>
      <c r="B1855" s="7">
        <f>SUMPRODUCT($C$2:$X$2,'batch tool'!$B1849:$W1849)+$Y$2</f>
        <v>-49.12272534143483</v>
      </c>
      <c r="C1855" s="7">
        <f>SUMPRODUCT($C$3:$X$3,'batch tool'!$B1849:$W1849)+$Y$3</f>
        <v>-36.514029388465531</v>
      </c>
      <c r="D1855" s="7">
        <f>SUMPRODUCT($C$4:$X$4,'batch tool'!$B1849:$W1849)+$Y$4</f>
        <v>-44.639843068043824</v>
      </c>
      <c r="E1855" s="7">
        <f>SUMPRODUCT($C$5:$X$5,'batch tool'!$B1849:$W1849)+$Y$5</f>
        <v>-51.578889182477603</v>
      </c>
      <c r="F1855" s="7">
        <f>SUMPRODUCT($C$6:$X$6,'batch tool'!$B1849:$W1849)+$Y$6</f>
        <v>-47.741473633885199</v>
      </c>
      <c r="G1855" s="7">
        <f>SUMPRODUCT($C$7:$X$7,'batch tool'!$B1849:$W1849)+$Y$7</f>
        <v>-19.739516238059196</v>
      </c>
      <c r="H1855" s="7">
        <f t="shared" si="56"/>
        <v>-19.739516238059196</v>
      </c>
      <c r="I1855">
        <f t="shared" si="57"/>
        <v>6</v>
      </c>
      <c r="J1855" t="str" cm="1">
        <f t="array" ref="J1855">INDEX($A$2:$A$7,I1855)</f>
        <v>Segment 6- Self-Conscious Male</v>
      </c>
    </row>
    <row r="1856" spans="1:10" x14ac:dyDescent="0.25">
      <c r="A1856" s="1">
        <f>'batch tool'!A1850</f>
        <v>0</v>
      </c>
      <c r="B1856" s="7">
        <f>SUMPRODUCT($C$2:$X$2,'batch tool'!$B1850:$W1850)+$Y$2</f>
        <v>-49.12272534143483</v>
      </c>
      <c r="C1856" s="7">
        <f>SUMPRODUCT($C$3:$X$3,'batch tool'!$B1850:$W1850)+$Y$3</f>
        <v>-36.514029388465531</v>
      </c>
      <c r="D1856" s="7">
        <f>SUMPRODUCT($C$4:$X$4,'batch tool'!$B1850:$W1850)+$Y$4</f>
        <v>-44.639843068043824</v>
      </c>
      <c r="E1856" s="7">
        <f>SUMPRODUCT($C$5:$X$5,'batch tool'!$B1850:$W1850)+$Y$5</f>
        <v>-51.578889182477603</v>
      </c>
      <c r="F1856" s="7">
        <f>SUMPRODUCT($C$6:$X$6,'batch tool'!$B1850:$W1850)+$Y$6</f>
        <v>-47.741473633885199</v>
      </c>
      <c r="G1856" s="7">
        <f>SUMPRODUCT($C$7:$X$7,'batch tool'!$B1850:$W1850)+$Y$7</f>
        <v>-19.739516238059196</v>
      </c>
      <c r="H1856" s="7">
        <f t="shared" si="56"/>
        <v>-19.739516238059196</v>
      </c>
      <c r="I1856">
        <f t="shared" si="57"/>
        <v>6</v>
      </c>
      <c r="J1856" t="str" cm="1">
        <f t="array" ref="J1856">INDEX($A$2:$A$7,I1856)</f>
        <v>Segment 6- Self-Conscious Male</v>
      </c>
    </row>
    <row r="1857" spans="1:10" x14ac:dyDescent="0.25">
      <c r="A1857" s="1">
        <f>'batch tool'!A1851</f>
        <v>0</v>
      </c>
      <c r="B1857" s="7">
        <f>SUMPRODUCT($C$2:$X$2,'batch tool'!$B1851:$W1851)+$Y$2</f>
        <v>-49.12272534143483</v>
      </c>
      <c r="C1857" s="7">
        <f>SUMPRODUCT($C$3:$X$3,'batch tool'!$B1851:$W1851)+$Y$3</f>
        <v>-36.514029388465531</v>
      </c>
      <c r="D1857" s="7">
        <f>SUMPRODUCT($C$4:$X$4,'batch tool'!$B1851:$W1851)+$Y$4</f>
        <v>-44.639843068043824</v>
      </c>
      <c r="E1857" s="7">
        <f>SUMPRODUCT($C$5:$X$5,'batch tool'!$B1851:$W1851)+$Y$5</f>
        <v>-51.578889182477603</v>
      </c>
      <c r="F1857" s="7">
        <f>SUMPRODUCT($C$6:$X$6,'batch tool'!$B1851:$W1851)+$Y$6</f>
        <v>-47.741473633885199</v>
      </c>
      <c r="G1857" s="7">
        <f>SUMPRODUCT($C$7:$X$7,'batch tool'!$B1851:$W1851)+$Y$7</f>
        <v>-19.739516238059196</v>
      </c>
      <c r="H1857" s="7">
        <f t="shared" si="56"/>
        <v>-19.739516238059196</v>
      </c>
      <c r="I1857">
        <f t="shared" si="57"/>
        <v>6</v>
      </c>
      <c r="J1857" t="str" cm="1">
        <f t="array" ref="J1857">INDEX($A$2:$A$7,I1857)</f>
        <v>Segment 6- Self-Conscious Male</v>
      </c>
    </row>
    <row r="1858" spans="1:10" x14ac:dyDescent="0.25">
      <c r="A1858" s="1">
        <f>'batch tool'!A1852</f>
        <v>0</v>
      </c>
      <c r="B1858" s="7">
        <f>SUMPRODUCT($C$2:$X$2,'batch tool'!$B1852:$W1852)+$Y$2</f>
        <v>-49.12272534143483</v>
      </c>
      <c r="C1858" s="7">
        <f>SUMPRODUCT($C$3:$X$3,'batch tool'!$B1852:$W1852)+$Y$3</f>
        <v>-36.514029388465531</v>
      </c>
      <c r="D1858" s="7">
        <f>SUMPRODUCT($C$4:$X$4,'batch tool'!$B1852:$W1852)+$Y$4</f>
        <v>-44.639843068043824</v>
      </c>
      <c r="E1858" s="7">
        <f>SUMPRODUCT($C$5:$X$5,'batch tool'!$B1852:$W1852)+$Y$5</f>
        <v>-51.578889182477603</v>
      </c>
      <c r="F1858" s="7">
        <f>SUMPRODUCT($C$6:$X$6,'batch tool'!$B1852:$W1852)+$Y$6</f>
        <v>-47.741473633885199</v>
      </c>
      <c r="G1858" s="7">
        <f>SUMPRODUCT($C$7:$X$7,'batch tool'!$B1852:$W1852)+$Y$7</f>
        <v>-19.739516238059196</v>
      </c>
      <c r="H1858" s="7">
        <f t="shared" si="56"/>
        <v>-19.739516238059196</v>
      </c>
      <c r="I1858">
        <f t="shared" si="57"/>
        <v>6</v>
      </c>
      <c r="J1858" t="str" cm="1">
        <f t="array" ref="J1858">INDEX($A$2:$A$7,I1858)</f>
        <v>Segment 6- Self-Conscious Male</v>
      </c>
    </row>
    <row r="1859" spans="1:10" x14ac:dyDescent="0.25">
      <c r="A1859" s="1">
        <f>'batch tool'!A1853</f>
        <v>0</v>
      </c>
      <c r="B1859" s="7">
        <f>SUMPRODUCT($C$2:$X$2,'batch tool'!$B1853:$W1853)+$Y$2</f>
        <v>-49.12272534143483</v>
      </c>
      <c r="C1859" s="7">
        <f>SUMPRODUCT($C$3:$X$3,'batch tool'!$B1853:$W1853)+$Y$3</f>
        <v>-36.514029388465531</v>
      </c>
      <c r="D1859" s="7">
        <f>SUMPRODUCT($C$4:$X$4,'batch tool'!$B1853:$W1853)+$Y$4</f>
        <v>-44.639843068043824</v>
      </c>
      <c r="E1859" s="7">
        <f>SUMPRODUCT($C$5:$X$5,'batch tool'!$B1853:$W1853)+$Y$5</f>
        <v>-51.578889182477603</v>
      </c>
      <c r="F1859" s="7">
        <f>SUMPRODUCT($C$6:$X$6,'batch tool'!$B1853:$W1853)+$Y$6</f>
        <v>-47.741473633885199</v>
      </c>
      <c r="G1859" s="7">
        <f>SUMPRODUCT($C$7:$X$7,'batch tool'!$B1853:$W1853)+$Y$7</f>
        <v>-19.739516238059196</v>
      </c>
      <c r="H1859" s="7">
        <f t="shared" si="56"/>
        <v>-19.739516238059196</v>
      </c>
      <c r="I1859">
        <f t="shared" si="57"/>
        <v>6</v>
      </c>
      <c r="J1859" t="str" cm="1">
        <f t="array" ref="J1859">INDEX($A$2:$A$7,I1859)</f>
        <v>Segment 6- Self-Conscious Male</v>
      </c>
    </row>
    <row r="1860" spans="1:10" x14ac:dyDescent="0.25">
      <c r="A1860" s="1">
        <f>'batch tool'!A1854</f>
        <v>0</v>
      </c>
      <c r="B1860" s="7">
        <f>SUMPRODUCT($C$2:$X$2,'batch tool'!$B1854:$W1854)+$Y$2</f>
        <v>-49.12272534143483</v>
      </c>
      <c r="C1860" s="7">
        <f>SUMPRODUCT($C$3:$X$3,'batch tool'!$B1854:$W1854)+$Y$3</f>
        <v>-36.514029388465531</v>
      </c>
      <c r="D1860" s="7">
        <f>SUMPRODUCT($C$4:$X$4,'batch tool'!$B1854:$W1854)+$Y$4</f>
        <v>-44.639843068043824</v>
      </c>
      <c r="E1860" s="7">
        <f>SUMPRODUCT($C$5:$X$5,'batch tool'!$B1854:$W1854)+$Y$5</f>
        <v>-51.578889182477603</v>
      </c>
      <c r="F1860" s="7">
        <f>SUMPRODUCT($C$6:$X$6,'batch tool'!$B1854:$W1854)+$Y$6</f>
        <v>-47.741473633885199</v>
      </c>
      <c r="G1860" s="7">
        <f>SUMPRODUCT($C$7:$X$7,'batch tool'!$B1854:$W1854)+$Y$7</f>
        <v>-19.739516238059196</v>
      </c>
      <c r="H1860" s="7">
        <f t="shared" si="56"/>
        <v>-19.739516238059196</v>
      </c>
      <c r="I1860">
        <f t="shared" si="57"/>
        <v>6</v>
      </c>
      <c r="J1860" t="str" cm="1">
        <f t="array" ref="J1860">INDEX($A$2:$A$7,I1860)</f>
        <v>Segment 6- Self-Conscious Male</v>
      </c>
    </row>
    <row r="1861" spans="1:10" x14ac:dyDescent="0.25">
      <c r="A1861" s="1">
        <f>'batch tool'!A1855</f>
        <v>0</v>
      </c>
      <c r="B1861" s="7">
        <f>SUMPRODUCT($C$2:$X$2,'batch tool'!$B1855:$W1855)+$Y$2</f>
        <v>-49.12272534143483</v>
      </c>
      <c r="C1861" s="7">
        <f>SUMPRODUCT($C$3:$X$3,'batch tool'!$B1855:$W1855)+$Y$3</f>
        <v>-36.514029388465531</v>
      </c>
      <c r="D1861" s="7">
        <f>SUMPRODUCT($C$4:$X$4,'batch tool'!$B1855:$W1855)+$Y$4</f>
        <v>-44.639843068043824</v>
      </c>
      <c r="E1861" s="7">
        <f>SUMPRODUCT($C$5:$X$5,'batch tool'!$B1855:$W1855)+$Y$5</f>
        <v>-51.578889182477603</v>
      </c>
      <c r="F1861" s="7">
        <f>SUMPRODUCT($C$6:$X$6,'batch tool'!$B1855:$W1855)+$Y$6</f>
        <v>-47.741473633885199</v>
      </c>
      <c r="G1861" s="7">
        <f>SUMPRODUCT($C$7:$X$7,'batch tool'!$B1855:$W1855)+$Y$7</f>
        <v>-19.739516238059196</v>
      </c>
      <c r="H1861" s="7">
        <f t="shared" si="56"/>
        <v>-19.739516238059196</v>
      </c>
      <c r="I1861">
        <f t="shared" si="57"/>
        <v>6</v>
      </c>
      <c r="J1861" t="str" cm="1">
        <f t="array" ref="J1861">INDEX($A$2:$A$7,I1861)</f>
        <v>Segment 6- Self-Conscious Male</v>
      </c>
    </row>
    <row r="1862" spans="1:10" x14ac:dyDescent="0.25">
      <c r="A1862" s="1">
        <f>'batch tool'!A1856</f>
        <v>0</v>
      </c>
      <c r="B1862" s="7">
        <f>SUMPRODUCT($C$2:$X$2,'batch tool'!$B1856:$W1856)+$Y$2</f>
        <v>-49.12272534143483</v>
      </c>
      <c r="C1862" s="7">
        <f>SUMPRODUCT($C$3:$X$3,'batch tool'!$B1856:$W1856)+$Y$3</f>
        <v>-36.514029388465531</v>
      </c>
      <c r="D1862" s="7">
        <f>SUMPRODUCT($C$4:$X$4,'batch tool'!$B1856:$W1856)+$Y$4</f>
        <v>-44.639843068043824</v>
      </c>
      <c r="E1862" s="7">
        <f>SUMPRODUCT($C$5:$X$5,'batch tool'!$B1856:$W1856)+$Y$5</f>
        <v>-51.578889182477603</v>
      </c>
      <c r="F1862" s="7">
        <f>SUMPRODUCT($C$6:$X$6,'batch tool'!$B1856:$W1856)+$Y$6</f>
        <v>-47.741473633885199</v>
      </c>
      <c r="G1862" s="7">
        <f>SUMPRODUCT($C$7:$X$7,'batch tool'!$B1856:$W1856)+$Y$7</f>
        <v>-19.739516238059196</v>
      </c>
      <c r="H1862" s="7">
        <f t="shared" si="56"/>
        <v>-19.739516238059196</v>
      </c>
      <c r="I1862">
        <f t="shared" si="57"/>
        <v>6</v>
      </c>
      <c r="J1862" t="str" cm="1">
        <f t="array" ref="J1862">INDEX($A$2:$A$7,I1862)</f>
        <v>Segment 6- Self-Conscious Male</v>
      </c>
    </row>
    <row r="1863" spans="1:10" x14ac:dyDescent="0.25">
      <c r="A1863" s="1">
        <f>'batch tool'!A1857</f>
        <v>0</v>
      </c>
      <c r="B1863" s="7">
        <f>SUMPRODUCT($C$2:$X$2,'batch tool'!$B1857:$W1857)+$Y$2</f>
        <v>-49.12272534143483</v>
      </c>
      <c r="C1863" s="7">
        <f>SUMPRODUCT($C$3:$X$3,'batch tool'!$B1857:$W1857)+$Y$3</f>
        <v>-36.514029388465531</v>
      </c>
      <c r="D1863" s="7">
        <f>SUMPRODUCT($C$4:$X$4,'batch tool'!$B1857:$W1857)+$Y$4</f>
        <v>-44.639843068043824</v>
      </c>
      <c r="E1863" s="7">
        <f>SUMPRODUCT($C$5:$X$5,'batch tool'!$B1857:$W1857)+$Y$5</f>
        <v>-51.578889182477603</v>
      </c>
      <c r="F1863" s="7">
        <f>SUMPRODUCT($C$6:$X$6,'batch tool'!$B1857:$W1857)+$Y$6</f>
        <v>-47.741473633885199</v>
      </c>
      <c r="G1863" s="7">
        <f>SUMPRODUCT($C$7:$X$7,'batch tool'!$B1857:$W1857)+$Y$7</f>
        <v>-19.739516238059196</v>
      </c>
      <c r="H1863" s="7">
        <f t="shared" si="56"/>
        <v>-19.739516238059196</v>
      </c>
      <c r="I1863">
        <f t="shared" si="57"/>
        <v>6</v>
      </c>
      <c r="J1863" t="str" cm="1">
        <f t="array" ref="J1863">INDEX($A$2:$A$7,I1863)</f>
        <v>Segment 6- Self-Conscious Male</v>
      </c>
    </row>
    <row r="1864" spans="1:10" x14ac:dyDescent="0.25">
      <c r="A1864" s="1">
        <f>'batch tool'!A1858</f>
        <v>0</v>
      </c>
      <c r="B1864" s="7">
        <f>SUMPRODUCT($C$2:$X$2,'batch tool'!$B1858:$W1858)+$Y$2</f>
        <v>-49.12272534143483</v>
      </c>
      <c r="C1864" s="7">
        <f>SUMPRODUCT($C$3:$X$3,'batch tool'!$B1858:$W1858)+$Y$3</f>
        <v>-36.514029388465531</v>
      </c>
      <c r="D1864" s="7">
        <f>SUMPRODUCT($C$4:$X$4,'batch tool'!$B1858:$W1858)+$Y$4</f>
        <v>-44.639843068043824</v>
      </c>
      <c r="E1864" s="7">
        <f>SUMPRODUCT($C$5:$X$5,'batch tool'!$B1858:$W1858)+$Y$5</f>
        <v>-51.578889182477603</v>
      </c>
      <c r="F1864" s="7">
        <f>SUMPRODUCT($C$6:$X$6,'batch tool'!$B1858:$W1858)+$Y$6</f>
        <v>-47.741473633885199</v>
      </c>
      <c r="G1864" s="7">
        <f>SUMPRODUCT($C$7:$X$7,'batch tool'!$B1858:$W1858)+$Y$7</f>
        <v>-19.739516238059196</v>
      </c>
      <c r="H1864" s="7">
        <f t="shared" si="56"/>
        <v>-19.739516238059196</v>
      </c>
      <c r="I1864">
        <f t="shared" si="57"/>
        <v>6</v>
      </c>
      <c r="J1864" t="str" cm="1">
        <f t="array" ref="J1864">INDEX($A$2:$A$7,I1864)</f>
        <v>Segment 6- Self-Conscious Male</v>
      </c>
    </row>
    <row r="1865" spans="1:10" x14ac:dyDescent="0.25">
      <c r="A1865" s="1">
        <f>'batch tool'!A1859</f>
        <v>0</v>
      </c>
      <c r="B1865" s="7">
        <f>SUMPRODUCT($C$2:$X$2,'batch tool'!$B1859:$W1859)+$Y$2</f>
        <v>-49.12272534143483</v>
      </c>
      <c r="C1865" s="7">
        <f>SUMPRODUCT($C$3:$X$3,'batch tool'!$B1859:$W1859)+$Y$3</f>
        <v>-36.514029388465531</v>
      </c>
      <c r="D1865" s="7">
        <f>SUMPRODUCT($C$4:$X$4,'batch tool'!$B1859:$W1859)+$Y$4</f>
        <v>-44.639843068043824</v>
      </c>
      <c r="E1865" s="7">
        <f>SUMPRODUCT($C$5:$X$5,'batch tool'!$B1859:$W1859)+$Y$5</f>
        <v>-51.578889182477603</v>
      </c>
      <c r="F1865" s="7">
        <f>SUMPRODUCT($C$6:$X$6,'batch tool'!$B1859:$W1859)+$Y$6</f>
        <v>-47.741473633885199</v>
      </c>
      <c r="G1865" s="7">
        <f>SUMPRODUCT($C$7:$X$7,'batch tool'!$B1859:$W1859)+$Y$7</f>
        <v>-19.739516238059196</v>
      </c>
      <c r="H1865" s="7">
        <f t="shared" si="56"/>
        <v>-19.739516238059196</v>
      </c>
      <c r="I1865">
        <f t="shared" si="57"/>
        <v>6</v>
      </c>
      <c r="J1865" t="str" cm="1">
        <f t="array" ref="J1865">INDEX($A$2:$A$7,I1865)</f>
        <v>Segment 6- Self-Conscious Male</v>
      </c>
    </row>
    <row r="1866" spans="1:10" x14ac:dyDescent="0.25">
      <c r="A1866" s="1">
        <f>'batch tool'!A1860</f>
        <v>0</v>
      </c>
      <c r="B1866" s="7">
        <f>SUMPRODUCT($C$2:$X$2,'batch tool'!$B1860:$W1860)+$Y$2</f>
        <v>-49.12272534143483</v>
      </c>
      <c r="C1866" s="7">
        <f>SUMPRODUCT($C$3:$X$3,'batch tool'!$B1860:$W1860)+$Y$3</f>
        <v>-36.514029388465531</v>
      </c>
      <c r="D1866" s="7">
        <f>SUMPRODUCT($C$4:$X$4,'batch tool'!$B1860:$W1860)+$Y$4</f>
        <v>-44.639843068043824</v>
      </c>
      <c r="E1866" s="7">
        <f>SUMPRODUCT($C$5:$X$5,'batch tool'!$B1860:$W1860)+$Y$5</f>
        <v>-51.578889182477603</v>
      </c>
      <c r="F1866" s="7">
        <f>SUMPRODUCT($C$6:$X$6,'batch tool'!$B1860:$W1860)+$Y$6</f>
        <v>-47.741473633885199</v>
      </c>
      <c r="G1866" s="7">
        <f>SUMPRODUCT($C$7:$X$7,'batch tool'!$B1860:$W1860)+$Y$7</f>
        <v>-19.739516238059196</v>
      </c>
      <c r="H1866" s="7">
        <f t="shared" si="56"/>
        <v>-19.739516238059196</v>
      </c>
      <c r="I1866">
        <f t="shared" si="57"/>
        <v>6</v>
      </c>
      <c r="J1866" t="str" cm="1">
        <f t="array" ref="J1866">INDEX($A$2:$A$7,I1866)</f>
        <v>Segment 6- Self-Conscious Male</v>
      </c>
    </row>
    <row r="1867" spans="1:10" x14ac:dyDescent="0.25">
      <c r="A1867" s="1">
        <f>'batch tool'!A1861</f>
        <v>0</v>
      </c>
      <c r="B1867" s="7">
        <f>SUMPRODUCT($C$2:$X$2,'batch tool'!$B1861:$W1861)+$Y$2</f>
        <v>-49.12272534143483</v>
      </c>
      <c r="C1867" s="7">
        <f>SUMPRODUCT($C$3:$X$3,'batch tool'!$B1861:$W1861)+$Y$3</f>
        <v>-36.514029388465531</v>
      </c>
      <c r="D1867" s="7">
        <f>SUMPRODUCT($C$4:$X$4,'batch tool'!$B1861:$W1861)+$Y$4</f>
        <v>-44.639843068043824</v>
      </c>
      <c r="E1867" s="7">
        <f>SUMPRODUCT($C$5:$X$5,'batch tool'!$B1861:$W1861)+$Y$5</f>
        <v>-51.578889182477603</v>
      </c>
      <c r="F1867" s="7">
        <f>SUMPRODUCT($C$6:$X$6,'batch tool'!$B1861:$W1861)+$Y$6</f>
        <v>-47.741473633885199</v>
      </c>
      <c r="G1867" s="7">
        <f>SUMPRODUCT($C$7:$X$7,'batch tool'!$B1861:$W1861)+$Y$7</f>
        <v>-19.739516238059196</v>
      </c>
      <c r="H1867" s="7">
        <f t="shared" ref="H1867:H1930" si="58">MAX(B1867:G1867)</f>
        <v>-19.739516238059196</v>
      </c>
      <c r="I1867">
        <f t="shared" ref="I1867:I1930" si="59">MATCH(H1867,B1867:G1867,0)</f>
        <v>6</v>
      </c>
      <c r="J1867" t="str" cm="1">
        <f t="array" ref="J1867">INDEX($A$2:$A$7,I1867)</f>
        <v>Segment 6- Self-Conscious Male</v>
      </c>
    </row>
    <row r="1868" spans="1:10" x14ac:dyDescent="0.25">
      <c r="A1868" s="1">
        <f>'batch tool'!A1862</f>
        <v>0</v>
      </c>
      <c r="B1868" s="7">
        <f>SUMPRODUCT($C$2:$X$2,'batch tool'!$B1862:$W1862)+$Y$2</f>
        <v>-49.12272534143483</v>
      </c>
      <c r="C1868" s="7">
        <f>SUMPRODUCT($C$3:$X$3,'batch tool'!$B1862:$W1862)+$Y$3</f>
        <v>-36.514029388465531</v>
      </c>
      <c r="D1868" s="7">
        <f>SUMPRODUCT($C$4:$X$4,'batch tool'!$B1862:$W1862)+$Y$4</f>
        <v>-44.639843068043824</v>
      </c>
      <c r="E1868" s="7">
        <f>SUMPRODUCT($C$5:$X$5,'batch tool'!$B1862:$W1862)+$Y$5</f>
        <v>-51.578889182477603</v>
      </c>
      <c r="F1868" s="7">
        <f>SUMPRODUCT($C$6:$X$6,'batch tool'!$B1862:$W1862)+$Y$6</f>
        <v>-47.741473633885199</v>
      </c>
      <c r="G1868" s="7">
        <f>SUMPRODUCT($C$7:$X$7,'batch tool'!$B1862:$W1862)+$Y$7</f>
        <v>-19.739516238059196</v>
      </c>
      <c r="H1868" s="7">
        <f t="shared" si="58"/>
        <v>-19.739516238059196</v>
      </c>
      <c r="I1868">
        <f t="shared" si="59"/>
        <v>6</v>
      </c>
      <c r="J1868" t="str" cm="1">
        <f t="array" ref="J1868">INDEX($A$2:$A$7,I1868)</f>
        <v>Segment 6- Self-Conscious Male</v>
      </c>
    </row>
    <row r="1869" spans="1:10" x14ac:dyDescent="0.25">
      <c r="A1869" s="1">
        <f>'batch tool'!A1863</f>
        <v>0</v>
      </c>
      <c r="B1869" s="7">
        <f>SUMPRODUCT($C$2:$X$2,'batch tool'!$B1863:$W1863)+$Y$2</f>
        <v>-49.12272534143483</v>
      </c>
      <c r="C1869" s="7">
        <f>SUMPRODUCT($C$3:$X$3,'batch tool'!$B1863:$W1863)+$Y$3</f>
        <v>-36.514029388465531</v>
      </c>
      <c r="D1869" s="7">
        <f>SUMPRODUCT($C$4:$X$4,'batch tool'!$B1863:$W1863)+$Y$4</f>
        <v>-44.639843068043824</v>
      </c>
      <c r="E1869" s="7">
        <f>SUMPRODUCT($C$5:$X$5,'batch tool'!$B1863:$W1863)+$Y$5</f>
        <v>-51.578889182477603</v>
      </c>
      <c r="F1869" s="7">
        <f>SUMPRODUCT($C$6:$X$6,'batch tool'!$B1863:$W1863)+$Y$6</f>
        <v>-47.741473633885199</v>
      </c>
      <c r="G1869" s="7">
        <f>SUMPRODUCT($C$7:$X$7,'batch tool'!$B1863:$W1863)+$Y$7</f>
        <v>-19.739516238059196</v>
      </c>
      <c r="H1869" s="7">
        <f t="shared" si="58"/>
        <v>-19.739516238059196</v>
      </c>
      <c r="I1869">
        <f t="shared" si="59"/>
        <v>6</v>
      </c>
      <c r="J1869" t="str" cm="1">
        <f t="array" ref="J1869">INDEX($A$2:$A$7,I1869)</f>
        <v>Segment 6- Self-Conscious Male</v>
      </c>
    </row>
    <row r="1870" spans="1:10" x14ac:dyDescent="0.25">
      <c r="A1870" s="1">
        <f>'batch tool'!A1864</f>
        <v>0</v>
      </c>
      <c r="B1870" s="7">
        <f>SUMPRODUCT($C$2:$X$2,'batch tool'!$B1864:$W1864)+$Y$2</f>
        <v>-49.12272534143483</v>
      </c>
      <c r="C1870" s="7">
        <f>SUMPRODUCT($C$3:$X$3,'batch tool'!$B1864:$W1864)+$Y$3</f>
        <v>-36.514029388465531</v>
      </c>
      <c r="D1870" s="7">
        <f>SUMPRODUCT($C$4:$X$4,'batch tool'!$B1864:$W1864)+$Y$4</f>
        <v>-44.639843068043824</v>
      </c>
      <c r="E1870" s="7">
        <f>SUMPRODUCT($C$5:$X$5,'batch tool'!$B1864:$W1864)+$Y$5</f>
        <v>-51.578889182477603</v>
      </c>
      <c r="F1870" s="7">
        <f>SUMPRODUCT($C$6:$X$6,'batch tool'!$B1864:$W1864)+$Y$6</f>
        <v>-47.741473633885199</v>
      </c>
      <c r="G1870" s="7">
        <f>SUMPRODUCT($C$7:$X$7,'batch tool'!$B1864:$W1864)+$Y$7</f>
        <v>-19.739516238059196</v>
      </c>
      <c r="H1870" s="7">
        <f t="shared" si="58"/>
        <v>-19.739516238059196</v>
      </c>
      <c r="I1870">
        <f t="shared" si="59"/>
        <v>6</v>
      </c>
      <c r="J1870" t="str" cm="1">
        <f t="array" ref="J1870">INDEX($A$2:$A$7,I1870)</f>
        <v>Segment 6- Self-Conscious Male</v>
      </c>
    </row>
    <row r="1871" spans="1:10" x14ac:dyDescent="0.25">
      <c r="A1871" s="1">
        <f>'batch tool'!A1865</f>
        <v>0</v>
      </c>
      <c r="B1871" s="7">
        <f>SUMPRODUCT($C$2:$X$2,'batch tool'!$B1865:$W1865)+$Y$2</f>
        <v>-49.12272534143483</v>
      </c>
      <c r="C1871" s="7">
        <f>SUMPRODUCT($C$3:$X$3,'batch tool'!$B1865:$W1865)+$Y$3</f>
        <v>-36.514029388465531</v>
      </c>
      <c r="D1871" s="7">
        <f>SUMPRODUCT($C$4:$X$4,'batch tool'!$B1865:$W1865)+$Y$4</f>
        <v>-44.639843068043824</v>
      </c>
      <c r="E1871" s="7">
        <f>SUMPRODUCT($C$5:$X$5,'batch tool'!$B1865:$W1865)+$Y$5</f>
        <v>-51.578889182477603</v>
      </c>
      <c r="F1871" s="7">
        <f>SUMPRODUCT($C$6:$X$6,'batch tool'!$B1865:$W1865)+$Y$6</f>
        <v>-47.741473633885199</v>
      </c>
      <c r="G1871" s="7">
        <f>SUMPRODUCT($C$7:$X$7,'batch tool'!$B1865:$W1865)+$Y$7</f>
        <v>-19.739516238059196</v>
      </c>
      <c r="H1871" s="7">
        <f t="shared" si="58"/>
        <v>-19.739516238059196</v>
      </c>
      <c r="I1871">
        <f t="shared" si="59"/>
        <v>6</v>
      </c>
      <c r="J1871" t="str" cm="1">
        <f t="array" ref="J1871">INDEX($A$2:$A$7,I1871)</f>
        <v>Segment 6- Self-Conscious Male</v>
      </c>
    </row>
    <row r="1872" spans="1:10" x14ac:dyDescent="0.25">
      <c r="A1872" s="1">
        <f>'batch tool'!A1866</f>
        <v>0</v>
      </c>
      <c r="B1872" s="7">
        <f>SUMPRODUCT($C$2:$X$2,'batch tool'!$B1866:$W1866)+$Y$2</f>
        <v>-49.12272534143483</v>
      </c>
      <c r="C1872" s="7">
        <f>SUMPRODUCT($C$3:$X$3,'batch tool'!$B1866:$W1866)+$Y$3</f>
        <v>-36.514029388465531</v>
      </c>
      <c r="D1872" s="7">
        <f>SUMPRODUCT($C$4:$X$4,'batch tool'!$B1866:$W1866)+$Y$4</f>
        <v>-44.639843068043824</v>
      </c>
      <c r="E1872" s="7">
        <f>SUMPRODUCT($C$5:$X$5,'batch tool'!$B1866:$W1866)+$Y$5</f>
        <v>-51.578889182477603</v>
      </c>
      <c r="F1872" s="7">
        <f>SUMPRODUCT($C$6:$X$6,'batch tool'!$B1866:$W1866)+$Y$6</f>
        <v>-47.741473633885199</v>
      </c>
      <c r="G1872" s="7">
        <f>SUMPRODUCT($C$7:$X$7,'batch tool'!$B1866:$W1866)+$Y$7</f>
        <v>-19.739516238059196</v>
      </c>
      <c r="H1872" s="7">
        <f t="shared" si="58"/>
        <v>-19.739516238059196</v>
      </c>
      <c r="I1872">
        <f t="shared" si="59"/>
        <v>6</v>
      </c>
      <c r="J1872" t="str" cm="1">
        <f t="array" ref="J1872">INDEX($A$2:$A$7,I1872)</f>
        <v>Segment 6- Self-Conscious Male</v>
      </c>
    </row>
    <row r="1873" spans="1:10" x14ac:dyDescent="0.25">
      <c r="A1873" s="1">
        <f>'batch tool'!A1867</f>
        <v>0</v>
      </c>
      <c r="B1873" s="7">
        <f>SUMPRODUCT($C$2:$X$2,'batch tool'!$B1867:$W1867)+$Y$2</f>
        <v>-49.12272534143483</v>
      </c>
      <c r="C1873" s="7">
        <f>SUMPRODUCT($C$3:$X$3,'batch tool'!$B1867:$W1867)+$Y$3</f>
        <v>-36.514029388465531</v>
      </c>
      <c r="D1873" s="7">
        <f>SUMPRODUCT($C$4:$X$4,'batch tool'!$B1867:$W1867)+$Y$4</f>
        <v>-44.639843068043824</v>
      </c>
      <c r="E1873" s="7">
        <f>SUMPRODUCT($C$5:$X$5,'batch tool'!$B1867:$W1867)+$Y$5</f>
        <v>-51.578889182477603</v>
      </c>
      <c r="F1873" s="7">
        <f>SUMPRODUCT($C$6:$X$6,'batch tool'!$B1867:$W1867)+$Y$6</f>
        <v>-47.741473633885199</v>
      </c>
      <c r="G1873" s="7">
        <f>SUMPRODUCT($C$7:$X$7,'batch tool'!$B1867:$W1867)+$Y$7</f>
        <v>-19.739516238059196</v>
      </c>
      <c r="H1873" s="7">
        <f t="shared" si="58"/>
        <v>-19.739516238059196</v>
      </c>
      <c r="I1873">
        <f t="shared" si="59"/>
        <v>6</v>
      </c>
      <c r="J1873" t="str" cm="1">
        <f t="array" ref="J1873">INDEX($A$2:$A$7,I1873)</f>
        <v>Segment 6- Self-Conscious Male</v>
      </c>
    </row>
    <row r="1874" spans="1:10" x14ac:dyDescent="0.25">
      <c r="A1874" s="1">
        <f>'batch tool'!A1868</f>
        <v>0</v>
      </c>
      <c r="B1874" s="7">
        <f>SUMPRODUCT($C$2:$X$2,'batch tool'!$B1868:$W1868)+$Y$2</f>
        <v>-49.12272534143483</v>
      </c>
      <c r="C1874" s="7">
        <f>SUMPRODUCT($C$3:$X$3,'batch tool'!$B1868:$W1868)+$Y$3</f>
        <v>-36.514029388465531</v>
      </c>
      <c r="D1874" s="7">
        <f>SUMPRODUCT($C$4:$X$4,'batch tool'!$B1868:$W1868)+$Y$4</f>
        <v>-44.639843068043824</v>
      </c>
      <c r="E1874" s="7">
        <f>SUMPRODUCT($C$5:$X$5,'batch tool'!$B1868:$W1868)+$Y$5</f>
        <v>-51.578889182477603</v>
      </c>
      <c r="F1874" s="7">
        <f>SUMPRODUCT($C$6:$X$6,'batch tool'!$B1868:$W1868)+$Y$6</f>
        <v>-47.741473633885199</v>
      </c>
      <c r="G1874" s="7">
        <f>SUMPRODUCT($C$7:$X$7,'batch tool'!$B1868:$W1868)+$Y$7</f>
        <v>-19.739516238059196</v>
      </c>
      <c r="H1874" s="7">
        <f t="shared" si="58"/>
        <v>-19.739516238059196</v>
      </c>
      <c r="I1874">
        <f t="shared" si="59"/>
        <v>6</v>
      </c>
      <c r="J1874" t="str" cm="1">
        <f t="array" ref="J1874">INDEX($A$2:$A$7,I1874)</f>
        <v>Segment 6- Self-Conscious Male</v>
      </c>
    </row>
    <row r="1875" spans="1:10" x14ac:dyDescent="0.25">
      <c r="A1875" s="1">
        <f>'batch tool'!A1869</f>
        <v>0</v>
      </c>
      <c r="B1875" s="7">
        <f>SUMPRODUCT($C$2:$X$2,'batch tool'!$B1869:$W1869)+$Y$2</f>
        <v>-49.12272534143483</v>
      </c>
      <c r="C1875" s="7">
        <f>SUMPRODUCT($C$3:$X$3,'batch tool'!$B1869:$W1869)+$Y$3</f>
        <v>-36.514029388465531</v>
      </c>
      <c r="D1875" s="7">
        <f>SUMPRODUCT($C$4:$X$4,'batch tool'!$B1869:$W1869)+$Y$4</f>
        <v>-44.639843068043824</v>
      </c>
      <c r="E1875" s="7">
        <f>SUMPRODUCT($C$5:$X$5,'batch tool'!$B1869:$W1869)+$Y$5</f>
        <v>-51.578889182477603</v>
      </c>
      <c r="F1875" s="7">
        <f>SUMPRODUCT($C$6:$X$6,'batch tool'!$B1869:$W1869)+$Y$6</f>
        <v>-47.741473633885199</v>
      </c>
      <c r="G1875" s="7">
        <f>SUMPRODUCT($C$7:$X$7,'batch tool'!$B1869:$W1869)+$Y$7</f>
        <v>-19.739516238059196</v>
      </c>
      <c r="H1875" s="7">
        <f t="shared" si="58"/>
        <v>-19.739516238059196</v>
      </c>
      <c r="I1875">
        <f t="shared" si="59"/>
        <v>6</v>
      </c>
      <c r="J1875" t="str" cm="1">
        <f t="array" ref="J1875">INDEX($A$2:$A$7,I1875)</f>
        <v>Segment 6- Self-Conscious Male</v>
      </c>
    </row>
    <row r="1876" spans="1:10" x14ac:dyDescent="0.25">
      <c r="A1876" s="1">
        <f>'batch tool'!A1870</f>
        <v>0</v>
      </c>
      <c r="B1876" s="7">
        <f>SUMPRODUCT($C$2:$X$2,'batch tool'!$B1870:$W1870)+$Y$2</f>
        <v>-49.12272534143483</v>
      </c>
      <c r="C1876" s="7">
        <f>SUMPRODUCT($C$3:$X$3,'batch tool'!$B1870:$W1870)+$Y$3</f>
        <v>-36.514029388465531</v>
      </c>
      <c r="D1876" s="7">
        <f>SUMPRODUCT($C$4:$X$4,'batch tool'!$B1870:$W1870)+$Y$4</f>
        <v>-44.639843068043824</v>
      </c>
      <c r="E1876" s="7">
        <f>SUMPRODUCT($C$5:$X$5,'batch tool'!$B1870:$W1870)+$Y$5</f>
        <v>-51.578889182477603</v>
      </c>
      <c r="F1876" s="7">
        <f>SUMPRODUCT($C$6:$X$6,'batch tool'!$B1870:$W1870)+$Y$6</f>
        <v>-47.741473633885199</v>
      </c>
      <c r="G1876" s="7">
        <f>SUMPRODUCT($C$7:$X$7,'batch tool'!$B1870:$W1870)+$Y$7</f>
        <v>-19.739516238059196</v>
      </c>
      <c r="H1876" s="7">
        <f t="shared" si="58"/>
        <v>-19.739516238059196</v>
      </c>
      <c r="I1876">
        <f t="shared" si="59"/>
        <v>6</v>
      </c>
      <c r="J1876" t="str" cm="1">
        <f t="array" ref="J1876">INDEX($A$2:$A$7,I1876)</f>
        <v>Segment 6- Self-Conscious Male</v>
      </c>
    </row>
    <row r="1877" spans="1:10" x14ac:dyDescent="0.25">
      <c r="A1877" s="1">
        <f>'batch tool'!A1871</f>
        <v>0</v>
      </c>
      <c r="B1877" s="7">
        <f>SUMPRODUCT($C$2:$X$2,'batch tool'!$B1871:$W1871)+$Y$2</f>
        <v>-49.12272534143483</v>
      </c>
      <c r="C1877" s="7">
        <f>SUMPRODUCT($C$3:$X$3,'batch tool'!$B1871:$W1871)+$Y$3</f>
        <v>-36.514029388465531</v>
      </c>
      <c r="D1877" s="7">
        <f>SUMPRODUCT($C$4:$X$4,'batch tool'!$B1871:$W1871)+$Y$4</f>
        <v>-44.639843068043824</v>
      </c>
      <c r="E1877" s="7">
        <f>SUMPRODUCT($C$5:$X$5,'batch tool'!$B1871:$W1871)+$Y$5</f>
        <v>-51.578889182477603</v>
      </c>
      <c r="F1877" s="7">
        <f>SUMPRODUCT($C$6:$X$6,'batch tool'!$B1871:$W1871)+$Y$6</f>
        <v>-47.741473633885199</v>
      </c>
      <c r="G1877" s="7">
        <f>SUMPRODUCT($C$7:$X$7,'batch tool'!$B1871:$W1871)+$Y$7</f>
        <v>-19.739516238059196</v>
      </c>
      <c r="H1877" s="7">
        <f t="shared" si="58"/>
        <v>-19.739516238059196</v>
      </c>
      <c r="I1877">
        <f t="shared" si="59"/>
        <v>6</v>
      </c>
      <c r="J1877" t="str" cm="1">
        <f t="array" ref="J1877">INDEX($A$2:$A$7,I1877)</f>
        <v>Segment 6- Self-Conscious Male</v>
      </c>
    </row>
    <row r="1878" spans="1:10" x14ac:dyDescent="0.25">
      <c r="A1878" s="1">
        <f>'batch tool'!A1872</f>
        <v>0</v>
      </c>
      <c r="B1878" s="7">
        <f>SUMPRODUCT($C$2:$X$2,'batch tool'!$B1872:$W1872)+$Y$2</f>
        <v>-49.12272534143483</v>
      </c>
      <c r="C1878" s="7">
        <f>SUMPRODUCT($C$3:$X$3,'batch tool'!$B1872:$W1872)+$Y$3</f>
        <v>-36.514029388465531</v>
      </c>
      <c r="D1878" s="7">
        <f>SUMPRODUCT($C$4:$X$4,'batch tool'!$B1872:$W1872)+$Y$4</f>
        <v>-44.639843068043824</v>
      </c>
      <c r="E1878" s="7">
        <f>SUMPRODUCT($C$5:$X$5,'batch tool'!$B1872:$W1872)+$Y$5</f>
        <v>-51.578889182477603</v>
      </c>
      <c r="F1878" s="7">
        <f>SUMPRODUCT($C$6:$X$6,'batch tool'!$B1872:$W1872)+$Y$6</f>
        <v>-47.741473633885199</v>
      </c>
      <c r="G1878" s="7">
        <f>SUMPRODUCT($C$7:$X$7,'batch tool'!$B1872:$W1872)+$Y$7</f>
        <v>-19.739516238059196</v>
      </c>
      <c r="H1878" s="7">
        <f t="shared" si="58"/>
        <v>-19.739516238059196</v>
      </c>
      <c r="I1878">
        <f t="shared" si="59"/>
        <v>6</v>
      </c>
      <c r="J1878" t="str" cm="1">
        <f t="array" ref="J1878">INDEX($A$2:$A$7,I1878)</f>
        <v>Segment 6- Self-Conscious Male</v>
      </c>
    </row>
    <row r="1879" spans="1:10" x14ac:dyDescent="0.25">
      <c r="A1879" s="1">
        <f>'batch tool'!A1873</f>
        <v>0</v>
      </c>
      <c r="B1879" s="7">
        <f>SUMPRODUCT($C$2:$X$2,'batch tool'!$B1873:$W1873)+$Y$2</f>
        <v>-49.12272534143483</v>
      </c>
      <c r="C1879" s="7">
        <f>SUMPRODUCT($C$3:$X$3,'batch tool'!$B1873:$W1873)+$Y$3</f>
        <v>-36.514029388465531</v>
      </c>
      <c r="D1879" s="7">
        <f>SUMPRODUCT($C$4:$X$4,'batch tool'!$B1873:$W1873)+$Y$4</f>
        <v>-44.639843068043824</v>
      </c>
      <c r="E1879" s="7">
        <f>SUMPRODUCT($C$5:$X$5,'batch tool'!$B1873:$W1873)+$Y$5</f>
        <v>-51.578889182477603</v>
      </c>
      <c r="F1879" s="7">
        <f>SUMPRODUCT($C$6:$X$6,'batch tool'!$B1873:$W1873)+$Y$6</f>
        <v>-47.741473633885199</v>
      </c>
      <c r="G1879" s="7">
        <f>SUMPRODUCT($C$7:$X$7,'batch tool'!$B1873:$W1873)+$Y$7</f>
        <v>-19.739516238059196</v>
      </c>
      <c r="H1879" s="7">
        <f t="shared" si="58"/>
        <v>-19.739516238059196</v>
      </c>
      <c r="I1879">
        <f t="shared" si="59"/>
        <v>6</v>
      </c>
      <c r="J1879" t="str" cm="1">
        <f t="array" ref="J1879">INDEX($A$2:$A$7,I1879)</f>
        <v>Segment 6- Self-Conscious Male</v>
      </c>
    </row>
    <row r="1880" spans="1:10" x14ac:dyDescent="0.25">
      <c r="A1880" s="1">
        <f>'batch tool'!A1874</f>
        <v>0</v>
      </c>
      <c r="B1880" s="7">
        <f>SUMPRODUCT($C$2:$X$2,'batch tool'!$B1874:$W1874)+$Y$2</f>
        <v>-49.12272534143483</v>
      </c>
      <c r="C1880" s="7">
        <f>SUMPRODUCT($C$3:$X$3,'batch tool'!$B1874:$W1874)+$Y$3</f>
        <v>-36.514029388465531</v>
      </c>
      <c r="D1880" s="7">
        <f>SUMPRODUCT($C$4:$X$4,'batch tool'!$B1874:$W1874)+$Y$4</f>
        <v>-44.639843068043824</v>
      </c>
      <c r="E1880" s="7">
        <f>SUMPRODUCT($C$5:$X$5,'batch tool'!$B1874:$W1874)+$Y$5</f>
        <v>-51.578889182477603</v>
      </c>
      <c r="F1880" s="7">
        <f>SUMPRODUCT($C$6:$X$6,'batch tool'!$B1874:$W1874)+$Y$6</f>
        <v>-47.741473633885199</v>
      </c>
      <c r="G1880" s="7">
        <f>SUMPRODUCT($C$7:$X$7,'batch tool'!$B1874:$W1874)+$Y$7</f>
        <v>-19.739516238059196</v>
      </c>
      <c r="H1880" s="7">
        <f t="shared" si="58"/>
        <v>-19.739516238059196</v>
      </c>
      <c r="I1880">
        <f t="shared" si="59"/>
        <v>6</v>
      </c>
      <c r="J1880" t="str" cm="1">
        <f t="array" ref="J1880">INDEX($A$2:$A$7,I1880)</f>
        <v>Segment 6- Self-Conscious Male</v>
      </c>
    </row>
    <row r="1881" spans="1:10" x14ac:dyDescent="0.25">
      <c r="A1881" s="1">
        <f>'batch tool'!A1875</f>
        <v>0</v>
      </c>
      <c r="B1881" s="7">
        <f>SUMPRODUCT($C$2:$X$2,'batch tool'!$B1875:$W1875)+$Y$2</f>
        <v>-49.12272534143483</v>
      </c>
      <c r="C1881" s="7">
        <f>SUMPRODUCT($C$3:$X$3,'batch tool'!$B1875:$W1875)+$Y$3</f>
        <v>-36.514029388465531</v>
      </c>
      <c r="D1881" s="7">
        <f>SUMPRODUCT($C$4:$X$4,'batch tool'!$B1875:$W1875)+$Y$4</f>
        <v>-44.639843068043824</v>
      </c>
      <c r="E1881" s="7">
        <f>SUMPRODUCT($C$5:$X$5,'batch tool'!$B1875:$W1875)+$Y$5</f>
        <v>-51.578889182477603</v>
      </c>
      <c r="F1881" s="7">
        <f>SUMPRODUCT($C$6:$X$6,'batch tool'!$B1875:$W1875)+$Y$6</f>
        <v>-47.741473633885199</v>
      </c>
      <c r="G1881" s="7">
        <f>SUMPRODUCT($C$7:$X$7,'batch tool'!$B1875:$W1875)+$Y$7</f>
        <v>-19.739516238059196</v>
      </c>
      <c r="H1881" s="7">
        <f t="shared" si="58"/>
        <v>-19.739516238059196</v>
      </c>
      <c r="I1881">
        <f t="shared" si="59"/>
        <v>6</v>
      </c>
      <c r="J1881" t="str" cm="1">
        <f t="array" ref="J1881">INDEX($A$2:$A$7,I1881)</f>
        <v>Segment 6- Self-Conscious Male</v>
      </c>
    </row>
    <row r="1882" spans="1:10" x14ac:dyDescent="0.25">
      <c r="A1882" s="1">
        <f>'batch tool'!A1876</f>
        <v>0</v>
      </c>
      <c r="B1882" s="7">
        <f>SUMPRODUCT($C$2:$X$2,'batch tool'!$B1876:$W1876)+$Y$2</f>
        <v>-49.12272534143483</v>
      </c>
      <c r="C1882" s="7">
        <f>SUMPRODUCT($C$3:$X$3,'batch tool'!$B1876:$W1876)+$Y$3</f>
        <v>-36.514029388465531</v>
      </c>
      <c r="D1882" s="7">
        <f>SUMPRODUCT($C$4:$X$4,'batch tool'!$B1876:$W1876)+$Y$4</f>
        <v>-44.639843068043824</v>
      </c>
      <c r="E1882" s="7">
        <f>SUMPRODUCT($C$5:$X$5,'batch tool'!$B1876:$W1876)+$Y$5</f>
        <v>-51.578889182477603</v>
      </c>
      <c r="F1882" s="7">
        <f>SUMPRODUCT($C$6:$X$6,'batch tool'!$B1876:$W1876)+$Y$6</f>
        <v>-47.741473633885199</v>
      </c>
      <c r="G1882" s="7">
        <f>SUMPRODUCT($C$7:$X$7,'batch tool'!$B1876:$W1876)+$Y$7</f>
        <v>-19.739516238059196</v>
      </c>
      <c r="H1882" s="7">
        <f t="shared" si="58"/>
        <v>-19.739516238059196</v>
      </c>
      <c r="I1882">
        <f t="shared" si="59"/>
        <v>6</v>
      </c>
      <c r="J1882" t="str" cm="1">
        <f t="array" ref="J1882">INDEX($A$2:$A$7,I1882)</f>
        <v>Segment 6- Self-Conscious Male</v>
      </c>
    </row>
    <row r="1883" spans="1:10" x14ac:dyDescent="0.25">
      <c r="A1883" s="1">
        <f>'batch tool'!A1877</f>
        <v>0</v>
      </c>
      <c r="B1883" s="7">
        <f>SUMPRODUCT($C$2:$X$2,'batch tool'!$B1877:$W1877)+$Y$2</f>
        <v>-49.12272534143483</v>
      </c>
      <c r="C1883" s="7">
        <f>SUMPRODUCT($C$3:$X$3,'batch tool'!$B1877:$W1877)+$Y$3</f>
        <v>-36.514029388465531</v>
      </c>
      <c r="D1883" s="7">
        <f>SUMPRODUCT($C$4:$X$4,'batch tool'!$B1877:$W1877)+$Y$4</f>
        <v>-44.639843068043824</v>
      </c>
      <c r="E1883" s="7">
        <f>SUMPRODUCT($C$5:$X$5,'batch tool'!$B1877:$W1877)+$Y$5</f>
        <v>-51.578889182477603</v>
      </c>
      <c r="F1883" s="7">
        <f>SUMPRODUCT($C$6:$X$6,'batch tool'!$B1877:$W1877)+$Y$6</f>
        <v>-47.741473633885199</v>
      </c>
      <c r="G1883" s="7">
        <f>SUMPRODUCT($C$7:$X$7,'batch tool'!$B1877:$W1877)+$Y$7</f>
        <v>-19.739516238059196</v>
      </c>
      <c r="H1883" s="7">
        <f t="shared" si="58"/>
        <v>-19.739516238059196</v>
      </c>
      <c r="I1883">
        <f t="shared" si="59"/>
        <v>6</v>
      </c>
      <c r="J1883" t="str" cm="1">
        <f t="array" ref="J1883">INDEX($A$2:$A$7,I1883)</f>
        <v>Segment 6- Self-Conscious Male</v>
      </c>
    </row>
    <row r="1884" spans="1:10" x14ac:dyDescent="0.25">
      <c r="A1884" s="1">
        <f>'batch tool'!A1878</f>
        <v>0</v>
      </c>
      <c r="B1884" s="7">
        <f>SUMPRODUCT($C$2:$X$2,'batch tool'!$B1878:$W1878)+$Y$2</f>
        <v>-49.12272534143483</v>
      </c>
      <c r="C1884" s="7">
        <f>SUMPRODUCT($C$3:$X$3,'batch tool'!$B1878:$W1878)+$Y$3</f>
        <v>-36.514029388465531</v>
      </c>
      <c r="D1884" s="7">
        <f>SUMPRODUCT($C$4:$X$4,'batch tool'!$B1878:$W1878)+$Y$4</f>
        <v>-44.639843068043824</v>
      </c>
      <c r="E1884" s="7">
        <f>SUMPRODUCT($C$5:$X$5,'batch tool'!$B1878:$W1878)+$Y$5</f>
        <v>-51.578889182477603</v>
      </c>
      <c r="F1884" s="7">
        <f>SUMPRODUCT($C$6:$X$6,'batch tool'!$B1878:$W1878)+$Y$6</f>
        <v>-47.741473633885199</v>
      </c>
      <c r="G1884" s="7">
        <f>SUMPRODUCT($C$7:$X$7,'batch tool'!$B1878:$W1878)+$Y$7</f>
        <v>-19.739516238059196</v>
      </c>
      <c r="H1884" s="7">
        <f t="shared" si="58"/>
        <v>-19.739516238059196</v>
      </c>
      <c r="I1884">
        <f t="shared" si="59"/>
        <v>6</v>
      </c>
      <c r="J1884" t="str" cm="1">
        <f t="array" ref="J1884">INDEX($A$2:$A$7,I1884)</f>
        <v>Segment 6- Self-Conscious Male</v>
      </c>
    </row>
    <row r="1885" spans="1:10" x14ac:dyDescent="0.25">
      <c r="A1885" s="1">
        <f>'batch tool'!A1879</f>
        <v>0</v>
      </c>
      <c r="B1885" s="7">
        <f>SUMPRODUCT($C$2:$X$2,'batch tool'!$B1879:$W1879)+$Y$2</f>
        <v>-49.12272534143483</v>
      </c>
      <c r="C1885" s="7">
        <f>SUMPRODUCT($C$3:$X$3,'batch tool'!$B1879:$W1879)+$Y$3</f>
        <v>-36.514029388465531</v>
      </c>
      <c r="D1885" s="7">
        <f>SUMPRODUCT($C$4:$X$4,'batch tool'!$B1879:$W1879)+$Y$4</f>
        <v>-44.639843068043824</v>
      </c>
      <c r="E1885" s="7">
        <f>SUMPRODUCT($C$5:$X$5,'batch tool'!$B1879:$W1879)+$Y$5</f>
        <v>-51.578889182477603</v>
      </c>
      <c r="F1885" s="7">
        <f>SUMPRODUCT($C$6:$X$6,'batch tool'!$B1879:$W1879)+$Y$6</f>
        <v>-47.741473633885199</v>
      </c>
      <c r="G1885" s="7">
        <f>SUMPRODUCT($C$7:$X$7,'batch tool'!$B1879:$W1879)+$Y$7</f>
        <v>-19.739516238059196</v>
      </c>
      <c r="H1885" s="7">
        <f t="shared" si="58"/>
        <v>-19.739516238059196</v>
      </c>
      <c r="I1885">
        <f t="shared" si="59"/>
        <v>6</v>
      </c>
      <c r="J1885" t="str" cm="1">
        <f t="array" ref="J1885">INDEX($A$2:$A$7,I1885)</f>
        <v>Segment 6- Self-Conscious Male</v>
      </c>
    </row>
    <row r="1886" spans="1:10" x14ac:dyDescent="0.25">
      <c r="A1886" s="1">
        <f>'batch tool'!A1880</f>
        <v>0</v>
      </c>
      <c r="B1886" s="7">
        <f>SUMPRODUCT($C$2:$X$2,'batch tool'!$B1880:$W1880)+$Y$2</f>
        <v>-49.12272534143483</v>
      </c>
      <c r="C1886" s="7">
        <f>SUMPRODUCT($C$3:$X$3,'batch tool'!$B1880:$W1880)+$Y$3</f>
        <v>-36.514029388465531</v>
      </c>
      <c r="D1886" s="7">
        <f>SUMPRODUCT($C$4:$X$4,'batch tool'!$B1880:$W1880)+$Y$4</f>
        <v>-44.639843068043824</v>
      </c>
      <c r="E1886" s="7">
        <f>SUMPRODUCT($C$5:$X$5,'batch tool'!$B1880:$W1880)+$Y$5</f>
        <v>-51.578889182477603</v>
      </c>
      <c r="F1886" s="7">
        <f>SUMPRODUCT($C$6:$X$6,'batch tool'!$B1880:$W1880)+$Y$6</f>
        <v>-47.741473633885199</v>
      </c>
      <c r="G1886" s="7">
        <f>SUMPRODUCT($C$7:$X$7,'batch tool'!$B1880:$W1880)+$Y$7</f>
        <v>-19.739516238059196</v>
      </c>
      <c r="H1886" s="7">
        <f t="shared" si="58"/>
        <v>-19.739516238059196</v>
      </c>
      <c r="I1886">
        <f t="shared" si="59"/>
        <v>6</v>
      </c>
      <c r="J1886" t="str" cm="1">
        <f t="array" ref="J1886">INDEX($A$2:$A$7,I1886)</f>
        <v>Segment 6- Self-Conscious Male</v>
      </c>
    </row>
    <row r="1887" spans="1:10" x14ac:dyDescent="0.25">
      <c r="A1887" s="1">
        <f>'batch tool'!A1881</f>
        <v>0</v>
      </c>
      <c r="B1887" s="7">
        <f>SUMPRODUCT($C$2:$X$2,'batch tool'!$B1881:$W1881)+$Y$2</f>
        <v>-49.12272534143483</v>
      </c>
      <c r="C1887" s="7">
        <f>SUMPRODUCT($C$3:$X$3,'batch tool'!$B1881:$W1881)+$Y$3</f>
        <v>-36.514029388465531</v>
      </c>
      <c r="D1887" s="7">
        <f>SUMPRODUCT($C$4:$X$4,'batch tool'!$B1881:$W1881)+$Y$4</f>
        <v>-44.639843068043824</v>
      </c>
      <c r="E1887" s="7">
        <f>SUMPRODUCT($C$5:$X$5,'batch tool'!$B1881:$W1881)+$Y$5</f>
        <v>-51.578889182477603</v>
      </c>
      <c r="F1887" s="7">
        <f>SUMPRODUCT($C$6:$X$6,'batch tool'!$B1881:$W1881)+$Y$6</f>
        <v>-47.741473633885199</v>
      </c>
      <c r="G1887" s="7">
        <f>SUMPRODUCT($C$7:$X$7,'batch tool'!$B1881:$W1881)+$Y$7</f>
        <v>-19.739516238059196</v>
      </c>
      <c r="H1887" s="7">
        <f t="shared" si="58"/>
        <v>-19.739516238059196</v>
      </c>
      <c r="I1887">
        <f t="shared" si="59"/>
        <v>6</v>
      </c>
      <c r="J1887" t="str" cm="1">
        <f t="array" ref="J1887">INDEX($A$2:$A$7,I1887)</f>
        <v>Segment 6- Self-Conscious Male</v>
      </c>
    </row>
    <row r="1888" spans="1:10" x14ac:dyDescent="0.25">
      <c r="A1888" s="1">
        <f>'batch tool'!A1882</f>
        <v>0</v>
      </c>
      <c r="B1888" s="7">
        <f>SUMPRODUCT($C$2:$X$2,'batch tool'!$B1882:$W1882)+$Y$2</f>
        <v>-49.12272534143483</v>
      </c>
      <c r="C1888" s="7">
        <f>SUMPRODUCT($C$3:$X$3,'batch tool'!$B1882:$W1882)+$Y$3</f>
        <v>-36.514029388465531</v>
      </c>
      <c r="D1888" s="7">
        <f>SUMPRODUCT($C$4:$X$4,'batch tool'!$B1882:$W1882)+$Y$4</f>
        <v>-44.639843068043824</v>
      </c>
      <c r="E1888" s="7">
        <f>SUMPRODUCT($C$5:$X$5,'batch tool'!$B1882:$W1882)+$Y$5</f>
        <v>-51.578889182477603</v>
      </c>
      <c r="F1888" s="7">
        <f>SUMPRODUCT($C$6:$X$6,'batch tool'!$B1882:$W1882)+$Y$6</f>
        <v>-47.741473633885199</v>
      </c>
      <c r="G1888" s="7">
        <f>SUMPRODUCT($C$7:$X$7,'batch tool'!$B1882:$W1882)+$Y$7</f>
        <v>-19.739516238059196</v>
      </c>
      <c r="H1888" s="7">
        <f t="shared" si="58"/>
        <v>-19.739516238059196</v>
      </c>
      <c r="I1888">
        <f t="shared" si="59"/>
        <v>6</v>
      </c>
      <c r="J1888" t="str" cm="1">
        <f t="array" ref="J1888">INDEX($A$2:$A$7,I1888)</f>
        <v>Segment 6- Self-Conscious Male</v>
      </c>
    </row>
    <row r="1889" spans="1:10" x14ac:dyDescent="0.25">
      <c r="A1889" s="1">
        <f>'batch tool'!A1883</f>
        <v>0</v>
      </c>
      <c r="B1889" s="7">
        <f>SUMPRODUCT($C$2:$X$2,'batch tool'!$B1883:$W1883)+$Y$2</f>
        <v>-49.12272534143483</v>
      </c>
      <c r="C1889" s="7">
        <f>SUMPRODUCT($C$3:$X$3,'batch tool'!$B1883:$W1883)+$Y$3</f>
        <v>-36.514029388465531</v>
      </c>
      <c r="D1889" s="7">
        <f>SUMPRODUCT($C$4:$X$4,'batch tool'!$B1883:$W1883)+$Y$4</f>
        <v>-44.639843068043824</v>
      </c>
      <c r="E1889" s="7">
        <f>SUMPRODUCT($C$5:$X$5,'batch tool'!$B1883:$W1883)+$Y$5</f>
        <v>-51.578889182477603</v>
      </c>
      <c r="F1889" s="7">
        <f>SUMPRODUCT($C$6:$X$6,'batch tool'!$B1883:$W1883)+$Y$6</f>
        <v>-47.741473633885199</v>
      </c>
      <c r="G1889" s="7">
        <f>SUMPRODUCT($C$7:$X$7,'batch tool'!$B1883:$W1883)+$Y$7</f>
        <v>-19.739516238059196</v>
      </c>
      <c r="H1889" s="7">
        <f t="shared" si="58"/>
        <v>-19.739516238059196</v>
      </c>
      <c r="I1889">
        <f t="shared" si="59"/>
        <v>6</v>
      </c>
      <c r="J1889" t="str" cm="1">
        <f t="array" ref="J1889">INDEX($A$2:$A$7,I1889)</f>
        <v>Segment 6- Self-Conscious Male</v>
      </c>
    </row>
    <row r="1890" spans="1:10" x14ac:dyDescent="0.25">
      <c r="A1890" s="1">
        <f>'batch tool'!A1884</f>
        <v>0</v>
      </c>
      <c r="B1890" s="7">
        <f>SUMPRODUCT($C$2:$X$2,'batch tool'!$B1884:$W1884)+$Y$2</f>
        <v>-49.12272534143483</v>
      </c>
      <c r="C1890" s="7">
        <f>SUMPRODUCT($C$3:$X$3,'batch tool'!$B1884:$W1884)+$Y$3</f>
        <v>-36.514029388465531</v>
      </c>
      <c r="D1890" s="7">
        <f>SUMPRODUCT($C$4:$X$4,'batch tool'!$B1884:$W1884)+$Y$4</f>
        <v>-44.639843068043824</v>
      </c>
      <c r="E1890" s="7">
        <f>SUMPRODUCT($C$5:$X$5,'batch tool'!$B1884:$W1884)+$Y$5</f>
        <v>-51.578889182477603</v>
      </c>
      <c r="F1890" s="7">
        <f>SUMPRODUCT($C$6:$X$6,'batch tool'!$B1884:$W1884)+$Y$6</f>
        <v>-47.741473633885199</v>
      </c>
      <c r="G1890" s="7">
        <f>SUMPRODUCT($C$7:$X$7,'batch tool'!$B1884:$W1884)+$Y$7</f>
        <v>-19.739516238059196</v>
      </c>
      <c r="H1890" s="7">
        <f t="shared" si="58"/>
        <v>-19.739516238059196</v>
      </c>
      <c r="I1890">
        <f t="shared" si="59"/>
        <v>6</v>
      </c>
      <c r="J1890" t="str" cm="1">
        <f t="array" ref="J1890">INDEX($A$2:$A$7,I1890)</f>
        <v>Segment 6- Self-Conscious Male</v>
      </c>
    </row>
    <row r="1891" spans="1:10" x14ac:dyDescent="0.25">
      <c r="A1891" s="1">
        <f>'batch tool'!A1885</f>
        <v>0</v>
      </c>
      <c r="B1891" s="7">
        <f>SUMPRODUCT($C$2:$X$2,'batch tool'!$B1885:$W1885)+$Y$2</f>
        <v>-49.12272534143483</v>
      </c>
      <c r="C1891" s="7">
        <f>SUMPRODUCT($C$3:$X$3,'batch tool'!$B1885:$W1885)+$Y$3</f>
        <v>-36.514029388465531</v>
      </c>
      <c r="D1891" s="7">
        <f>SUMPRODUCT($C$4:$X$4,'batch tool'!$B1885:$W1885)+$Y$4</f>
        <v>-44.639843068043824</v>
      </c>
      <c r="E1891" s="7">
        <f>SUMPRODUCT($C$5:$X$5,'batch tool'!$B1885:$W1885)+$Y$5</f>
        <v>-51.578889182477603</v>
      </c>
      <c r="F1891" s="7">
        <f>SUMPRODUCT($C$6:$X$6,'batch tool'!$B1885:$W1885)+$Y$6</f>
        <v>-47.741473633885199</v>
      </c>
      <c r="G1891" s="7">
        <f>SUMPRODUCT($C$7:$X$7,'batch tool'!$B1885:$W1885)+$Y$7</f>
        <v>-19.739516238059196</v>
      </c>
      <c r="H1891" s="7">
        <f t="shared" si="58"/>
        <v>-19.739516238059196</v>
      </c>
      <c r="I1891">
        <f t="shared" si="59"/>
        <v>6</v>
      </c>
      <c r="J1891" t="str" cm="1">
        <f t="array" ref="J1891">INDEX($A$2:$A$7,I1891)</f>
        <v>Segment 6- Self-Conscious Male</v>
      </c>
    </row>
    <row r="1892" spans="1:10" x14ac:dyDescent="0.25">
      <c r="A1892" s="1">
        <f>'batch tool'!A1886</f>
        <v>0</v>
      </c>
      <c r="B1892" s="7">
        <f>SUMPRODUCT($C$2:$X$2,'batch tool'!$B1886:$W1886)+$Y$2</f>
        <v>-49.12272534143483</v>
      </c>
      <c r="C1892" s="7">
        <f>SUMPRODUCT($C$3:$X$3,'batch tool'!$B1886:$W1886)+$Y$3</f>
        <v>-36.514029388465531</v>
      </c>
      <c r="D1892" s="7">
        <f>SUMPRODUCT($C$4:$X$4,'batch tool'!$B1886:$W1886)+$Y$4</f>
        <v>-44.639843068043824</v>
      </c>
      <c r="E1892" s="7">
        <f>SUMPRODUCT($C$5:$X$5,'batch tool'!$B1886:$W1886)+$Y$5</f>
        <v>-51.578889182477603</v>
      </c>
      <c r="F1892" s="7">
        <f>SUMPRODUCT($C$6:$X$6,'batch tool'!$B1886:$W1886)+$Y$6</f>
        <v>-47.741473633885199</v>
      </c>
      <c r="G1892" s="7">
        <f>SUMPRODUCT($C$7:$X$7,'batch tool'!$B1886:$W1886)+$Y$7</f>
        <v>-19.739516238059196</v>
      </c>
      <c r="H1892" s="7">
        <f t="shared" si="58"/>
        <v>-19.739516238059196</v>
      </c>
      <c r="I1892">
        <f t="shared" si="59"/>
        <v>6</v>
      </c>
      <c r="J1892" t="str" cm="1">
        <f t="array" ref="J1892">INDEX($A$2:$A$7,I1892)</f>
        <v>Segment 6- Self-Conscious Male</v>
      </c>
    </row>
    <row r="1893" spans="1:10" x14ac:dyDescent="0.25">
      <c r="A1893" s="1">
        <f>'batch tool'!A1887</f>
        <v>0</v>
      </c>
      <c r="B1893" s="7">
        <f>SUMPRODUCT($C$2:$X$2,'batch tool'!$B1887:$W1887)+$Y$2</f>
        <v>-49.12272534143483</v>
      </c>
      <c r="C1893" s="7">
        <f>SUMPRODUCT($C$3:$X$3,'batch tool'!$B1887:$W1887)+$Y$3</f>
        <v>-36.514029388465531</v>
      </c>
      <c r="D1893" s="7">
        <f>SUMPRODUCT($C$4:$X$4,'batch tool'!$B1887:$W1887)+$Y$4</f>
        <v>-44.639843068043824</v>
      </c>
      <c r="E1893" s="7">
        <f>SUMPRODUCT($C$5:$X$5,'batch tool'!$B1887:$W1887)+$Y$5</f>
        <v>-51.578889182477603</v>
      </c>
      <c r="F1893" s="7">
        <f>SUMPRODUCT($C$6:$X$6,'batch tool'!$B1887:$W1887)+$Y$6</f>
        <v>-47.741473633885199</v>
      </c>
      <c r="G1893" s="7">
        <f>SUMPRODUCT($C$7:$X$7,'batch tool'!$B1887:$W1887)+$Y$7</f>
        <v>-19.739516238059196</v>
      </c>
      <c r="H1893" s="7">
        <f t="shared" si="58"/>
        <v>-19.739516238059196</v>
      </c>
      <c r="I1893">
        <f t="shared" si="59"/>
        <v>6</v>
      </c>
      <c r="J1893" t="str" cm="1">
        <f t="array" ref="J1893">INDEX($A$2:$A$7,I1893)</f>
        <v>Segment 6- Self-Conscious Male</v>
      </c>
    </row>
    <row r="1894" spans="1:10" x14ac:dyDescent="0.25">
      <c r="A1894" s="1">
        <f>'batch tool'!A1888</f>
        <v>0</v>
      </c>
      <c r="B1894" s="7">
        <f>SUMPRODUCT($C$2:$X$2,'batch tool'!$B1888:$W1888)+$Y$2</f>
        <v>-49.12272534143483</v>
      </c>
      <c r="C1894" s="7">
        <f>SUMPRODUCT($C$3:$X$3,'batch tool'!$B1888:$W1888)+$Y$3</f>
        <v>-36.514029388465531</v>
      </c>
      <c r="D1894" s="7">
        <f>SUMPRODUCT($C$4:$X$4,'batch tool'!$B1888:$W1888)+$Y$4</f>
        <v>-44.639843068043824</v>
      </c>
      <c r="E1894" s="7">
        <f>SUMPRODUCT($C$5:$X$5,'batch tool'!$B1888:$W1888)+$Y$5</f>
        <v>-51.578889182477603</v>
      </c>
      <c r="F1894" s="7">
        <f>SUMPRODUCT($C$6:$X$6,'batch tool'!$B1888:$W1888)+$Y$6</f>
        <v>-47.741473633885199</v>
      </c>
      <c r="G1894" s="7">
        <f>SUMPRODUCT($C$7:$X$7,'batch tool'!$B1888:$W1888)+$Y$7</f>
        <v>-19.739516238059196</v>
      </c>
      <c r="H1894" s="7">
        <f t="shared" si="58"/>
        <v>-19.739516238059196</v>
      </c>
      <c r="I1894">
        <f t="shared" si="59"/>
        <v>6</v>
      </c>
      <c r="J1894" t="str" cm="1">
        <f t="array" ref="J1894">INDEX($A$2:$A$7,I1894)</f>
        <v>Segment 6- Self-Conscious Male</v>
      </c>
    </row>
    <row r="1895" spans="1:10" x14ac:dyDescent="0.25">
      <c r="A1895" s="1">
        <f>'batch tool'!A1889</f>
        <v>0</v>
      </c>
      <c r="B1895" s="7">
        <f>SUMPRODUCT($C$2:$X$2,'batch tool'!$B1889:$W1889)+$Y$2</f>
        <v>-49.12272534143483</v>
      </c>
      <c r="C1895" s="7">
        <f>SUMPRODUCT($C$3:$X$3,'batch tool'!$B1889:$W1889)+$Y$3</f>
        <v>-36.514029388465531</v>
      </c>
      <c r="D1895" s="7">
        <f>SUMPRODUCT($C$4:$X$4,'batch tool'!$B1889:$W1889)+$Y$4</f>
        <v>-44.639843068043824</v>
      </c>
      <c r="E1895" s="7">
        <f>SUMPRODUCT($C$5:$X$5,'batch tool'!$B1889:$W1889)+$Y$5</f>
        <v>-51.578889182477603</v>
      </c>
      <c r="F1895" s="7">
        <f>SUMPRODUCT($C$6:$X$6,'batch tool'!$B1889:$W1889)+$Y$6</f>
        <v>-47.741473633885199</v>
      </c>
      <c r="G1895" s="7">
        <f>SUMPRODUCT($C$7:$X$7,'batch tool'!$B1889:$W1889)+$Y$7</f>
        <v>-19.739516238059196</v>
      </c>
      <c r="H1895" s="7">
        <f t="shared" si="58"/>
        <v>-19.739516238059196</v>
      </c>
      <c r="I1895">
        <f t="shared" si="59"/>
        <v>6</v>
      </c>
      <c r="J1895" t="str" cm="1">
        <f t="array" ref="J1895">INDEX($A$2:$A$7,I1895)</f>
        <v>Segment 6- Self-Conscious Male</v>
      </c>
    </row>
    <row r="1896" spans="1:10" x14ac:dyDescent="0.25">
      <c r="A1896" s="1">
        <f>'batch tool'!A1890</f>
        <v>0</v>
      </c>
      <c r="B1896" s="7">
        <f>SUMPRODUCT($C$2:$X$2,'batch tool'!$B1890:$W1890)+$Y$2</f>
        <v>-49.12272534143483</v>
      </c>
      <c r="C1896" s="7">
        <f>SUMPRODUCT($C$3:$X$3,'batch tool'!$B1890:$W1890)+$Y$3</f>
        <v>-36.514029388465531</v>
      </c>
      <c r="D1896" s="7">
        <f>SUMPRODUCT($C$4:$X$4,'batch tool'!$B1890:$W1890)+$Y$4</f>
        <v>-44.639843068043824</v>
      </c>
      <c r="E1896" s="7">
        <f>SUMPRODUCT($C$5:$X$5,'batch tool'!$B1890:$W1890)+$Y$5</f>
        <v>-51.578889182477603</v>
      </c>
      <c r="F1896" s="7">
        <f>SUMPRODUCT($C$6:$X$6,'batch tool'!$B1890:$W1890)+$Y$6</f>
        <v>-47.741473633885199</v>
      </c>
      <c r="G1896" s="7">
        <f>SUMPRODUCT($C$7:$X$7,'batch tool'!$B1890:$W1890)+$Y$7</f>
        <v>-19.739516238059196</v>
      </c>
      <c r="H1896" s="7">
        <f t="shared" si="58"/>
        <v>-19.739516238059196</v>
      </c>
      <c r="I1896">
        <f t="shared" si="59"/>
        <v>6</v>
      </c>
      <c r="J1896" t="str" cm="1">
        <f t="array" ref="J1896">INDEX($A$2:$A$7,I1896)</f>
        <v>Segment 6- Self-Conscious Male</v>
      </c>
    </row>
    <row r="1897" spans="1:10" x14ac:dyDescent="0.25">
      <c r="A1897" s="1">
        <f>'batch tool'!A1891</f>
        <v>0</v>
      </c>
      <c r="B1897" s="7">
        <f>SUMPRODUCT($C$2:$X$2,'batch tool'!$B1891:$W1891)+$Y$2</f>
        <v>-49.12272534143483</v>
      </c>
      <c r="C1897" s="7">
        <f>SUMPRODUCT($C$3:$X$3,'batch tool'!$B1891:$W1891)+$Y$3</f>
        <v>-36.514029388465531</v>
      </c>
      <c r="D1897" s="7">
        <f>SUMPRODUCT($C$4:$X$4,'batch tool'!$B1891:$W1891)+$Y$4</f>
        <v>-44.639843068043824</v>
      </c>
      <c r="E1897" s="7">
        <f>SUMPRODUCT($C$5:$X$5,'batch tool'!$B1891:$W1891)+$Y$5</f>
        <v>-51.578889182477603</v>
      </c>
      <c r="F1897" s="7">
        <f>SUMPRODUCT($C$6:$X$6,'batch tool'!$B1891:$W1891)+$Y$6</f>
        <v>-47.741473633885199</v>
      </c>
      <c r="G1897" s="7">
        <f>SUMPRODUCT($C$7:$X$7,'batch tool'!$B1891:$W1891)+$Y$7</f>
        <v>-19.739516238059196</v>
      </c>
      <c r="H1897" s="7">
        <f t="shared" si="58"/>
        <v>-19.739516238059196</v>
      </c>
      <c r="I1897">
        <f t="shared" si="59"/>
        <v>6</v>
      </c>
      <c r="J1897" t="str" cm="1">
        <f t="array" ref="J1897">INDEX($A$2:$A$7,I1897)</f>
        <v>Segment 6- Self-Conscious Male</v>
      </c>
    </row>
    <row r="1898" spans="1:10" x14ac:dyDescent="0.25">
      <c r="A1898" s="1">
        <f>'batch tool'!A1892</f>
        <v>0</v>
      </c>
      <c r="B1898" s="7">
        <f>SUMPRODUCT($C$2:$X$2,'batch tool'!$B1892:$W1892)+$Y$2</f>
        <v>-49.12272534143483</v>
      </c>
      <c r="C1898" s="7">
        <f>SUMPRODUCT($C$3:$X$3,'batch tool'!$B1892:$W1892)+$Y$3</f>
        <v>-36.514029388465531</v>
      </c>
      <c r="D1898" s="7">
        <f>SUMPRODUCT($C$4:$X$4,'batch tool'!$B1892:$W1892)+$Y$4</f>
        <v>-44.639843068043824</v>
      </c>
      <c r="E1898" s="7">
        <f>SUMPRODUCT($C$5:$X$5,'batch tool'!$B1892:$W1892)+$Y$5</f>
        <v>-51.578889182477603</v>
      </c>
      <c r="F1898" s="7">
        <f>SUMPRODUCT($C$6:$X$6,'batch tool'!$B1892:$W1892)+$Y$6</f>
        <v>-47.741473633885199</v>
      </c>
      <c r="G1898" s="7">
        <f>SUMPRODUCT($C$7:$X$7,'batch tool'!$B1892:$W1892)+$Y$7</f>
        <v>-19.739516238059196</v>
      </c>
      <c r="H1898" s="7">
        <f t="shared" si="58"/>
        <v>-19.739516238059196</v>
      </c>
      <c r="I1898">
        <f t="shared" si="59"/>
        <v>6</v>
      </c>
      <c r="J1898" t="str" cm="1">
        <f t="array" ref="J1898">INDEX($A$2:$A$7,I1898)</f>
        <v>Segment 6- Self-Conscious Male</v>
      </c>
    </row>
    <row r="1899" spans="1:10" x14ac:dyDescent="0.25">
      <c r="A1899" s="1">
        <f>'batch tool'!A1893</f>
        <v>0</v>
      </c>
      <c r="B1899" s="7">
        <f>SUMPRODUCT($C$2:$X$2,'batch tool'!$B1893:$W1893)+$Y$2</f>
        <v>-49.12272534143483</v>
      </c>
      <c r="C1899" s="7">
        <f>SUMPRODUCT($C$3:$X$3,'batch tool'!$B1893:$W1893)+$Y$3</f>
        <v>-36.514029388465531</v>
      </c>
      <c r="D1899" s="7">
        <f>SUMPRODUCT($C$4:$X$4,'batch tool'!$B1893:$W1893)+$Y$4</f>
        <v>-44.639843068043824</v>
      </c>
      <c r="E1899" s="7">
        <f>SUMPRODUCT($C$5:$X$5,'batch tool'!$B1893:$W1893)+$Y$5</f>
        <v>-51.578889182477603</v>
      </c>
      <c r="F1899" s="7">
        <f>SUMPRODUCT($C$6:$X$6,'batch tool'!$B1893:$W1893)+$Y$6</f>
        <v>-47.741473633885199</v>
      </c>
      <c r="G1899" s="7">
        <f>SUMPRODUCT($C$7:$X$7,'batch tool'!$B1893:$W1893)+$Y$7</f>
        <v>-19.739516238059196</v>
      </c>
      <c r="H1899" s="7">
        <f t="shared" si="58"/>
        <v>-19.739516238059196</v>
      </c>
      <c r="I1899">
        <f t="shared" si="59"/>
        <v>6</v>
      </c>
      <c r="J1899" t="str" cm="1">
        <f t="array" ref="J1899">INDEX($A$2:$A$7,I1899)</f>
        <v>Segment 6- Self-Conscious Male</v>
      </c>
    </row>
    <row r="1900" spans="1:10" x14ac:dyDescent="0.25">
      <c r="A1900" s="1">
        <f>'batch tool'!A1894</f>
        <v>0</v>
      </c>
      <c r="B1900" s="7">
        <f>SUMPRODUCT($C$2:$X$2,'batch tool'!$B1894:$W1894)+$Y$2</f>
        <v>-49.12272534143483</v>
      </c>
      <c r="C1900" s="7">
        <f>SUMPRODUCT($C$3:$X$3,'batch tool'!$B1894:$W1894)+$Y$3</f>
        <v>-36.514029388465531</v>
      </c>
      <c r="D1900" s="7">
        <f>SUMPRODUCT($C$4:$X$4,'batch tool'!$B1894:$W1894)+$Y$4</f>
        <v>-44.639843068043824</v>
      </c>
      <c r="E1900" s="7">
        <f>SUMPRODUCT($C$5:$X$5,'batch tool'!$B1894:$W1894)+$Y$5</f>
        <v>-51.578889182477603</v>
      </c>
      <c r="F1900" s="7">
        <f>SUMPRODUCT($C$6:$X$6,'batch tool'!$B1894:$W1894)+$Y$6</f>
        <v>-47.741473633885199</v>
      </c>
      <c r="G1900" s="7">
        <f>SUMPRODUCT($C$7:$X$7,'batch tool'!$B1894:$W1894)+$Y$7</f>
        <v>-19.739516238059196</v>
      </c>
      <c r="H1900" s="7">
        <f t="shared" si="58"/>
        <v>-19.739516238059196</v>
      </c>
      <c r="I1900">
        <f t="shared" si="59"/>
        <v>6</v>
      </c>
      <c r="J1900" t="str" cm="1">
        <f t="array" ref="J1900">INDEX($A$2:$A$7,I1900)</f>
        <v>Segment 6- Self-Conscious Male</v>
      </c>
    </row>
    <row r="1901" spans="1:10" x14ac:dyDescent="0.25">
      <c r="A1901" s="1">
        <f>'batch tool'!A1895</f>
        <v>0</v>
      </c>
      <c r="B1901" s="7">
        <f>SUMPRODUCT($C$2:$X$2,'batch tool'!$B1895:$W1895)+$Y$2</f>
        <v>-49.12272534143483</v>
      </c>
      <c r="C1901" s="7">
        <f>SUMPRODUCT($C$3:$X$3,'batch tool'!$B1895:$W1895)+$Y$3</f>
        <v>-36.514029388465531</v>
      </c>
      <c r="D1901" s="7">
        <f>SUMPRODUCT($C$4:$X$4,'batch tool'!$B1895:$W1895)+$Y$4</f>
        <v>-44.639843068043824</v>
      </c>
      <c r="E1901" s="7">
        <f>SUMPRODUCT($C$5:$X$5,'batch tool'!$B1895:$W1895)+$Y$5</f>
        <v>-51.578889182477603</v>
      </c>
      <c r="F1901" s="7">
        <f>SUMPRODUCT($C$6:$X$6,'batch tool'!$B1895:$W1895)+$Y$6</f>
        <v>-47.741473633885199</v>
      </c>
      <c r="G1901" s="7">
        <f>SUMPRODUCT($C$7:$X$7,'batch tool'!$B1895:$W1895)+$Y$7</f>
        <v>-19.739516238059196</v>
      </c>
      <c r="H1901" s="7">
        <f t="shared" si="58"/>
        <v>-19.739516238059196</v>
      </c>
      <c r="I1901">
        <f t="shared" si="59"/>
        <v>6</v>
      </c>
      <c r="J1901" t="str" cm="1">
        <f t="array" ref="J1901">INDEX($A$2:$A$7,I1901)</f>
        <v>Segment 6- Self-Conscious Male</v>
      </c>
    </row>
    <row r="1902" spans="1:10" x14ac:dyDescent="0.25">
      <c r="A1902" s="1">
        <f>'batch tool'!A1896</f>
        <v>0</v>
      </c>
      <c r="B1902" s="7">
        <f>SUMPRODUCT($C$2:$X$2,'batch tool'!$B1896:$W1896)+$Y$2</f>
        <v>-49.12272534143483</v>
      </c>
      <c r="C1902" s="7">
        <f>SUMPRODUCT($C$3:$X$3,'batch tool'!$B1896:$W1896)+$Y$3</f>
        <v>-36.514029388465531</v>
      </c>
      <c r="D1902" s="7">
        <f>SUMPRODUCT($C$4:$X$4,'batch tool'!$B1896:$W1896)+$Y$4</f>
        <v>-44.639843068043824</v>
      </c>
      <c r="E1902" s="7">
        <f>SUMPRODUCT($C$5:$X$5,'batch tool'!$B1896:$W1896)+$Y$5</f>
        <v>-51.578889182477603</v>
      </c>
      <c r="F1902" s="7">
        <f>SUMPRODUCT($C$6:$X$6,'batch tool'!$B1896:$W1896)+$Y$6</f>
        <v>-47.741473633885199</v>
      </c>
      <c r="G1902" s="7">
        <f>SUMPRODUCT($C$7:$X$7,'batch tool'!$B1896:$W1896)+$Y$7</f>
        <v>-19.739516238059196</v>
      </c>
      <c r="H1902" s="7">
        <f t="shared" si="58"/>
        <v>-19.739516238059196</v>
      </c>
      <c r="I1902">
        <f t="shared" si="59"/>
        <v>6</v>
      </c>
      <c r="J1902" t="str" cm="1">
        <f t="array" ref="J1902">INDEX($A$2:$A$7,I1902)</f>
        <v>Segment 6- Self-Conscious Male</v>
      </c>
    </row>
    <row r="1903" spans="1:10" x14ac:dyDescent="0.25">
      <c r="A1903" s="1">
        <f>'batch tool'!A1897</f>
        <v>0</v>
      </c>
      <c r="B1903" s="7">
        <f>SUMPRODUCT($C$2:$X$2,'batch tool'!$B1897:$W1897)+$Y$2</f>
        <v>-49.12272534143483</v>
      </c>
      <c r="C1903" s="7">
        <f>SUMPRODUCT($C$3:$X$3,'batch tool'!$B1897:$W1897)+$Y$3</f>
        <v>-36.514029388465531</v>
      </c>
      <c r="D1903" s="7">
        <f>SUMPRODUCT($C$4:$X$4,'batch tool'!$B1897:$W1897)+$Y$4</f>
        <v>-44.639843068043824</v>
      </c>
      <c r="E1903" s="7">
        <f>SUMPRODUCT($C$5:$X$5,'batch tool'!$B1897:$W1897)+$Y$5</f>
        <v>-51.578889182477603</v>
      </c>
      <c r="F1903" s="7">
        <f>SUMPRODUCT($C$6:$X$6,'batch tool'!$B1897:$W1897)+$Y$6</f>
        <v>-47.741473633885199</v>
      </c>
      <c r="G1903" s="7">
        <f>SUMPRODUCT($C$7:$X$7,'batch tool'!$B1897:$W1897)+$Y$7</f>
        <v>-19.739516238059196</v>
      </c>
      <c r="H1903" s="7">
        <f t="shared" si="58"/>
        <v>-19.739516238059196</v>
      </c>
      <c r="I1903">
        <f t="shared" si="59"/>
        <v>6</v>
      </c>
      <c r="J1903" t="str" cm="1">
        <f t="array" ref="J1903">INDEX($A$2:$A$7,I1903)</f>
        <v>Segment 6- Self-Conscious Male</v>
      </c>
    </row>
    <row r="1904" spans="1:10" x14ac:dyDescent="0.25">
      <c r="A1904" s="1">
        <f>'batch tool'!A1898</f>
        <v>0</v>
      </c>
      <c r="B1904" s="7">
        <f>SUMPRODUCT($C$2:$X$2,'batch tool'!$B1898:$W1898)+$Y$2</f>
        <v>-49.12272534143483</v>
      </c>
      <c r="C1904" s="7">
        <f>SUMPRODUCT($C$3:$X$3,'batch tool'!$B1898:$W1898)+$Y$3</f>
        <v>-36.514029388465531</v>
      </c>
      <c r="D1904" s="7">
        <f>SUMPRODUCT($C$4:$X$4,'batch tool'!$B1898:$W1898)+$Y$4</f>
        <v>-44.639843068043824</v>
      </c>
      <c r="E1904" s="7">
        <f>SUMPRODUCT($C$5:$X$5,'batch tool'!$B1898:$W1898)+$Y$5</f>
        <v>-51.578889182477603</v>
      </c>
      <c r="F1904" s="7">
        <f>SUMPRODUCT($C$6:$X$6,'batch tool'!$B1898:$W1898)+$Y$6</f>
        <v>-47.741473633885199</v>
      </c>
      <c r="G1904" s="7">
        <f>SUMPRODUCT($C$7:$X$7,'batch tool'!$B1898:$W1898)+$Y$7</f>
        <v>-19.739516238059196</v>
      </c>
      <c r="H1904" s="7">
        <f t="shared" si="58"/>
        <v>-19.739516238059196</v>
      </c>
      <c r="I1904">
        <f t="shared" si="59"/>
        <v>6</v>
      </c>
      <c r="J1904" t="str" cm="1">
        <f t="array" ref="J1904">INDEX($A$2:$A$7,I1904)</f>
        <v>Segment 6- Self-Conscious Male</v>
      </c>
    </row>
    <row r="1905" spans="1:10" x14ac:dyDescent="0.25">
      <c r="A1905" s="1">
        <f>'batch tool'!A1899</f>
        <v>0</v>
      </c>
      <c r="B1905" s="7">
        <f>SUMPRODUCT($C$2:$X$2,'batch tool'!$B1899:$W1899)+$Y$2</f>
        <v>-49.12272534143483</v>
      </c>
      <c r="C1905" s="7">
        <f>SUMPRODUCT($C$3:$X$3,'batch tool'!$B1899:$W1899)+$Y$3</f>
        <v>-36.514029388465531</v>
      </c>
      <c r="D1905" s="7">
        <f>SUMPRODUCT($C$4:$X$4,'batch tool'!$B1899:$W1899)+$Y$4</f>
        <v>-44.639843068043824</v>
      </c>
      <c r="E1905" s="7">
        <f>SUMPRODUCT($C$5:$X$5,'batch tool'!$B1899:$W1899)+$Y$5</f>
        <v>-51.578889182477603</v>
      </c>
      <c r="F1905" s="7">
        <f>SUMPRODUCT($C$6:$X$6,'batch tool'!$B1899:$W1899)+$Y$6</f>
        <v>-47.741473633885199</v>
      </c>
      <c r="G1905" s="7">
        <f>SUMPRODUCT($C$7:$X$7,'batch tool'!$B1899:$W1899)+$Y$7</f>
        <v>-19.739516238059196</v>
      </c>
      <c r="H1905" s="7">
        <f t="shared" si="58"/>
        <v>-19.739516238059196</v>
      </c>
      <c r="I1905">
        <f t="shared" si="59"/>
        <v>6</v>
      </c>
      <c r="J1905" t="str" cm="1">
        <f t="array" ref="J1905">INDEX($A$2:$A$7,I1905)</f>
        <v>Segment 6- Self-Conscious Male</v>
      </c>
    </row>
    <row r="1906" spans="1:10" x14ac:dyDescent="0.25">
      <c r="A1906" s="1">
        <f>'batch tool'!A1900</f>
        <v>0</v>
      </c>
      <c r="B1906" s="7">
        <f>SUMPRODUCT($C$2:$X$2,'batch tool'!$B1900:$W1900)+$Y$2</f>
        <v>-49.12272534143483</v>
      </c>
      <c r="C1906" s="7">
        <f>SUMPRODUCT($C$3:$X$3,'batch tool'!$B1900:$W1900)+$Y$3</f>
        <v>-36.514029388465531</v>
      </c>
      <c r="D1906" s="7">
        <f>SUMPRODUCT($C$4:$X$4,'batch tool'!$B1900:$W1900)+$Y$4</f>
        <v>-44.639843068043824</v>
      </c>
      <c r="E1906" s="7">
        <f>SUMPRODUCT($C$5:$X$5,'batch tool'!$B1900:$W1900)+$Y$5</f>
        <v>-51.578889182477603</v>
      </c>
      <c r="F1906" s="7">
        <f>SUMPRODUCT($C$6:$X$6,'batch tool'!$B1900:$W1900)+$Y$6</f>
        <v>-47.741473633885199</v>
      </c>
      <c r="G1906" s="7">
        <f>SUMPRODUCT($C$7:$X$7,'batch tool'!$B1900:$W1900)+$Y$7</f>
        <v>-19.739516238059196</v>
      </c>
      <c r="H1906" s="7">
        <f t="shared" si="58"/>
        <v>-19.739516238059196</v>
      </c>
      <c r="I1906">
        <f t="shared" si="59"/>
        <v>6</v>
      </c>
      <c r="J1906" t="str" cm="1">
        <f t="array" ref="J1906">INDEX($A$2:$A$7,I1906)</f>
        <v>Segment 6- Self-Conscious Male</v>
      </c>
    </row>
    <row r="1907" spans="1:10" x14ac:dyDescent="0.25">
      <c r="A1907" s="1">
        <f>'batch tool'!A1901</f>
        <v>0</v>
      </c>
      <c r="B1907" s="7">
        <f>SUMPRODUCT($C$2:$X$2,'batch tool'!$B1901:$W1901)+$Y$2</f>
        <v>-49.12272534143483</v>
      </c>
      <c r="C1907" s="7">
        <f>SUMPRODUCT($C$3:$X$3,'batch tool'!$B1901:$W1901)+$Y$3</f>
        <v>-36.514029388465531</v>
      </c>
      <c r="D1907" s="7">
        <f>SUMPRODUCT($C$4:$X$4,'batch tool'!$B1901:$W1901)+$Y$4</f>
        <v>-44.639843068043824</v>
      </c>
      <c r="E1907" s="7">
        <f>SUMPRODUCT($C$5:$X$5,'batch tool'!$B1901:$W1901)+$Y$5</f>
        <v>-51.578889182477603</v>
      </c>
      <c r="F1907" s="7">
        <f>SUMPRODUCT($C$6:$X$6,'batch tool'!$B1901:$W1901)+$Y$6</f>
        <v>-47.741473633885199</v>
      </c>
      <c r="G1907" s="7">
        <f>SUMPRODUCT($C$7:$X$7,'batch tool'!$B1901:$W1901)+$Y$7</f>
        <v>-19.739516238059196</v>
      </c>
      <c r="H1907" s="7">
        <f t="shared" si="58"/>
        <v>-19.739516238059196</v>
      </c>
      <c r="I1907">
        <f t="shared" si="59"/>
        <v>6</v>
      </c>
      <c r="J1907" t="str" cm="1">
        <f t="array" ref="J1907">INDEX($A$2:$A$7,I1907)</f>
        <v>Segment 6- Self-Conscious Male</v>
      </c>
    </row>
    <row r="1908" spans="1:10" x14ac:dyDescent="0.25">
      <c r="A1908" s="1">
        <f>'batch tool'!A1902</f>
        <v>0</v>
      </c>
      <c r="B1908" s="7">
        <f>SUMPRODUCT($C$2:$X$2,'batch tool'!$B1902:$W1902)+$Y$2</f>
        <v>-49.12272534143483</v>
      </c>
      <c r="C1908" s="7">
        <f>SUMPRODUCT($C$3:$X$3,'batch tool'!$B1902:$W1902)+$Y$3</f>
        <v>-36.514029388465531</v>
      </c>
      <c r="D1908" s="7">
        <f>SUMPRODUCT($C$4:$X$4,'batch tool'!$B1902:$W1902)+$Y$4</f>
        <v>-44.639843068043824</v>
      </c>
      <c r="E1908" s="7">
        <f>SUMPRODUCT($C$5:$X$5,'batch tool'!$B1902:$W1902)+$Y$5</f>
        <v>-51.578889182477603</v>
      </c>
      <c r="F1908" s="7">
        <f>SUMPRODUCT($C$6:$X$6,'batch tool'!$B1902:$W1902)+$Y$6</f>
        <v>-47.741473633885199</v>
      </c>
      <c r="G1908" s="7">
        <f>SUMPRODUCT($C$7:$X$7,'batch tool'!$B1902:$W1902)+$Y$7</f>
        <v>-19.739516238059196</v>
      </c>
      <c r="H1908" s="7">
        <f t="shared" si="58"/>
        <v>-19.739516238059196</v>
      </c>
      <c r="I1908">
        <f t="shared" si="59"/>
        <v>6</v>
      </c>
      <c r="J1908" t="str" cm="1">
        <f t="array" ref="J1908">INDEX($A$2:$A$7,I1908)</f>
        <v>Segment 6- Self-Conscious Male</v>
      </c>
    </row>
    <row r="1909" spans="1:10" x14ac:dyDescent="0.25">
      <c r="A1909" s="1">
        <f>'batch tool'!A1903</f>
        <v>0</v>
      </c>
      <c r="B1909" s="7">
        <f>SUMPRODUCT($C$2:$X$2,'batch tool'!$B1903:$W1903)+$Y$2</f>
        <v>-49.12272534143483</v>
      </c>
      <c r="C1909" s="7">
        <f>SUMPRODUCT($C$3:$X$3,'batch tool'!$B1903:$W1903)+$Y$3</f>
        <v>-36.514029388465531</v>
      </c>
      <c r="D1909" s="7">
        <f>SUMPRODUCT($C$4:$X$4,'batch tool'!$B1903:$W1903)+$Y$4</f>
        <v>-44.639843068043824</v>
      </c>
      <c r="E1909" s="7">
        <f>SUMPRODUCT($C$5:$X$5,'batch tool'!$B1903:$W1903)+$Y$5</f>
        <v>-51.578889182477603</v>
      </c>
      <c r="F1909" s="7">
        <f>SUMPRODUCT($C$6:$X$6,'batch tool'!$B1903:$W1903)+$Y$6</f>
        <v>-47.741473633885199</v>
      </c>
      <c r="G1909" s="7">
        <f>SUMPRODUCT($C$7:$X$7,'batch tool'!$B1903:$W1903)+$Y$7</f>
        <v>-19.739516238059196</v>
      </c>
      <c r="H1909" s="7">
        <f t="shared" si="58"/>
        <v>-19.739516238059196</v>
      </c>
      <c r="I1909">
        <f t="shared" si="59"/>
        <v>6</v>
      </c>
      <c r="J1909" t="str" cm="1">
        <f t="array" ref="J1909">INDEX($A$2:$A$7,I1909)</f>
        <v>Segment 6- Self-Conscious Male</v>
      </c>
    </row>
    <row r="1910" spans="1:10" x14ac:dyDescent="0.25">
      <c r="A1910" s="1">
        <f>'batch tool'!A1904</f>
        <v>0</v>
      </c>
      <c r="B1910" s="7">
        <f>SUMPRODUCT($C$2:$X$2,'batch tool'!$B1904:$W1904)+$Y$2</f>
        <v>-49.12272534143483</v>
      </c>
      <c r="C1910" s="7">
        <f>SUMPRODUCT($C$3:$X$3,'batch tool'!$B1904:$W1904)+$Y$3</f>
        <v>-36.514029388465531</v>
      </c>
      <c r="D1910" s="7">
        <f>SUMPRODUCT($C$4:$X$4,'batch tool'!$B1904:$W1904)+$Y$4</f>
        <v>-44.639843068043824</v>
      </c>
      <c r="E1910" s="7">
        <f>SUMPRODUCT($C$5:$X$5,'batch tool'!$B1904:$W1904)+$Y$5</f>
        <v>-51.578889182477603</v>
      </c>
      <c r="F1910" s="7">
        <f>SUMPRODUCT($C$6:$X$6,'batch tool'!$B1904:$W1904)+$Y$6</f>
        <v>-47.741473633885199</v>
      </c>
      <c r="G1910" s="7">
        <f>SUMPRODUCT($C$7:$X$7,'batch tool'!$B1904:$W1904)+$Y$7</f>
        <v>-19.739516238059196</v>
      </c>
      <c r="H1910" s="7">
        <f t="shared" si="58"/>
        <v>-19.739516238059196</v>
      </c>
      <c r="I1910">
        <f t="shared" si="59"/>
        <v>6</v>
      </c>
      <c r="J1910" t="str" cm="1">
        <f t="array" ref="J1910">INDEX($A$2:$A$7,I1910)</f>
        <v>Segment 6- Self-Conscious Male</v>
      </c>
    </row>
    <row r="1911" spans="1:10" x14ac:dyDescent="0.25">
      <c r="A1911" s="1">
        <f>'batch tool'!A1905</f>
        <v>0</v>
      </c>
      <c r="B1911" s="7">
        <f>SUMPRODUCT($C$2:$X$2,'batch tool'!$B1905:$W1905)+$Y$2</f>
        <v>-49.12272534143483</v>
      </c>
      <c r="C1911" s="7">
        <f>SUMPRODUCT($C$3:$X$3,'batch tool'!$B1905:$W1905)+$Y$3</f>
        <v>-36.514029388465531</v>
      </c>
      <c r="D1911" s="7">
        <f>SUMPRODUCT($C$4:$X$4,'batch tool'!$B1905:$W1905)+$Y$4</f>
        <v>-44.639843068043824</v>
      </c>
      <c r="E1911" s="7">
        <f>SUMPRODUCT($C$5:$X$5,'batch tool'!$B1905:$W1905)+$Y$5</f>
        <v>-51.578889182477603</v>
      </c>
      <c r="F1911" s="7">
        <f>SUMPRODUCT($C$6:$X$6,'batch tool'!$B1905:$W1905)+$Y$6</f>
        <v>-47.741473633885199</v>
      </c>
      <c r="G1911" s="7">
        <f>SUMPRODUCT($C$7:$X$7,'batch tool'!$B1905:$W1905)+$Y$7</f>
        <v>-19.739516238059196</v>
      </c>
      <c r="H1911" s="7">
        <f t="shared" si="58"/>
        <v>-19.739516238059196</v>
      </c>
      <c r="I1911">
        <f t="shared" si="59"/>
        <v>6</v>
      </c>
      <c r="J1911" t="str" cm="1">
        <f t="array" ref="J1911">INDEX($A$2:$A$7,I1911)</f>
        <v>Segment 6- Self-Conscious Male</v>
      </c>
    </row>
    <row r="1912" spans="1:10" x14ac:dyDescent="0.25">
      <c r="A1912" s="1">
        <f>'batch tool'!A1906</f>
        <v>0</v>
      </c>
      <c r="B1912" s="7">
        <f>SUMPRODUCT($C$2:$X$2,'batch tool'!$B1906:$W1906)+$Y$2</f>
        <v>-49.12272534143483</v>
      </c>
      <c r="C1912" s="7">
        <f>SUMPRODUCT($C$3:$X$3,'batch tool'!$B1906:$W1906)+$Y$3</f>
        <v>-36.514029388465531</v>
      </c>
      <c r="D1912" s="7">
        <f>SUMPRODUCT($C$4:$X$4,'batch tool'!$B1906:$W1906)+$Y$4</f>
        <v>-44.639843068043824</v>
      </c>
      <c r="E1912" s="7">
        <f>SUMPRODUCT($C$5:$X$5,'batch tool'!$B1906:$W1906)+$Y$5</f>
        <v>-51.578889182477603</v>
      </c>
      <c r="F1912" s="7">
        <f>SUMPRODUCT($C$6:$X$6,'batch tool'!$B1906:$W1906)+$Y$6</f>
        <v>-47.741473633885199</v>
      </c>
      <c r="G1912" s="7">
        <f>SUMPRODUCT($C$7:$X$7,'batch tool'!$B1906:$W1906)+$Y$7</f>
        <v>-19.739516238059196</v>
      </c>
      <c r="H1912" s="7">
        <f t="shared" si="58"/>
        <v>-19.739516238059196</v>
      </c>
      <c r="I1912">
        <f t="shared" si="59"/>
        <v>6</v>
      </c>
      <c r="J1912" t="str" cm="1">
        <f t="array" ref="J1912">INDEX($A$2:$A$7,I1912)</f>
        <v>Segment 6- Self-Conscious Male</v>
      </c>
    </row>
    <row r="1913" spans="1:10" x14ac:dyDescent="0.25">
      <c r="A1913" s="1">
        <f>'batch tool'!A1907</f>
        <v>0</v>
      </c>
      <c r="B1913" s="7">
        <f>SUMPRODUCT($C$2:$X$2,'batch tool'!$B1907:$W1907)+$Y$2</f>
        <v>-49.12272534143483</v>
      </c>
      <c r="C1913" s="7">
        <f>SUMPRODUCT($C$3:$X$3,'batch tool'!$B1907:$W1907)+$Y$3</f>
        <v>-36.514029388465531</v>
      </c>
      <c r="D1913" s="7">
        <f>SUMPRODUCT($C$4:$X$4,'batch tool'!$B1907:$W1907)+$Y$4</f>
        <v>-44.639843068043824</v>
      </c>
      <c r="E1913" s="7">
        <f>SUMPRODUCT($C$5:$X$5,'batch tool'!$B1907:$W1907)+$Y$5</f>
        <v>-51.578889182477603</v>
      </c>
      <c r="F1913" s="7">
        <f>SUMPRODUCT($C$6:$X$6,'batch tool'!$B1907:$W1907)+$Y$6</f>
        <v>-47.741473633885199</v>
      </c>
      <c r="G1913" s="7">
        <f>SUMPRODUCT($C$7:$X$7,'batch tool'!$B1907:$W1907)+$Y$7</f>
        <v>-19.739516238059196</v>
      </c>
      <c r="H1913" s="7">
        <f t="shared" si="58"/>
        <v>-19.739516238059196</v>
      </c>
      <c r="I1913">
        <f t="shared" si="59"/>
        <v>6</v>
      </c>
      <c r="J1913" t="str" cm="1">
        <f t="array" ref="J1913">INDEX($A$2:$A$7,I1913)</f>
        <v>Segment 6- Self-Conscious Male</v>
      </c>
    </row>
    <row r="1914" spans="1:10" x14ac:dyDescent="0.25">
      <c r="A1914" s="1">
        <f>'batch tool'!A1908</f>
        <v>0</v>
      </c>
      <c r="B1914" s="7">
        <f>SUMPRODUCT($C$2:$X$2,'batch tool'!$B1908:$W1908)+$Y$2</f>
        <v>-49.12272534143483</v>
      </c>
      <c r="C1914" s="7">
        <f>SUMPRODUCT($C$3:$X$3,'batch tool'!$B1908:$W1908)+$Y$3</f>
        <v>-36.514029388465531</v>
      </c>
      <c r="D1914" s="7">
        <f>SUMPRODUCT($C$4:$X$4,'batch tool'!$B1908:$W1908)+$Y$4</f>
        <v>-44.639843068043824</v>
      </c>
      <c r="E1914" s="7">
        <f>SUMPRODUCT($C$5:$X$5,'batch tool'!$B1908:$W1908)+$Y$5</f>
        <v>-51.578889182477603</v>
      </c>
      <c r="F1914" s="7">
        <f>SUMPRODUCT($C$6:$X$6,'batch tool'!$B1908:$W1908)+$Y$6</f>
        <v>-47.741473633885199</v>
      </c>
      <c r="G1914" s="7">
        <f>SUMPRODUCT($C$7:$X$7,'batch tool'!$B1908:$W1908)+$Y$7</f>
        <v>-19.739516238059196</v>
      </c>
      <c r="H1914" s="7">
        <f t="shared" si="58"/>
        <v>-19.739516238059196</v>
      </c>
      <c r="I1914">
        <f t="shared" si="59"/>
        <v>6</v>
      </c>
      <c r="J1914" t="str" cm="1">
        <f t="array" ref="J1914">INDEX($A$2:$A$7,I1914)</f>
        <v>Segment 6- Self-Conscious Male</v>
      </c>
    </row>
    <row r="1915" spans="1:10" x14ac:dyDescent="0.25">
      <c r="A1915" s="1">
        <f>'batch tool'!A1909</f>
        <v>0</v>
      </c>
      <c r="B1915" s="7">
        <f>SUMPRODUCT($C$2:$X$2,'batch tool'!$B1909:$W1909)+$Y$2</f>
        <v>-49.12272534143483</v>
      </c>
      <c r="C1915" s="7">
        <f>SUMPRODUCT($C$3:$X$3,'batch tool'!$B1909:$W1909)+$Y$3</f>
        <v>-36.514029388465531</v>
      </c>
      <c r="D1915" s="7">
        <f>SUMPRODUCT($C$4:$X$4,'batch tool'!$B1909:$W1909)+$Y$4</f>
        <v>-44.639843068043824</v>
      </c>
      <c r="E1915" s="7">
        <f>SUMPRODUCT($C$5:$X$5,'batch tool'!$B1909:$W1909)+$Y$5</f>
        <v>-51.578889182477603</v>
      </c>
      <c r="F1915" s="7">
        <f>SUMPRODUCT($C$6:$X$6,'batch tool'!$B1909:$W1909)+$Y$6</f>
        <v>-47.741473633885199</v>
      </c>
      <c r="G1915" s="7">
        <f>SUMPRODUCT($C$7:$X$7,'batch tool'!$B1909:$W1909)+$Y$7</f>
        <v>-19.739516238059196</v>
      </c>
      <c r="H1915" s="7">
        <f t="shared" si="58"/>
        <v>-19.739516238059196</v>
      </c>
      <c r="I1915">
        <f t="shared" si="59"/>
        <v>6</v>
      </c>
      <c r="J1915" t="str" cm="1">
        <f t="array" ref="J1915">INDEX($A$2:$A$7,I1915)</f>
        <v>Segment 6- Self-Conscious Male</v>
      </c>
    </row>
    <row r="1916" spans="1:10" x14ac:dyDescent="0.25">
      <c r="A1916" s="1">
        <f>'batch tool'!A1910</f>
        <v>0</v>
      </c>
      <c r="B1916" s="7">
        <f>SUMPRODUCT($C$2:$X$2,'batch tool'!$B1910:$W1910)+$Y$2</f>
        <v>-49.12272534143483</v>
      </c>
      <c r="C1916" s="7">
        <f>SUMPRODUCT($C$3:$X$3,'batch tool'!$B1910:$W1910)+$Y$3</f>
        <v>-36.514029388465531</v>
      </c>
      <c r="D1916" s="7">
        <f>SUMPRODUCT($C$4:$X$4,'batch tool'!$B1910:$W1910)+$Y$4</f>
        <v>-44.639843068043824</v>
      </c>
      <c r="E1916" s="7">
        <f>SUMPRODUCT($C$5:$X$5,'batch tool'!$B1910:$W1910)+$Y$5</f>
        <v>-51.578889182477603</v>
      </c>
      <c r="F1916" s="7">
        <f>SUMPRODUCT($C$6:$X$6,'batch tool'!$B1910:$W1910)+$Y$6</f>
        <v>-47.741473633885199</v>
      </c>
      <c r="G1916" s="7">
        <f>SUMPRODUCT($C$7:$X$7,'batch tool'!$B1910:$W1910)+$Y$7</f>
        <v>-19.739516238059196</v>
      </c>
      <c r="H1916" s="7">
        <f t="shared" si="58"/>
        <v>-19.739516238059196</v>
      </c>
      <c r="I1916">
        <f t="shared" si="59"/>
        <v>6</v>
      </c>
      <c r="J1916" t="str" cm="1">
        <f t="array" ref="J1916">INDEX($A$2:$A$7,I1916)</f>
        <v>Segment 6- Self-Conscious Male</v>
      </c>
    </row>
    <row r="1917" spans="1:10" x14ac:dyDescent="0.25">
      <c r="A1917" s="1">
        <f>'batch tool'!A1911</f>
        <v>0</v>
      </c>
      <c r="B1917" s="7">
        <f>SUMPRODUCT($C$2:$X$2,'batch tool'!$B1911:$W1911)+$Y$2</f>
        <v>-49.12272534143483</v>
      </c>
      <c r="C1917" s="7">
        <f>SUMPRODUCT($C$3:$X$3,'batch tool'!$B1911:$W1911)+$Y$3</f>
        <v>-36.514029388465531</v>
      </c>
      <c r="D1917" s="7">
        <f>SUMPRODUCT($C$4:$X$4,'batch tool'!$B1911:$W1911)+$Y$4</f>
        <v>-44.639843068043824</v>
      </c>
      <c r="E1917" s="7">
        <f>SUMPRODUCT($C$5:$X$5,'batch tool'!$B1911:$W1911)+$Y$5</f>
        <v>-51.578889182477603</v>
      </c>
      <c r="F1917" s="7">
        <f>SUMPRODUCT($C$6:$X$6,'batch tool'!$B1911:$W1911)+$Y$6</f>
        <v>-47.741473633885199</v>
      </c>
      <c r="G1917" s="7">
        <f>SUMPRODUCT($C$7:$X$7,'batch tool'!$B1911:$W1911)+$Y$7</f>
        <v>-19.739516238059196</v>
      </c>
      <c r="H1917" s="7">
        <f t="shared" si="58"/>
        <v>-19.739516238059196</v>
      </c>
      <c r="I1917">
        <f t="shared" si="59"/>
        <v>6</v>
      </c>
      <c r="J1917" t="str" cm="1">
        <f t="array" ref="J1917">INDEX($A$2:$A$7,I1917)</f>
        <v>Segment 6- Self-Conscious Male</v>
      </c>
    </row>
    <row r="1918" spans="1:10" x14ac:dyDescent="0.25">
      <c r="A1918" s="1">
        <f>'batch tool'!A1912</f>
        <v>0</v>
      </c>
      <c r="B1918" s="7">
        <f>SUMPRODUCT($C$2:$X$2,'batch tool'!$B1912:$W1912)+$Y$2</f>
        <v>-49.12272534143483</v>
      </c>
      <c r="C1918" s="7">
        <f>SUMPRODUCT($C$3:$X$3,'batch tool'!$B1912:$W1912)+$Y$3</f>
        <v>-36.514029388465531</v>
      </c>
      <c r="D1918" s="7">
        <f>SUMPRODUCT($C$4:$X$4,'batch tool'!$B1912:$W1912)+$Y$4</f>
        <v>-44.639843068043824</v>
      </c>
      <c r="E1918" s="7">
        <f>SUMPRODUCT($C$5:$X$5,'batch tool'!$B1912:$W1912)+$Y$5</f>
        <v>-51.578889182477603</v>
      </c>
      <c r="F1918" s="7">
        <f>SUMPRODUCT($C$6:$X$6,'batch tool'!$B1912:$W1912)+$Y$6</f>
        <v>-47.741473633885199</v>
      </c>
      <c r="G1918" s="7">
        <f>SUMPRODUCT($C$7:$X$7,'batch tool'!$B1912:$W1912)+$Y$7</f>
        <v>-19.739516238059196</v>
      </c>
      <c r="H1918" s="7">
        <f t="shared" si="58"/>
        <v>-19.739516238059196</v>
      </c>
      <c r="I1918">
        <f t="shared" si="59"/>
        <v>6</v>
      </c>
      <c r="J1918" t="str" cm="1">
        <f t="array" ref="J1918">INDEX($A$2:$A$7,I1918)</f>
        <v>Segment 6- Self-Conscious Male</v>
      </c>
    </row>
    <row r="1919" spans="1:10" x14ac:dyDescent="0.25">
      <c r="A1919" s="1">
        <f>'batch tool'!A1913</f>
        <v>0</v>
      </c>
      <c r="B1919" s="7">
        <f>SUMPRODUCT($C$2:$X$2,'batch tool'!$B1913:$W1913)+$Y$2</f>
        <v>-49.12272534143483</v>
      </c>
      <c r="C1919" s="7">
        <f>SUMPRODUCT($C$3:$X$3,'batch tool'!$B1913:$W1913)+$Y$3</f>
        <v>-36.514029388465531</v>
      </c>
      <c r="D1919" s="7">
        <f>SUMPRODUCT($C$4:$X$4,'batch tool'!$B1913:$W1913)+$Y$4</f>
        <v>-44.639843068043824</v>
      </c>
      <c r="E1919" s="7">
        <f>SUMPRODUCT($C$5:$X$5,'batch tool'!$B1913:$W1913)+$Y$5</f>
        <v>-51.578889182477603</v>
      </c>
      <c r="F1919" s="7">
        <f>SUMPRODUCT($C$6:$X$6,'batch tool'!$B1913:$W1913)+$Y$6</f>
        <v>-47.741473633885199</v>
      </c>
      <c r="G1919" s="7">
        <f>SUMPRODUCT($C$7:$X$7,'batch tool'!$B1913:$W1913)+$Y$7</f>
        <v>-19.739516238059196</v>
      </c>
      <c r="H1919" s="7">
        <f t="shared" si="58"/>
        <v>-19.739516238059196</v>
      </c>
      <c r="I1919">
        <f t="shared" si="59"/>
        <v>6</v>
      </c>
      <c r="J1919" t="str" cm="1">
        <f t="array" ref="J1919">INDEX($A$2:$A$7,I1919)</f>
        <v>Segment 6- Self-Conscious Male</v>
      </c>
    </row>
    <row r="1920" spans="1:10" x14ac:dyDescent="0.25">
      <c r="A1920" s="1">
        <f>'batch tool'!A1914</f>
        <v>0</v>
      </c>
      <c r="B1920" s="7">
        <f>SUMPRODUCT($C$2:$X$2,'batch tool'!$B1914:$W1914)+$Y$2</f>
        <v>-49.12272534143483</v>
      </c>
      <c r="C1920" s="7">
        <f>SUMPRODUCT($C$3:$X$3,'batch tool'!$B1914:$W1914)+$Y$3</f>
        <v>-36.514029388465531</v>
      </c>
      <c r="D1920" s="7">
        <f>SUMPRODUCT($C$4:$X$4,'batch tool'!$B1914:$W1914)+$Y$4</f>
        <v>-44.639843068043824</v>
      </c>
      <c r="E1920" s="7">
        <f>SUMPRODUCT($C$5:$X$5,'batch tool'!$B1914:$W1914)+$Y$5</f>
        <v>-51.578889182477603</v>
      </c>
      <c r="F1920" s="7">
        <f>SUMPRODUCT($C$6:$X$6,'batch tool'!$B1914:$W1914)+$Y$6</f>
        <v>-47.741473633885199</v>
      </c>
      <c r="G1920" s="7">
        <f>SUMPRODUCT($C$7:$X$7,'batch tool'!$B1914:$W1914)+$Y$7</f>
        <v>-19.739516238059196</v>
      </c>
      <c r="H1920" s="7">
        <f t="shared" si="58"/>
        <v>-19.739516238059196</v>
      </c>
      <c r="I1920">
        <f t="shared" si="59"/>
        <v>6</v>
      </c>
      <c r="J1920" t="str" cm="1">
        <f t="array" ref="J1920">INDEX($A$2:$A$7,I1920)</f>
        <v>Segment 6- Self-Conscious Male</v>
      </c>
    </row>
    <row r="1921" spans="1:10" x14ac:dyDescent="0.25">
      <c r="A1921" s="1">
        <f>'batch tool'!A1915</f>
        <v>0</v>
      </c>
      <c r="B1921" s="7">
        <f>SUMPRODUCT($C$2:$X$2,'batch tool'!$B1915:$W1915)+$Y$2</f>
        <v>-49.12272534143483</v>
      </c>
      <c r="C1921" s="7">
        <f>SUMPRODUCT($C$3:$X$3,'batch tool'!$B1915:$W1915)+$Y$3</f>
        <v>-36.514029388465531</v>
      </c>
      <c r="D1921" s="7">
        <f>SUMPRODUCT($C$4:$X$4,'batch tool'!$B1915:$W1915)+$Y$4</f>
        <v>-44.639843068043824</v>
      </c>
      <c r="E1921" s="7">
        <f>SUMPRODUCT($C$5:$X$5,'batch tool'!$B1915:$W1915)+$Y$5</f>
        <v>-51.578889182477603</v>
      </c>
      <c r="F1921" s="7">
        <f>SUMPRODUCT($C$6:$X$6,'batch tool'!$B1915:$W1915)+$Y$6</f>
        <v>-47.741473633885199</v>
      </c>
      <c r="G1921" s="7">
        <f>SUMPRODUCT($C$7:$X$7,'batch tool'!$B1915:$W1915)+$Y$7</f>
        <v>-19.739516238059196</v>
      </c>
      <c r="H1921" s="7">
        <f t="shared" si="58"/>
        <v>-19.739516238059196</v>
      </c>
      <c r="I1921">
        <f t="shared" si="59"/>
        <v>6</v>
      </c>
      <c r="J1921" t="str" cm="1">
        <f t="array" ref="J1921">INDEX($A$2:$A$7,I1921)</f>
        <v>Segment 6- Self-Conscious Male</v>
      </c>
    </row>
    <row r="1922" spans="1:10" x14ac:dyDescent="0.25">
      <c r="A1922" s="1">
        <f>'batch tool'!A1916</f>
        <v>0</v>
      </c>
      <c r="B1922" s="7">
        <f>SUMPRODUCT($C$2:$X$2,'batch tool'!$B1916:$W1916)+$Y$2</f>
        <v>-49.12272534143483</v>
      </c>
      <c r="C1922" s="7">
        <f>SUMPRODUCT($C$3:$X$3,'batch tool'!$B1916:$W1916)+$Y$3</f>
        <v>-36.514029388465531</v>
      </c>
      <c r="D1922" s="7">
        <f>SUMPRODUCT($C$4:$X$4,'batch tool'!$B1916:$W1916)+$Y$4</f>
        <v>-44.639843068043824</v>
      </c>
      <c r="E1922" s="7">
        <f>SUMPRODUCT($C$5:$X$5,'batch tool'!$B1916:$W1916)+$Y$5</f>
        <v>-51.578889182477603</v>
      </c>
      <c r="F1922" s="7">
        <f>SUMPRODUCT($C$6:$X$6,'batch tool'!$B1916:$W1916)+$Y$6</f>
        <v>-47.741473633885199</v>
      </c>
      <c r="G1922" s="7">
        <f>SUMPRODUCT($C$7:$X$7,'batch tool'!$B1916:$W1916)+$Y$7</f>
        <v>-19.739516238059196</v>
      </c>
      <c r="H1922" s="7">
        <f t="shared" si="58"/>
        <v>-19.739516238059196</v>
      </c>
      <c r="I1922">
        <f t="shared" si="59"/>
        <v>6</v>
      </c>
      <c r="J1922" t="str" cm="1">
        <f t="array" ref="J1922">INDEX($A$2:$A$7,I1922)</f>
        <v>Segment 6- Self-Conscious Male</v>
      </c>
    </row>
    <row r="1923" spans="1:10" x14ac:dyDescent="0.25">
      <c r="A1923" s="1">
        <f>'batch tool'!A1917</f>
        <v>0</v>
      </c>
      <c r="B1923" s="7">
        <f>SUMPRODUCT($C$2:$X$2,'batch tool'!$B1917:$W1917)+$Y$2</f>
        <v>-49.12272534143483</v>
      </c>
      <c r="C1923" s="7">
        <f>SUMPRODUCT($C$3:$X$3,'batch tool'!$B1917:$W1917)+$Y$3</f>
        <v>-36.514029388465531</v>
      </c>
      <c r="D1923" s="7">
        <f>SUMPRODUCT($C$4:$X$4,'batch tool'!$B1917:$W1917)+$Y$4</f>
        <v>-44.639843068043824</v>
      </c>
      <c r="E1923" s="7">
        <f>SUMPRODUCT($C$5:$X$5,'batch tool'!$B1917:$W1917)+$Y$5</f>
        <v>-51.578889182477603</v>
      </c>
      <c r="F1923" s="7">
        <f>SUMPRODUCT($C$6:$X$6,'batch tool'!$B1917:$W1917)+$Y$6</f>
        <v>-47.741473633885199</v>
      </c>
      <c r="G1923" s="7">
        <f>SUMPRODUCT($C$7:$X$7,'batch tool'!$B1917:$W1917)+$Y$7</f>
        <v>-19.739516238059196</v>
      </c>
      <c r="H1923" s="7">
        <f t="shared" si="58"/>
        <v>-19.739516238059196</v>
      </c>
      <c r="I1923">
        <f t="shared" si="59"/>
        <v>6</v>
      </c>
      <c r="J1923" t="str" cm="1">
        <f t="array" ref="J1923">INDEX($A$2:$A$7,I1923)</f>
        <v>Segment 6- Self-Conscious Male</v>
      </c>
    </row>
    <row r="1924" spans="1:10" x14ac:dyDescent="0.25">
      <c r="A1924" s="1">
        <f>'batch tool'!A1918</f>
        <v>0</v>
      </c>
      <c r="B1924" s="7">
        <f>SUMPRODUCT($C$2:$X$2,'batch tool'!$B1918:$W1918)+$Y$2</f>
        <v>-49.12272534143483</v>
      </c>
      <c r="C1924" s="7">
        <f>SUMPRODUCT($C$3:$X$3,'batch tool'!$B1918:$W1918)+$Y$3</f>
        <v>-36.514029388465531</v>
      </c>
      <c r="D1924" s="7">
        <f>SUMPRODUCT($C$4:$X$4,'batch tool'!$B1918:$W1918)+$Y$4</f>
        <v>-44.639843068043824</v>
      </c>
      <c r="E1924" s="7">
        <f>SUMPRODUCT($C$5:$X$5,'batch tool'!$B1918:$W1918)+$Y$5</f>
        <v>-51.578889182477603</v>
      </c>
      <c r="F1924" s="7">
        <f>SUMPRODUCT($C$6:$X$6,'batch tool'!$B1918:$W1918)+$Y$6</f>
        <v>-47.741473633885199</v>
      </c>
      <c r="G1924" s="7">
        <f>SUMPRODUCT($C$7:$X$7,'batch tool'!$B1918:$W1918)+$Y$7</f>
        <v>-19.739516238059196</v>
      </c>
      <c r="H1924" s="7">
        <f t="shared" si="58"/>
        <v>-19.739516238059196</v>
      </c>
      <c r="I1924">
        <f t="shared" si="59"/>
        <v>6</v>
      </c>
      <c r="J1924" t="str" cm="1">
        <f t="array" ref="J1924">INDEX($A$2:$A$7,I1924)</f>
        <v>Segment 6- Self-Conscious Male</v>
      </c>
    </row>
    <row r="1925" spans="1:10" x14ac:dyDescent="0.25">
      <c r="A1925" s="1">
        <f>'batch tool'!A1919</f>
        <v>0</v>
      </c>
      <c r="B1925" s="7">
        <f>SUMPRODUCT($C$2:$X$2,'batch tool'!$B1919:$W1919)+$Y$2</f>
        <v>-49.12272534143483</v>
      </c>
      <c r="C1925" s="7">
        <f>SUMPRODUCT($C$3:$X$3,'batch tool'!$B1919:$W1919)+$Y$3</f>
        <v>-36.514029388465531</v>
      </c>
      <c r="D1925" s="7">
        <f>SUMPRODUCT($C$4:$X$4,'batch tool'!$B1919:$W1919)+$Y$4</f>
        <v>-44.639843068043824</v>
      </c>
      <c r="E1925" s="7">
        <f>SUMPRODUCT($C$5:$X$5,'batch tool'!$B1919:$W1919)+$Y$5</f>
        <v>-51.578889182477603</v>
      </c>
      <c r="F1925" s="7">
        <f>SUMPRODUCT($C$6:$X$6,'batch tool'!$B1919:$W1919)+$Y$6</f>
        <v>-47.741473633885199</v>
      </c>
      <c r="G1925" s="7">
        <f>SUMPRODUCT($C$7:$X$7,'batch tool'!$B1919:$W1919)+$Y$7</f>
        <v>-19.739516238059196</v>
      </c>
      <c r="H1925" s="7">
        <f t="shared" si="58"/>
        <v>-19.739516238059196</v>
      </c>
      <c r="I1925">
        <f t="shared" si="59"/>
        <v>6</v>
      </c>
      <c r="J1925" t="str" cm="1">
        <f t="array" ref="J1925">INDEX($A$2:$A$7,I1925)</f>
        <v>Segment 6- Self-Conscious Male</v>
      </c>
    </row>
    <row r="1926" spans="1:10" x14ac:dyDescent="0.25">
      <c r="A1926" s="1">
        <f>'batch tool'!A1920</f>
        <v>0</v>
      </c>
      <c r="B1926" s="7">
        <f>SUMPRODUCT($C$2:$X$2,'batch tool'!$B1920:$W1920)+$Y$2</f>
        <v>-49.12272534143483</v>
      </c>
      <c r="C1926" s="7">
        <f>SUMPRODUCT($C$3:$X$3,'batch tool'!$B1920:$W1920)+$Y$3</f>
        <v>-36.514029388465531</v>
      </c>
      <c r="D1926" s="7">
        <f>SUMPRODUCT($C$4:$X$4,'batch tool'!$B1920:$W1920)+$Y$4</f>
        <v>-44.639843068043824</v>
      </c>
      <c r="E1926" s="7">
        <f>SUMPRODUCT($C$5:$X$5,'batch tool'!$B1920:$W1920)+$Y$5</f>
        <v>-51.578889182477603</v>
      </c>
      <c r="F1926" s="7">
        <f>SUMPRODUCT($C$6:$X$6,'batch tool'!$B1920:$W1920)+$Y$6</f>
        <v>-47.741473633885199</v>
      </c>
      <c r="G1926" s="7">
        <f>SUMPRODUCT($C$7:$X$7,'batch tool'!$B1920:$W1920)+$Y$7</f>
        <v>-19.739516238059196</v>
      </c>
      <c r="H1926" s="7">
        <f t="shared" si="58"/>
        <v>-19.739516238059196</v>
      </c>
      <c r="I1926">
        <f t="shared" si="59"/>
        <v>6</v>
      </c>
      <c r="J1926" t="str" cm="1">
        <f t="array" ref="J1926">INDEX($A$2:$A$7,I1926)</f>
        <v>Segment 6- Self-Conscious Male</v>
      </c>
    </row>
    <row r="1927" spans="1:10" x14ac:dyDescent="0.25">
      <c r="A1927" s="1">
        <f>'batch tool'!A1921</f>
        <v>0</v>
      </c>
      <c r="B1927" s="7">
        <f>SUMPRODUCT($C$2:$X$2,'batch tool'!$B1921:$W1921)+$Y$2</f>
        <v>-49.12272534143483</v>
      </c>
      <c r="C1927" s="7">
        <f>SUMPRODUCT($C$3:$X$3,'batch tool'!$B1921:$W1921)+$Y$3</f>
        <v>-36.514029388465531</v>
      </c>
      <c r="D1927" s="7">
        <f>SUMPRODUCT($C$4:$X$4,'batch tool'!$B1921:$W1921)+$Y$4</f>
        <v>-44.639843068043824</v>
      </c>
      <c r="E1927" s="7">
        <f>SUMPRODUCT($C$5:$X$5,'batch tool'!$B1921:$W1921)+$Y$5</f>
        <v>-51.578889182477603</v>
      </c>
      <c r="F1927" s="7">
        <f>SUMPRODUCT($C$6:$X$6,'batch tool'!$B1921:$W1921)+$Y$6</f>
        <v>-47.741473633885199</v>
      </c>
      <c r="G1927" s="7">
        <f>SUMPRODUCT($C$7:$X$7,'batch tool'!$B1921:$W1921)+$Y$7</f>
        <v>-19.739516238059196</v>
      </c>
      <c r="H1927" s="7">
        <f t="shared" si="58"/>
        <v>-19.739516238059196</v>
      </c>
      <c r="I1927">
        <f t="shared" si="59"/>
        <v>6</v>
      </c>
      <c r="J1927" t="str" cm="1">
        <f t="array" ref="J1927">INDEX($A$2:$A$7,I1927)</f>
        <v>Segment 6- Self-Conscious Male</v>
      </c>
    </row>
    <row r="1928" spans="1:10" x14ac:dyDescent="0.25">
      <c r="A1928" s="1">
        <f>'batch tool'!A1922</f>
        <v>0</v>
      </c>
      <c r="B1928" s="7">
        <f>SUMPRODUCT($C$2:$X$2,'batch tool'!$B1922:$W1922)+$Y$2</f>
        <v>-49.12272534143483</v>
      </c>
      <c r="C1928" s="7">
        <f>SUMPRODUCT($C$3:$X$3,'batch tool'!$B1922:$W1922)+$Y$3</f>
        <v>-36.514029388465531</v>
      </c>
      <c r="D1928" s="7">
        <f>SUMPRODUCT($C$4:$X$4,'batch tool'!$B1922:$W1922)+$Y$4</f>
        <v>-44.639843068043824</v>
      </c>
      <c r="E1928" s="7">
        <f>SUMPRODUCT($C$5:$X$5,'batch tool'!$B1922:$W1922)+$Y$5</f>
        <v>-51.578889182477603</v>
      </c>
      <c r="F1928" s="7">
        <f>SUMPRODUCT($C$6:$X$6,'batch tool'!$B1922:$W1922)+$Y$6</f>
        <v>-47.741473633885199</v>
      </c>
      <c r="G1928" s="7">
        <f>SUMPRODUCT($C$7:$X$7,'batch tool'!$B1922:$W1922)+$Y$7</f>
        <v>-19.739516238059196</v>
      </c>
      <c r="H1928" s="7">
        <f t="shared" si="58"/>
        <v>-19.739516238059196</v>
      </c>
      <c r="I1928">
        <f t="shared" si="59"/>
        <v>6</v>
      </c>
      <c r="J1928" t="str" cm="1">
        <f t="array" ref="J1928">INDEX($A$2:$A$7,I1928)</f>
        <v>Segment 6- Self-Conscious Male</v>
      </c>
    </row>
    <row r="1929" spans="1:10" x14ac:dyDescent="0.25">
      <c r="A1929" s="1">
        <f>'batch tool'!A1923</f>
        <v>0</v>
      </c>
      <c r="B1929" s="7">
        <f>SUMPRODUCT($C$2:$X$2,'batch tool'!$B1923:$W1923)+$Y$2</f>
        <v>-49.12272534143483</v>
      </c>
      <c r="C1929" s="7">
        <f>SUMPRODUCT($C$3:$X$3,'batch tool'!$B1923:$W1923)+$Y$3</f>
        <v>-36.514029388465531</v>
      </c>
      <c r="D1929" s="7">
        <f>SUMPRODUCT($C$4:$X$4,'batch tool'!$B1923:$W1923)+$Y$4</f>
        <v>-44.639843068043824</v>
      </c>
      <c r="E1929" s="7">
        <f>SUMPRODUCT($C$5:$X$5,'batch tool'!$B1923:$W1923)+$Y$5</f>
        <v>-51.578889182477603</v>
      </c>
      <c r="F1929" s="7">
        <f>SUMPRODUCT($C$6:$X$6,'batch tool'!$B1923:$W1923)+$Y$6</f>
        <v>-47.741473633885199</v>
      </c>
      <c r="G1929" s="7">
        <f>SUMPRODUCT($C$7:$X$7,'batch tool'!$B1923:$W1923)+$Y$7</f>
        <v>-19.739516238059196</v>
      </c>
      <c r="H1929" s="7">
        <f t="shared" si="58"/>
        <v>-19.739516238059196</v>
      </c>
      <c r="I1929">
        <f t="shared" si="59"/>
        <v>6</v>
      </c>
      <c r="J1929" t="str" cm="1">
        <f t="array" ref="J1929">INDEX($A$2:$A$7,I1929)</f>
        <v>Segment 6- Self-Conscious Male</v>
      </c>
    </row>
    <row r="1930" spans="1:10" x14ac:dyDescent="0.25">
      <c r="A1930" s="1">
        <f>'batch tool'!A1924</f>
        <v>0</v>
      </c>
      <c r="B1930" s="7">
        <f>SUMPRODUCT($C$2:$X$2,'batch tool'!$B1924:$W1924)+$Y$2</f>
        <v>-49.12272534143483</v>
      </c>
      <c r="C1930" s="7">
        <f>SUMPRODUCT($C$3:$X$3,'batch tool'!$B1924:$W1924)+$Y$3</f>
        <v>-36.514029388465531</v>
      </c>
      <c r="D1930" s="7">
        <f>SUMPRODUCT($C$4:$X$4,'batch tool'!$B1924:$W1924)+$Y$4</f>
        <v>-44.639843068043824</v>
      </c>
      <c r="E1930" s="7">
        <f>SUMPRODUCT($C$5:$X$5,'batch tool'!$B1924:$W1924)+$Y$5</f>
        <v>-51.578889182477603</v>
      </c>
      <c r="F1930" s="7">
        <f>SUMPRODUCT($C$6:$X$6,'batch tool'!$B1924:$W1924)+$Y$6</f>
        <v>-47.741473633885199</v>
      </c>
      <c r="G1930" s="7">
        <f>SUMPRODUCT($C$7:$X$7,'batch tool'!$B1924:$W1924)+$Y$7</f>
        <v>-19.739516238059196</v>
      </c>
      <c r="H1930" s="7">
        <f t="shared" si="58"/>
        <v>-19.739516238059196</v>
      </c>
      <c r="I1930">
        <f t="shared" si="59"/>
        <v>6</v>
      </c>
      <c r="J1930" t="str" cm="1">
        <f t="array" ref="J1930">INDEX($A$2:$A$7,I1930)</f>
        <v>Segment 6- Self-Conscious Male</v>
      </c>
    </row>
    <row r="1931" spans="1:10" x14ac:dyDescent="0.25">
      <c r="A1931" s="1">
        <f>'batch tool'!A1925</f>
        <v>0</v>
      </c>
      <c r="B1931" s="7">
        <f>SUMPRODUCT($C$2:$X$2,'batch tool'!$B1925:$W1925)+$Y$2</f>
        <v>-49.12272534143483</v>
      </c>
      <c r="C1931" s="7">
        <f>SUMPRODUCT($C$3:$X$3,'batch tool'!$B1925:$W1925)+$Y$3</f>
        <v>-36.514029388465531</v>
      </c>
      <c r="D1931" s="7">
        <f>SUMPRODUCT($C$4:$X$4,'batch tool'!$B1925:$W1925)+$Y$4</f>
        <v>-44.639843068043824</v>
      </c>
      <c r="E1931" s="7">
        <f>SUMPRODUCT($C$5:$X$5,'batch tool'!$B1925:$W1925)+$Y$5</f>
        <v>-51.578889182477603</v>
      </c>
      <c r="F1931" s="7">
        <f>SUMPRODUCT($C$6:$X$6,'batch tool'!$B1925:$W1925)+$Y$6</f>
        <v>-47.741473633885199</v>
      </c>
      <c r="G1931" s="7">
        <f>SUMPRODUCT($C$7:$X$7,'batch tool'!$B1925:$W1925)+$Y$7</f>
        <v>-19.739516238059196</v>
      </c>
      <c r="H1931" s="7">
        <f t="shared" ref="H1931:H1994" si="60">MAX(B1931:G1931)</f>
        <v>-19.739516238059196</v>
      </c>
      <c r="I1931">
        <f t="shared" ref="I1931:I1994" si="61">MATCH(H1931,B1931:G1931,0)</f>
        <v>6</v>
      </c>
      <c r="J1931" t="str" cm="1">
        <f t="array" ref="J1931">INDEX($A$2:$A$7,I1931)</f>
        <v>Segment 6- Self-Conscious Male</v>
      </c>
    </row>
    <row r="1932" spans="1:10" x14ac:dyDescent="0.25">
      <c r="A1932" s="1">
        <f>'batch tool'!A1926</f>
        <v>0</v>
      </c>
      <c r="B1932" s="7">
        <f>SUMPRODUCT($C$2:$X$2,'batch tool'!$B1926:$W1926)+$Y$2</f>
        <v>-49.12272534143483</v>
      </c>
      <c r="C1932" s="7">
        <f>SUMPRODUCT($C$3:$X$3,'batch tool'!$B1926:$W1926)+$Y$3</f>
        <v>-36.514029388465531</v>
      </c>
      <c r="D1932" s="7">
        <f>SUMPRODUCT($C$4:$X$4,'batch tool'!$B1926:$W1926)+$Y$4</f>
        <v>-44.639843068043824</v>
      </c>
      <c r="E1932" s="7">
        <f>SUMPRODUCT($C$5:$X$5,'batch tool'!$B1926:$W1926)+$Y$5</f>
        <v>-51.578889182477603</v>
      </c>
      <c r="F1932" s="7">
        <f>SUMPRODUCT($C$6:$X$6,'batch tool'!$B1926:$W1926)+$Y$6</f>
        <v>-47.741473633885199</v>
      </c>
      <c r="G1932" s="7">
        <f>SUMPRODUCT($C$7:$X$7,'batch tool'!$B1926:$W1926)+$Y$7</f>
        <v>-19.739516238059196</v>
      </c>
      <c r="H1932" s="7">
        <f t="shared" si="60"/>
        <v>-19.739516238059196</v>
      </c>
      <c r="I1932">
        <f t="shared" si="61"/>
        <v>6</v>
      </c>
      <c r="J1932" t="str" cm="1">
        <f t="array" ref="J1932">INDEX($A$2:$A$7,I1932)</f>
        <v>Segment 6- Self-Conscious Male</v>
      </c>
    </row>
    <row r="1933" spans="1:10" x14ac:dyDescent="0.25">
      <c r="A1933" s="1">
        <f>'batch tool'!A1927</f>
        <v>0</v>
      </c>
      <c r="B1933" s="7">
        <f>SUMPRODUCT($C$2:$X$2,'batch tool'!$B1927:$W1927)+$Y$2</f>
        <v>-49.12272534143483</v>
      </c>
      <c r="C1933" s="7">
        <f>SUMPRODUCT($C$3:$X$3,'batch tool'!$B1927:$W1927)+$Y$3</f>
        <v>-36.514029388465531</v>
      </c>
      <c r="D1933" s="7">
        <f>SUMPRODUCT($C$4:$X$4,'batch tool'!$B1927:$W1927)+$Y$4</f>
        <v>-44.639843068043824</v>
      </c>
      <c r="E1933" s="7">
        <f>SUMPRODUCT($C$5:$X$5,'batch tool'!$B1927:$W1927)+$Y$5</f>
        <v>-51.578889182477603</v>
      </c>
      <c r="F1933" s="7">
        <f>SUMPRODUCT($C$6:$X$6,'batch tool'!$B1927:$W1927)+$Y$6</f>
        <v>-47.741473633885199</v>
      </c>
      <c r="G1933" s="7">
        <f>SUMPRODUCT($C$7:$X$7,'batch tool'!$B1927:$W1927)+$Y$7</f>
        <v>-19.739516238059196</v>
      </c>
      <c r="H1933" s="7">
        <f t="shared" si="60"/>
        <v>-19.739516238059196</v>
      </c>
      <c r="I1933">
        <f t="shared" si="61"/>
        <v>6</v>
      </c>
      <c r="J1933" t="str" cm="1">
        <f t="array" ref="J1933">INDEX($A$2:$A$7,I1933)</f>
        <v>Segment 6- Self-Conscious Male</v>
      </c>
    </row>
    <row r="1934" spans="1:10" x14ac:dyDescent="0.25">
      <c r="A1934" s="1">
        <f>'batch tool'!A1928</f>
        <v>0</v>
      </c>
      <c r="B1934" s="7">
        <f>SUMPRODUCT($C$2:$X$2,'batch tool'!$B1928:$W1928)+$Y$2</f>
        <v>-49.12272534143483</v>
      </c>
      <c r="C1934" s="7">
        <f>SUMPRODUCT($C$3:$X$3,'batch tool'!$B1928:$W1928)+$Y$3</f>
        <v>-36.514029388465531</v>
      </c>
      <c r="D1934" s="7">
        <f>SUMPRODUCT($C$4:$X$4,'batch tool'!$B1928:$W1928)+$Y$4</f>
        <v>-44.639843068043824</v>
      </c>
      <c r="E1934" s="7">
        <f>SUMPRODUCT($C$5:$X$5,'batch tool'!$B1928:$W1928)+$Y$5</f>
        <v>-51.578889182477603</v>
      </c>
      <c r="F1934" s="7">
        <f>SUMPRODUCT($C$6:$X$6,'batch tool'!$B1928:$W1928)+$Y$6</f>
        <v>-47.741473633885199</v>
      </c>
      <c r="G1934" s="7">
        <f>SUMPRODUCT($C$7:$X$7,'batch tool'!$B1928:$W1928)+$Y$7</f>
        <v>-19.739516238059196</v>
      </c>
      <c r="H1934" s="7">
        <f t="shared" si="60"/>
        <v>-19.739516238059196</v>
      </c>
      <c r="I1934">
        <f t="shared" si="61"/>
        <v>6</v>
      </c>
      <c r="J1934" t="str" cm="1">
        <f t="array" ref="J1934">INDEX($A$2:$A$7,I1934)</f>
        <v>Segment 6- Self-Conscious Male</v>
      </c>
    </row>
    <row r="1935" spans="1:10" x14ac:dyDescent="0.25">
      <c r="A1935" s="1">
        <f>'batch tool'!A1929</f>
        <v>0</v>
      </c>
      <c r="B1935" s="7">
        <f>SUMPRODUCT($C$2:$X$2,'batch tool'!$B1929:$W1929)+$Y$2</f>
        <v>-49.12272534143483</v>
      </c>
      <c r="C1935" s="7">
        <f>SUMPRODUCT($C$3:$X$3,'batch tool'!$B1929:$W1929)+$Y$3</f>
        <v>-36.514029388465531</v>
      </c>
      <c r="D1935" s="7">
        <f>SUMPRODUCT($C$4:$X$4,'batch tool'!$B1929:$W1929)+$Y$4</f>
        <v>-44.639843068043824</v>
      </c>
      <c r="E1935" s="7">
        <f>SUMPRODUCT($C$5:$X$5,'batch tool'!$B1929:$W1929)+$Y$5</f>
        <v>-51.578889182477603</v>
      </c>
      <c r="F1935" s="7">
        <f>SUMPRODUCT($C$6:$X$6,'batch tool'!$B1929:$W1929)+$Y$6</f>
        <v>-47.741473633885199</v>
      </c>
      <c r="G1935" s="7">
        <f>SUMPRODUCT($C$7:$X$7,'batch tool'!$B1929:$W1929)+$Y$7</f>
        <v>-19.739516238059196</v>
      </c>
      <c r="H1935" s="7">
        <f t="shared" si="60"/>
        <v>-19.739516238059196</v>
      </c>
      <c r="I1935">
        <f t="shared" si="61"/>
        <v>6</v>
      </c>
      <c r="J1935" t="str" cm="1">
        <f t="array" ref="J1935">INDEX($A$2:$A$7,I1935)</f>
        <v>Segment 6- Self-Conscious Male</v>
      </c>
    </row>
    <row r="1936" spans="1:10" x14ac:dyDescent="0.25">
      <c r="A1936" s="1">
        <f>'batch tool'!A1930</f>
        <v>0</v>
      </c>
      <c r="B1936" s="7">
        <f>SUMPRODUCT($C$2:$X$2,'batch tool'!$B1930:$W1930)+$Y$2</f>
        <v>-49.12272534143483</v>
      </c>
      <c r="C1936" s="7">
        <f>SUMPRODUCT($C$3:$X$3,'batch tool'!$B1930:$W1930)+$Y$3</f>
        <v>-36.514029388465531</v>
      </c>
      <c r="D1936" s="7">
        <f>SUMPRODUCT($C$4:$X$4,'batch tool'!$B1930:$W1930)+$Y$4</f>
        <v>-44.639843068043824</v>
      </c>
      <c r="E1936" s="7">
        <f>SUMPRODUCT($C$5:$X$5,'batch tool'!$B1930:$W1930)+$Y$5</f>
        <v>-51.578889182477603</v>
      </c>
      <c r="F1936" s="7">
        <f>SUMPRODUCT($C$6:$X$6,'batch tool'!$B1930:$W1930)+$Y$6</f>
        <v>-47.741473633885199</v>
      </c>
      <c r="G1936" s="7">
        <f>SUMPRODUCT($C$7:$X$7,'batch tool'!$B1930:$W1930)+$Y$7</f>
        <v>-19.739516238059196</v>
      </c>
      <c r="H1936" s="7">
        <f t="shared" si="60"/>
        <v>-19.739516238059196</v>
      </c>
      <c r="I1936">
        <f t="shared" si="61"/>
        <v>6</v>
      </c>
      <c r="J1936" t="str" cm="1">
        <f t="array" ref="J1936">INDEX($A$2:$A$7,I1936)</f>
        <v>Segment 6- Self-Conscious Male</v>
      </c>
    </row>
    <row r="1937" spans="1:10" x14ac:dyDescent="0.25">
      <c r="A1937" s="1">
        <f>'batch tool'!A1931</f>
        <v>0</v>
      </c>
      <c r="B1937" s="7">
        <f>SUMPRODUCT($C$2:$X$2,'batch tool'!$B1931:$W1931)+$Y$2</f>
        <v>-49.12272534143483</v>
      </c>
      <c r="C1937" s="7">
        <f>SUMPRODUCT($C$3:$X$3,'batch tool'!$B1931:$W1931)+$Y$3</f>
        <v>-36.514029388465531</v>
      </c>
      <c r="D1937" s="7">
        <f>SUMPRODUCT($C$4:$X$4,'batch tool'!$B1931:$W1931)+$Y$4</f>
        <v>-44.639843068043824</v>
      </c>
      <c r="E1937" s="7">
        <f>SUMPRODUCT($C$5:$X$5,'batch tool'!$B1931:$W1931)+$Y$5</f>
        <v>-51.578889182477603</v>
      </c>
      <c r="F1937" s="7">
        <f>SUMPRODUCT($C$6:$X$6,'batch tool'!$B1931:$W1931)+$Y$6</f>
        <v>-47.741473633885199</v>
      </c>
      <c r="G1937" s="7">
        <f>SUMPRODUCT($C$7:$X$7,'batch tool'!$B1931:$W1931)+$Y$7</f>
        <v>-19.739516238059196</v>
      </c>
      <c r="H1937" s="7">
        <f t="shared" si="60"/>
        <v>-19.739516238059196</v>
      </c>
      <c r="I1937">
        <f t="shared" si="61"/>
        <v>6</v>
      </c>
      <c r="J1937" t="str" cm="1">
        <f t="array" ref="J1937">INDEX($A$2:$A$7,I1937)</f>
        <v>Segment 6- Self-Conscious Male</v>
      </c>
    </row>
    <row r="1938" spans="1:10" x14ac:dyDescent="0.25">
      <c r="A1938" s="1">
        <f>'batch tool'!A1932</f>
        <v>0</v>
      </c>
      <c r="B1938" s="7">
        <f>SUMPRODUCT($C$2:$X$2,'batch tool'!$B1932:$W1932)+$Y$2</f>
        <v>-49.12272534143483</v>
      </c>
      <c r="C1938" s="7">
        <f>SUMPRODUCT($C$3:$X$3,'batch tool'!$B1932:$W1932)+$Y$3</f>
        <v>-36.514029388465531</v>
      </c>
      <c r="D1938" s="7">
        <f>SUMPRODUCT($C$4:$X$4,'batch tool'!$B1932:$W1932)+$Y$4</f>
        <v>-44.639843068043824</v>
      </c>
      <c r="E1938" s="7">
        <f>SUMPRODUCT($C$5:$X$5,'batch tool'!$B1932:$W1932)+$Y$5</f>
        <v>-51.578889182477603</v>
      </c>
      <c r="F1938" s="7">
        <f>SUMPRODUCT($C$6:$X$6,'batch tool'!$B1932:$W1932)+$Y$6</f>
        <v>-47.741473633885199</v>
      </c>
      <c r="G1938" s="7">
        <f>SUMPRODUCT($C$7:$X$7,'batch tool'!$B1932:$W1932)+$Y$7</f>
        <v>-19.739516238059196</v>
      </c>
      <c r="H1938" s="7">
        <f t="shared" si="60"/>
        <v>-19.739516238059196</v>
      </c>
      <c r="I1938">
        <f t="shared" si="61"/>
        <v>6</v>
      </c>
      <c r="J1938" t="str" cm="1">
        <f t="array" ref="J1938">INDEX($A$2:$A$7,I1938)</f>
        <v>Segment 6- Self-Conscious Male</v>
      </c>
    </row>
    <row r="1939" spans="1:10" x14ac:dyDescent="0.25">
      <c r="A1939" s="1">
        <f>'batch tool'!A1933</f>
        <v>0</v>
      </c>
      <c r="B1939" s="7">
        <f>SUMPRODUCT($C$2:$X$2,'batch tool'!$B1933:$W1933)+$Y$2</f>
        <v>-49.12272534143483</v>
      </c>
      <c r="C1939" s="7">
        <f>SUMPRODUCT($C$3:$X$3,'batch tool'!$B1933:$W1933)+$Y$3</f>
        <v>-36.514029388465531</v>
      </c>
      <c r="D1939" s="7">
        <f>SUMPRODUCT($C$4:$X$4,'batch tool'!$B1933:$W1933)+$Y$4</f>
        <v>-44.639843068043824</v>
      </c>
      <c r="E1939" s="7">
        <f>SUMPRODUCT($C$5:$X$5,'batch tool'!$B1933:$W1933)+$Y$5</f>
        <v>-51.578889182477603</v>
      </c>
      <c r="F1939" s="7">
        <f>SUMPRODUCT($C$6:$X$6,'batch tool'!$B1933:$W1933)+$Y$6</f>
        <v>-47.741473633885199</v>
      </c>
      <c r="G1939" s="7">
        <f>SUMPRODUCT($C$7:$X$7,'batch tool'!$B1933:$W1933)+$Y$7</f>
        <v>-19.739516238059196</v>
      </c>
      <c r="H1939" s="7">
        <f t="shared" si="60"/>
        <v>-19.739516238059196</v>
      </c>
      <c r="I1939">
        <f t="shared" si="61"/>
        <v>6</v>
      </c>
      <c r="J1939" t="str" cm="1">
        <f t="array" ref="J1939">INDEX($A$2:$A$7,I1939)</f>
        <v>Segment 6- Self-Conscious Male</v>
      </c>
    </row>
    <row r="1940" spans="1:10" x14ac:dyDescent="0.25">
      <c r="A1940" s="1">
        <f>'batch tool'!A1934</f>
        <v>0</v>
      </c>
      <c r="B1940" s="7">
        <f>SUMPRODUCT($C$2:$X$2,'batch tool'!$B1934:$W1934)+$Y$2</f>
        <v>-49.12272534143483</v>
      </c>
      <c r="C1940" s="7">
        <f>SUMPRODUCT($C$3:$X$3,'batch tool'!$B1934:$W1934)+$Y$3</f>
        <v>-36.514029388465531</v>
      </c>
      <c r="D1940" s="7">
        <f>SUMPRODUCT($C$4:$X$4,'batch tool'!$B1934:$W1934)+$Y$4</f>
        <v>-44.639843068043824</v>
      </c>
      <c r="E1940" s="7">
        <f>SUMPRODUCT($C$5:$X$5,'batch tool'!$B1934:$W1934)+$Y$5</f>
        <v>-51.578889182477603</v>
      </c>
      <c r="F1940" s="7">
        <f>SUMPRODUCT($C$6:$X$6,'batch tool'!$B1934:$W1934)+$Y$6</f>
        <v>-47.741473633885199</v>
      </c>
      <c r="G1940" s="7">
        <f>SUMPRODUCT($C$7:$X$7,'batch tool'!$B1934:$W1934)+$Y$7</f>
        <v>-19.739516238059196</v>
      </c>
      <c r="H1940" s="7">
        <f t="shared" si="60"/>
        <v>-19.739516238059196</v>
      </c>
      <c r="I1940">
        <f t="shared" si="61"/>
        <v>6</v>
      </c>
      <c r="J1940" t="str" cm="1">
        <f t="array" ref="J1940">INDEX($A$2:$A$7,I1940)</f>
        <v>Segment 6- Self-Conscious Male</v>
      </c>
    </row>
    <row r="1941" spans="1:10" x14ac:dyDescent="0.25">
      <c r="A1941" s="1">
        <f>'batch tool'!A1935</f>
        <v>0</v>
      </c>
      <c r="B1941" s="7">
        <f>SUMPRODUCT($C$2:$X$2,'batch tool'!$B1935:$W1935)+$Y$2</f>
        <v>-49.12272534143483</v>
      </c>
      <c r="C1941" s="7">
        <f>SUMPRODUCT($C$3:$X$3,'batch tool'!$B1935:$W1935)+$Y$3</f>
        <v>-36.514029388465531</v>
      </c>
      <c r="D1941" s="7">
        <f>SUMPRODUCT($C$4:$X$4,'batch tool'!$B1935:$W1935)+$Y$4</f>
        <v>-44.639843068043824</v>
      </c>
      <c r="E1941" s="7">
        <f>SUMPRODUCT($C$5:$X$5,'batch tool'!$B1935:$W1935)+$Y$5</f>
        <v>-51.578889182477603</v>
      </c>
      <c r="F1941" s="7">
        <f>SUMPRODUCT($C$6:$X$6,'batch tool'!$B1935:$W1935)+$Y$6</f>
        <v>-47.741473633885199</v>
      </c>
      <c r="G1941" s="7">
        <f>SUMPRODUCT($C$7:$X$7,'batch tool'!$B1935:$W1935)+$Y$7</f>
        <v>-19.739516238059196</v>
      </c>
      <c r="H1941" s="7">
        <f t="shared" si="60"/>
        <v>-19.739516238059196</v>
      </c>
      <c r="I1941">
        <f t="shared" si="61"/>
        <v>6</v>
      </c>
      <c r="J1941" t="str" cm="1">
        <f t="array" ref="J1941">INDEX($A$2:$A$7,I1941)</f>
        <v>Segment 6- Self-Conscious Male</v>
      </c>
    </row>
    <row r="1942" spans="1:10" x14ac:dyDescent="0.25">
      <c r="A1942" s="1">
        <f>'batch tool'!A1936</f>
        <v>0</v>
      </c>
      <c r="B1942" s="7">
        <f>SUMPRODUCT($C$2:$X$2,'batch tool'!$B1936:$W1936)+$Y$2</f>
        <v>-49.12272534143483</v>
      </c>
      <c r="C1942" s="7">
        <f>SUMPRODUCT($C$3:$X$3,'batch tool'!$B1936:$W1936)+$Y$3</f>
        <v>-36.514029388465531</v>
      </c>
      <c r="D1942" s="7">
        <f>SUMPRODUCT($C$4:$X$4,'batch tool'!$B1936:$W1936)+$Y$4</f>
        <v>-44.639843068043824</v>
      </c>
      <c r="E1942" s="7">
        <f>SUMPRODUCT($C$5:$X$5,'batch tool'!$B1936:$W1936)+$Y$5</f>
        <v>-51.578889182477603</v>
      </c>
      <c r="F1942" s="7">
        <f>SUMPRODUCT($C$6:$X$6,'batch tool'!$B1936:$W1936)+$Y$6</f>
        <v>-47.741473633885199</v>
      </c>
      <c r="G1942" s="7">
        <f>SUMPRODUCT($C$7:$X$7,'batch tool'!$B1936:$W1936)+$Y$7</f>
        <v>-19.739516238059196</v>
      </c>
      <c r="H1942" s="7">
        <f t="shared" si="60"/>
        <v>-19.739516238059196</v>
      </c>
      <c r="I1942">
        <f t="shared" si="61"/>
        <v>6</v>
      </c>
      <c r="J1942" t="str" cm="1">
        <f t="array" ref="J1942">INDEX($A$2:$A$7,I1942)</f>
        <v>Segment 6- Self-Conscious Male</v>
      </c>
    </row>
    <row r="1943" spans="1:10" x14ac:dyDescent="0.25">
      <c r="A1943" s="1">
        <f>'batch tool'!A1937</f>
        <v>0</v>
      </c>
      <c r="B1943" s="7">
        <f>SUMPRODUCT($C$2:$X$2,'batch tool'!$B1937:$W1937)+$Y$2</f>
        <v>-49.12272534143483</v>
      </c>
      <c r="C1943" s="7">
        <f>SUMPRODUCT($C$3:$X$3,'batch tool'!$B1937:$W1937)+$Y$3</f>
        <v>-36.514029388465531</v>
      </c>
      <c r="D1943" s="7">
        <f>SUMPRODUCT($C$4:$X$4,'batch tool'!$B1937:$W1937)+$Y$4</f>
        <v>-44.639843068043824</v>
      </c>
      <c r="E1943" s="7">
        <f>SUMPRODUCT($C$5:$X$5,'batch tool'!$B1937:$W1937)+$Y$5</f>
        <v>-51.578889182477603</v>
      </c>
      <c r="F1943" s="7">
        <f>SUMPRODUCT($C$6:$X$6,'batch tool'!$B1937:$W1937)+$Y$6</f>
        <v>-47.741473633885199</v>
      </c>
      <c r="G1943" s="7">
        <f>SUMPRODUCT($C$7:$X$7,'batch tool'!$B1937:$W1937)+$Y$7</f>
        <v>-19.739516238059196</v>
      </c>
      <c r="H1943" s="7">
        <f t="shared" si="60"/>
        <v>-19.739516238059196</v>
      </c>
      <c r="I1943">
        <f t="shared" si="61"/>
        <v>6</v>
      </c>
      <c r="J1943" t="str" cm="1">
        <f t="array" ref="J1943">INDEX($A$2:$A$7,I1943)</f>
        <v>Segment 6- Self-Conscious Male</v>
      </c>
    </row>
    <row r="1944" spans="1:10" x14ac:dyDescent="0.25">
      <c r="A1944" s="1">
        <f>'batch tool'!A1938</f>
        <v>0</v>
      </c>
      <c r="B1944" s="7">
        <f>SUMPRODUCT($C$2:$X$2,'batch tool'!$B1938:$W1938)+$Y$2</f>
        <v>-49.12272534143483</v>
      </c>
      <c r="C1944" s="7">
        <f>SUMPRODUCT($C$3:$X$3,'batch tool'!$B1938:$W1938)+$Y$3</f>
        <v>-36.514029388465531</v>
      </c>
      <c r="D1944" s="7">
        <f>SUMPRODUCT($C$4:$X$4,'batch tool'!$B1938:$W1938)+$Y$4</f>
        <v>-44.639843068043824</v>
      </c>
      <c r="E1944" s="7">
        <f>SUMPRODUCT($C$5:$X$5,'batch tool'!$B1938:$W1938)+$Y$5</f>
        <v>-51.578889182477603</v>
      </c>
      <c r="F1944" s="7">
        <f>SUMPRODUCT($C$6:$X$6,'batch tool'!$B1938:$W1938)+$Y$6</f>
        <v>-47.741473633885199</v>
      </c>
      <c r="G1944" s="7">
        <f>SUMPRODUCT($C$7:$X$7,'batch tool'!$B1938:$W1938)+$Y$7</f>
        <v>-19.739516238059196</v>
      </c>
      <c r="H1944" s="7">
        <f t="shared" si="60"/>
        <v>-19.739516238059196</v>
      </c>
      <c r="I1944">
        <f t="shared" si="61"/>
        <v>6</v>
      </c>
      <c r="J1944" t="str" cm="1">
        <f t="array" ref="J1944">INDEX($A$2:$A$7,I1944)</f>
        <v>Segment 6- Self-Conscious Male</v>
      </c>
    </row>
    <row r="1945" spans="1:10" x14ac:dyDescent="0.25">
      <c r="A1945" s="1">
        <f>'batch tool'!A1939</f>
        <v>0</v>
      </c>
      <c r="B1945" s="7">
        <f>SUMPRODUCT($C$2:$X$2,'batch tool'!$B1939:$W1939)+$Y$2</f>
        <v>-49.12272534143483</v>
      </c>
      <c r="C1945" s="7">
        <f>SUMPRODUCT($C$3:$X$3,'batch tool'!$B1939:$W1939)+$Y$3</f>
        <v>-36.514029388465531</v>
      </c>
      <c r="D1945" s="7">
        <f>SUMPRODUCT($C$4:$X$4,'batch tool'!$B1939:$W1939)+$Y$4</f>
        <v>-44.639843068043824</v>
      </c>
      <c r="E1945" s="7">
        <f>SUMPRODUCT($C$5:$X$5,'batch tool'!$B1939:$W1939)+$Y$5</f>
        <v>-51.578889182477603</v>
      </c>
      <c r="F1945" s="7">
        <f>SUMPRODUCT($C$6:$X$6,'batch tool'!$B1939:$W1939)+$Y$6</f>
        <v>-47.741473633885199</v>
      </c>
      <c r="G1945" s="7">
        <f>SUMPRODUCT($C$7:$X$7,'batch tool'!$B1939:$W1939)+$Y$7</f>
        <v>-19.739516238059196</v>
      </c>
      <c r="H1945" s="7">
        <f t="shared" si="60"/>
        <v>-19.739516238059196</v>
      </c>
      <c r="I1945">
        <f t="shared" si="61"/>
        <v>6</v>
      </c>
      <c r="J1945" t="str" cm="1">
        <f t="array" ref="J1945">INDEX($A$2:$A$7,I1945)</f>
        <v>Segment 6- Self-Conscious Male</v>
      </c>
    </row>
    <row r="1946" spans="1:10" x14ac:dyDescent="0.25">
      <c r="A1946" s="1">
        <f>'batch tool'!A1940</f>
        <v>0</v>
      </c>
      <c r="B1946" s="7">
        <f>SUMPRODUCT($C$2:$X$2,'batch tool'!$B1940:$W1940)+$Y$2</f>
        <v>-49.12272534143483</v>
      </c>
      <c r="C1946" s="7">
        <f>SUMPRODUCT($C$3:$X$3,'batch tool'!$B1940:$W1940)+$Y$3</f>
        <v>-36.514029388465531</v>
      </c>
      <c r="D1946" s="7">
        <f>SUMPRODUCT($C$4:$X$4,'batch tool'!$B1940:$W1940)+$Y$4</f>
        <v>-44.639843068043824</v>
      </c>
      <c r="E1946" s="7">
        <f>SUMPRODUCT($C$5:$X$5,'batch tool'!$B1940:$W1940)+$Y$5</f>
        <v>-51.578889182477603</v>
      </c>
      <c r="F1946" s="7">
        <f>SUMPRODUCT($C$6:$X$6,'batch tool'!$B1940:$W1940)+$Y$6</f>
        <v>-47.741473633885199</v>
      </c>
      <c r="G1946" s="7">
        <f>SUMPRODUCT($C$7:$X$7,'batch tool'!$B1940:$W1940)+$Y$7</f>
        <v>-19.739516238059196</v>
      </c>
      <c r="H1946" s="7">
        <f t="shared" si="60"/>
        <v>-19.739516238059196</v>
      </c>
      <c r="I1946">
        <f t="shared" si="61"/>
        <v>6</v>
      </c>
      <c r="J1946" t="str" cm="1">
        <f t="array" ref="J1946">INDEX($A$2:$A$7,I1946)</f>
        <v>Segment 6- Self-Conscious Male</v>
      </c>
    </row>
    <row r="1947" spans="1:10" x14ac:dyDescent="0.25">
      <c r="A1947" s="1">
        <f>'batch tool'!A1941</f>
        <v>0</v>
      </c>
      <c r="B1947" s="7">
        <f>SUMPRODUCT($C$2:$X$2,'batch tool'!$B1941:$W1941)+$Y$2</f>
        <v>-49.12272534143483</v>
      </c>
      <c r="C1947" s="7">
        <f>SUMPRODUCT($C$3:$X$3,'batch tool'!$B1941:$W1941)+$Y$3</f>
        <v>-36.514029388465531</v>
      </c>
      <c r="D1947" s="7">
        <f>SUMPRODUCT($C$4:$X$4,'batch tool'!$B1941:$W1941)+$Y$4</f>
        <v>-44.639843068043824</v>
      </c>
      <c r="E1947" s="7">
        <f>SUMPRODUCT($C$5:$X$5,'batch tool'!$B1941:$W1941)+$Y$5</f>
        <v>-51.578889182477603</v>
      </c>
      <c r="F1947" s="7">
        <f>SUMPRODUCT($C$6:$X$6,'batch tool'!$B1941:$W1941)+$Y$6</f>
        <v>-47.741473633885199</v>
      </c>
      <c r="G1947" s="7">
        <f>SUMPRODUCT($C$7:$X$7,'batch tool'!$B1941:$W1941)+$Y$7</f>
        <v>-19.739516238059196</v>
      </c>
      <c r="H1947" s="7">
        <f t="shared" si="60"/>
        <v>-19.739516238059196</v>
      </c>
      <c r="I1947">
        <f t="shared" si="61"/>
        <v>6</v>
      </c>
      <c r="J1947" t="str" cm="1">
        <f t="array" ref="J1947">INDEX($A$2:$A$7,I1947)</f>
        <v>Segment 6- Self-Conscious Male</v>
      </c>
    </row>
    <row r="1948" spans="1:10" x14ac:dyDescent="0.25">
      <c r="A1948" s="1">
        <f>'batch tool'!A1942</f>
        <v>0</v>
      </c>
      <c r="B1948" s="7">
        <f>SUMPRODUCT($C$2:$X$2,'batch tool'!$B1942:$W1942)+$Y$2</f>
        <v>-49.12272534143483</v>
      </c>
      <c r="C1948" s="7">
        <f>SUMPRODUCT($C$3:$X$3,'batch tool'!$B1942:$W1942)+$Y$3</f>
        <v>-36.514029388465531</v>
      </c>
      <c r="D1948" s="7">
        <f>SUMPRODUCT($C$4:$X$4,'batch tool'!$B1942:$W1942)+$Y$4</f>
        <v>-44.639843068043824</v>
      </c>
      <c r="E1948" s="7">
        <f>SUMPRODUCT($C$5:$X$5,'batch tool'!$B1942:$W1942)+$Y$5</f>
        <v>-51.578889182477603</v>
      </c>
      <c r="F1948" s="7">
        <f>SUMPRODUCT($C$6:$X$6,'batch tool'!$B1942:$W1942)+$Y$6</f>
        <v>-47.741473633885199</v>
      </c>
      <c r="G1948" s="7">
        <f>SUMPRODUCT($C$7:$X$7,'batch tool'!$B1942:$W1942)+$Y$7</f>
        <v>-19.739516238059196</v>
      </c>
      <c r="H1948" s="7">
        <f t="shared" si="60"/>
        <v>-19.739516238059196</v>
      </c>
      <c r="I1948">
        <f t="shared" si="61"/>
        <v>6</v>
      </c>
      <c r="J1948" t="str" cm="1">
        <f t="array" ref="J1948">INDEX($A$2:$A$7,I1948)</f>
        <v>Segment 6- Self-Conscious Male</v>
      </c>
    </row>
    <row r="1949" spans="1:10" x14ac:dyDescent="0.25">
      <c r="A1949" s="1">
        <f>'batch tool'!A1943</f>
        <v>0</v>
      </c>
      <c r="B1949" s="7">
        <f>SUMPRODUCT($C$2:$X$2,'batch tool'!$B1943:$W1943)+$Y$2</f>
        <v>-49.12272534143483</v>
      </c>
      <c r="C1949" s="7">
        <f>SUMPRODUCT($C$3:$X$3,'batch tool'!$B1943:$W1943)+$Y$3</f>
        <v>-36.514029388465531</v>
      </c>
      <c r="D1949" s="7">
        <f>SUMPRODUCT($C$4:$X$4,'batch tool'!$B1943:$W1943)+$Y$4</f>
        <v>-44.639843068043824</v>
      </c>
      <c r="E1949" s="7">
        <f>SUMPRODUCT($C$5:$X$5,'batch tool'!$B1943:$W1943)+$Y$5</f>
        <v>-51.578889182477603</v>
      </c>
      <c r="F1949" s="7">
        <f>SUMPRODUCT($C$6:$X$6,'batch tool'!$B1943:$W1943)+$Y$6</f>
        <v>-47.741473633885199</v>
      </c>
      <c r="G1949" s="7">
        <f>SUMPRODUCT($C$7:$X$7,'batch tool'!$B1943:$W1943)+$Y$7</f>
        <v>-19.739516238059196</v>
      </c>
      <c r="H1949" s="7">
        <f t="shared" si="60"/>
        <v>-19.739516238059196</v>
      </c>
      <c r="I1949">
        <f t="shared" si="61"/>
        <v>6</v>
      </c>
      <c r="J1949" t="str" cm="1">
        <f t="array" ref="J1949">INDEX($A$2:$A$7,I1949)</f>
        <v>Segment 6- Self-Conscious Male</v>
      </c>
    </row>
    <row r="1950" spans="1:10" x14ac:dyDescent="0.25">
      <c r="A1950" s="1">
        <f>'batch tool'!A1944</f>
        <v>0</v>
      </c>
      <c r="B1950" s="7">
        <f>SUMPRODUCT($C$2:$X$2,'batch tool'!$B1944:$W1944)+$Y$2</f>
        <v>-49.12272534143483</v>
      </c>
      <c r="C1950" s="7">
        <f>SUMPRODUCT($C$3:$X$3,'batch tool'!$B1944:$W1944)+$Y$3</f>
        <v>-36.514029388465531</v>
      </c>
      <c r="D1950" s="7">
        <f>SUMPRODUCT($C$4:$X$4,'batch tool'!$B1944:$W1944)+$Y$4</f>
        <v>-44.639843068043824</v>
      </c>
      <c r="E1950" s="7">
        <f>SUMPRODUCT($C$5:$X$5,'batch tool'!$B1944:$W1944)+$Y$5</f>
        <v>-51.578889182477603</v>
      </c>
      <c r="F1950" s="7">
        <f>SUMPRODUCT($C$6:$X$6,'batch tool'!$B1944:$W1944)+$Y$6</f>
        <v>-47.741473633885199</v>
      </c>
      <c r="G1950" s="7">
        <f>SUMPRODUCT($C$7:$X$7,'batch tool'!$B1944:$W1944)+$Y$7</f>
        <v>-19.739516238059196</v>
      </c>
      <c r="H1950" s="7">
        <f t="shared" si="60"/>
        <v>-19.739516238059196</v>
      </c>
      <c r="I1950">
        <f t="shared" si="61"/>
        <v>6</v>
      </c>
      <c r="J1950" t="str" cm="1">
        <f t="array" ref="J1950">INDEX($A$2:$A$7,I1950)</f>
        <v>Segment 6- Self-Conscious Male</v>
      </c>
    </row>
    <row r="1951" spans="1:10" x14ac:dyDescent="0.25">
      <c r="A1951" s="1">
        <f>'batch tool'!A1945</f>
        <v>0</v>
      </c>
      <c r="B1951" s="7">
        <f>SUMPRODUCT($C$2:$X$2,'batch tool'!$B1945:$W1945)+$Y$2</f>
        <v>-49.12272534143483</v>
      </c>
      <c r="C1951" s="7">
        <f>SUMPRODUCT($C$3:$X$3,'batch tool'!$B1945:$W1945)+$Y$3</f>
        <v>-36.514029388465531</v>
      </c>
      <c r="D1951" s="7">
        <f>SUMPRODUCT($C$4:$X$4,'batch tool'!$B1945:$W1945)+$Y$4</f>
        <v>-44.639843068043824</v>
      </c>
      <c r="E1951" s="7">
        <f>SUMPRODUCT($C$5:$X$5,'batch tool'!$B1945:$W1945)+$Y$5</f>
        <v>-51.578889182477603</v>
      </c>
      <c r="F1951" s="7">
        <f>SUMPRODUCT($C$6:$X$6,'batch tool'!$B1945:$W1945)+$Y$6</f>
        <v>-47.741473633885199</v>
      </c>
      <c r="G1951" s="7">
        <f>SUMPRODUCT($C$7:$X$7,'batch tool'!$B1945:$W1945)+$Y$7</f>
        <v>-19.739516238059196</v>
      </c>
      <c r="H1951" s="7">
        <f t="shared" si="60"/>
        <v>-19.739516238059196</v>
      </c>
      <c r="I1951">
        <f t="shared" si="61"/>
        <v>6</v>
      </c>
      <c r="J1951" t="str" cm="1">
        <f t="array" ref="J1951">INDEX($A$2:$A$7,I1951)</f>
        <v>Segment 6- Self-Conscious Male</v>
      </c>
    </row>
    <row r="1952" spans="1:10" x14ac:dyDescent="0.25">
      <c r="A1952" s="1">
        <f>'batch tool'!A1946</f>
        <v>0</v>
      </c>
      <c r="B1952" s="7">
        <f>SUMPRODUCT($C$2:$X$2,'batch tool'!$B1946:$W1946)+$Y$2</f>
        <v>-49.12272534143483</v>
      </c>
      <c r="C1952" s="7">
        <f>SUMPRODUCT($C$3:$X$3,'batch tool'!$B1946:$W1946)+$Y$3</f>
        <v>-36.514029388465531</v>
      </c>
      <c r="D1952" s="7">
        <f>SUMPRODUCT($C$4:$X$4,'batch tool'!$B1946:$W1946)+$Y$4</f>
        <v>-44.639843068043824</v>
      </c>
      <c r="E1952" s="7">
        <f>SUMPRODUCT($C$5:$X$5,'batch tool'!$B1946:$W1946)+$Y$5</f>
        <v>-51.578889182477603</v>
      </c>
      <c r="F1952" s="7">
        <f>SUMPRODUCT($C$6:$X$6,'batch tool'!$B1946:$W1946)+$Y$6</f>
        <v>-47.741473633885199</v>
      </c>
      <c r="G1952" s="7">
        <f>SUMPRODUCT($C$7:$X$7,'batch tool'!$B1946:$W1946)+$Y$7</f>
        <v>-19.739516238059196</v>
      </c>
      <c r="H1952" s="7">
        <f t="shared" si="60"/>
        <v>-19.739516238059196</v>
      </c>
      <c r="I1952">
        <f t="shared" si="61"/>
        <v>6</v>
      </c>
      <c r="J1952" t="str" cm="1">
        <f t="array" ref="J1952">INDEX($A$2:$A$7,I1952)</f>
        <v>Segment 6- Self-Conscious Male</v>
      </c>
    </row>
    <row r="1953" spans="1:10" x14ac:dyDescent="0.25">
      <c r="A1953" s="1">
        <f>'batch tool'!A1947</f>
        <v>0</v>
      </c>
      <c r="B1953" s="7">
        <f>SUMPRODUCT($C$2:$X$2,'batch tool'!$B1947:$W1947)+$Y$2</f>
        <v>-49.12272534143483</v>
      </c>
      <c r="C1953" s="7">
        <f>SUMPRODUCT($C$3:$X$3,'batch tool'!$B1947:$W1947)+$Y$3</f>
        <v>-36.514029388465531</v>
      </c>
      <c r="D1953" s="7">
        <f>SUMPRODUCT($C$4:$X$4,'batch tool'!$B1947:$W1947)+$Y$4</f>
        <v>-44.639843068043824</v>
      </c>
      <c r="E1953" s="7">
        <f>SUMPRODUCT($C$5:$X$5,'batch tool'!$B1947:$W1947)+$Y$5</f>
        <v>-51.578889182477603</v>
      </c>
      <c r="F1953" s="7">
        <f>SUMPRODUCT($C$6:$X$6,'batch tool'!$B1947:$W1947)+$Y$6</f>
        <v>-47.741473633885199</v>
      </c>
      <c r="G1953" s="7">
        <f>SUMPRODUCT($C$7:$X$7,'batch tool'!$B1947:$W1947)+$Y$7</f>
        <v>-19.739516238059196</v>
      </c>
      <c r="H1953" s="7">
        <f t="shared" si="60"/>
        <v>-19.739516238059196</v>
      </c>
      <c r="I1953">
        <f t="shared" si="61"/>
        <v>6</v>
      </c>
      <c r="J1953" t="str" cm="1">
        <f t="array" ref="J1953">INDEX($A$2:$A$7,I1953)</f>
        <v>Segment 6- Self-Conscious Male</v>
      </c>
    </row>
    <row r="1954" spans="1:10" x14ac:dyDescent="0.25">
      <c r="A1954" s="1">
        <f>'batch tool'!A1948</f>
        <v>0</v>
      </c>
      <c r="B1954" s="7">
        <f>SUMPRODUCT($C$2:$X$2,'batch tool'!$B1948:$W1948)+$Y$2</f>
        <v>-49.12272534143483</v>
      </c>
      <c r="C1954" s="7">
        <f>SUMPRODUCT($C$3:$X$3,'batch tool'!$B1948:$W1948)+$Y$3</f>
        <v>-36.514029388465531</v>
      </c>
      <c r="D1954" s="7">
        <f>SUMPRODUCT($C$4:$X$4,'batch tool'!$B1948:$W1948)+$Y$4</f>
        <v>-44.639843068043824</v>
      </c>
      <c r="E1954" s="7">
        <f>SUMPRODUCT($C$5:$X$5,'batch tool'!$B1948:$W1948)+$Y$5</f>
        <v>-51.578889182477603</v>
      </c>
      <c r="F1954" s="7">
        <f>SUMPRODUCT($C$6:$X$6,'batch tool'!$B1948:$W1948)+$Y$6</f>
        <v>-47.741473633885199</v>
      </c>
      <c r="G1954" s="7">
        <f>SUMPRODUCT($C$7:$X$7,'batch tool'!$B1948:$W1948)+$Y$7</f>
        <v>-19.739516238059196</v>
      </c>
      <c r="H1954" s="7">
        <f t="shared" si="60"/>
        <v>-19.739516238059196</v>
      </c>
      <c r="I1954">
        <f t="shared" si="61"/>
        <v>6</v>
      </c>
      <c r="J1954" t="str" cm="1">
        <f t="array" ref="J1954">INDEX($A$2:$A$7,I1954)</f>
        <v>Segment 6- Self-Conscious Male</v>
      </c>
    </row>
    <row r="1955" spans="1:10" x14ac:dyDescent="0.25">
      <c r="A1955" s="1">
        <f>'batch tool'!A1949</f>
        <v>0</v>
      </c>
      <c r="B1955" s="7">
        <f>SUMPRODUCT($C$2:$X$2,'batch tool'!$B1949:$W1949)+$Y$2</f>
        <v>-49.12272534143483</v>
      </c>
      <c r="C1955" s="7">
        <f>SUMPRODUCT($C$3:$X$3,'batch tool'!$B1949:$W1949)+$Y$3</f>
        <v>-36.514029388465531</v>
      </c>
      <c r="D1955" s="7">
        <f>SUMPRODUCT($C$4:$X$4,'batch tool'!$B1949:$W1949)+$Y$4</f>
        <v>-44.639843068043824</v>
      </c>
      <c r="E1955" s="7">
        <f>SUMPRODUCT($C$5:$X$5,'batch tool'!$B1949:$W1949)+$Y$5</f>
        <v>-51.578889182477603</v>
      </c>
      <c r="F1955" s="7">
        <f>SUMPRODUCT($C$6:$X$6,'batch tool'!$B1949:$W1949)+$Y$6</f>
        <v>-47.741473633885199</v>
      </c>
      <c r="G1955" s="7">
        <f>SUMPRODUCT($C$7:$X$7,'batch tool'!$B1949:$W1949)+$Y$7</f>
        <v>-19.739516238059196</v>
      </c>
      <c r="H1955" s="7">
        <f t="shared" si="60"/>
        <v>-19.739516238059196</v>
      </c>
      <c r="I1955">
        <f t="shared" si="61"/>
        <v>6</v>
      </c>
      <c r="J1955" t="str" cm="1">
        <f t="array" ref="J1955">INDEX($A$2:$A$7,I1955)</f>
        <v>Segment 6- Self-Conscious Male</v>
      </c>
    </row>
    <row r="1956" spans="1:10" x14ac:dyDescent="0.25">
      <c r="A1956" s="1">
        <f>'batch tool'!A1950</f>
        <v>0</v>
      </c>
      <c r="B1956" s="7">
        <f>SUMPRODUCT($C$2:$X$2,'batch tool'!$B1950:$W1950)+$Y$2</f>
        <v>-49.12272534143483</v>
      </c>
      <c r="C1956" s="7">
        <f>SUMPRODUCT($C$3:$X$3,'batch tool'!$B1950:$W1950)+$Y$3</f>
        <v>-36.514029388465531</v>
      </c>
      <c r="D1956" s="7">
        <f>SUMPRODUCT($C$4:$X$4,'batch tool'!$B1950:$W1950)+$Y$4</f>
        <v>-44.639843068043824</v>
      </c>
      <c r="E1956" s="7">
        <f>SUMPRODUCT($C$5:$X$5,'batch tool'!$B1950:$W1950)+$Y$5</f>
        <v>-51.578889182477603</v>
      </c>
      <c r="F1956" s="7">
        <f>SUMPRODUCT($C$6:$X$6,'batch tool'!$B1950:$W1950)+$Y$6</f>
        <v>-47.741473633885199</v>
      </c>
      <c r="G1956" s="7">
        <f>SUMPRODUCT($C$7:$X$7,'batch tool'!$B1950:$W1950)+$Y$7</f>
        <v>-19.739516238059196</v>
      </c>
      <c r="H1956" s="7">
        <f t="shared" si="60"/>
        <v>-19.739516238059196</v>
      </c>
      <c r="I1956">
        <f t="shared" si="61"/>
        <v>6</v>
      </c>
      <c r="J1956" t="str" cm="1">
        <f t="array" ref="J1956">INDEX($A$2:$A$7,I1956)</f>
        <v>Segment 6- Self-Conscious Male</v>
      </c>
    </row>
    <row r="1957" spans="1:10" x14ac:dyDescent="0.25">
      <c r="A1957" s="1">
        <f>'batch tool'!A1951</f>
        <v>0</v>
      </c>
      <c r="B1957" s="7">
        <f>SUMPRODUCT($C$2:$X$2,'batch tool'!$B1951:$W1951)+$Y$2</f>
        <v>-49.12272534143483</v>
      </c>
      <c r="C1957" s="7">
        <f>SUMPRODUCT($C$3:$X$3,'batch tool'!$B1951:$W1951)+$Y$3</f>
        <v>-36.514029388465531</v>
      </c>
      <c r="D1957" s="7">
        <f>SUMPRODUCT($C$4:$X$4,'batch tool'!$B1951:$W1951)+$Y$4</f>
        <v>-44.639843068043824</v>
      </c>
      <c r="E1957" s="7">
        <f>SUMPRODUCT($C$5:$X$5,'batch tool'!$B1951:$W1951)+$Y$5</f>
        <v>-51.578889182477603</v>
      </c>
      <c r="F1957" s="7">
        <f>SUMPRODUCT($C$6:$X$6,'batch tool'!$B1951:$W1951)+$Y$6</f>
        <v>-47.741473633885199</v>
      </c>
      <c r="G1957" s="7">
        <f>SUMPRODUCT($C$7:$X$7,'batch tool'!$B1951:$W1951)+$Y$7</f>
        <v>-19.739516238059196</v>
      </c>
      <c r="H1957" s="7">
        <f t="shared" si="60"/>
        <v>-19.739516238059196</v>
      </c>
      <c r="I1957">
        <f t="shared" si="61"/>
        <v>6</v>
      </c>
      <c r="J1957" t="str" cm="1">
        <f t="array" ref="J1957">INDEX($A$2:$A$7,I1957)</f>
        <v>Segment 6- Self-Conscious Male</v>
      </c>
    </row>
    <row r="1958" spans="1:10" x14ac:dyDescent="0.25">
      <c r="A1958" s="1">
        <f>'batch tool'!A1952</f>
        <v>0</v>
      </c>
      <c r="B1958" s="7">
        <f>SUMPRODUCT($C$2:$X$2,'batch tool'!$B1952:$W1952)+$Y$2</f>
        <v>-49.12272534143483</v>
      </c>
      <c r="C1958" s="7">
        <f>SUMPRODUCT($C$3:$X$3,'batch tool'!$B1952:$W1952)+$Y$3</f>
        <v>-36.514029388465531</v>
      </c>
      <c r="D1958" s="7">
        <f>SUMPRODUCT($C$4:$X$4,'batch tool'!$B1952:$W1952)+$Y$4</f>
        <v>-44.639843068043824</v>
      </c>
      <c r="E1958" s="7">
        <f>SUMPRODUCT($C$5:$X$5,'batch tool'!$B1952:$W1952)+$Y$5</f>
        <v>-51.578889182477603</v>
      </c>
      <c r="F1958" s="7">
        <f>SUMPRODUCT($C$6:$X$6,'batch tool'!$B1952:$W1952)+$Y$6</f>
        <v>-47.741473633885199</v>
      </c>
      <c r="G1958" s="7">
        <f>SUMPRODUCT($C$7:$X$7,'batch tool'!$B1952:$W1952)+$Y$7</f>
        <v>-19.739516238059196</v>
      </c>
      <c r="H1958" s="7">
        <f t="shared" si="60"/>
        <v>-19.739516238059196</v>
      </c>
      <c r="I1958">
        <f t="shared" si="61"/>
        <v>6</v>
      </c>
      <c r="J1958" t="str" cm="1">
        <f t="array" ref="J1958">INDEX($A$2:$A$7,I1958)</f>
        <v>Segment 6- Self-Conscious Male</v>
      </c>
    </row>
    <row r="1959" spans="1:10" x14ac:dyDescent="0.25">
      <c r="A1959" s="1">
        <f>'batch tool'!A1953</f>
        <v>0</v>
      </c>
      <c r="B1959" s="7">
        <f>SUMPRODUCT($C$2:$X$2,'batch tool'!$B1953:$W1953)+$Y$2</f>
        <v>-49.12272534143483</v>
      </c>
      <c r="C1959" s="7">
        <f>SUMPRODUCT($C$3:$X$3,'batch tool'!$B1953:$W1953)+$Y$3</f>
        <v>-36.514029388465531</v>
      </c>
      <c r="D1959" s="7">
        <f>SUMPRODUCT($C$4:$X$4,'batch tool'!$B1953:$W1953)+$Y$4</f>
        <v>-44.639843068043824</v>
      </c>
      <c r="E1959" s="7">
        <f>SUMPRODUCT($C$5:$X$5,'batch tool'!$B1953:$W1953)+$Y$5</f>
        <v>-51.578889182477603</v>
      </c>
      <c r="F1959" s="7">
        <f>SUMPRODUCT($C$6:$X$6,'batch tool'!$B1953:$W1953)+$Y$6</f>
        <v>-47.741473633885199</v>
      </c>
      <c r="G1959" s="7">
        <f>SUMPRODUCT($C$7:$X$7,'batch tool'!$B1953:$W1953)+$Y$7</f>
        <v>-19.739516238059196</v>
      </c>
      <c r="H1959" s="7">
        <f t="shared" si="60"/>
        <v>-19.739516238059196</v>
      </c>
      <c r="I1959">
        <f t="shared" si="61"/>
        <v>6</v>
      </c>
      <c r="J1959" t="str" cm="1">
        <f t="array" ref="J1959">INDEX($A$2:$A$7,I1959)</f>
        <v>Segment 6- Self-Conscious Male</v>
      </c>
    </row>
    <row r="1960" spans="1:10" x14ac:dyDescent="0.25">
      <c r="A1960" s="1">
        <f>'batch tool'!A1954</f>
        <v>0</v>
      </c>
      <c r="B1960" s="7">
        <f>SUMPRODUCT($C$2:$X$2,'batch tool'!$B1954:$W1954)+$Y$2</f>
        <v>-49.12272534143483</v>
      </c>
      <c r="C1960" s="7">
        <f>SUMPRODUCT($C$3:$X$3,'batch tool'!$B1954:$W1954)+$Y$3</f>
        <v>-36.514029388465531</v>
      </c>
      <c r="D1960" s="7">
        <f>SUMPRODUCT($C$4:$X$4,'batch tool'!$B1954:$W1954)+$Y$4</f>
        <v>-44.639843068043824</v>
      </c>
      <c r="E1960" s="7">
        <f>SUMPRODUCT($C$5:$X$5,'batch tool'!$B1954:$W1954)+$Y$5</f>
        <v>-51.578889182477603</v>
      </c>
      <c r="F1960" s="7">
        <f>SUMPRODUCT($C$6:$X$6,'batch tool'!$B1954:$W1954)+$Y$6</f>
        <v>-47.741473633885199</v>
      </c>
      <c r="G1960" s="7">
        <f>SUMPRODUCT($C$7:$X$7,'batch tool'!$B1954:$W1954)+$Y$7</f>
        <v>-19.739516238059196</v>
      </c>
      <c r="H1960" s="7">
        <f t="shared" si="60"/>
        <v>-19.739516238059196</v>
      </c>
      <c r="I1960">
        <f t="shared" si="61"/>
        <v>6</v>
      </c>
      <c r="J1960" t="str" cm="1">
        <f t="array" ref="J1960">INDEX($A$2:$A$7,I1960)</f>
        <v>Segment 6- Self-Conscious Male</v>
      </c>
    </row>
    <row r="1961" spans="1:10" x14ac:dyDescent="0.25">
      <c r="A1961" s="1">
        <f>'batch tool'!A1955</f>
        <v>0</v>
      </c>
      <c r="B1961" s="7">
        <f>SUMPRODUCT($C$2:$X$2,'batch tool'!$B1955:$W1955)+$Y$2</f>
        <v>-49.12272534143483</v>
      </c>
      <c r="C1961" s="7">
        <f>SUMPRODUCT($C$3:$X$3,'batch tool'!$B1955:$W1955)+$Y$3</f>
        <v>-36.514029388465531</v>
      </c>
      <c r="D1961" s="7">
        <f>SUMPRODUCT($C$4:$X$4,'batch tool'!$B1955:$W1955)+$Y$4</f>
        <v>-44.639843068043824</v>
      </c>
      <c r="E1961" s="7">
        <f>SUMPRODUCT($C$5:$X$5,'batch tool'!$B1955:$W1955)+$Y$5</f>
        <v>-51.578889182477603</v>
      </c>
      <c r="F1961" s="7">
        <f>SUMPRODUCT($C$6:$X$6,'batch tool'!$B1955:$W1955)+$Y$6</f>
        <v>-47.741473633885199</v>
      </c>
      <c r="G1961" s="7">
        <f>SUMPRODUCT($C$7:$X$7,'batch tool'!$B1955:$W1955)+$Y$7</f>
        <v>-19.739516238059196</v>
      </c>
      <c r="H1961" s="7">
        <f t="shared" si="60"/>
        <v>-19.739516238059196</v>
      </c>
      <c r="I1961">
        <f t="shared" si="61"/>
        <v>6</v>
      </c>
      <c r="J1961" t="str" cm="1">
        <f t="array" ref="J1961">INDEX($A$2:$A$7,I1961)</f>
        <v>Segment 6- Self-Conscious Male</v>
      </c>
    </row>
    <row r="1962" spans="1:10" x14ac:dyDescent="0.25">
      <c r="A1962" s="1">
        <f>'batch tool'!A1956</f>
        <v>0</v>
      </c>
      <c r="B1962" s="7">
        <f>SUMPRODUCT($C$2:$X$2,'batch tool'!$B1956:$W1956)+$Y$2</f>
        <v>-49.12272534143483</v>
      </c>
      <c r="C1962" s="7">
        <f>SUMPRODUCT($C$3:$X$3,'batch tool'!$B1956:$W1956)+$Y$3</f>
        <v>-36.514029388465531</v>
      </c>
      <c r="D1962" s="7">
        <f>SUMPRODUCT($C$4:$X$4,'batch tool'!$B1956:$W1956)+$Y$4</f>
        <v>-44.639843068043824</v>
      </c>
      <c r="E1962" s="7">
        <f>SUMPRODUCT($C$5:$X$5,'batch tool'!$B1956:$W1956)+$Y$5</f>
        <v>-51.578889182477603</v>
      </c>
      <c r="F1962" s="7">
        <f>SUMPRODUCT($C$6:$X$6,'batch tool'!$B1956:$W1956)+$Y$6</f>
        <v>-47.741473633885199</v>
      </c>
      <c r="G1962" s="7">
        <f>SUMPRODUCT($C$7:$X$7,'batch tool'!$B1956:$W1956)+$Y$7</f>
        <v>-19.739516238059196</v>
      </c>
      <c r="H1962" s="7">
        <f t="shared" si="60"/>
        <v>-19.739516238059196</v>
      </c>
      <c r="I1962">
        <f t="shared" si="61"/>
        <v>6</v>
      </c>
      <c r="J1962" t="str" cm="1">
        <f t="array" ref="J1962">INDEX($A$2:$A$7,I1962)</f>
        <v>Segment 6- Self-Conscious Male</v>
      </c>
    </row>
    <row r="1963" spans="1:10" x14ac:dyDescent="0.25">
      <c r="A1963" s="1">
        <f>'batch tool'!A1957</f>
        <v>0</v>
      </c>
      <c r="B1963" s="7">
        <f>SUMPRODUCT($C$2:$X$2,'batch tool'!$B1957:$W1957)+$Y$2</f>
        <v>-49.12272534143483</v>
      </c>
      <c r="C1963" s="7">
        <f>SUMPRODUCT($C$3:$X$3,'batch tool'!$B1957:$W1957)+$Y$3</f>
        <v>-36.514029388465531</v>
      </c>
      <c r="D1963" s="7">
        <f>SUMPRODUCT($C$4:$X$4,'batch tool'!$B1957:$W1957)+$Y$4</f>
        <v>-44.639843068043824</v>
      </c>
      <c r="E1963" s="7">
        <f>SUMPRODUCT($C$5:$X$5,'batch tool'!$B1957:$W1957)+$Y$5</f>
        <v>-51.578889182477603</v>
      </c>
      <c r="F1963" s="7">
        <f>SUMPRODUCT($C$6:$X$6,'batch tool'!$B1957:$W1957)+$Y$6</f>
        <v>-47.741473633885199</v>
      </c>
      <c r="G1963" s="7">
        <f>SUMPRODUCT($C$7:$X$7,'batch tool'!$B1957:$W1957)+$Y$7</f>
        <v>-19.739516238059196</v>
      </c>
      <c r="H1963" s="7">
        <f t="shared" si="60"/>
        <v>-19.739516238059196</v>
      </c>
      <c r="I1963">
        <f t="shared" si="61"/>
        <v>6</v>
      </c>
      <c r="J1963" t="str" cm="1">
        <f t="array" ref="J1963">INDEX($A$2:$A$7,I1963)</f>
        <v>Segment 6- Self-Conscious Male</v>
      </c>
    </row>
    <row r="1964" spans="1:10" x14ac:dyDescent="0.25">
      <c r="A1964" s="1">
        <f>'batch tool'!A1958</f>
        <v>0</v>
      </c>
      <c r="B1964" s="7">
        <f>SUMPRODUCT($C$2:$X$2,'batch tool'!$B1958:$W1958)+$Y$2</f>
        <v>-49.12272534143483</v>
      </c>
      <c r="C1964" s="7">
        <f>SUMPRODUCT($C$3:$X$3,'batch tool'!$B1958:$W1958)+$Y$3</f>
        <v>-36.514029388465531</v>
      </c>
      <c r="D1964" s="7">
        <f>SUMPRODUCT($C$4:$X$4,'batch tool'!$B1958:$W1958)+$Y$4</f>
        <v>-44.639843068043824</v>
      </c>
      <c r="E1964" s="7">
        <f>SUMPRODUCT($C$5:$X$5,'batch tool'!$B1958:$W1958)+$Y$5</f>
        <v>-51.578889182477603</v>
      </c>
      <c r="F1964" s="7">
        <f>SUMPRODUCT($C$6:$X$6,'batch tool'!$B1958:$W1958)+$Y$6</f>
        <v>-47.741473633885199</v>
      </c>
      <c r="G1964" s="7">
        <f>SUMPRODUCT($C$7:$X$7,'batch tool'!$B1958:$W1958)+$Y$7</f>
        <v>-19.739516238059196</v>
      </c>
      <c r="H1964" s="7">
        <f t="shared" si="60"/>
        <v>-19.739516238059196</v>
      </c>
      <c r="I1964">
        <f t="shared" si="61"/>
        <v>6</v>
      </c>
      <c r="J1964" t="str" cm="1">
        <f t="array" ref="J1964">INDEX($A$2:$A$7,I1964)</f>
        <v>Segment 6- Self-Conscious Male</v>
      </c>
    </row>
    <row r="1965" spans="1:10" x14ac:dyDescent="0.25">
      <c r="A1965" s="1">
        <f>'batch tool'!A1959</f>
        <v>0</v>
      </c>
      <c r="B1965" s="7">
        <f>SUMPRODUCT($C$2:$X$2,'batch tool'!$B1959:$W1959)+$Y$2</f>
        <v>-49.12272534143483</v>
      </c>
      <c r="C1965" s="7">
        <f>SUMPRODUCT($C$3:$X$3,'batch tool'!$B1959:$W1959)+$Y$3</f>
        <v>-36.514029388465531</v>
      </c>
      <c r="D1965" s="7">
        <f>SUMPRODUCT($C$4:$X$4,'batch tool'!$B1959:$W1959)+$Y$4</f>
        <v>-44.639843068043824</v>
      </c>
      <c r="E1965" s="7">
        <f>SUMPRODUCT($C$5:$X$5,'batch tool'!$B1959:$W1959)+$Y$5</f>
        <v>-51.578889182477603</v>
      </c>
      <c r="F1965" s="7">
        <f>SUMPRODUCT($C$6:$X$6,'batch tool'!$B1959:$W1959)+$Y$6</f>
        <v>-47.741473633885199</v>
      </c>
      <c r="G1965" s="7">
        <f>SUMPRODUCT($C$7:$X$7,'batch tool'!$B1959:$W1959)+$Y$7</f>
        <v>-19.739516238059196</v>
      </c>
      <c r="H1965" s="7">
        <f t="shared" si="60"/>
        <v>-19.739516238059196</v>
      </c>
      <c r="I1965">
        <f t="shared" si="61"/>
        <v>6</v>
      </c>
      <c r="J1965" t="str" cm="1">
        <f t="array" ref="J1965">INDEX($A$2:$A$7,I1965)</f>
        <v>Segment 6- Self-Conscious Male</v>
      </c>
    </row>
    <row r="1966" spans="1:10" x14ac:dyDescent="0.25">
      <c r="A1966" s="1">
        <f>'batch tool'!A1960</f>
        <v>0</v>
      </c>
      <c r="B1966" s="7">
        <f>SUMPRODUCT($C$2:$X$2,'batch tool'!$B1960:$W1960)+$Y$2</f>
        <v>-49.12272534143483</v>
      </c>
      <c r="C1966" s="7">
        <f>SUMPRODUCT($C$3:$X$3,'batch tool'!$B1960:$W1960)+$Y$3</f>
        <v>-36.514029388465531</v>
      </c>
      <c r="D1966" s="7">
        <f>SUMPRODUCT($C$4:$X$4,'batch tool'!$B1960:$W1960)+$Y$4</f>
        <v>-44.639843068043824</v>
      </c>
      <c r="E1966" s="7">
        <f>SUMPRODUCT($C$5:$X$5,'batch tool'!$B1960:$W1960)+$Y$5</f>
        <v>-51.578889182477603</v>
      </c>
      <c r="F1966" s="7">
        <f>SUMPRODUCT($C$6:$X$6,'batch tool'!$B1960:$W1960)+$Y$6</f>
        <v>-47.741473633885199</v>
      </c>
      <c r="G1966" s="7">
        <f>SUMPRODUCT($C$7:$X$7,'batch tool'!$B1960:$W1960)+$Y$7</f>
        <v>-19.739516238059196</v>
      </c>
      <c r="H1966" s="7">
        <f t="shared" si="60"/>
        <v>-19.739516238059196</v>
      </c>
      <c r="I1966">
        <f t="shared" si="61"/>
        <v>6</v>
      </c>
      <c r="J1966" t="str" cm="1">
        <f t="array" ref="J1966">INDEX($A$2:$A$7,I1966)</f>
        <v>Segment 6- Self-Conscious Male</v>
      </c>
    </row>
    <row r="1967" spans="1:10" x14ac:dyDescent="0.25">
      <c r="A1967" s="1">
        <f>'batch tool'!A1961</f>
        <v>0</v>
      </c>
      <c r="B1967" s="7">
        <f>SUMPRODUCT($C$2:$X$2,'batch tool'!$B1961:$W1961)+$Y$2</f>
        <v>-49.12272534143483</v>
      </c>
      <c r="C1967" s="7">
        <f>SUMPRODUCT($C$3:$X$3,'batch tool'!$B1961:$W1961)+$Y$3</f>
        <v>-36.514029388465531</v>
      </c>
      <c r="D1967" s="7">
        <f>SUMPRODUCT($C$4:$X$4,'batch tool'!$B1961:$W1961)+$Y$4</f>
        <v>-44.639843068043824</v>
      </c>
      <c r="E1967" s="7">
        <f>SUMPRODUCT($C$5:$X$5,'batch tool'!$B1961:$W1961)+$Y$5</f>
        <v>-51.578889182477603</v>
      </c>
      <c r="F1967" s="7">
        <f>SUMPRODUCT($C$6:$X$6,'batch tool'!$B1961:$W1961)+$Y$6</f>
        <v>-47.741473633885199</v>
      </c>
      <c r="G1967" s="7">
        <f>SUMPRODUCT($C$7:$X$7,'batch tool'!$B1961:$W1961)+$Y$7</f>
        <v>-19.739516238059196</v>
      </c>
      <c r="H1967" s="7">
        <f t="shared" si="60"/>
        <v>-19.739516238059196</v>
      </c>
      <c r="I1967">
        <f t="shared" si="61"/>
        <v>6</v>
      </c>
      <c r="J1967" t="str" cm="1">
        <f t="array" ref="J1967">INDEX($A$2:$A$7,I1967)</f>
        <v>Segment 6- Self-Conscious Male</v>
      </c>
    </row>
    <row r="1968" spans="1:10" x14ac:dyDescent="0.25">
      <c r="A1968" s="1">
        <f>'batch tool'!A1962</f>
        <v>0</v>
      </c>
      <c r="B1968" s="7">
        <f>SUMPRODUCT($C$2:$X$2,'batch tool'!$B1962:$W1962)+$Y$2</f>
        <v>-49.12272534143483</v>
      </c>
      <c r="C1968" s="7">
        <f>SUMPRODUCT($C$3:$X$3,'batch tool'!$B1962:$W1962)+$Y$3</f>
        <v>-36.514029388465531</v>
      </c>
      <c r="D1968" s="7">
        <f>SUMPRODUCT($C$4:$X$4,'batch tool'!$B1962:$W1962)+$Y$4</f>
        <v>-44.639843068043824</v>
      </c>
      <c r="E1968" s="7">
        <f>SUMPRODUCT($C$5:$X$5,'batch tool'!$B1962:$W1962)+$Y$5</f>
        <v>-51.578889182477603</v>
      </c>
      <c r="F1968" s="7">
        <f>SUMPRODUCT($C$6:$X$6,'batch tool'!$B1962:$W1962)+$Y$6</f>
        <v>-47.741473633885199</v>
      </c>
      <c r="G1968" s="7">
        <f>SUMPRODUCT($C$7:$X$7,'batch tool'!$B1962:$W1962)+$Y$7</f>
        <v>-19.739516238059196</v>
      </c>
      <c r="H1968" s="7">
        <f t="shared" si="60"/>
        <v>-19.739516238059196</v>
      </c>
      <c r="I1968">
        <f t="shared" si="61"/>
        <v>6</v>
      </c>
      <c r="J1968" t="str" cm="1">
        <f t="array" ref="J1968">INDEX($A$2:$A$7,I1968)</f>
        <v>Segment 6- Self-Conscious Male</v>
      </c>
    </row>
    <row r="1969" spans="1:10" x14ac:dyDescent="0.25">
      <c r="A1969" s="1">
        <f>'batch tool'!A1963</f>
        <v>0</v>
      </c>
      <c r="B1969" s="7">
        <f>SUMPRODUCT($C$2:$X$2,'batch tool'!$B1963:$W1963)+$Y$2</f>
        <v>-49.12272534143483</v>
      </c>
      <c r="C1969" s="7">
        <f>SUMPRODUCT($C$3:$X$3,'batch tool'!$B1963:$W1963)+$Y$3</f>
        <v>-36.514029388465531</v>
      </c>
      <c r="D1969" s="7">
        <f>SUMPRODUCT($C$4:$X$4,'batch tool'!$B1963:$W1963)+$Y$4</f>
        <v>-44.639843068043824</v>
      </c>
      <c r="E1969" s="7">
        <f>SUMPRODUCT($C$5:$X$5,'batch tool'!$B1963:$W1963)+$Y$5</f>
        <v>-51.578889182477603</v>
      </c>
      <c r="F1969" s="7">
        <f>SUMPRODUCT($C$6:$X$6,'batch tool'!$B1963:$W1963)+$Y$6</f>
        <v>-47.741473633885199</v>
      </c>
      <c r="G1969" s="7">
        <f>SUMPRODUCT($C$7:$X$7,'batch tool'!$B1963:$W1963)+$Y$7</f>
        <v>-19.739516238059196</v>
      </c>
      <c r="H1969" s="7">
        <f t="shared" si="60"/>
        <v>-19.739516238059196</v>
      </c>
      <c r="I1969">
        <f t="shared" si="61"/>
        <v>6</v>
      </c>
      <c r="J1969" t="str" cm="1">
        <f t="array" ref="J1969">INDEX($A$2:$A$7,I1969)</f>
        <v>Segment 6- Self-Conscious Male</v>
      </c>
    </row>
    <row r="1970" spans="1:10" x14ac:dyDescent="0.25">
      <c r="A1970" s="1">
        <f>'batch tool'!A1964</f>
        <v>0</v>
      </c>
      <c r="B1970" s="7">
        <f>SUMPRODUCT($C$2:$X$2,'batch tool'!$B1964:$W1964)+$Y$2</f>
        <v>-49.12272534143483</v>
      </c>
      <c r="C1970" s="7">
        <f>SUMPRODUCT($C$3:$X$3,'batch tool'!$B1964:$W1964)+$Y$3</f>
        <v>-36.514029388465531</v>
      </c>
      <c r="D1970" s="7">
        <f>SUMPRODUCT($C$4:$X$4,'batch tool'!$B1964:$W1964)+$Y$4</f>
        <v>-44.639843068043824</v>
      </c>
      <c r="E1970" s="7">
        <f>SUMPRODUCT($C$5:$X$5,'batch tool'!$B1964:$W1964)+$Y$5</f>
        <v>-51.578889182477603</v>
      </c>
      <c r="F1970" s="7">
        <f>SUMPRODUCT($C$6:$X$6,'batch tool'!$B1964:$W1964)+$Y$6</f>
        <v>-47.741473633885199</v>
      </c>
      <c r="G1970" s="7">
        <f>SUMPRODUCT($C$7:$X$7,'batch tool'!$B1964:$W1964)+$Y$7</f>
        <v>-19.739516238059196</v>
      </c>
      <c r="H1970" s="7">
        <f t="shared" si="60"/>
        <v>-19.739516238059196</v>
      </c>
      <c r="I1970">
        <f t="shared" si="61"/>
        <v>6</v>
      </c>
      <c r="J1970" t="str" cm="1">
        <f t="array" ref="J1970">INDEX($A$2:$A$7,I1970)</f>
        <v>Segment 6- Self-Conscious Male</v>
      </c>
    </row>
    <row r="1971" spans="1:10" x14ac:dyDescent="0.25">
      <c r="A1971" s="1">
        <f>'batch tool'!A1965</f>
        <v>0</v>
      </c>
      <c r="B1971" s="7">
        <f>SUMPRODUCT($C$2:$X$2,'batch tool'!$B1965:$W1965)+$Y$2</f>
        <v>-49.12272534143483</v>
      </c>
      <c r="C1971" s="7">
        <f>SUMPRODUCT($C$3:$X$3,'batch tool'!$B1965:$W1965)+$Y$3</f>
        <v>-36.514029388465531</v>
      </c>
      <c r="D1971" s="7">
        <f>SUMPRODUCT($C$4:$X$4,'batch tool'!$B1965:$W1965)+$Y$4</f>
        <v>-44.639843068043824</v>
      </c>
      <c r="E1971" s="7">
        <f>SUMPRODUCT($C$5:$X$5,'batch tool'!$B1965:$W1965)+$Y$5</f>
        <v>-51.578889182477603</v>
      </c>
      <c r="F1971" s="7">
        <f>SUMPRODUCT($C$6:$X$6,'batch tool'!$B1965:$W1965)+$Y$6</f>
        <v>-47.741473633885199</v>
      </c>
      <c r="G1971" s="7">
        <f>SUMPRODUCT($C$7:$X$7,'batch tool'!$B1965:$W1965)+$Y$7</f>
        <v>-19.739516238059196</v>
      </c>
      <c r="H1971" s="7">
        <f t="shared" si="60"/>
        <v>-19.739516238059196</v>
      </c>
      <c r="I1971">
        <f t="shared" si="61"/>
        <v>6</v>
      </c>
      <c r="J1971" t="str" cm="1">
        <f t="array" ref="J1971">INDEX($A$2:$A$7,I1971)</f>
        <v>Segment 6- Self-Conscious Male</v>
      </c>
    </row>
    <row r="1972" spans="1:10" x14ac:dyDescent="0.25">
      <c r="A1972" s="1">
        <f>'batch tool'!A1966</f>
        <v>0</v>
      </c>
      <c r="B1972" s="7">
        <f>SUMPRODUCT($C$2:$X$2,'batch tool'!$B1966:$W1966)+$Y$2</f>
        <v>-49.12272534143483</v>
      </c>
      <c r="C1972" s="7">
        <f>SUMPRODUCT($C$3:$X$3,'batch tool'!$B1966:$W1966)+$Y$3</f>
        <v>-36.514029388465531</v>
      </c>
      <c r="D1972" s="7">
        <f>SUMPRODUCT($C$4:$X$4,'batch tool'!$B1966:$W1966)+$Y$4</f>
        <v>-44.639843068043824</v>
      </c>
      <c r="E1972" s="7">
        <f>SUMPRODUCT($C$5:$X$5,'batch tool'!$B1966:$W1966)+$Y$5</f>
        <v>-51.578889182477603</v>
      </c>
      <c r="F1972" s="7">
        <f>SUMPRODUCT($C$6:$X$6,'batch tool'!$B1966:$W1966)+$Y$6</f>
        <v>-47.741473633885199</v>
      </c>
      <c r="G1972" s="7">
        <f>SUMPRODUCT($C$7:$X$7,'batch tool'!$B1966:$W1966)+$Y$7</f>
        <v>-19.739516238059196</v>
      </c>
      <c r="H1972" s="7">
        <f t="shared" si="60"/>
        <v>-19.739516238059196</v>
      </c>
      <c r="I1972">
        <f t="shared" si="61"/>
        <v>6</v>
      </c>
      <c r="J1972" t="str" cm="1">
        <f t="array" ref="J1972">INDEX($A$2:$A$7,I1972)</f>
        <v>Segment 6- Self-Conscious Male</v>
      </c>
    </row>
    <row r="1973" spans="1:10" x14ac:dyDescent="0.25">
      <c r="A1973" s="1">
        <f>'batch tool'!A1967</f>
        <v>0</v>
      </c>
      <c r="B1973" s="7">
        <f>SUMPRODUCT($C$2:$X$2,'batch tool'!$B1967:$W1967)+$Y$2</f>
        <v>-49.12272534143483</v>
      </c>
      <c r="C1973" s="7">
        <f>SUMPRODUCT($C$3:$X$3,'batch tool'!$B1967:$W1967)+$Y$3</f>
        <v>-36.514029388465531</v>
      </c>
      <c r="D1973" s="7">
        <f>SUMPRODUCT($C$4:$X$4,'batch tool'!$B1967:$W1967)+$Y$4</f>
        <v>-44.639843068043824</v>
      </c>
      <c r="E1973" s="7">
        <f>SUMPRODUCT($C$5:$X$5,'batch tool'!$B1967:$W1967)+$Y$5</f>
        <v>-51.578889182477603</v>
      </c>
      <c r="F1973" s="7">
        <f>SUMPRODUCT($C$6:$X$6,'batch tool'!$B1967:$W1967)+$Y$6</f>
        <v>-47.741473633885199</v>
      </c>
      <c r="G1973" s="7">
        <f>SUMPRODUCT($C$7:$X$7,'batch tool'!$B1967:$W1967)+$Y$7</f>
        <v>-19.739516238059196</v>
      </c>
      <c r="H1973" s="7">
        <f t="shared" si="60"/>
        <v>-19.739516238059196</v>
      </c>
      <c r="I1973">
        <f t="shared" si="61"/>
        <v>6</v>
      </c>
      <c r="J1973" t="str" cm="1">
        <f t="array" ref="J1973">INDEX($A$2:$A$7,I1973)</f>
        <v>Segment 6- Self-Conscious Male</v>
      </c>
    </row>
    <row r="1974" spans="1:10" x14ac:dyDescent="0.25">
      <c r="A1974" s="1">
        <f>'batch tool'!A1968</f>
        <v>0</v>
      </c>
      <c r="B1974" s="7">
        <f>SUMPRODUCT($C$2:$X$2,'batch tool'!$B1968:$W1968)+$Y$2</f>
        <v>-49.12272534143483</v>
      </c>
      <c r="C1974" s="7">
        <f>SUMPRODUCT($C$3:$X$3,'batch tool'!$B1968:$W1968)+$Y$3</f>
        <v>-36.514029388465531</v>
      </c>
      <c r="D1974" s="7">
        <f>SUMPRODUCT($C$4:$X$4,'batch tool'!$B1968:$W1968)+$Y$4</f>
        <v>-44.639843068043824</v>
      </c>
      <c r="E1974" s="7">
        <f>SUMPRODUCT($C$5:$X$5,'batch tool'!$B1968:$W1968)+$Y$5</f>
        <v>-51.578889182477603</v>
      </c>
      <c r="F1974" s="7">
        <f>SUMPRODUCT($C$6:$X$6,'batch tool'!$B1968:$W1968)+$Y$6</f>
        <v>-47.741473633885199</v>
      </c>
      <c r="G1974" s="7">
        <f>SUMPRODUCT($C$7:$X$7,'batch tool'!$B1968:$W1968)+$Y$7</f>
        <v>-19.739516238059196</v>
      </c>
      <c r="H1974" s="7">
        <f t="shared" si="60"/>
        <v>-19.739516238059196</v>
      </c>
      <c r="I1974">
        <f t="shared" si="61"/>
        <v>6</v>
      </c>
      <c r="J1974" t="str" cm="1">
        <f t="array" ref="J1974">INDEX($A$2:$A$7,I1974)</f>
        <v>Segment 6- Self-Conscious Male</v>
      </c>
    </row>
    <row r="1975" spans="1:10" x14ac:dyDescent="0.25">
      <c r="A1975" s="1">
        <f>'batch tool'!A1969</f>
        <v>0</v>
      </c>
      <c r="B1975" s="7">
        <f>SUMPRODUCT($C$2:$X$2,'batch tool'!$B1969:$W1969)+$Y$2</f>
        <v>-49.12272534143483</v>
      </c>
      <c r="C1975" s="7">
        <f>SUMPRODUCT($C$3:$X$3,'batch tool'!$B1969:$W1969)+$Y$3</f>
        <v>-36.514029388465531</v>
      </c>
      <c r="D1975" s="7">
        <f>SUMPRODUCT($C$4:$X$4,'batch tool'!$B1969:$W1969)+$Y$4</f>
        <v>-44.639843068043824</v>
      </c>
      <c r="E1975" s="7">
        <f>SUMPRODUCT($C$5:$X$5,'batch tool'!$B1969:$W1969)+$Y$5</f>
        <v>-51.578889182477603</v>
      </c>
      <c r="F1975" s="7">
        <f>SUMPRODUCT($C$6:$X$6,'batch tool'!$B1969:$W1969)+$Y$6</f>
        <v>-47.741473633885199</v>
      </c>
      <c r="G1975" s="7">
        <f>SUMPRODUCT($C$7:$X$7,'batch tool'!$B1969:$W1969)+$Y$7</f>
        <v>-19.739516238059196</v>
      </c>
      <c r="H1975" s="7">
        <f t="shared" si="60"/>
        <v>-19.739516238059196</v>
      </c>
      <c r="I1975">
        <f t="shared" si="61"/>
        <v>6</v>
      </c>
      <c r="J1975" t="str" cm="1">
        <f t="array" ref="J1975">INDEX($A$2:$A$7,I1975)</f>
        <v>Segment 6- Self-Conscious Male</v>
      </c>
    </row>
    <row r="1976" spans="1:10" x14ac:dyDescent="0.25">
      <c r="A1976" s="1">
        <f>'batch tool'!A1970</f>
        <v>0</v>
      </c>
      <c r="B1976" s="7">
        <f>SUMPRODUCT($C$2:$X$2,'batch tool'!$B1970:$W1970)+$Y$2</f>
        <v>-49.12272534143483</v>
      </c>
      <c r="C1976" s="7">
        <f>SUMPRODUCT($C$3:$X$3,'batch tool'!$B1970:$W1970)+$Y$3</f>
        <v>-36.514029388465531</v>
      </c>
      <c r="D1976" s="7">
        <f>SUMPRODUCT($C$4:$X$4,'batch tool'!$B1970:$W1970)+$Y$4</f>
        <v>-44.639843068043824</v>
      </c>
      <c r="E1976" s="7">
        <f>SUMPRODUCT($C$5:$X$5,'batch tool'!$B1970:$W1970)+$Y$5</f>
        <v>-51.578889182477603</v>
      </c>
      <c r="F1976" s="7">
        <f>SUMPRODUCT($C$6:$X$6,'batch tool'!$B1970:$W1970)+$Y$6</f>
        <v>-47.741473633885199</v>
      </c>
      <c r="G1976" s="7">
        <f>SUMPRODUCT($C$7:$X$7,'batch tool'!$B1970:$W1970)+$Y$7</f>
        <v>-19.739516238059196</v>
      </c>
      <c r="H1976" s="7">
        <f t="shared" si="60"/>
        <v>-19.739516238059196</v>
      </c>
      <c r="I1976">
        <f t="shared" si="61"/>
        <v>6</v>
      </c>
      <c r="J1976" t="str" cm="1">
        <f t="array" ref="J1976">INDEX($A$2:$A$7,I1976)</f>
        <v>Segment 6- Self-Conscious Male</v>
      </c>
    </row>
    <row r="1977" spans="1:10" x14ac:dyDescent="0.25">
      <c r="A1977" s="1">
        <f>'batch tool'!A1971</f>
        <v>0</v>
      </c>
      <c r="B1977" s="7">
        <f>SUMPRODUCT($C$2:$X$2,'batch tool'!$B1971:$W1971)+$Y$2</f>
        <v>-49.12272534143483</v>
      </c>
      <c r="C1977" s="7">
        <f>SUMPRODUCT($C$3:$X$3,'batch tool'!$B1971:$W1971)+$Y$3</f>
        <v>-36.514029388465531</v>
      </c>
      <c r="D1977" s="7">
        <f>SUMPRODUCT($C$4:$X$4,'batch tool'!$B1971:$W1971)+$Y$4</f>
        <v>-44.639843068043824</v>
      </c>
      <c r="E1977" s="7">
        <f>SUMPRODUCT($C$5:$X$5,'batch tool'!$B1971:$W1971)+$Y$5</f>
        <v>-51.578889182477603</v>
      </c>
      <c r="F1977" s="7">
        <f>SUMPRODUCT($C$6:$X$6,'batch tool'!$B1971:$W1971)+$Y$6</f>
        <v>-47.741473633885199</v>
      </c>
      <c r="G1977" s="7">
        <f>SUMPRODUCT($C$7:$X$7,'batch tool'!$B1971:$W1971)+$Y$7</f>
        <v>-19.739516238059196</v>
      </c>
      <c r="H1977" s="7">
        <f t="shared" si="60"/>
        <v>-19.739516238059196</v>
      </c>
      <c r="I1977">
        <f t="shared" si="61"/>
        <v>6</v>
      </c>
      <c r="J1977" t="str" cm="1">
        <f t="array" ref="J1977">INDEX($A$2:$A$7,I1977)</f>
        <v>Segment 6- Self-Conscious Male</v>
      </c>
    </row>
    <row r="1978" spans="1:10" x14ac:dyDescent="0.25">
      <c r="A1978" s="1">
        <f>'batch tool'!A1972</f>
        <v>0</v>
      </c>
      <c r="B1978" s="7">
        <f>SUMPRODUCT($C$2:$X$2,'batch tool'!$B1972:$W1972)+$Y$2</f>
        <v>-49.12272534143483</v>
      </c>
      <c r="C1978" s="7">
        <f>SUMPRODUCT($C$3:$X$3,'batch tool'!$B1972:$W1972)+$Y$3</f>
        <v>-36.514029388465531</v>
      </c>
      <c r="D1978" s="7">
        <f>SUMPRODUCT($C$4:$X$4,'batch tool'!$B1972:$W1972)+$Y$4</f>
        <v>-44.639843068043824</v>
      </c>
      <c r="E1978" s="7">
        <f>SUMPRODUCT($C$5:$X$5,'batch tool'!$B1972:$W1972)+$Y$5</f>
        <v>-51.578889182477603</v>
      </c>
      <c r="F1978" s="7">
        <f>SUMPRODUCT($C$6:$X$6,'batch tool'!$B1972:$W1972)+$Y$6</f>
        <v>-47.741473633885199</v>
      </c>
      <c r="G1978" s="7">
        <f>SUMPRODUCT($C$7:$X$7,'batch tool'!$B1972:$W1972)+$Y$7</f>
        <v>-19.739516238059196</v>
      </c>
      <c r="H1978" s="7">
        <f t="shared" si="60"/>
        <v>-19.739516238059196</v>
      </c>
      <c r="I1978">
        <f t="shared" si="61"/>
        <v>6</v>
      </c>
      <c r="J1978" t="str" cm="1">
        <f t="array" ref="J1978">INDEX($A$2:$A$7,I1978)</f>
        <v>Segment 6- Self-Conscious Male</v>
      </c>
    </row>
    <row r="1979" spans="1:10" x14ac:dyDescent="0.25">
      <c r="A1979" s="1">
        <f>'batch tool'!A1973</f>
        <v>0</v>
      </c>
      <c r="B1979" s="7">
        <f>SUMPRODUCT($C$2:$X$2,'batch tool'!$B1973:$W1973)+$Y$2</f>
        <v>-49.12272534143483</v>
      </c>
      <c r="C1979" s="7">
        <f>SUMPRODUCT($C$3:$X$3,'batch tool'!$B1973:$W1973)+$Y$3</f>
        <v>-36.514029388465531</v>
      </c>
      <c r="D1979" s="7">
        <f>SUMPRODUCT($C$4:$X$4,'batch tool'!$B1973:$W1973)+$Y$4</f>
        <v>-44.639843068043824</v>
      </c>
      <c r="E1979" s="7">
        <f>SUMPRODUCT($C$5:$X$5,'batch tool'!$B1973:$W1973)+$Y$5</f>
        <v>-51.578889182477603</v>
      </c>
      <c r="F1979" s="7">
        <f>SUMPRODUCT($C$6:$X$6,'batch tool'!$B1973:$W1973)+$Y$6</f>
        <v>-47.741473633885199</v>
      </c>
      <c r="G1979" s="7">
        <f>SUMPRODUCT($C$7:$X$7,'batch tool'!$B1973:$W1973)+$Y$7</f>
        <v>-19.739516238059196</v>
      </c>
      <c r="H1979" s="7">
        <f t="shared" si="60"/>
        <v>-19.739516238059196</v>
      </c>
      <c r="I1979">
        <f t="shared" si="61"/>
        <v>6</v>
      </c>
      <c r="J1979" t="str" cm="1">
        <f t="array" ref="J1979">INDEX($A$2:$A$7,I1979)</f>
        <v>Segment 6- Self-Conscious Male</v>
      </c>
    </row>
    <row r="1980" spans="1:10" x14ac:dyDescent="0.25">
      <c r="A1980" s="1">
        <f>'batch tool'!A1974</f>
        <v>0</v>
      </c>
      <c r="B1980" s="7">
        <f>SUMPRODUCT($C$2:$X$2,'batch tool'!$B1974:$W1974)+$Y$2</f>
        <v>-49.12272534143483</v>
      </c>
      <c r="C1980" s="7">
        <f>SUMPRODUCT($C$3:$X$3,'batch tool'!$B1974:$W1974)+$Y$3</f>
        <v>-36.514029388465531</v>
      </c>
      <c r="D1980" s="7">
        <f>SUMPRODUCT($C$4:$X$4,'batch tool'!$B1974:$W1974)+$Y$4</f>
        <v>-44.639843068043824</v>
      </c>
      <c r="E1980" s="7">
        <f>SUMPRODUCT($C$5:$X$5,'batch tool'!$B1974:$W1974)+$Y$5</f>
        <v>-51.578889182477603</v>
      </c>
      <c r="F1980" s="7">
        <f>SUMPRODUCT($C$6:$X$6,'batch tool'!$B1974:$W1974)+$Y$6</f>
        <v>-47.741473633885199</v>
      </c>
      <c r="G1980" s="7">
        <f>SUMPRODUCT($C$7:$X$7,'batch tool'!$B1974:$W1974)+$Y$7</f>
        <v>-19.739516238059196</v>
      </c>
      <c r="H1980" s="7">
        <f t="shared" si="60"/>
        <v>-19.739516238059196</v>
      </c>
      <c r="I1980">
        <f t="shared" si="61"/>
        <v>6</v>
      </c>
      <c r="J1980" t="str" cm="1">
        <f t="array" ref="J1980">INDEX($A$2:$A$7,I1980)</f>
        <v>Segment 6- Self-Conscious Male</v>
      </c>
    </row>
    <row r="1981" spans="1:10" x14ac:dyDescent="0.25">
      <c r="A1981" s="1">
        <f>'batch tool'!A1975</f>
        <v>0</v>
      </c>
      <c r="B1981" s="7">
        <f>SUMPRODUCT($C$2:$X$2,'batch tool'!$B1975:$W1975)+$Y$2</f>
        <v>-49.12272534143483</v>
      </c>
      <c r="C1981" s="7">
        <f>SUMPRODUCT($C$3:$X$3,'batch tool'!$B1975:$W1975)+$Y$3</f>
        <v>-36.514029388465531</v>
      </c>
      <c r="D1981" s="7">
        <f>SUMPRODUCT($C$4:$X$4,'batch tool'!$B1975:$W1975)+$Y$4</f>
        <v>-44.639843068043824</v>
      </c>
      <c r="E1981" s="7">
        <f>SUMPRODUCT($C$5:$X$5,'batch tool'!$B1975:$W1975)+$Y$5</f>
        <v>-51.578889182477603</v>
      </c>
      <c r="F1981" s="7">
        <f>SUMPRODUCT($C$6:$X$6,'batch tool'!$B1975:$W1975)+$Y$6</f>
        <v>-47.741473633885199</v>
      </c>
      <c r="G1981" s="7">
        <f>SUMPRODUCT($C$7:$X$7,'batch tool'!$B1975:$W1975)+$Y$7</f>
        <v>-19.739516238059196</v>
      </c>
      <c r="H1981" s="7">
        <f t="shared" si="60"/>
        <v>-19.739516238059196</v>
      </c>
      <c r="I1981">
        <f t="shared" si="61"/>
        <v>6</v>
      </c>
      <c r="J1981" t="str" cm="1">
        <f t="array" ref="J1981">INDEX($A$2:$A$7,I1981)</f>
        <v>Segment 6- Self-Conscious Male</v>
      </c>
    </row>
    <row r="1982" spans="1:10" x14ac:dyDescent="0.25">
      <c r="A1982" s="1">
        <f>'batch tool'!A1976</f>
        <v>0</v>
      </c>
      <c r="B1982" s="7">
        <f>SUMPRODUCT($C$2:$X$2,'batch tool'!$B1976:$W1976)+$Y$2</f>
        <v>-49.12272534143483</v>
      </c>
      <c r="C1982" s="7">
        <f>SUMPRODUCT($C$3:$X$3,'batch tool'!$B1976:$W1976)+$Y$3</f>
        <v>-36.514029388465531</v>
      </c>
      <c r="D1982" s="7">
        <f>SUMPRODUCT($C$4:$X$4,'batch tool'!$B1976:$W1976)+$Y$4</f>
        <v>-44.639843068043824</v>
      </c>
      <c r="E1982" s="7">
        <f>SUMPRODUCT($C$5:$X$5,'batch tool'!$B1976:$W1976)+$Y$5</f>
        <v>-51.578889182477603</v>
      </c>
      <c r="F1982" s="7">
        <f>SUMPRODUCT($C$6:$X$6,'batch tool'!$B1976:$W1976)+$Y$6</f>
        <v>-47.741473633885199</v>
      </c>
      <c r="G1982" s="7">
        <f>SUMPRODUCT($C$7:$X$7,'batch tool'!$B1976:$W1976)+$Y$7</f>
        <v>-19.739516238059196</v>
      </c>
      <c r="H1982" s="7">
        <f t="shared" si="60"/>
        <v>-19.739516238059196</v>
      </c>
      <c r="I1982">
        <f t="shared" si="61"/>
        <v>6</v>
      </c>
      <c r="J1982" t="str" cm="1">
        <f t="array" ref="J1982">INDEX($A$2:$A$7,I1982)</f>
        <v>Segment 6- Self-Conscious Male</v>
      </c>
    </row>
    <row r="1983" spans="1:10" x14ac:dyDescent="0.25">
      <c r="A1983" s="1">
        <f>'batch tool'!A1977</f>
        <v>0</v>
      </c>
      <c r="B1983" s="7">
        <f>SUMPRODUCT($C$2:$X$2,'batch tool'!$B1977:$W1977)+$Y$2</f>
        <v>-49.12272534143483</v>
      </c>
      <c r="C1983" s="7">
        <f>SUMPRODUCT($C$3:$X$3,'batch tool'!$B1977:$W1977)+$Y$3</f>
        <v>-36.514029388465531</v>
      </c>
      <c r="D1983" s="7">
        <f>SUMPRODUCT($C$4:$X$4,'batch tool'!$B1977:$W1977)+$Y$4</f>
        <v>-44.639843068043824</v>
      </c>
      <c r="E1983" s="7">
        <f>SUMPRODUCT($C$5:$X$5,'batch tool'!$B1977:$W1977)+$Y$5</f>
        <v>-51.578889182477603</v>
      </c>
      <c r="F1983" s="7">
        <f>SUMPRODUCT($C$6:$X$6,'batch tool'!$B1977:$W1977)+$Y$6</f>
        <v>-47.741473633885199</v>
      </c>
      <c r="G1983" s="7">
        <f>SUMPRODUCT($C$7:$X$7,'batch tool'!$B1977:$W1977)+$Y$7</f>
        <v>-19.739516238059196</v>
      </c>
      <c r="H1983" s="7">
        <f t="shared" si="60"/>
        <v>-19.739516238059196</v>
      </c>
      <c r="I1983">
        <f t="shared" si="61"/>
        <v>6</v>
      </c>
      <c r="J1983" t="str" cm="1">
        <f t="array" ref="J1983">INDEX($A$2:$A$7,I1983)</f>
        <v>Segment 6- Self-Conscious Male</v>
      </c>
    </row>
    <row r="1984" spans="1:10" x14ac:dyDescent="0.25">
      <c r="A1984" s="1">
        <f>'batch tool'!A1978</f>
        <v>0</v>
      </c>
      <c r="B1984" s="7">
        <f>SUMPRODUCT($C$2:$X$2,'batch tool'!$B1978:$W1978)+$Y$2</f>
        <v>-49.12272534143483</v>
      </c>
      <c r="C1984" s="7">
        <f>SUMPRODUCT($C$3:$X$3,'batch tool'!$B1978:$W1978)+$Y$3</f>
        <v>-36.514029388465531</v>
      </c>
      <c r="D1984" s="7">
        <f>SUMPRODUCT($C$4:$X$4,'batch tool'!$B1978:$W1978)+$Y$4</f>
        <v>-44.639843068043824</v>
      </c>
      <c r="E1984" s="7">
        <f>SUMPRODUCT($C$5:$X$5,'batch tool'!$B1978:$W1978)+$Y$5</f>
        <v>-51.578889182477603</v>
      </c>
      <c r="F1984" s="7">
        <f>SUMPRODUCT($C$6:$X$6,'batch tool'!$B1978:$W1978)+$Y$6</f>
        <v>-47.741473633885199</v>
      </c>
      <c r="G1984" s="7">
        <f>SUMPRODUCT($C$7:$X$7,'batch tool'!$B1978:$W1978)+$Y$7</f>
        <v>-19.739516238059196</v>
      </c>
      <c r="H1984" s="7">
        <f t="shared" si="60"/>
        <v>-19.739516238059196</v>
      </c>
      <c r="I1984">
        <f t="shared" si="61"/>
        <v>6</v>
      </c>
      <c r="J1984" t="str" cm="1">
        <f t="array" ref="J1984">INDEX($A$2:$A$7,I1984)</f>
        <v>Segment 6- Self-Conscious Male</v>
      </c>
    </row>
    <row r="1985" spans="1:10" x14ac:dyDescent="0.25">
      <c r="A1985" s="1">
        <f>'batch tool'!A1979</f>
        <v>0</v>
      </c>
      <c r="B1985" s="7">
        <f>SUMPRODUCT($C$2:$X$2,'batch tool'!$B1979:$W1979)+$Y$2</f>
        <v>-49.12272534143483</v>
      </c>
      <c r="C1985" s="7">
        <f>SUMPRODUCT($C$3:$X$3,'batch tool'!$B1979:$W1979)+$Y$3</f>
        <v>-36.514029388465531</v>
      </c>
      <c r="D1985" s="7">
        <f>SUMPRODUCT($C$4:$X$4,'batch tool'!$B1979:$W1979)+$Y$4</f>
        <v>-44.639843068043824</v>
      </c>
      <c r="E1985" s="7">
        <f>SUMPRODUCT($C$5:$X$5,'batch tool'!$B1979:$W1979)+$Y$5</f>
        <v>-51.578889182477603</v>
      </c>
      <c r="F1985" s="7">
        <f>SUMPRODUCT($C$6:$X$6,'batch tool'!$B1979:$W1979)+$Y$6</f>
        <v>-47.741473633885199</v>
      </c>
      <c r="G1985" s="7">
        <f>SUMPRODUCT($C$7:$X$7,'batch tool'!$B1979:$W1979)+$Y$7</f>
        <v>-19.739516238059196</v>
      </c>
      <c r="H1985" s="7">
        <f t="shared" si="60"/>
        <v>-19.739516238059196</v>
      </c>
      <c r="I1985">
        <f t="shared" si="61"/>
        <v>6</v>
      </c>
      <c r="J1985" t="str" cm="1">
        <f t="array" ref="J1985">INDEX($A$2:$A$7,I1985)</f>
        <v>Segment 6- Self-Conscious Male</v>
      </c>
    </row>
    <row r="1986" spans="1:10" x14ac:dyDescent="0.25">
      <c r="A1986" s="1">
        <f>'batch tool'!A1980</f>
        <v>0</v>
      </c>
      <c r="B1986" s="7">
        <f>SUMPRODUCT($C$2:$X$2,'batch tool'!$B1980:$W1980)+$Y$2</f>
        <v>-49.12272534143483</v>
      </c>
      <c r="C1986" s="7">
        <f>SUMPRODUCT($C$3:$X$3,'batch tool'!$B1980:$W1980)+$Y$3</f>
        <v>-36.514029388465531</v>
      </c>
      <c r="D1986" s="7">
        <f>SUMPRODUCT($C$4:$X$4,'batch tool'!$B1980:$W1980)+$Y$4</f>
        <v>-44.639843068043824</v>
      </c>
      <c r="E1986" s="7">
        <f>SUMPRODUCT($C$5:$X$5,'batch tool'!$B1980:$W1980)+$Y$5</f>
        <v>-51.578889182477603</v>
      </c>
      <c r="F1986" s="7">
        <f>SUMPRODUCT($C$6:$X$6,'batch tool'!$B1980:$W1980)+$Y$6</f>
        <v>-47.741473633885199</v>
      </c>
      <c r="G1986" s="7">
        <f>SUMPRODUCT($C$7:$X$7,'batch tool'!$B1980:$W1980)+$Y$7</f>
        <v>-19.739516238059196</v>
      </c>
      <c r="H1986" s="7">
        <f t="shared" si="60"/>
        <v>-19.739516238059196</v>
      </c>
      <c r="I1986">
        <f t="shared" si="61"/>
        <v>6</v>
      </c>
      <c r="J1986" t="str" cm="1">
        <f t="array" ref="J1986">INDEX($A$2:$A$7,I1986)</f>
        <v>Segment 6- Self-Conscious Male</v>
      </c>
    </row>
    <row r="1987" spans="1:10" x14ac:dyDescent="0.25">
      <c r="A1987" s="1">
        <f>'batch tool'!A1981</f>
        <v>0</v>
      </c>
      <c r="B1987" s="7">
        <f>SUMPRODUCT($C$2:$X$2,'batch tool'!$B1981:$W1981)+$Y$2</f>
        <v>-49.12272534143483</v>
      </c>
      <c r="C1987" s="7">
        <f>SUMPRODUCT($C$3:$X$3,'batch tool'!$B1981:$W1981)+$Y$3</f>
        <v>-36.514029388465531</v>
      </c>
      <c r="D1987" s="7">
        <f>SUMPRODUCT($C$4:$X$4,'batch tool'!$B1981:$W1981)+$Y$4</f>
        <v>-44.639843068043824</v>
      </c>
      <c r="E1987" s="7">
        <f>SUMPRODUCT($C$5:$X$5,'batch tool'!$B1981:$W1981)+$Y$5</f>
        <v>-51.578889182477603</v>
      </c>
      <c r="F1987" s="7">
        <f>SUMPRODUCT($C$6:$X$6,'batch tool'!$B1981:$W1981)+$Y$6</f>
        <v>-47.741473633885199</v>
      </c>
      <c r="G1987" s="7">
        <f>SUMPRODUCT($C$7:$X$7,'batch tool'!$B1981:$W1981)+$Y$7</f>
        <v>-19.739516238059196</v>
      </c>
      <c r="H1987" s="7">
        <f t="shared" si="60"/>
        <v>-19.739516238059196</v>
      </c>
      <c r="I1987">
        <f t="shared" si="61"/>
        <v>6</v>
      </c>
      <c r="J1987" t="str" cm="1">
        <f t="array" ref="J1987">INDEX($A$2:$A$7,I1987)</f>
        <v>Segment 6- Self-Conscious Male</v>
      </c>
    </row>
    <row r="1988" spans="1:10" x14ac:dyDescent="0.25">
      <c r="A1988" s="1">
        <f>'batch tool'!A1982</f>
        <v>0</v>
      </c>
      <c r="B1988" s="7">
        <f>SUMPRODUCT($C$2:$X$2,'batch tool'!$B1982:$W1982)+$Y$2</f>
        <v>-49.12272534143483</v>
      </c>
      <c r="C1988" s="7">
        <f>SUMPRODUCT($C$3:$X$3,'batch tool'!$B1982:$W1982)+$Y$3</f>
        <v>-36.514029388465531</v>
      </c>
      <c r="D1988" s="7">
        <f>SUMPRODUCT($C$4:$X$4,'batch tool'!$B1982:$W1982)+$Y$4</f>
        <v>-44.639843068043824</v>
      </c>
      <c r="E1988" s="7">
        <f>SUMPRODUCT($C$5:$X$5,'batch tool'!$B1982:$W1982)+$Y$5</f>
        <v>-51.578889182477603</v>
      </c>
      <c r="F1988" s="7">
        <f>SUMPRODUCT($C$6:$X$6,'batch tool'!$B1982:$W1982)+$Y$6</f>
        <v>-47.741473633885199</v>
      </c>
      <c r="G1988" s="7">
        <f>SUMPRODUCT($C$7:$X$7,'batch tool'!$B1982:$W1982)+$Y$7</f>
        <v>-19.739516238059196</v>
      </c>
      <c r="H1988" s="7">
        <f t="shared" si="60"/>
        <v>-19.739516238059196</v>
      </c>
      <c r="I1988">
        <f t="shared" si="61"/>
        <v>6</v>
      </c>
      <c r="J1988" t="str" cm="1">
        <f t="array" ref="J1988">INDEX($A$2:$A$7,I1988)</f>
        <v>Segment 6- Self-Conscious Male</v>
      </c>
    </row>
    <row r="1989" spans="1:10" x14ac:dyDescent="0.25">
      <c r="A1989" s="1">
        <f>'batch tool'!A1983</f>
        <v>0</v>
      </c>
      <c r="B1989" s="7">
        <f>SUMPRODUCT($C$2:$X$2,'batch tool'!$B1983:$W1983)+$Y$2</f>
        <v>-49.12272534143483</v>
      </c>
      <c r="C1989" s="7">
        <f>SUMPRODUCT($C$3:$X$3,'batch tool'!$B1983:$W1983)+$Y$3</f>
        <v>-36.514029388465531</v>
      </c>
      <c r="D1989" s="7">
        <f>SUMPRODUCT($C$4:$X$4,'batch tool'!$B1983:$W1983)+$Y$4</f>
        <v>-44.639843068043824</v>
      </c>
      <c r="E1989" s="7">
        <f>SUMPRODUCT($C$5:$X$5,'batch tool'!$B1983:$W1983)+$Y$5</f>
        <v>-51.578889182477603</v>
      </c>
      <c r="F1989" s="7">
        <f>SUMPRODUCT($C$6:$X$6,'batch tool'!$B1983:$W1983)+$Y$6</f>
        <v>-47.741473633885199</v>
      </c>
      <c r="G1989" s="7">
        <f>SUMPRODUCT($C$7:$X$7,'batch tool'!$B1983:$W1983)+$Y$7</f>
        <v>-19.739516238059196</v>
      </c>
      <c r="H1989" s="7">
        <f t="shared" si="60"/>
        <v>-19.739516238059196</v>
      </c>
      <c r="I1989">
        <f t="shared" si="61"/>
        <v>6</v>
      </c>
      <c r="J1989" t="str" cm="1">
        <f t="array" ref="J1989">INDEX($A$2:$A$7,I1989)</f>
        <v>Segment 6- Self-Conscious Male</v>
      </c>
    </row>
    <row r="1990" spans="1:10" x14ac:dyDescent="0.25">
      <c r="A1990" s="1">
        <f>'batch tool'!A1984</f>
        <v>0</v>
      </c>
      <c r="B1990" s="7">
        <f>SUMPRODUCT($C$2:$X$2,'batch tool'!$B1984:$W1984)+$Y$2</f>
        <v>-49.12272534143483</v>
      </c>
      <c r="C1990" s="7">
        <f>SUMPRODUCT($C$3:$X$3,'batch tool'!$B1984:$W1984)+$Y$3</f>
        <v>-36.514029388465531</v>
      </c>
      <c r="D1990" s="7">
        <f>SUMPRODUCT($C$4:$X$4,'batch tool'!$B1984:$W1984)+$Y$4</f>
        <v>-44.639843068043824</v>
      </c>
      <c r="E1990" s="7">
        <f>SUMPRODUCT($C$5:$X$5,'batch tool'!$B1984:$W1984)+$Y$5</f>
        <v>-51.578889182477603</v>
      </c>
      <c r="F1990" s="7">
        <f>SUMPRODUCT($C$6:$X$6,'batch tool'!$B1984:$W1984)+$Y$6</f>
        <v>-47.741473633885199</v>
      </c>
      <c r="G1990" s="7">
        <f>SUMPRODUCT($C$7:$X$7,'batch tool'!$B1984:$W1984)+$Y$7</f>
        <v>-19.739516238059196</v>
      </c>
      <c r="H1990" s="7">
        <f t="shared" si="60"/>
        <v>-19.739516238059196</v>
      </c>
      <c r="I1990">
        <f t="shared" si="61"/>
        <v>6</v>
      </c>
      <c r="J1990" t="str" cm="1">
        <f t="array" ref="J1990">INDEX($A$2:$A$7,I1990)</f>
        <v>Segment 6- Self-Conscious Male</v>
      </c>
    </row>
    <row r="1991" spans="1:10" x14ac:dyDescent="0.25">
      <c r="A1991" s="1">
        <f>'batch tool'!A1985</f>
        <v>0</v>
      </c>
      <c r="B1991" s="7">
        <f>SUMPRODUCT($C$2:$X$2,'batch tool'!$B1985:$W1985)+$Y$2</f>
        <v>-49.12272534143483</v>
      </c>
      <c r="C1991" s="7">
        <f>SUMPRODUCT($C$3:$X$3,'batch tool'!$B1985:$W1985)+$Y$3</f>
        <v>-36.514029388465531</v>
      </c>
      <c r="D1991" s="7">
        <f>SUMPRODUCT($C$4:$X$4,'batch tool'!$B1985:$W1985)+$Y$4</f>
        <v>-44.639843068043824</v>
      </c>
      <c r="E1991" s="7">
        <f>SUMPRODUCT($C$5:$X$5,'batch tool'!$B1985:$W1985)+$Y$5</f>
        <v>-51.578889182477603</v>
      </c>
      <c r="F1991" s="7">
        <f>SUMPRODUCT($C$6:$X$6,'batch tool'!$B1985:$W1985)+$Y$6</f>
        <v>-47.741473633885199</v>
      </c>
      <c r="G1991" s="7">
        <f>SUMPRODUCT($C$7:$X$7,'batch tool'!$B1985:$W1985)+$Y$7</f>
        <v>-19.739516238059196</v>
      </c>
      <c r="H1991" s="7">
        <f t="shared" si="60"/>
        <v>-19.739516238059196</v>
      </c>
      <c r="I1991">
        <f t="shared" si="61"/>
        <v>6</v>
      </c>
      <c r="J1991" t="str" cm="1">
        <f t="array" ref="J1991">INDEX($A$2:$A$7,I1991)</f>
        <v>Segment 6- Self-Conscious Male</v>
      </c>
    </row>
    <row r="1992" spans="1:10" x14ac:dyDescent="0.25">
      <c r="A1992" s="1">
        <f>'batch tool'!A1986</f>
        <v>0</v>
      </c>
      <c r="B1992" s="7">
        <f>SUMPRODUCT($C$2:$X$2,'batch tool'!$B1986:$W1986)+$Y$2</f>
        <v>-49.12272534143483</v>
      </c>
      <c r="C1992" s="7">
        <f>SUMPRODUCT($C$3:$X$3,'batch tool'!$B1986:$W1986)+$Y$3</f>
        <v>-36.514029388465531</v>
      </c>
      <c r="D1992" s="7">
        <f>SUMPRODUCT($C$4:$X$4,'batch tool'!$B1986:$W1986)+$Y$4</f>
        <v>-44.639843068043824</v>
      </c>
      <c r="E1992" s="7">
        <f>SUMPRODUCT($C$5:$X$5,'batch tool'!$B1986:$W1986)+$Y$5</f>
        <v>-51.578889182477603</v>
      </c>
      <c r="F1992" s="7">
        <f>SUMPRODUCT($C$6:$X$6,'batch tool'!$B1986:$W1986)+$Y$6</f>
        <v>-47.741473633885199</v>
      </c>
      <c r="G1992" s="7">
        <f>SUMPRODUCT($C$7:$X$7,'batch tool'!$B1986:$W1986)+$Y$7</f>
        <v>-19.739516238059196</v>
      </c>
      <c r="H1992" s="7">
        <f t="shared" si="60"/>
        <v>-19.739516238059196</v>
      </c>
      <c r="I1992">
        <f t="shared" si="61"/>
        <v>6</v>
      </c>
      <c r="J1992" t="str" cm="1">
        <f t="array" ref="J1992">INDEX($A$2:$A$7,I1992)</f>
        <v>Segment 6- Self-Conscious Male</v>
      </c>
    </row>
    <row r="1993" spans="1:10" x14ac:dyDescent="0.25">
      <c r="A1993" s="1">
        <f>'batch tool'!A1987</f>
        <v>0</v>
      </c>
      <c r="B1993" s="7">
        <f>SUMPRODUCT($C$2:$X$2,'batch tool'!$B1987:$W1987)+$Y$2</f>
        <v>-49.12272534143483</v>
      </c>
      <c r="C1993" s="7">
        <f>SUMPRODUCT($C$3:$X$3,'batch tool'!$B1987:$W1987)+$Y$3</f>
        <v>-36.514029388465531</v>
      </c>
      <c r="D1993" s="7">
        <f>SUMPRODUCT($C$4:$X$4,'batch tool'!$B1987:$W1987)+$Y$4</f>
        <v>-44.639843068043824</v>
      </c>
      <c r="E1993" s="7">
        <f>SUMPRODUCT($C$5:$X$5,'batch tool'!$B1987:$W1987)+$Y$5</f>
        <v>-51.578889182477603</v>
      </c>
      <c r="F1993" s="7">
        <f>SUMPRODUCT($C$6:$X$6,'batch tool'!$B1987:$W1987)+$Y$6</f>
        <v>-47.741473633885199</v>
      </c>
      <c r="G1993" s="7">
        <f>SUMPRODUCT($C$7:$X$7,'batch tool'!$B1987:$W1987)+$Y$7</f>
        <v>-19.739516238059196</v>
      </c>
      <c r="H1993" s="7">
        <f t="shared" si="60"/>
        <v>-19.739516238059196</v>
      </c>
      <c r="I1993">
        <f t="shared" si="61"/>
        <v>6</v>
      </c>
      <c r="J1993" t="str" cm="1">
        <f t="array" ref="J1993">INDEX($A$2:$A$7,I1993)</f>
        <v>Segment 6- Self-Conscious Male</v>
      </c>
    </row>
    <row r="1994" spans="1:10" x14ac:dyDescent="0.25">
      <c r="A1994" s="1">
        <f>'batch tool'!A1988</f>
        <v>0</v>
      </c>
      <c r="B1994" s="7">
        <f>SUMPRODUCT($C$2:$X$2,'batch tool'!$B1988:$W1988)+$Y$2</f>
        <v>-49.12272534143483</v>
      </c>
      <c r="C1994" s="7">
        <f>SUMPRODUCT($C$3:$X$3,'batch tool'!$B1988:$W1988)+$Y$3</f>
        <v>-36.514029388465531</v>
      </c>
      <c r="D1994" s="7">
        <f>SUMPRODUCT($C$4:$X$4,'batch tool'!$B1988:$W1988)+$Y$4</f>
        <v>-44.639843068043824</v>
      </c>
      <c r="E1994" s="7">
        <f>SUMPRODUCT($C$5:$X$5,'batch tool'!$B1988:$W1988)+$Y$5</f>
        <v>-51.578889182477603</v>
      </c>
      <c r="F1994" s="7">
        <f>SUMPRODUCT($C$6:$X$6,'batch tool'!$B1988:$W1988)+$Y$6</f>
        <v>-47.741473633885199</v>
      </c>
      <c r="G1994" s="7">
        <f>SUMPRODUCT($C$7:$X$7,'batch tool'!$B1988:$W1988)+$Y$7</f>
        <v>-19.739516238059196</v>
      </c>
      <c r="H1994" s="7">
        <f t="shared" si="60"/>
        <v>-19.739516238059196</v>
      </c>
      <c r="I1994">
        <f t="shared" si="61"/>
        <v>6</v>
      </c>
      <c r="J1994" t="str" cm="1">
        <f t="array" ref="J1994">INDEX($A$2:$A$7,I1994)</f>
        <v>Segment 6- Self-Conscious Male</v>
      </c>
    </row>
    <row r="1995" spans="1:10" x14ac:dyDescent="0.25">
      <c r="A1995" s="1">
        <f>'batch tool'!A1989</f>
        <v>0</v>
      </c>
      <c r="B1995" s="7">
        <f>SUMPRODUCT($C$2:$X$2,'batch tool'!$B1989:$W1989)+$Y$2</f>
        <v>-49.12272534143483</v>
      </c>
      <c r="C1995" s="7">
        <f>SUMPRODUCT($C$3:$X$3,'batch tool'!$B1989:$W1989)+$Y$3</f>
        <v>-36.514029388465531</v>
      </c>
      <c r="D1995" s="7">
        <f>SUMPRODUCT($C$4:$X$4,'batch tool'!$B1989:$W1989)+$Y$4</f>
        <v>-44.639843068043824</v>
      </c>
      <c r="E1995" s="7">
        <f>SUMPRODUCT($C$5:$X$5,'batch tool'!$B1989:$W1989)+$Y$5</f>
        <v>-51.578889182477603</v>
      </c>
      <c r="F1995" s="7">
        <f>SUMPRODUCT($C$6:$X$6,'batch tool'!$B1989:$W1989)+$Y$6</f>
        <v>-47.741473633885199</v>
      </c>
      <c r="G1995" s="7">
        <f>SUMPRODUCT($C$7:$X$7,'batch tool'!$B1989:$W1989)+$Y$7</f>
        <v>-19.739516238059196</v>
      </c>
      <c r="H1995" s="7">
        <f t="shared" ref="H1995:H2010" si="62">MAX(B1995:G1995)</f>
        <v>-19.739516238059196</v>
      </c>
      <c r="I1995">
        <f t="shared" ref="I1995:I2010" si="63">MATCH(H1995,B1995:G1995,0)</f>
        <v>6</v>
      </c>
      <c r="J1995" t="str" cm="1">
        <f t="array" ref="J1995">INDEX($A$2:$A$7,I1995)</f>
        <v>Segment 6- Self-Conscious Male</v>
      </c>
    </row>
    <row r="1996" spans="1:10" x14ac:dyDescent="0.25">
      <c r="A1996" s="1">
        <f>'batch tool'!A1990</f>
        <v>0</v>
      </c>
      <c r="B1996" s="7">
        <f>SUMPRODUCT($C$2:$X$2,'batch tool'!$B1990:$W1990)+$Y$2</f>
        <v>-49.12272534143483</v>
      </c>
      <c r="C1996" s="7">
        <f>SUMPRODUCT($C$3:$X$3,'batch tool'!$B1990:$W1990)+$Y$3</f>
        <v>-36.514029388465531</v>
      </c>
      <c r="D1996" s="7">
        <f>SUMPRODUCT($C$4:$X$4,'batch tool'!$B1990:$W1990)+$Y$4</f>
        <v>-44.639843068043824</v>
      </c>
      <c r="E1996" s="7">
        <f>SUMPRODUCT($C$5:$X$5,'batch tool'!$B1990:$W1990)+$Y$5</f>
        <v>-51.578889182477603</v>
      </c>
      <c r="F1996" s="7">
        <f>SUMPRODUCT($C$6:$X$6,'batch tool'!$B1990:$W1990)+$Y$6</f>
        <v>-47.741473633885199</v>
      </c>
      <c r="G1996" s="7">
        <f>SUMPRODUCT($C$7:$X$7,'batch tool'!$B1990:$W1990)+$Y$7</f>
        <v>-19.739516238059196</v>
      </c>
      <c r="H1996" s="7">
        <f t="shared" si="62"/>
        <v>-19.739516238059196</v>
      </c>
      <c r="I1996">
        <f t="shared" si="63"/>
        <v>6</v>
      </c>
      <c r="J1996" t="str" cm="1">
        <f t="array" ref="J1996">INDEX($A$2:$A$7,I1996)</f>
        <v>Segment 6- Self-Conscious Male</v>
      </c>
    </row>
    <row r="1997" spans="1:10" x14ac:dyDescent="0.25">
      <c r="A1997" s="1">
        <f>'batch tool'!A1991</f>
        <v>0</v>
      </c>
      <c r="B1997" s="7">
        <f>SUMPRODUCT($C$2:$X$2,'batch tool'!$B1991:$W1991)+$Y$2</f>
        <v>-49.12272534143483</v>
      </c>
      <c r="C1997" s="7">
        <f>SUMPRODUCT($C$3:$X$3,'batch tool'!$B1991:$W1991)+$Y$3</f>
        <v>-36.514029388465531</v>
      </c>
      <c r="D1997" s="7">
        <f>SUMPRODUCT($C$4:$X$4,'batch tool'!$B1991:$W1991)+$Y$4</f>
        <v>-44.639843068043824</v>
      </c>
      <c r="E1997" s="7">
        <f>SUMPRODUCT($C$5:$X$5,'batch tool'!$B1991:$W1991)+$Y$5</f>
        <v>-51.578889182477603</v>
      </c>
      <c r="F1997" s="7">
        <f>SUMPRODUCT($C$6:$X$6,'batch tool'!$B1991:$W1991)+$Y$6</f>
        <v>-47.741473633885199</v>
      </c>
      <c r="G1997" s="7">
        <f>SUMPRODUCT($C$7:$X$7,'batch tool'!$B1991:$W1991)+$Y$7</f>
        <v>-19.739516238059196</v>
      </c>
      <c r="H1997" s="7">
        <f t="shared" si="62"/>
        <v>-19.739516238059196</v>
      </c>
      <c r="I1997">
        <f t="shared" si="63"/>
        <v>6</v>
      </c>
      <c r="J1997" t="str" cm="1">
        <f t="array" ref="J1997">INDEX($A$2:$A$7,I1997)</f>
        <v>Segment 6- Self-Conscious Male</v>
      </c>
    </row>
    <row r="1998" spans="1:10" x14ac:dyDescent="0.25">
      <c r="A1998" s="1">
        <f>'batch tool'!A1992</f>
        <v>0</v>
      </c>
      <c r="B1998" s="7">
        <f>SUMPRODUCT($C$2:$X$2,'batch tool'!$B1992:$W1992)+$Y$2</f>
        <v>-49.12272534143483</v>
      </c>
      <c r="C1998" s="7">
        <f>SUMPRODUCT($C$3:$X$3,'batch tool'!$B1992:$W1992)+$Y$3</f>
        <v>-36.514029388465531</v>
      </c>
      <c r="D1998" s="7">
        <f>SUMPRODUCT($C$4:$X$4,'batch tool'!$B1992:$W1992)+$Y$4</f>
        <v>-44.639843068043824</v>
      </c>
      <c r="E1998" s="7">
        <f>SUMPRODUCT($C$5:$X$5,'batch tool'!$B1992:$W1992)+$Y$5</f>
        <v>-51.578889182477603</v>
      </c>
      <c r="F1998" s="7">
        <f>SUMPRODUCT($C$6:$X$6,'batch tool'!$B1992:$W1992)+$Y$6</f>
        <v>-47.741473633885199</v>
      </c>
      <c r="G1998" s="7">
        <f>SUMPRODUCT($C$7:$X$7,'batch tool'!$B1992:$W1992)+$Y$7</f>
        <v>-19.739516238059196</v>
      </c>
      <c r="H1998" s="7">
        <f t="shared" si="62"/>
        <v>-19.739516238059196</v>
      </c>
      <c r="I1998">
        <f t="shared" si="63"/>
        <v>6</v>
      </c>
      <c r="J1998" t="str" cm="1">
        <f t="array" ref="J1998">INDEX($A$2:$A$7,I1998)</f>
        <v>Segment 6- Self-Conscious Male</v>
      </c>
    </row>
    <row r="1999" spans="1:10" x14ac:dyDescent="0.25">
      <c r="A1999" s="1">
        <f>'batch tool'!A1993</f>
        <v>0</v>
      </c>
      <c r="B1999" s="7">
        <f>SUMPRODUCT($C$2:$X$2,'batch tool'!$B1993:$W1993)+$Y$2</f>
        <v>-49.12272534143483</v>
      </c>
      <c r="C1999" s="7">
        <f>SUMPRODUCT($C$3:$X$3,'batch tool'!$B1993:$W1993)+$Y$3</f>
        <v>-36.514029388465531</v>
      </c>
      <c r="D1999" s="7">
        <f>SUMPRODUCT($C$4:$X$4,'batch tool'!$B1993:$W1993)+$Y$4</f>
        <v>-44.639843068043824</v>
      </c>
      <c r="E1999" s="7">
        <f>SUMPRODUCT($C$5:$X$5,'batch tool'!$B1993:$W1993)+$Y$5</f>
        <v>-51.578889182477603</v>
      </c>
      <c r="F1999" s="7">
        <f>SUMPRODUCT($C$6:$X$6,'batch tool'!$B1993:$W1993)+$Y$6</f>
        <v>-47.741473633885199</v>
      </c>
      <c r="G1999" s="7">
        <f>SUMPRODUCT($C$7:$X$7,'batch tool'!$B1993:$W1993)+$Y$7</f>
        <v>-19.739516238059196</v>
      </c>
      <c r="H1999" s="7">
        <f t="shared" si="62"/>
        <v>-19.739516238059196</v>
      </c>
      <c r="I1999">
        <f t="shared" si="63"/>
        <v>6</v>
      </c>
      <c r="J1999" t="str" cm="1">
        <f t="array" ref="J1999">INDEX($A$2:$A$7,I1999)</f>
        <v>Segment 6- Self-Conscious Male</v>
      </c>
    </row>
    <row r="2000" spans="1:10" x14ac:dyDescent="0.25">
      <c r="A2000" s="1">
        <f>'batch tool'!A1994</f>
        <v>0</v>
      </c>
      <c r="B2000" s="7">
        <f>SUMPRODUCT($C$2:$X$2,'batch tool'!$B1994:$W1994)+$Y$2</f>
        <v>-49.12272534143483</v>
      </c>
      <c r="C2000" s="7">
        <f>SUMPRODUCT($C$3:$X$3,'batch tool'!$B1994:$W1994)+$Y$3</f>
        <v>-36.514029388465531</v>
      </c>
      <c r="D2000" s="7">
        <f>SUMPRODUCT($C$4:$X$4,'batch tool'!$B1994:$W1994)+$Y$4</f>
        <v>-44.639843068043824</v>
      </c>
      <c r="E2000" s="7">
        <f>SUMPRODUCT($C$5:$X$5,'batch tool'!$B1994:$W1994)+$Y$5</f>
        <v>-51.578889182477603</v>
      </c>
      <c r="F2000" s="7">
        <f>SUMPRODUCT($C$6:$X$6,'batch tool'!$B1994:$W1994)+$Y$6</f>
        <v>-47.741473633885199</v>
      </c>
      <c r="G2000" s="7">
        <f>SUMPRODUCT($C$7:$X$7,'batch tool'!$B1994:$W1994)+$Y$7</f>
        <v>-19.739516238059196</v>
      </c>
      <c r="H2000" s="7">
        <f t="shared" si="62"/>
        <v>-19.739516238059196</v>
      </c>
      <c r="I2000">
        <f t="shared" si="63"/>
        <v>6</v>
      </c>
      <c r="J2000" t="str" cm="1">
        <f t="array" ref="J2000">INDEX($A$2:$A$7,I2000)</f>
        <v>Segment 6- Self-Conscious Male</v>
      </c>
    </row>
    <row r="2001" spans="1:10" x14ac:dyDescent="0.25">
      <c r="A2001" s="1">
        <f>'batch tool'!A1995</f>
        <v>0</v>
      </c>
      <c r="B2001" s="7">
        <f>SUMPRODUCT($C$2:$X$2,'batch tool'!$B1995:$W1995)+$Y$2</f>
        <v>-49.12272534143483</v>
      </c>
      <c r="C2001" s="7">
        <f>SUMPRODUCT($C$3:$X$3,'batch tool'!$B1995:$W1995)+$Y$3</f>
        <v>-36.514029388465531</v>
      </c>
      <c r="D2001" s="7">
        <f>SUMPRODUCT($C$4:$X$4,'batch tool'!$B1995:$W1995)+$Y$4</f>
        <v>-44.639843068043824</v>
      </c>
      <c r="E2001" s="7">
        <f>SUMPRODUCT($C$5:$X$5,'batch tool'!$B1995:$W1995)+$Y$5</f>
        <v>-51.578889182477603</v>
      </c>
      <c r="F2001" s="7">
        <f>SUMPRODUCT($C$6:$X$6,'batch tool'!$B1995:$W1995)+$Y$6</f>
        <v>-47.741473633885199</v>
      </c>
      <c r="G2001" s="7">
        <f>SUMPRODUCT($C$7:$X$7,'batch tool'!$B1995:$W1995)+$Y$7</f>
        <v>-19.739516238059196</v>
      </c>
      <c r="H2001" s="7">
        <f t="shared" si="62"/>
        <v>-19.739516238059196</v>
      </c>
      <c r="I2001">
        <f t="shared" si="63"/>
        <v>6</v>
      </c>
      <c r="J2001" t="str" cm="1">
        <f t="array" ref="J2001">INDEX($A$2:$A$7,I2001)</f>
        <v>Segment 6- Self-Conscious Male</v>
      </c>
    </row>
    <row r="2002" spans="1:10" x14ac:dyDescent="0.25">
      <c r="A2002" s="1">
        <f>'batch tool'!A1996</f>
        <v>0</v>
      </c>
      <c r="B2002" s="7">
        <f>SUMPRODUCT($C$2:$X$2,'batch tool'!$B1996:$W1996)+$Y$2</f>
        <v>-49.12272534143483</v>
      </c>
      <c r="C2002" s="7">
        <f>SUMPRODUCT($C$3:$X$3,'batch tool'!$B1996:$W1996)+$Y$3</f>
        <v>-36.514029388465531</v>
      </c>
      <c r="D2002" s="7">
        <f>SUMPRODUCT($C$4:$X$4,'batch tool'!$B1996:$W1996)+$Y$4</f>
        <v>-44.639843068043824</v>
      </c>
      <c r="E2002" s="7">
        <f>SUMPRODUCT($C$5:$X$5,'batch tool'!$B1996:$W1996)+$Y$5</f>
        <v>-51.578889182477603</v>
      </c>
      <c r="F2002" s="7">
        <f>SUMPRODUCT($C$6:$X$6,'batch tool'!$B1996:$W1996)+$Y$6</f>
        <v>-47.741473633885199</v>
      </c>
      <c r="G2002" s="7">
        <f>SUMPRODUCT($C$7:$X$7,'batch tool'!$B1996:$W1996)+$Y$7</f>
        <v>-19.739516238059196</v>
      </c>
      <c r="H2002" s="7">
        <f t="shared" si="62"/>
        <v>-19.739516238059196</v>
      </c>
      <c r="I2002">
        <f t="shared" si="63"/>
        <v>6</v>
      </c>
      <c r="J2002" t="str" cm="1">
        <f t="array" ref="J2002">INDEX($A$2:$A$7,I2002)</f>
        <v>Segment 6- Self-Conscious Male</v>
      </c>
    </row>
    <row r="2003" spans="1:10" x14ac:dyDescent="0.25">
      <c r="A2003" s="1">
        <f>'batch tool'!A1997</f>
        <v>0</v>
      </c>
      <c r="B2003" s="7">
        <f>SUMPRODUCT($C$2:$X$2,'batch tool'!$B1997:$W1997)+$Y$2</f>
        <v>-49.12272534143483</v>
      </c>
      <c r="C2003" s="7">
        <f>SUMPRODUCT($C$3:$X$3,'batch tool'!$B1997:$W1997)+$Y$3</f>
        <v>-36.514029388465531</v>
      </c>
      <c r="D2003" s="7">
        <f>SUMPRODUCT($C$4:$X$4,'batch tool'!$B1997:$W1997)+$Y$4</f>
        <v>-44.639843068043824</v>
      </c>
      <c r="E2003" s="7">
        <f>SUMPRODUCT($C$5:$X$5,'batch tool'!$B1997:$W1997)+$Y$5</f>
        <v>-51.578889182477603</v>
      </c>
      <c r="F2003" s="7">
        <f>SUMPRODUCT($C$6:$X$6,'batch tool'!$B1997:$W1997)+$Y$6</f>
        <v>-47.741473633885199</v>
      </c>
      <c r="G2003" s="7">
        <f>SUMPRODUCT($C$7:$X$7,'batch tool'!$B1997:$W1997)+$Y$7</f>
        <v>-19.739516238059196</v>
      </c>
      <c r="H2003" s="7">
        <f t="shared" si="62"/>
        <v>-19.739516238059196</v>
      </c>
      <c r="I2003">
        <f t="shared" si="63"/>
        <v>6</v>
      </c>
      <c r="J2003" t="str" cm="1">
        <f t="array" ref="J2003">INDEX($A$2:$A$7,I2003)</f>
        <v>Segment 6- Self-Conscious Male</v>
      </c>
    </row>
    <row r="2004" spans="1:10" x14ac:dyDescent="0.25">
      <c r="A2004" s="1">
        <f>'batch tool'!A1998</f>
        <v>0</v>
      </c>
      <c r="B2004" s="7">
        <f>SUMPRODUCT($C$2:$X$2,'batch tool'!$B1998:$W1998)+$Y$2</f>
        <v>-49.12272534143483</v>
      </c>
      <c r="C2004" s="7">
        <f>SUMPRODUCT($C$3:$X$3,'batch tool'!$B1998:$W1998)+$Y$3</f>
        <v>-36.514029388465531</v>
      </c>
      <c r="D2004" s="7">
        <f>SUMPRODUCT($C$4:$X$4,'batch tool'!$B1998:$W1998)+$Y$4</f>
        <v>-44.639843068043824</v>
      </c>
      <c r="E2004" s="7">
        <f>SUMPRODUCT($C$5:$X$5,'batch tool'!$B1998:$W1998)+$Y$5</f>
        <v>-51.578889182477603</v>
      </c>
      <c r="F2004" s="7">
        <f>SUMPRODUCT($C$6:$X$6,'batch tool'!$B1998:$W1998)+$Y$6</f>
        <v>-47.741473633885199</v>
      </c>
      <c r="G2004" s="7">
        <f>SUMPRODUCT($C$7:$X$7,'batch tool'!$B1998:$W1998)+$Y$7</f>
        <v>-19.739516238059196</v>
      </c>
      <c r="H2004" s="7">
        <f t="shared" si="62"/>
        <v>-19.739516238059196</v>
      </c>
      <c r="I2004">
        <f t="shared" si="63"/>
        <v>6</v>
      </c>
      <c r="J2004" t="str" cm="1">
        <f t="array" ref="J2004">INDEX($A$2:$A$7,I2004)</f>
        <v>Segment 6- Self-Conscious Male</v>
      </c>
    </row>
    <row r="2005" spans="1:10" x14ac:dyDescent="0.25">
      <c r="A2005" s="1">
        <f>'batch tool'!A1999</f>
        <v>0</v>
      </c>
      <c r="B2005" s="7">
        <f>SUMPRODUCT($C$2:$X$2,'batch tool'!$B1999:$W1999)+$Y$2</f>
        <v>-49.12272534143483</v>
      </c>
      <c r="C2005" s="7">
        <f>SUMPRODUCT($C$3:$X$3,'batch tool'!$B1999:$W1999)+$Y$3</f>
        <v>-36.514029388465531</v>
      </c>
      <c r="D2005" s="7">
        <f>SUMPRODUCT($C$4:$X$4,'batch tool'!$B1999:$W1999)+$Y$4</f>
        <v>-44.639843068043824</v>
      </c>
      <c r="E2005" s="7">
        <f>SUMPRODUCT($C$5:$X$5,'batch tool'!$B1999:$W1999)+$Y$5</f>
        <v>-51.578889182477603</v>
      </c>
      <c r="F2005" s="7">
        <f>SUMPRODUCT($C$6:$X$6,'batch tool'!$B1999:$W1999)+$Y$6</f>
        <v>-47.741473633885199</v>
      </c>
      <c r="G2005" s="7">
        <f>SUMPRODUCT($C$7:$X$7,'batch tool'!$B1999:$W1999)+$Y$7</f>
        <v>-19.739516238059196</v>
      </c>
      <c r="H2005" s="7">
        <f t="shared" si="62"/>
        <v>-19.739516238059196</v>
      </c>
      <c r="I2005">
        <f t="shared" si="63"/>
        <v>6</v>
      </c>
      <c r="J2005" t="str" cm="1">
        <f t="array" ref="J2005">INDEX($A$2:$A$7,I2005)</f>
        <v>Segment 6- Self-Conscious Male</v>
      </c>
    </row>
    <row r="2006" spans="1:10" x14ac:dyDescent="0.25">
      <c r="A2006" s="1">
        <f>'batch tool'!A2000</f>
        <v>0</v>
      </c>
      <c r="B2006" s="7">
        <f>SUMPRODUCT($C$2:$X$2,'batch tool'!$B2000:$W2000)+$Y$2</f>
        <v>-49.12272534143483</v>
      </c>
      <c r="C2006" s="7">
        <f>SUMPRODUCT($C$3:$X$3,'batch tool'!$B2000:$W2000)+$Y$3</f>
        <v>-36.514029388465531</v>
      </c>
      <c r="D2006" s="7">
        <f>SUMPRODUCT($C$4:$X$4,'batch tool'!$B2000:$W2000)+$Y$4</f>
        <v>-44.639843068043824</v>
      </c>
      <c r="E2006" s="7">
        <f>SUMPRODUCT($C$5:$X$5,'batch tool'!$B2000:$W2000)+$Y$5</f>
        <v>-51.578889182477603</v>
      </c>
      <c r="F2006" s="7">
        <f>SUMPRODUCT($C$6:$X$6,'batch tool'!$B2000:$W2000)+$Y$6</f>
        <v>-47.741473633885199</v>
      </c>
      <c r="G2006" s="7">
        <f>SUMPRODUCT($C$7:$X$7,'batch tool'!$B2000:$W2000)+$Y$7</f>
        <v>-19.739516238059196</v>
      </c>
      <c r="H2006" s="7">
        <f t="shared" si="62"/>
        <v>-19.739516238059196</v>
      </c>
      <c r="I2006">
        <f t="shared" si="63"/>
        <v>6</v>
      </c>
      <c r="J2006" t="str" cm="1">
        <f t="array" ref="J2006">INDEX($A$2:$A$7,I2006)</f>
        <v>Segment 6- Self-Conscious Male</v>
      </c>
    </row>
    <row r="2007" spans="1:10" x14ac:dyDescent="0.25">
      <c r="A2007" s="1">
        <f>'batch tool'!A2001</f>
        <v>0</v>
      </c>
      <c r="B2007" s="7">
        <f>SUMPRODUCT($C$2:$X$2,'batch tool'!$B2001:$W2001)+$Y$2</f>
        <v>-49.12272534143483</v>
      </c>
      <c r="C2007" s="7">
        <f>SUMPRODUCT($C$3:$X$3,'batch tool'!$B2001:$W2001)+$Y$3</f>
        <v>-36.514029388465531</v>
      </c>
      <c r="D2007" s="7">
        <f>SUMPRODUCT($C$4:$X$4,'batch tool'!$B2001:$W2001)+$Y$4</f>
        <v>-44.639843068043824</v>
      </c>
      <c r="E2007" s="7">
        <f>SUMPRODUCT($C$5:$X$5,'batch tool'!$B2001:$W2001)+$Y$5</f>
        <v>-51.578889182477603</v>
      </c>
      <c r="F2007" s="7">
        <f>SUMPRODUCT($C$6:$X$6,'batch tool'!$B2001:$W2001)+$Y$6</f>
        <v>-47.741473633885199</v>
      </c>
      <c r="G2007" s="7">
        <f>SUMPRODUCT($C$7:$X$7,'batch tool'!$B2001:$W2001)+$Y$7</f>
        <v>-19.739516238059196</v>
      </c>
      <c r="H2007" s="7">
        <f t="shared" si="62"/>
        <v>-19.739516238059196</v>
      </c>
      <c r="I2007">
        <f t="shared" si="63"/>
        <v>6</v>
      </c>
      <c r="J2007" t="str" cm="1">
        <f t="array" ref="J2007">INDEX($A$2:$A$7,I2007)</f>
        <v>Segment 6- Self-Conscious Male</v>
      </c>
    </row>
    <row r="2008" spans="1:10" x14ac:dyDescent="0.25">
      <c r="A2008" s="1">
        <f>'batch tool'!A2002</f>
        <v>0</v>
      </c>
      <c r="B2008" s="7">
        <f>SUMPRODUCT($C$2:$X$2,'batch tool'!$B2002:$W2002)+$Y$2</f>
        <v>-49.12272534143483</v>
      </c>
      <c r="C2008" s="7">
        <f>SUMPRODUCT($C$3:$X$3,'batch tool'!$B2002:$W2002)+$Y$3</f>
        <v>-36.514029388465531</v>
      </c>
      <c r="D2008" s="7">
        <f>SUMPRODUCT($C$4:$X$4,'batch tool'!$B2002:$W2002)+$Y$4</f>
        <v>-44.639843068043824</v>
      </c>
      <c r="E2008" s="7">
        <f>SUMPRODUCT($C$5:$X$5,'batch tool'!$B2002:$W2002)+$Y$5</f>
        <v>-51.578889182477603</v>
      </c>
      <c r="F2008" s="7">
        <f>SUMPRODUCT($C$6:$X$6,'batch tool'!$B2002:$W2002)+$Y$6</f>
        <v>-47.741473633885199</v>
      </c>
      <c r="G2008" s="7">
        <f>SUMPRODUCT($C$7:$X$7,'batch tool'!$B2002:$W2002)+$Y$7</f>
        <v>-19.739516238059196</v>
      </c>
      <c r="H2008" s="7">
        <f t="shared" si="62"/>
        <v>-19.739516238059196</v>
      </c>
      <c r="I2008">
        <f t="shared" si="63"/>
        <v>6</v>
      </c>
      <c r="J2008" t="str" cm="1">
        <f t="array" ref="J2008">INDEX($A$2:$A$7,I2008)</f>
        <v>Segment 6- Self-Conscious Male</v>
      </c>
    </row>
    <row r="2009" spans="1:10" x14ac:dyDescent="0.25">
      <c r="A2009" s="1">
        <f>'batch tool'!A2003</f>
        <v>0</v>
      </c>
      <c r="B2009" s="7">
        <f>SUMPRODUCT($C$2:$X$2,'batch tool'!$B2003:$W2003)+$Y$2</f>
        <v>-49.12272534143483</v>
      </c>
      <c r="C2009" s="7">
        <f>SUMPRODUCT($C$3:$X$3,'batch tool'!$B2003:$W2003)+$Y$3</f>
        <v>-36.514029388465531</v>
      </c>
      <c r="D2009" s="7">
        <f>SUMPRODUCT($C$4:$X$4,'batch tool'!$B2003:$W2003)+$Y$4</f>
        <v>-44.639843068043824</v>
      </c>
      <c r="E2009" s="7">
        <f>SUMPRODUCT($C$5:$X$5,'batch tool'!$B2003:$W2003)+$Y$5</f>
        <v>-51.578889182477603</v>
      </c>
      <c r="F2009" s="7">
        <f>SUMPRODUCT($C$6:$X$6,'batch tool'!$B2003:$W2003)+$Y$6</f>
        <v>-47.741473633885199</v>
      </c>
      <c r="G2009" s="7">
        <f>SUMPRODUCT($C$7:$X$7,'batch tool'!$B2003:$W2003)+$Y$7</f>
        <v>-19.739516238059196</v>
      </c>
      <c r="H2009" s="7">
        <f t="shared" si="62"/>
        <v>-19.739516238059196</v>
      </c>
      <c r="I2009">
        <f t="shared" si="63"/>
        <v>6</v>
      </c>
      <c r="J2009" t="str" cm="1">
        <f t="array" ref="J2009">INDEX($A$2:$A$7,I2009)</f>
        <v>Segment 6- Self-Conscious Male</v>
      </c>
    </row>
    <row r="2010" spans="1:10" x14ac:dyDescent="0.25">
      <c r="A2010" s="1">
        <f>'batch tool'!A2004</f>
        <v>0</v>
      </c>
      <c r="B2010" s="7">
        <f>SUMPRODUCT($C$2:$X$2,'batch tool'!$B2004:$W2004)+$Y$2</f>
        <v>-49.12272534143483</v>
      </c>
      <c r="C2010" s="7">
        <f>SUMPRODUCT($C$3:$X$3,'batch tool'!$B2004:$W2004)+$Y$3</f>
        <v>-36.514029388465531</v>
      </c>
      <c r="D2010" s="7">
        <f>SUMPRODUCT($C$4:$X$4,'batch tool'!$B2004:$W2004)+$Y$4</f>
        <v>-44.639843068043824</v>
      </c>
      <c r="E2010" s="7">
        <f>SUMPRODUCT($C$5:$X$5,'batch tool'!$B2004:$W2004)+$Y$5</f>
        <v>-51.578889182477603</v>
      </c>
      <c r="F2010" s="7">
        <f>SUMPRODUCT($C$6:$X$6,'batch tool'!$B2004:$W2004)+$Y$6</f>
        <v>-47.741473633885199</v>
      </c>
      <c r="G2010" s="7">
        <f>SUMPRODUCT($C$7:$X$7,'batch tool'!$B2004:$W2004)+$Y$7</f>
        <v>-19.739516238059196</v>
      </c>
      <c r="H2010" s="7">
        <f t="shared" si="62"/>
        <v>-19.739516238059196</v>
      </c>
      <c r="I2010">
        <f t="shared" si="63"/>
        <v>6</v>
      </c>
      <c r="J2010" t="str" cm="1">
        <f t="array" ref="J2010">INDEX($A$2:$A$7,I2010)</f>
        <v>Segment 6- Self-Conscious Male</v>
      </c>
    </row>
    <row r="2011" spans="1:10" x14ac:dyDescent="0.25">
      <c r="A2011" s="1">
        <f>'batch tool'!A2005</f>
        <v>0</v>
      </c>
      <c r="B2011" s="7">
        <f>SUMPRODUCT($C$2:$X$2,'batch tool'!$B2005:$W2005)+$Y$2</f>
        <v>-49.12272534143483</v>
      </c>
      <c r="C2011" s="7">
        <f>SUMPRODUCT($C$3:$X$3,'batch tool'!$B2005:$W2005)+$Y$3</f>
        <v>-36.514029388465531</v>
      </c>
      <c r="D2011" s="7">
        <f>SUMPRODUCT($C$4:$X$4,'batch tool'!$B2005:$W2005)+$Y$4</f>
        <v>-44.639843068043824</v>
      </c>
      <c r="E2011" s="7">
        <f>SUMPRODUCT($C$5:$X$5,'batch tool'!$B2005:$W2005)+$Y$5</f>
        <v>-51.578889182477603</v>
      </c>
      <c r="F2011" s="7">
        <f>SUMPRODUCT($C$6:$X$6,'batch tool'!$B2005:$W2005)+$Y$6</f>
        <v>-47.741473633885199</v>
      </c>
      <c r="G2011" s="7">
        <f>SUMPRODUCT($C$7:$X$7,'batch tool'!$B2005:$W2005)+$Y$7</f>
        <v>-19.739516238059196</v>
      </c>
      <c r="H2011" s="7">
        <f t="shared" ref="H2011:H2074" si="64">MAX(B2011:G2011)</f>
        <v>-19.739516238059196</v>
      </c>
      <c r="I2011">
        <f t="shared" ref="I2011:I2074" si="65">MATCH(H2011,B2011:G2011,0)</f>
        <v>6</v>
      </c>
      <c r="J2011" t="str" cm="1">
        <f t="array" ref="J2011">INDEX($A$2:$A$7,I2011)</f>
        <v>Segment 6- Self-Conscious Male</v>
      </c>
    </row>
    <row r="2012" spans="1:10" x14ac:dyDescent="0.25">
      <c r="A2012" s="1">
        <f>'batch tool'!A2006</f>
        <v>0</v>
      </c>
      <c r="B2012" s="7">
        <f>SUMPRODUCT($C$2:$X$2,'batch tool'!$B2006:$W2006)+$Y$2</f>
        <v>-49.12272534143483</v>
      </c>
      <c r="C2012" s="7">
        <f>SUMPRODUCT($C$3:$X$3,'batch tool'!$B2006:$W2006)+$Y$3</f>
        <v>-36.514029388465531</v>
      </c>
      <c r="D2012" s="7">
        <f>SUMPRODUCT($C$4:$X$4,'batch tool'!$B2006:$W2006)+$Y$4</f>
        <v>-44.639843068043824</v>
      </c>
      <c r="E2012" s="7">
        <f>SUMPRODUCT($C$5:$X$5,'batch tool'!$B2006:$W2006)+$Y$5</f>
        <v>-51.578889182477603</v>
      </c>
      <c r="F2012" s="7">
        <f>SUMPRODUCT($C$6:$X$6,'batch tool'!$B2006:$W2006)+$Y$6</f>
        <v>-47.741473633885199</v>
      </c>
      <c r="G2012" s="7">
        <f>SUMPRODUCT($C$7:$X$7,'batch tool'!$B2006:$W2006)+$Y$7</f>
        <v>-19.739516238059196</v>
      </c>
      <c r="H2012" s="7">
        <f t="shared" si="64"/>
        <v>-19.739516238059196</v>
      </c>
      <c r="I2012">
        <f t="shared" si="65"/>
        <v>6</v>
      </c>
      <c r="J2012" t="str" cm="1">
        <f t="array" ref="J2012">INDEX($A$2:$A$7,I2012)</f>
        <v>Segment 6- Self-Conscious Male</v>
      </c>
    </row>
    <row r="2013" spans="1:10" x14ac:dyDescent="0.25">
      <c r="A2013" s="1">
        <f>'batch tool'!A2007</f>
        <v>0</v>
      </c>
      <c r="B2013" s="7">
        <f>SUMPRODUCT($C$2:$X$2,'batch tool'!$B2007:$W2007)+$Y$2</f>
        <v>-49.12272534143483</v>
      </c>
      <c r="C2013" s="7">
        <f>SUMPRODUCT($C$3:$X$3,'batch tool'!$B2007:$W2007)+$Y$3</f>
        <v>-36.514029388465531</v>
      </c>
      <c r="D2013" s="7">
        <f>SUMPRODUCT($C$4:$X$4,'batch tool'!$B2007:$W2007)+$Y$4</f>
        <v>-44.639843068043824</v>
      </c>
      <c r="E2013" s="7">
        <f>SUMPRODUCT($C$5:$X$5,'batch tool'!$B2007:$W2007)+$Y$5</f>
        <v>-51.578889182477603</v>
      </c>
      <c r="F2013" s="7">
        <f>SUMPRODUCT($C$6:$X$6,'batch tool'!$B2007:$W2007)+$Y$6</f>
        <v>-47.741473633885199</v>
      </c>
      <c r="G2013" s="7">
        <f>SUMPRODUCT($C$7:$X$7,'batch tool'!$B2007:$W2007)+$Y$7</f>
        <v>-19.739516238059196</v>
      </c>
      <c r="H2013" s="7">
        <f t="shared" si="64"/>
        <v>-19.739516238059196</v>
      </c>
      <c r="I2013">
        <f t="shared" si="65"/>
        <v>6</v>
      </c>
      <c r="J2013" t="str" cm="1">
        <f t="array" ref="J2013">INDEX($A$2:$A$7,I2013)</f>
        <v>Segment 6- Self-Conscious Male</v>
      </c>
    </row>
    <row r="2014" spans="1:10" x14ac:dyDescent="0.25">
      <c r="A2014" s="1">
        <f>'batch tool'!A2008</f>
        <v>0</v>
      </c>
      <c r="B2014" s="7">
        <f>SUMPRODUCT($C$2:$X$2,'batch tool'!$B2008:$W2008)+$Y$2</f>
        <v>-49.12272534143483</v>
      </c>
      <c r="C2014" s="7">
        <f>SUMPRODUCT($C$3:$X$3,'batch tool'!$B2008:$W2008)+$Y$3</f>
        <v>-36.514029388465531</v>
      </c>
      <c r="D2014" s="7">
        <f>SUMPRODUCT($C$4:$X$4,'batch tool'!$B2008:$W2008)+$Y$4</f>
        <v>-44.639843068043824</v>
      </c>
      <c r="E2014" s="7">
        <f>SUMPRODUCT($C$5:$X$5,'batch tool'!$B2008:$W2008)+$Y$5</f>
        <v>-51.578889182477603</v>
      </c>
      <c r="F2014" s="7">
        <f>SUMPRODUCT($C$6:$X$6,'batch tool'!$B2008:$W2008)+$Y$6</f>
        <v>-47.741473633885199</v>
      </c>
      <c r="G2014" s="7">
        <f>SUMPRODUCT($C$7:$X$7,'batch tool'!$B2008:$W2008)+$Y$7</f>
        <v>-19.739516238059196</v>
      </c>
      <c r="H2014" s="7">
        <f t="shared" si="64"/>
        <v>-19.739516238059196</v>
      </c>
      <c r="I2014">
        <f t="shared" si="65"/>
        <v>6</v>
      </c>
      <c r="J2014" t="str" cm="1">
        <f t="array" ref="J2014">INDEX($A$2:$A$7,I2014)</f>
        <v>Segment 6- Self-Conscious Male</v>
      </c>
    </row>
    <row r="2015" spans="1:10" x14ac:dyDescent="0.25">
      <c r="A2015" s="1">
        <f>'batch tool'!A2009</f>
        <v>0</v>
      </c>
      <c r="B2015" s="7">
        <f>SUMPRODUCT($C$2:$X$2,'batch tool'!$B2009:$W2009)+$Y$2</f>
        <v>-49.12272534143483</v>
      </c>
      <c r="C2015" s="7">
        <f>SUMPRODUCT($C$3:$X$3,'batch tool'!$B2009:$W2009)+$Y$3</f>
        <v>-36.514029388465531</v>
      </c>
      <c r="D2015" s="7">
        <f>SUMPRODUCT($C$4:$X$4,'batch tool'!$B2009:$W2009)+$Y$4</f>
        <v>-44.639843068043824</v>
      </c>
      <c r="E2015" s="7">
        <f>SUMPRODUCT($C$5:$X$5,'batch tool'!$B2009:$W2009)+$Y$5</f>
        <v>-51.578889182477603</v>
      </c>
      <c r="F2015" s="7">
        <f>SUMPRODUCT($C$6:$X$6,'batch tool'!$B2009:$W2009)+$Y$6</f>
        <v>-47.741473633885199</v>
      </c>
      <c r="G2015" s="7">
        <f>SUMPRODUCT($C$7:$X$7,'batch tool'!$B2009:$W2009)+$Y$7</f>
        <v>-19.739516238059196</v>
      </c>
      <c r="H2015" s="7">
        <f t="shared" si="64"/>
        <v>-19.739516238059196</v>
      </c>
      <c r="I2015">
        <f t="shared" si="65"/>
        <v>6</v>
      </c>
      <c r="J2015" t="str" cm="1">
        <f t="array" ref="J2015">INDEX($A$2:$A$7,I2015)</f>
        <v>Segment 6- Self-Conscious Male</v>
      </c>
    </row>
    <row r="2016" spans="1:10" x14ac:dyDescent="0.25">
      <c r="A2016" s="1">
        <f>'batch tool'!A2010</f>
        <v>0</v>
      </c>
      <c r="B2016" s="7">
        <f>SUMPRODUCT($C$2:$X$2,'batch tool'!$B2010:$W2010)+$Y$2</f>
        <v>-49.12272534143483</v>
      </c>
      <c r="C2016" s="7">
        <f>SUMPRODUCT($C$3:$X$3,'batch tool'!$B2010:$W2010)+$Y$3</f>
        <v>-36.514029388465531</v>
      </c>
      <c r="D2016" s="7">
        <f>SUMPRODUCT($C$4:$X$4,'batch tool'!$B2010:$W2010)+$Y$4</f>
        <v>-44.639843068043824</v>
      </c>
      <c r="E2016" s="7">
        <f>SUMPRODUCT($C$5:$X$5,'batch tool'!$B2010:$W2010)+$Y$5</f>
        <v>-51.578889182477603</v>
      </c>
      <c r="F2016" s="7">
        <f>SUMPRODUCT($C$6:$X$6,'batch tool'!$B2010:$W2010)+$Y$6</f>
        <v>-47.741473633885199</v>
      </c>
      <c r="G2016" s="7">
        <f>SUMPRODUCT($C$7:$X$7,'batch tool'!$B2010:$W2010)+$Y$7</f>
        <v>-19.739516238059196</v>
      </c>
      <c r="H2016" s="7">
        <f t="shared" si="64"/>
        <v>-19.739516238059196</v>
      </c>
      <c r="I2016">
        <f t="shared" si="65"/>
        <v>6</v>
      </c>
      <c r="J2016" t="str" cm="1">
        <f t="array" ref="J2016">INDEX($A$2:$A$7,I2016)</f>
        <v>Segment 6- Self-Conscious Male</v>
      </c>
    </row>
    <row r="2017" spans="1:10" x14ac:dyDescent="0.25">
      <c r="A2017" s="1">
        <f>'batch tool'!A2011</f>
        <v>0</v>
      </c>
      <c r="B2017" s="7">
        <f>SUMPRODUCT($C$2:$X$2,'batch tool'!$B2011:$W2011)+$Y$2</f>
        <v>-49.12272534143483</v>
      </c>
      <c r="C2017" s="7">
        <f>SUMPRODUCT($C$3:$X$3,'batch tool'!$B2011:$W2011)+$Y$3</f>
        <v>-36.514029388465531</v>
      </c>
      <c r="D2017" s="7">
        <f>SUMPRODUCT($C$4:$X$4,'batch tool'!$B2011:$W2011)+$Y$4</f>
        <v>-44.639843068043824</v>
      </c>
      <c r="E2017" s="7">
        <f>SUMPRODUCT($C$5:$X$5,'batch tool'!$B2011:$W2011)+$Y$5</f>
        <v>-51.578889182477603</v>
      </c>
      <c r="F2017" s="7">
        <f>SUMPRODUCT($C$6:$X$6,'batch tool'!$B2011:$W2011)+$Y$6</f>
        <v>-47.741473633885199</v>
      </c>
      <c r="G2017" s="7">
        <f>SUMPRODUCT($C$7:$X$7,'batch tool'!$B2011:$W2011)+$Y$7</f>
        <v>-19.739516238059196</v>
      </c>
      <c r="H2017" s="7">
        <f t="shared" si="64"/>
        <v>-19.739516238059196</v>
      </c>
      <c r="I2017">
        <f t="shared" si="65"/>
        <v>6</v>
      </c>
      <c r="J2017" t="str" cm="1">
        <f t="array" ref="J2017">INDEX($A$2:$A$7,I2017)</f>
        <v>Segment 6- Self-Conscious Male</v>
      </c>
    </row>
    <row r="2018" spans="1:10" x14ac:dyDescent="0.25">
      <c r="A2018" s="1">
        <f>'batch tool'!A2012</f>
        <v>0</v>
      </c>
      <c r="B2018" s="7">
        <f>SUMPRODUCT($C$2:$X$2,'batch tool'!$B2012:$W2012)+$Y$2</f>
        <v>-49.12272534143483</v>
      </c>
      <c r="C2018" s="7">
        <f>SUMPRODUCT($C$3:$X$3,'batch tool'!$B2012:$W2012)+$Y$3</f>
        <v>-36.514029388465531</v>
      </c>
      <c r="D2018" s="7">
        <f>SUMPRODUCT($C$4:$X$4,'batch tool'!$B2012:$W2012)+$Y$4</f>
        <v>-44.639843068043824</v>
      </c>
      <c r="E2018" s="7">
        <f>SUMPRODUCT($C$5:$X$5,'batch tool'!$B2012:$W2012)+$Y$5</f>
        <v>-51.578889182477603</v>
      </c>
      <c r="F2018" s="7">
        <f>SUMPRODUCT($C$6:$X$6,'batch tool'!$B2012:$W2012)+$Y$6</f>
        <v>-47.741473633885199</v>
      </c>
      <c r="G2018" s="7">
        <f>SUMPRODUCT($C$7:$X$7,'batch tool'!$B2012:$W2012)+$Y$7</f>
        <v>-19.739516238059196</v>
      </c>
      <c r="H2018" s="7">
        <f t="shared" si="64"/>
        <v>-19.739516238059196</v>
      </c>
      <c r="I2018">
        <f t="shared" si="65"/>
        <v>6</v>
      </c>
      <c r="J2018" t="str" cm="1">
        <f t="array" ref="J2018">INDEX($A$2:$A$7,I2018)</f>
        <v>Segment 6- Self-Conscious Male</v>
      </c>
    </row>
    <row r="2019" spans="1:10" x14ac:dyDescent="0.25">
      <c r="A2019" s="1">
        <f>'batch tool'!A2013</f>
        <v>0</v>
      </c>
      <c r="B2019" s="7">
        <f>SUMPRODUCT($C$2:$X$2,'batch tool'!$B2013:$W2013)+$Y$2</f>
        <v>-49.12272534143483</v>
      </c>
      <c r="C2019" s="7">
        <f>SUMPRODUCT($C$3:$X$3,'batch tool'!$B2013:$W2013)+$Y$3</f>
        <v>-36.514029388465531</v>
      </c>
      <c r="D2019" s="7">
        <f>SUMPRODUCT($C$4:$X$4,'batch tool'!$B2013:$W2013)+$Y$4</f>
        <v>-44.639843068043824</v>
      </c>
      <c r="E2019" s="7">
        <f>SUMPRODUCT($C$5:$X$5,'batch tool'!$B2013:$W2013)+$Y$5</f>
        <v>-51.578889182477603</v>
      </c>
      <c r="F2019" s="7">
        <f>SUMPRODUCT($C$6:$X$6,'batch tool'!$B2013:$W2013)+$Y$6</f>
        <v>-47.741473633885199</v>
      </c>
      <c r="G2019" s="7">
        <f>SUMPRODUCT($C$7:$X$7,'batch tool'!$B2013:$W2013)+$Y$7</f>
        <v>-19.739516238059196</v>
      </c>
      <c r="H2019" s="7">
        <f t="shared" si="64"/>
        <v>-19.739516238059196</v>
      </c>
      <c r="I2019">
        <f t="shared" si="65"/>
        <v>6</v>
      </c>
      <c r="J2019" t="str" cm="1">
        <f t="array" ref="J2019">INDEX($A$2:$A$7,I2019)</f>
        <v>Segment 6- Self-Conscious Male</v>
      </c>
    </row>
    <row r="2020" spans="1:10" x14ac:dyDescent="0.25">
      <c r="A2020" s="1">
        <f>'batch tool'!A2014</f>
        <v>0</v>
      </c>
      <c r="B2020" s="7">
        <f>SUMPRODUCT($C$2:$X$2,'batch tool'!$B2014:$W2014)+$Y$2</f>
        <v>-49.12272534143483</v>
      </c>
      <c r="C2020" s="7">
        <f>SUMPRODUCT($C$3:$X$3,'batch tool'!$B2014:$W2014)+$Y$3</f>
        <v>-36.514029388465531</v>
      </c>
      <c r="D2020" s="7">
        <f>SUMPRODUCT($C$4:$X$4,'batch tool'!$B2014:$W2014)+$Y$4</f>
        <v>-44.639843068043824</v>
      </c>
      <c r="E2020" s="7">
        <f>SUMPRODUCT($C$5:$X$5,'batch tool'!$B2014:$W2014)+$Y$5</f>
        <v>-51.578889182477603</v>
      </c>
      <c r="F2020" s="7">
        <f>SUMPRODUCT($C$6:$X$6,'batch tool'!$B2014:$W2014)+$Y$6</f>
        <v>-47.741473633885199</v>
      </c>
      <c r="G2020" s="7">
        <f>SUMPRODUCT($C$7:$X$7,'batch tool'!$B2014:$W2014)+$Y$7</f>
        <v>-19.739516238059196</v>
      </c>
      <c r="H2020" s="7">
        <f t="shared" si="64"/>
        <v>-19.739516238059196</v>
      </c>
      <c r="I2020">
        <f t="shared" si="65"/>
        <v>6</v>
      </c>
      <c r="J2020" t="str" cm="1">
        <f t="array" ref="J2020">INDEX($A$2:$A$7,I2020)</f>
        <v>Segment 6- Self-Conscious Male</v>
      </c>
    </row>
    <row r="2021" spans="1:10" x14ac:dyDescent="0.25">
      <c r="A2021" s="1">
        <f>'batch tool'!A2015</f>
        <v>0</v>
      </c>
      <c r="B2021" s="7">
        <f>SUMPRODUCT($C$2:$X$2,'batch tool'!$B2015:$W2015)+$Y$2</f>
        <v>-49.12272534143483</v>
      </c>
      <c r="C2021" s="7">
        <f>SUMPRODUCT($C$3:$X$3,'batch tool'!$B2015:$W2015)+$Y$3</f>
        <v>-36.514029388465531</v>
      </c>
      <c r="D2021" s="7">
        <f>SUMPRODUCT($C$4:$X$4,'batch tool'!$B2015:$W2015)+$Y$4</f>
        <v>-44.639843068043824</v>
      </c>
      <c r="E2021" s="7">
        <f>SUMPRODUCT($C$5:$X$5,'batch tool'!$B2015:$W2015)+$Y$5</f>
        <v>-51.578889182477603</v>
      </c>
      <c r="F2021" s="7">
        <f>SUMPRODUCT($C$6:$X$6,'batch tool'!$B2015:$W2015)+$Y$6</f>
        <v>-47.741473633885199</v>
      </c>
      <c r="G2021" s="7">
        <f>SUMPRODUCT($C$7:$X$7,'batch tool'!$B2015:$W2015)+$Y$7</f>
        <v>-19.739516238059196</v>
      </c>
      <c r="H2021" s="7">
        <f t="shared" si="64"/>
        <v>-19.739516238059196</v>
      </c>
      <c r="I2021">
        <f t="shared" si="65"/>
        <v>6</v>
      </c>
      <c r="J2021" t="str" cm="1">
        <f t="array" ref="J2021">INDEX($A$2:$A$7,I2021)</f>
        <v>Segment 6- Self-Conscious Male</v>
      </c>
    </row>
    <row r="2022" spans="1:10" x14ac:dyDescent="0.25">
      <c r="A2022" s="1">
        <f>'batch tool'!A2016</f>
        <v>0</v>
      </c>
      <c r="B2022" s="7">
        <f>SUMPRODUCT($C$2:$X$2,'batch tool'!$B2016:$W2016)+$Y$2</f>
        <v>-49.12272534143483</v>
      </c>
      <c r="C2022" s="7">
        <f>SUMPRODUCT($C$3:$X$3,'batch tool'!$B2016:$W2016)+$Y$3</f>
        <v>-36.514029388465531</v>
      </c>
      <c r="D2022" s="7">
        <f>SUMPRODUCT($C$4:$X$4,'batch tool'!$B2016:$W2016)+$Y$4</f>
        <v>-44.639843068043824</v>
      </c>
      <c r="E2022" s="7">
        <f>SUMPRODUCT($C$5:$X$5,'batch tool'!$B2016:$W2016)+$Y$5</f>
        <v>-51.578889182477603</v>
      </c>
      <c r="F2022" s="7">
        <f>SUMPRODUCT($C$6:$X$6,'batch tool'!$B2016:$W2016)+$Y$6</f>
        <v>-47.741473633885199</v>
      </c>
      <c r="G2022" s="7">
        <f>SUMPRODUCT($C$7:$X$7,'batch tool'!$B2016:$W2016)+$Y$7</f>
        <v>-19.739516238059196</v>
      </c>
      <c r="H2022" s="7">
        <f t="shared" si="64"/>
        <v>-19.739516238059196</v>
      </c>
      <c r="I2022">
        <f t="shared" si="65"/>
        <v>6</v>
      </c>
      <c r="J2022" t="str" cm="1">
        <f t="array" ref="J2022">INDEX($A$2:$A$7,I2022)</f>
        <v>Segment 6- Self-Conscious Male</v>
      </c>
    </row>
    <row r="2023" spans="1:10" x14ac:dyDescent="0.25">
      <c r="A2023" s="1">
        <f>'batch tool'!A2017</f>
        <v>0</v>
      </c>
      <c r="B2023" s="7">
        <f>SUMPRODUCT($C$2:$X$2,'batch tool'!$B2017:$W2017)+$Y$2</f>
        <v>-49.12272534143483</v>
      </c>
      <c r="C2023" s="7">
        <f>SUMPRODUCT($C$3:$X$3,'batch tool'!$B2017:$W2017)+$Y$3</f>
        <v>-36.514029388465531</v>
      </c>
      <c r="D2023" s="7">
        <f>SUMPRODUCT($C$4:$X$4,'batch tool'!$B2017:$W2017)+$Y$4</f>
        <v>-44.639843068043824</v>
      </c>
      <c r="E2023" s="7">
        <f>SUMPRODUCT($C$5:$X$5,'batch tool'!$B2017:$W2017)+$Y$5</f>
        <v>-51.578889182477603</v>
      </c>
      <c r="F2023" s="7">
        <f>SUMPRODUCT($C$6:$X$6,'batch tool'!$B2017:$W2017)+$Y$6</f>
        <v>-47.741473633885199</v>
      </c>
      <c r="G2023" s="7">
        <f>SUMPRODUCT($C$7:$X$7,'batch tool'!$B2017:$W2017)+$Y$7</f>
        <v>-19.739516238059196</v>
      </c>
      <c r="H2023" s="7">
        <f t="shared" si="64"/>
        <v>-19.739516238059196</v>
      </c>
      <c r="I2023">
        <f t="shared" si="65"/>
        <v>6</v>
      </c>
      <c r="J2023" t="str" cm="1">
        <f t="array" ref="J2023">INDEX($A$2:$A$7,I2023)</f>
        <v>Segment 6- Self-Conscious Male</v>
      </c>
    </row>
    <row r="2024" spans="1:10" x14ac:dyDescent="0.25">
      <c r="A2024" s="1">
        <f>'batch tool'!A2018</f>
        <v>0</v>
      </c>
      <c r="B2024" s="7">
        <f>SUMPRODUCT($C$2:$X$2,'batch tool'!$B2018:$W2018)+$Y$2</f>
        <v>-49.12272534143483</v>
      </c>
      <c r="C2024" s="7">
        <f>SUMPRODUCT($C$3:$X$3,'batch tool'!$B2018:$W2018)+$Y$3</f>
        <v>-36.514029388465531</v>
      </c>
      <c r="D2024" s="7">
        <f>SUMPRODUCT($C$4:$X$4,'batch tool'!$B2018:$W2018)+$Y$4</f>
        <v>-44.639843068043824</v>
      </c>
      <c r="E2024" s="7">
        <f>SUMPRODUCT($C$5:$X$5,'batch tool'!$B2018:$W2018)+$Y$5</f>
        <v>-51.578889182477603</v>
      </c>
      <c r="F2024" s="7">
        <f>SUMPRODUCT($C$6:$X$6,'batch tool'!$B2018:$W2018)+$Y$6</f>
        <v>-47.741473633885199</v>
      </c>
      <c r="G2024" s="7">
        <f>SUMPRODUCT($C$7:$X$7,'batch tool'!$B2018:$W2018)+$Y$7</f>
        <v>-19.739516238059196</v>
      </c>
      <c r="H2024" s="7">
        <f t="shared" si="64"/>
        <v>-19.739516238059196</v>
      </c>
      <c r="I2024">
        <f t="shared" si="65"/>
        <v>6</v>
      </c>
      <c r="J2024" t="str" cm="1">
        <f t="array" ref="J2024">INDEX($A$2:$A$7,I2024)</f>
        <v>Segment 6- Self-Conscious Male</v>
      </c>
    </row>
    <row r="2025" spans="1:10" x14ac:dyDescent="0.25">
      <c r="A2025" s="1">
        <f>'batch tool'!A2019</f>
        <v>0</v>
      </c>
      <c r="B2025" s="7">
        <f>SUMPRODUCT($C$2:$X$2,'batch tool'!$B2019:$W2019)+$Y$2</f>
        <v>-49.12272534143483</v>
      </c>
      <c r="C2025" s="7">
        <f>SUMPRODUCT($C$3:$X$3,'batch tool'!$B2019:$W2019)+$Y$3</f>
        <v>-36.514029388465531</v>
      </c>
      <c r="D2025" s="7">
        <f>SUMPRODUCT($C$4:$X$4,'batch tool'!$B2019:$W2019)+$Y$4</f>
        <v>-44.639843068043824</v>
      </c>
      <c r="E2025" s="7">
        <f>SUMPRODUCT($C$5:$X$5,'batch tool'!$B2019:$W2019)+$Y$5</f>
        <v>-51.578889182477603</v>
      </c>
      <c r="F2025" s="7">
        <f>SUMPRODUCT($C$6:$X$6,'batch tool'!$B2019:$W2019)+$Y$6</f>
        <v>-47.741473633885199</v>
      </c>
      <c r="G2025" s="7">
        <f>SUMPRODUCT($C$7:$X$7,'batch tool'!$B2019:$W2019)+$Y$7</f>
        <v>-19.739516238059196</v>
      </c>
      <c r="H2025" s="7">
        <f t="shared" si="64"/>
        <v>-19.739516238059196</v>
      </c>
      <c r="I2025">
        <f t="shared" si="65"/>
        <v>6</v>
      </c>
      <c r="J2025" t="str" cm="1">
        <f t="array" ref="J2025">INDEX($A$2:$A$7,I2025)</f>
        <v>Segment 6- Self-Conscious Male</v>
      </c>
    </row>
    <row r="2026" spans="1:10" x14ac:dyDescent="0.25">
      <c r="A2026" s="1">
        <f>'batch tool'!A2020</f>
        <v>0</v>
      </c>
      <c r="B2026" s="7">
        <f>SUMPRODUCT($C$2:$X$2,'batch tool'!$B2020:$W2020)+$Y$2</f>
        <v>-49.12272534143483</v>
      </c>
      <c r="C2026" s="7">
        <f>SUMPRODUCT($C$3:$X$3,'batch tool'!$B2020:$W2020)+$Y$3</f>
        <v>-36.514029388465531</v>
      </c>
      <c r="D2026" s="7">
        <f>SUMPRODUCT($C$4:$X$4,'batch tool'!$B2020:$W2020)+$Y$4</f>
        <v>-44.639843068043824</v>
      </c>
      <c r="E2026" s="7">
        <f>SUMPRODUCT($C$5:$X$5,'batch tool'!$B2020:$W2020)+$Y$5</f>
        <v>-51.578889182477603</v>
      </c>
      <c r="F2026" s="7">
        <f>SUMPRODUCT($C$6:$X$6,'batch tool'!$B2020:$W2020)+$Y$6</f>
        <v>-47.741473633885199</v>
      </c>
      <c r="G2026" s="7">
        <f>SUMPRODUCT($C$7:$X$7,'batch tool'!$B2020:$W2020)+$Y$7</f>
        <v>-19.739516238059196</v>
      </c>
      <c r="H2026" s="7">
        <f t="shared" si="64"/>
        <v>-19.739516238059196</v>
      </c>
      <c r="I2026">
        <f t="shared" si="65"/>
        <v>6</v>
      </c>
      <c r="J2026" t="str" cm="1">
        <f t="array" ref="J2026">INDEX($A$2:$A$7,I2026)</f>
        <v>Segment 6- Self-Conscious Male</v>
      </c>
    </row>
    <row r="2027" spans="1:10" x14ac:dyDescent="0.25">
      <c r="A2027" s="1">
        <f>'batch tool'!A2021</f>
        <v>0</v>
      </c>
      <c r="B2027" s="7">
        <f>SUMPRODUCT($C$2:$X$2,'batch tool'!$B2021:$W2021)+$Y$2</f>
        <v>-49.12272534143483</v>
      </c>
      <c r="C2027" s="7">
        <f>SUMPRODUCT($C$3:$X$3,'batch tool'!$B2021:$W2021)+$Y$3</f>
        <v>-36.514029388465531</v>
      </c>
      <c r="D2027" s="7">
        <f>SUMPRODUCT($C$4:$X$4,'batch tool'!$B2021:$W2021)+$Y$4</f>
        <v>-44.639843068043824</v>
      </c>
      <c r="E2027" s="7">
        <f>SUMPRODUCT($C$5:$X$5,'batch tool'!$B2021:$W2021)+$Y$5</f>
        <v>-51.578889182477603</v>
      </c>
      <c r="F2027" s="7">
        <f>SUMPRODUCT($C$6:$X$6,'batch tool'!$B2021:$W2021)+$Y$6</f>
        <v>-47.741473633885199</v>
      </c>
      <c r="G2027" s="7">
        <f>SUMPRODUCT($C$7:$X$7,'batch tool'!$B2021:$W2021)+$Y$7</f>
        <v>-19.739516238059196</v>
      </c>
      <c r="H2027" s="7">
        <f t="shared" si="64"/>
        <v>-19.739516238059196</v>
      </c>
      <c r="I2027">
        <f t="shared" si="65"/>
        <v>6</v>
      </c>
      <c r="J2027" t="str" cm="1">
        <f t="array" ref="J2027">INDEX($A$2:$A$7,I2027)</f>
        <v>Segment 6- Self-Conscious Male</v>
      </c>
    </row>
    <row r="2028" spans="1:10" x14ac:dyDescent="0.25">
      <c r="A2028" s="1">
        <f>'batch tool'!A2022</f>
        <v>0</v>
      </c>
      <c r="B2028" s="7">
        <f>SUMPRODUCT($C$2:$X$2,'batch tool'!$B2022:$W2022)+$Y$2</f>
        <v>-49.12272534143483</v>
      </c>
      <c r="C2028" s="7">
        <f>SUMPRODUCT($C$3:$X$3,'batch tool'!$B2022:$W2022)+$Y$3</f>
        <v>-36.514029388465531</v>
      </c>
      <c r="D2028" s="7">
        <f>SUMPRODUCT($C$4:$X$4,'batch tool'!$B2022:$W2022)+$Y$4</f>
        <v>-44.639843068043824</v>
      </c>
      <c r="E2028" s="7">
        <f>SUMPRODUCT($C$5:$X$5,'batch tool'!$B2022:$W2022)+$Y$5</f>
        <v>-51.578889182477603</v>
      </c>
      <c r="F2028" s="7">
        <f>SUMPRODUCT($C$6:$X$6,'batch tool'!$B2022:$W2022)+$Y$6</f>
        <v>-47.741473633885199</v>
      </c>
      <c r="G2028" s="7">
        <f>SUMPRODUCT($C$7:$X$7,'batch tool'!$B2022:$W2022)+$Y$7</f>
        <v>-19.739516238059196</v>
      </c>
      <c r="H2028" s="7">
        <f t="shared" si="64"/>
        <v>-19.739516238059196</v>
      </c>
      <c r="I2028">
        <f t="shared" si="65"/>
        <v>6</v>
      </c>
      <c r="J2028" t="str" cm="1">
        <f t="array" ref="J2028">INDEX($A$2:$A$7,I2028)</f>
        <v>Segment 6- Self-Conscious Male</v>
      </c>
    </row>
    <row r="2029" spans="1:10" x14ac:dyDescent="0.25">
      <c r="A2029" s="1">
        <f>'batch tool'!A2023</f>
        <v>0</v>
      </c>
      <c r="B2029" s="7">
        <f>SUMPRODUCT($C$2:$X$2,'batch tool'!$B2023:$W2023)+$Y$2</f>
        <v>-49.12272534143483</v>
      </c>
      <c r="C2029" s="7">
        <f>SUMPRODUCT($C$3:$X$3,'batch tool'!$B2023:$W2023)+$Y$3</f>
        <v>-36.514029388465531</v>
      </c>
      <c r="D2029" s="7">
        <f>SUMPRODUCT($C$4:$X$4,'batch tool'!$B2023:$W2023)+$Y$4</f>
        <v>-44.639843068043824</v>
      </c>
      <c r="E2029" s="7">
        <f>SUMPRODUCT($C$5:$X$5,'batch tool'!$B2023:$W2023)+$Y$5</f>
        <v>-51.578889182477603</v>
      </c>
      <c r="F2029" s="7">
        <f>SUMPRODUCT($C$6:$X$6,'batch tool'!$B2023:$W2023)+$Y$6</f>
        <v>-47.741473633885199</v>
      </c>
      <c r="G2029" s="7">
        <f>SUMPRODUCT($C$7:$X$7,'batch tool'!$B2023:$W2023)+$Y$7</f>
        <v>-19.739516238059196</v>
      </c>
      <c r="H2029" s="7">
        <f t="shared" si="64"/>
        <v>-19.739516238059196</v>
      </c>
      <c r="I2029">
        <f t="shared" si="65"/>
        <v>6</v>
      </c>
      <c r="J2029" t="str" cm="1">
        <f t="array" ref="J2029">INDEX($A$2:$A$7,I2029)</f>
        <v>Segment 6- Self-Conscious Male</v>
      </c>
    </row>
    <row r="2030" spans="1:10" x14ac:dyDescent="0.25">
      <c r="A2030" s="1">
        <f>'batch tool'!A2024</f>
        <v>0</v>
      </c>
      <c r="B2030" s="7">
        <f>SUMPRODUCT($C$2:$X$2,'batch tool'!$B2024:$W2024)+$Y$2</f>
        <v>-49.12272534143483</v>
      </c>
      <c r="C2030" s="7">
        <f>SUMPRODUCT($C$3:$X$3,'batch tool'!$B2024:$W2024)+$Y$3</f>
        <v>-36.514029388465531</v>
      </c>
      <c r="D2030" s="7">
        <f>SUMPRODUCT($C$4:$X$4,'batch tool'!$B2024:$W2024)+$Y$4</f>
        <v>-44.639843068043824</v>
      </c>
      <c r="E2030" s="7">
        <f>SUMPRODUCT($C$5:$X$5,'batch tool'!$B2024:$W2024)+$Y$5</f>
        <v>-51.578889182477603</v>
      </c>
      <c r="F2030" s="7">
        <f>SUMPRODUCT($C$6:$X$6,'batch tool'!$B2024:$W2024)+$Y$6</f>
        <v>-47.741473633885199</v>
      </c>
      <c r="G2030" s="7">
        <f>SUMPRODUCT($C$7:$X$7,'batch tool'!$B2024:$W2024)+$Y$7</f>
        <v>-19.739516238059196</v>
      </c>
      <c r="H2030" s="7">
        <f t="shared" si="64"/>
        <v>-19.739516238059196</v>
      </c>
      <c r="I2030">
        <f t="shared" si="65"/>
        <v>6</v>
      </c>
      <c r="J2030" t="str" cm="1">
        <f t="array" ref="J2030">INDEX($A$2:$A$7,I2030)</f>
        <v>Segment 6- Self-Conscious Male</v>
      </c>
    </row>
    <row r="2031" spans="1:10" x14ac:dyDescent="0.25">
      <c r="A2031" s="1">
        <f>'batch tool'!A2025</f>
        <v>0</v>
      </c>
      <c r="B2031" s="7">
        <f>SUMPRODUCT($C$2:$X$2,'batch tool'!$B2025:$W2025)+$Y$2</f>
        <v>-49.12272534143483</v>
      </c>
      <c r="C2031" s="7">
        <f>SUMPRODUCT($C$3:$X$3,'batch tool'!$B2025:$W2025)+$Y$3</f>
        <v>-36.514029388465531</v>
      </c>
      <c r="D2031" s="7">
        <f>SUMPRODUCT($C$4:$X$4,'batch tool'!$B2025:$W2025)+$Y$4</f>
        <v>-44.639843068043824</v>
      </c>
      <c r="E2031" s="7">
        <f>SUMPRODUCT($C$5:$X$5,'batch tool'!$B2025:$W2025)+$Y$5</f>
        <v>-51.578889182477603</v>
      </c>
      <c r="F2031" s="7">
        <f>SUMPRODUCT($C$6:$X$6,'batch tool'!$B2025:$W2025)+$Y$6</f>
        <v>-47.741473633885199</v>
      </c>
      <c r="G2031" s="7">
        <f>SUMPRODUCT($C$7:$X$7,'batch tool'!$B2025:$W2025)+$Y$7</f>
        <v>-19.739516238059196</v>
      </c>
      <c r="H2031" s="7">
        <f t="shared" si="64"/>
        <v>-19.739516238059196</v>
      </c>
      <c r="I2031">
        <f t="shared" si="65"/>
        <v>6</v>
      </c>
      <c r="J2031" t="str" cm="1">
        <f t="array" ref="J2031">INDEX($A$2:$A$7,I2031)</f>
        <v>Segment 6- Self-Conscious Male</v>
      </c>
    </row>
    <row r="2032" spans="1:10" x14ac:dyDescent="0.25">
      <c r="A2032" s="1">
        <f>'batch tool'!A2026</f>
        <v>0</v>
      </c>
      <c r="B2032" s="7">
        <f>SUMPRODUCT($C$2:$X$2,'batch tool'!$B2026:$W2026)+$Y$2</f>
        <v>-49.12272534143483</v>
      </c>
      <c r="C2032" s="7">
        <f>SUMPRODUCT($C$3:$X$3,'batch tool'!$B2026:$W2026)+$Y$3</f>
        <v>-36.514029388465531</v>
      </c>
      <c r="D2032" s="7">
        <f>SUMPRODUCT($C$4:$X$4,'batch tool'!$B2026:$W2026)+$Y$4</f>
        <v>-44.639843068043824</v>
      </c>
      <c r="E2032" s="7">
        <f>SUMPRODUCT($C$5:$X$5,'batch tool'!$B2026:$W2026)+$Y$5</f>
        <v>-51.578889182477603</v>
      </c>
      <c r="F2032" s="7">
        <f>SUMPRODUCT($C$6:$X$6,'batch tool'!$B2026:$W2026)+$Y$6</f>
        <v>-47.741473633885199</v>
      </c>
      <c r="G2032" s="7">
        <f>SUMPRODUCT($C$7:$X$7,'batch tool'!$B2026:$W2026)+$Y$7</f>
        <v>-19.739516238059196</v>
      </c>
      <c r="H2032" s="7">
        <f t="shared" si="64"/>
        <v>-19.739516238059196</v>
      </c>
      <c r="I2032">
        <f t="shared" si="65"/>
        <v>6</v>
      </c>
      <c r="J2032" t="str" cm="1">
        <f t="array" ref="J2032">INDEX($A$2:$A$7,I2032)</f>
        <v>Segment 6- Self-Conscious Male</v>
      </c>
    </row>
    <row r="2033" spans="1:10" x14ac:dyDescent="0.25">
      <c r="A2033" s="1">
        <f>'batch tool'!A2027</f>
        <v>0</v>
      </c>
      <c r="B2033" s="7">
        <f>SUMPRODUCT($C$2:$X$2,'batch tool'!$B2027:$W2027)+$Y$2</f>
        <v>-49.12272534143483</v>
      </c>
      <c r="C2033" s="7">
        <f>SUMPRODUCT($C$3:$X$3,'batch tool'!$B2027:$W2027)+$Y$3</f>
        <v>-36.514029388465531</v>
      </c>
      <c r="D2033" s="7">
        <f>SUMPRODUCT($C$4:$X$4,'batch tool'!$B2027:$W2027)+$Y$4</f>
        <v>-44.639843068043824</v>
      </c>
      <c r="E2033" s="7">
        <f>SUMPRODUCT($C$5:$X$5,'batch tool'!$B2027:$W2027)+$Y$5</f>
        <v>-51.578889182477603</v>
      </c>
      <c r="F2033" s="7">
        <f>SUMPRODUCT($C$6:$X$6,'batch tool'!$B2027:$W2027)+$Y$6</f>
        <v>-47.741473633885199</v>
      </c>
      <c r="G2033" s="7">
        <f>SUMPRODUCT($C$7:$X$7,'batch tool'!$B2027:$W2027)+$Y$7</f>
        <v>-19.739516238059196</v>
      </c>
      <c r="H2033" s="7">
        <f t="shared" si="64"/>
        <v>-19.739516238059196</v>
      </c>
      <c r="I2033">
        <f t="shared" si="65"/>
        <v>6</v>
      </c>
      <c r="J2033" t="str" cm="1">
        <f t="array" ref="J2033">INDEX($A$2:$A$7,I2033)</f>
        <v>Segment 6- Self-Conscious Male</v>
      </c>
    </row>
    <row r="2034" spans="1:10" x14ac:dyDescent="0.25">
      <c r="A2034" s="1">
        <f>'batch tool'!A2028</f>
        <v>0</v>
      </c>
      <c r="B2034" s="7">
        <f>SUMPRODUCT($C$2:$X$2,'batch tool'!$B2028:$W2028)+$Y$2</f>
        <v>-49.12272534143483</v>
      </c>
      <c r="C2034" s="7">
        <f>SUMPRODUCT($C$3:$X$3,'batch tool'!$B2028:$W2028)+$Y$3</f>
        <v>-36.514029388465531</v>
      </c>
      <c r="D2034" s="7">
        <f>SUMPRODUCT($C$4:$X$4,'batch tool'!$B2028:$W2028)+$Y$4</f>
        <v>-44.639843068043824</v>
      </c>
      <c r="E2034" s="7">
        <f>SUMPRODUCT($C$5:$X$5,'batch tool'!$B2028:$W2028)+$Y$5</f>
        <v>-51.578889182477603</v>
      </c>
      <c r="F2034" s="7">
        <f>SUMPRODUCT($C$6:$X$6,'batch tool'!$B2028:$W2028)+$Y$6</f>
        <v>-47.741473633885199</v>
      </c>
      <c r="G2034" s="7">
        <f>SUMPRODUCT($C$7:$X$7,'batch tool'!$B2028:$W2028)+$Y$7</f>
        <v>-19.739516238059196</v>
      </c>
      <c r="H2034" s="7">
        <f t="shared" si="64"/>
        <v>-19.739516238059196</v>
      </c>
      <c r="I2034">
        <f t="shared" si="65"/>
        <v>6</v>
      </c>
      <c r="J2034" t="str" cm="1">
        <f t="array" ref="J2034">INDEX($A$2:$A$7,I2034)</f>
        <v>Segment 6- Self-Conscious Male</v>
      </c>
    </row>
    <row r="2035" spans="1:10" x14ac:dyDescent="0.25">
      <c r="A2035" s="1">
        <f>'batch tool'!A2029</f>
        <v>0</v>
      </c>
      <c r="B2035" s="7">
        <f>SUMPRODUCT($C$2:$X$2,'batch tool'!$B2029:$W2029)+$Y$2</f>
        <v>-49.12272534143483</v>
      </c>
      <c r="C2035" s="7">
        <f>SUMPRODUCT($C$3:$X$3,'batch tool'!$B2029:$W2029)+$Y$3</f>
        <v>-36.514029388465531</v>
      </c>
      <c r="D2035" s="7">
        <f>SUMPRODUCT($C$4:$X$4,'batch tool'!$B2029:$W2029)+$Y$4</f>
        <v>-44.639843068043824</v>
      </c>
      <c r="E2035" s="7">
        <f>SUMPRODUCT($C$5:$X$5,'batch tool'!$B2029:$W2029)+$Y$5</f>
        <v>-51.578889182477603</v>
      </c>
      <c r="F2035" s="7">
        <f>SUMPRODUCT($C$6:$X$6,'batch tool'!$B2029:$W2029)+$Y$6</f>
        <v>-47.741473633885199</v>
      </c>
      <c r="G2035" s="7">
        <f>SUMPRODUCT($C$7:$X$7,'batch tool'!$B2029:$W2029)+$Y$7</f>
        <v>-19.739516238059196</v>
      </c>
      <c r="H2035" s="7">
        <f t="shared" si="64"/>
        <v>-19.739516238059196</v>
      </c>
      <c r="I2035">
        <f t="shared" si="65"/>
        <v>6</v>
      </c>
      <c r="J2035" t="str" cm="1">
        <f t="array" ref="J2035">INDEX($A$2:$A$7,I2035)</f>
        <v>Segment 6- Self-Conscious Male</v>
      </c>
    </row>
    <row r="2036" spans="1:10" x14ac:dyDescent="0.25">
      <c r="A2036" s="1">
        <f>'batch tool'!A2030</f>
        <v>0</v>
      </c>
      <c r="B2036" s="7">
        <f>SUMPRODUCT($C$2:$X$2,'batch tool'!$B2030:$W2030)+$Y$2</f>
        <v>-49.12272534143483</v>
      </c>
      <c r="C2036" s="7">
        <f>SUMPRODUCT($C$3:$X$3,'batch tool'!$B2030:$W2030)+$Y$3</f>
        <v>-36.514029388465531</v>
      </c>
      <c r="D2036" s="7">
        <f>SUMPRODUCT($C$4:$X$4,'batch tool'!$B2030:$W2030)+$Y$4</f>
        <v>-44.639843068043824</v>
      </c>
      <c r="E2036" s="7">
        <f>SUMPRODUCT($C$5:$X$5,'batch tool'!$B2030:$W2030)+$Y$5</f>
        <v>-51.578889182477603</v>
      </c>
      <c r="F2036" s="7">
        <f>SUMPRODUCT($C$6:$X$6,'batch tool'!$B2030:$W2030)+$Y$6</f>
        <v>-47.741473633885199</v>
      </c>
      <c r="G2036" s="7">
        <f>SUMPRODUCT($C$7:$X$7,'batch tool'!$B2030:$W2030)+$Y$7</f>
        <v>-19.739516238059196</v>
      </c>
      <c r="H2036" s="7">
        <f t="shared" si="64"/>
        <v>-19.739516238059196</v>
      </c>
      <c r="I2036">
        <f t="shared" si="65"/>
        <v>6</v>
      </c>
      <c r="J2036" t="str" cm="1">
        <f t="array" ref="J2036">INDEX($A$2:$A$7,I2036)</f>
        <v>Segment 6- Self-Conscious Male</v>
      </c>
    </row>
    <row r="2037" spans="1:10" x14ac:dyDescent="0.25">
      <c r="A2037" s="1">
        <f>'batch tool'!A2031</f>
        <v>0</v>
      </c>
      <c r="B2037" s="7">
        <f>SUMPRODUCT($C$2:$X$2,'batch tool'!$B2031:$W2031)+$Y$2</f>
        <v>-49.12272534143483</v>
      </c>
      <c r="C2037" s="7">
        <f>SUMPRODUCT($C$3:$X$3,'batch tool'!$B2031:$W2031)+$Y$3</f>
        <v>-36.514029388465531</v>
      </c>
      <c r="D2037" s="7">
        <f>SUMPRODUCT($C$4:$X$4,'batch tool'!$B2031:$W2031)+$Y$4</f>
        <v>-44.639843068043824</v>
      </c>
      <c r="E2037" s="7">
        <f>SUMPRODUCT($C$5:$X$5,'batch tool'!$B2031:$W2031)+$Y$5</f>
        <v>-51.578889182477603</v>
      </c>
      <c r="F2037" s="7">
        <f>SUMPRODUCT($C$6:$X$6,'batch tool'!$B2031:$W2031)+$Y$6</f>
        <v>-47.741473633885199</v>
      </c>
      <c r="G2037" s="7">
        <f>SUMPRODUCT($C$7:$X$7,'batch tool'!$B2031:$W2031)+$Y$7</f>
        <v>-19.739516238059196</v>
      </c>
      <c r="H2037" s="7">
        <f t="shared" si="64"/>
        <v>-19.739516238059196</v>
      </c>
      <c r="I2037">
        <f t="shared" si="65"/>
        <v>6</v>
      </c>
      <c r="J2037" t="str" cm="1">
        <f t="array" ref="J2037">INDEX($A$2:$A$7,I2037)</f>
        <v>Segment 6- Self-Conscious Male</v>
      </c>
    </row>
    <row r="2038" spans="1:10" x14ac:dyDescent="0.25">
      <c r="A2038" s="1">
        <f>'batch tool'!A2032</f>
        <v>0</v>
      </c>
      <c r="B2038" s="7">
        <f>SUMPRODUCT($C$2:$X$2,'batch tool'!$B2032:$W2032)+$Y$2</f>
        <v>-49.12272534143483</v>
      </c>
      <c r="C2038" s="7">
        <f>SUMPRODUCT($C$3:$X$3,'batch tool'!$B2032:$W2032)+$Y$3</f>
        <v>-36.514029388465531</v>
      </c>
      <c r="D2038" s="7">
        <f>SUMPRODUCT($C$4:$X$4,'batch tool'!$B2032:$W2032)+$Y$4</f>
        <v>-44.639843068043824</v>
      </c>
      <c r="E2038" s="7">
        <f>SUMPRODUCT($C$5:$X$5,'batch tool'!$B2032:$W2032)+$Y$5</f>
        <v>-51.578889182477603</v>
      </c>
      <c r="F2038" s="7">
        <f>SUMPRODUCT($C$6:$X$6,'batch tool'!$B2032:$W2032)+$Y$6</f>
        <v>-47.741473633885199</v>
      </c>
      <c r="G2038" s="7">
        <f>SUMPRODUCT($C$7:$X$7,'batch tool'!$B2032:$W2032)+$Y$7</f>
        <v>-19.739516238059196</v>
      </c>
      <c r="H2038" s="7">
        <f t="shared" si="64"/>
        <v>-19.739516238059196</v>
      </c>
      <c r="I2038">
        <f t="shared" si="65"/>
        <v>6</v>
      </c>
      <c r="J2038" t="str" cm="1">
        <f t="array" ref="J2038">INDEX($A$2:$A$7,I2038)</f>
        <v>Segment 6- Self-Conscious Male</v>
      </c>
    </row>
    <row r="2039" spans="1:10" x14ac:dyDescent="0.25">
      <c r="A2039" s="1">
        <f>'batch tool'!A2033</f>
        <v>0</v>
      </c>
      <c r="B2039" s="7">
        <f>SUMPRODUCT($C$2:$X$2,'batch tool'!$B2033:$W2033)+$Y$2</f>
        <v>-49.12272534143483</v>
      </c>
      <c r="C2039" s="7">
        <f>SUMPRODUCT($C$3:$X$3,'batch tool'!$B2033:$W2033)+$Y$3</f>
        <v>-36.514029388465531</v>
      </c>
      <c r="D2039" s="7">
        <f>SUMPRODUCT($C$4:$X$4,'batch tool'!$B2033:$W2033)+$Y$4</f>
        <v>-44.639843068043824</v>
      </c>
      <c r="E2039" s="7">
        <f>SUMPRODUCT($C$5:$X$5,'batch tool'!$B2033:$W2033)+$Y$5</f>
        <v>-51.578889182477603</v>
      </c>
      <c r="F2039" s="7">
        <f>SUMPRODUCT($C$6:$X$6,'batch tool'!$B2033:$W2033)+$Y$6</f>
        <v>-47.741473633885199</v>
      </c>
      <c r="G2039" s="7">
        <f>SUMPRODUCT($C$7:$X$7,'batch tool'!$B2033:$W2033)+$Y$7</f>
        <v>-19.739516238059196</v>
      </c>
      <c r="H2039" s="7">
        <f t="shared" si="64"/>
        <v>-19.739516238059196</v>
      </c>
      <c r="I2039">
        <f t="shared" si="65"/>
        <v>6</v>
      </c>
      <c r="J2039" t="str" cm="1">
        <f t="array" ref="J2039">INDEX($A$2:$A$7,I2039)</f>
        <v>Segment 6- Self-Conscious Male</v>
      </c>
    </row>
    <row r="2040" spans="1:10" x14ac:dyDescent="0.25">
      <c r="A2040" s="1">
        <f>'batch tool'!A2034</f>
        <v>0</v>
      </c>
      <c r="B2040" s="7">
        <f>SUMPRODUCT($C$2:$X$2,'batch tool'!$B2034:$W2034)+$Y$2</f>
        <v>-49.12272534143483</v>
      </c>
      <c r="C2040" s="7">
        <f>SUMPRODUCT($C$3:$X$3,'batch tool'!$B2034:$W2034)+$Y$3</f>
        <v>-36.514029388465531</v>
      </c>
      <c r="D2040" s="7">
        <f>SUMPRODUCT($C$4:$X$4,'batch tool'!$B2034:$W2034)+$Y$4</f>
        <v>-44.639843068043824</v>
      </c>
      <c r="E2040" s="7">
        <f>SUMPRODUCT($C$5:$X$5,'batch tool'!$B2034:$W2034)+$Y$5</f>
        <v>-51.578889182477603</v>
      </c>
      <c r="F2040" s="7">
        <f>SUMPRODUCT($C$6:$X$6,'batch tool'!$B2034:$W2034)+$Y$6</f>
        <v>-47.741473633885199</v>
      </c>
      <c r="G2040" s="7">
        <f>SUMPRODUCT($C$7:$X$7,'batch tool'!$B2034:$W2034)+$Y$7</f>
        <v>-19.739516238059196</v>
      </c>
      <c r="H2040" s="7">
        <f t="shared" si="64"/>
        <v>-19.739516238059196</v>
      </c>
      <c r="I2040">
        <f t="shared" si="65"/>
        <v>6</v>
      </c>
      <c r="J2040" t="str" cm="1">
        <f t="array" ref="J2040">INDEX($A$2:$A$7,I2040)</f>
        <v>Segment 6- Self-Conscious Male</v>
      </c>
    </row>
    <row r="2041" spans="1:10" x14ac:dyDescent="0.25">
      <c r="A2041" s="1">
        <f>'batch tool'!A2035</f>
        <v>0</v>
      </c>
      <c r="B2041" s="7">
        <f>SUMPRODUCT($C$2:$X$2,'batch tool'!$B2035:$W2035)+$Y$2</f>
        <v>-49.12272534143483</v>
      </c>
      <c r="C2041" s="7">
        <f>SUMPRODUCT($C$3:$X$3,'batch tool'!$B2035:$W2035)+$Y$3</f>
        <v>-36.514029388465531</v>
      </c>
      <c r="D2041" s="7">
        <f>SUMPRODUCT($C$4:$X$4,'batch tool'!$B2035:$W2035)+$Y$4</f>
        <v>-44.639843068043824</v>
      </c>
      <c r="E2041" s="7">
        <f>SUMPRODUCT($C$5:$X$5,'batch tool'!$B2035:$W2035)+$Y$5</f>
        <v>-51.578889182477603</v>
      </c>
      <c r="F2041" s="7">
        <f>SUMPRODUCT($C$6:$X$6,'batch tool'!$B2035:$W2035)+$Y$6</f>
        <v>-47.741473633885199</v>
      </c>
      <c r="G2041" s="7">
        <f>SUMPRODUCT($C$7:$X$7,'batch tool'!$B2035:$W2035)+$Y$7</f>
        <v>-19.739516238059196</v>
      </c>
      <c r="H2041" s="7">
        <f t="shared" si="64"/>
        <v>-19.739516238059196</v>
      </c>
      <c r="I2041">
        <f t="shared" si="65"/>
        <v>6</v>
      </c>
      <c r="J2041" t="str" cm="1">
        <f t="array" ref="J2041">INDEX($A$2:$A$7,I2041)</f>
        <v>Segment 6- Self-Conscious Male</v>
      </c>
    </row>
    <row r="2042" spans="1:10" x14ac:dyDescent="0.25">
      <c r="A2042" s="1">
        <f>'batch tool'!A2036</f>
        <v>0</v>
      </c>
      <c r="B2042" s="7">
        <f>SUMPRODUCT($C$2:$X$2,'batch tool'!$B2036:$W2036)+$Y$2</f>
        <v>-49.12272534143483</v>
      </c>
      <c r="C2042" s="7">
        <f>SUMPRODUCT($C$3:$X$3,'batch tool'!$B2036:$W2036)+$Y$3</f>
        <v>-36.514029388465531</v>
      </c>
      <c r="D2042" s="7">
        <f>SUMPRODUCT($C$4:$X$4,'batch tool'!$B2036:$W2036)+$Y$4</f>
        <v>-44.639843068043824</v>
      </c>
      <c r="E2042" s="7">
        <f>SUMPRODUCT($C$5:$X$5,'batch tool'!$B2036:$W2036)+$Y$5</f>
        <v>-51.578889182477603</v>
      </c>
      <c r="F2042" s="7">
        <f>SUMPRODUCT($C$6:$X$6,'batch tool'!$B2036:$W2036)+$Y$6</f>
        <v>-47.741473633885199</v>
      </c>
      <c r="G2042" s="7">
        <f>SUMPRODUCT($C$7:$X$7,'batch tool'!$B2036:$W2036)+$Y$7</f>
        <v>-19.739516238059196</v>
      </c>
      <c r="H2042" s="7">
        <f t="shared" si="64"/>
        <v>-19.739516238059196</v>
      </c>
      <c r="I2042">
        <f t="shared" si="65"/>
        <v>6</v>
      </c>
      <c r="J2042" t="str" cm="1">
        <f t="array" ref="J2042">INDEX($A$2:$A$7,I2042)</f>
        <v>Segment 6- Self-Conscious Male</v>
      </c>
    </row>
    <row r="2043" spans="1:10" x14ac:dyDescent="0.25">
      <c r="A2043" s="1">
        <f>'batch tool'!A2037</f>
        <v>0</v>
      </c>
      <c r="B2043" s="7">
        <f>SUMPRODUCT($C$2:$X$2,'batch tool'!$B2037:$W2037)+$Y$2</f>
        <v>-49.12272534143483</v>
      </c>
      <c r="C2043" s="7">
        <f>SUMPRODUCT($C$3:$X$3,'batch tool'!$B2037:$W2037)+$Y$3</f>
        <v>-36.514029388465531</v>
      </c>
      <c r="D2043" s="7">
        <f>SUMPRODUCT($C$4:$X$4,'batch tool'!$B2037:$W2037)+$Y$4</f>
        <v>-44.639843068043824</v>
      </c>
      <c r="E2043" s="7">
        <f>SUMPRODUCT($C$5:$X$5,'batch tool'!$B2037:$W2037)+$Y$5</f>
        <v>-51.578889182477603</v>
      </c>
      <c r="F2043" s="7">
        <f>SUMPRODUCT($C$6:$X$6,'batch tool'!$B2037:$W2037)+$Y$6</f>
        <v>-47.741473633885199</v>
      </c>
      <c r="G2043" s="7">
        <f>SUMPRODUCT($C$7:$X$7,'batch tool'!$B2037:$W2037)+$Y$7</f>
        <v>-19.739516238059196</v>
      </c>
      <c r="H2043" s="7">
        <f t="shared" si="64"/>
        <v>-19.739516238059196</v>
      </c>
      <c r="I2043">
        <f t="shared" si="65"/>
        <v>6</v>
      </c>
      <c r="J2043" t="str" cm="1">
        <f t="array" ref="J2043">INDEX($A$2:$A$7,I2043)</f>
        <v>Segment 6- Self-Conscious Male</v>
      </c>
    </row>
    <row r="2044" spans="1:10" x14ac:dyDescent="0.25">
      <c r="A2044" s="1">
        <f>'batch tool'!A2038</f>
        <v>0</v>
      </c>
      <c r="B2044" s="7">
        <f>SUMPRODUCT($C$2:$X$2,'batch tool'!$B2038:$W2038)+$Y$2</f>
        <v>-49.12272534143483</v>
      </c>
      <c r="C2044" s="7">
        <f>SUMPRODUCT($C$3:$X$3,'batch tool'!$B2038:$W2038)+$Y$3</f>
        <v>-36.514029388465531</v>
      </c>
      <c r="D2044" s="7">
        <f>SUMPRODUCT($C$4:$X$4,'batch tool'!$B2038:$W2038)+$Y$4</f>
        <v>-44.639843068043824</v>
      </c>
      <c r="E2044" s="7">
        <f>SUMPRODUCT($C$5:$X$5,'batch tool'!$B2038:$W2038)+$Y$5</f>
        <v>-51.578889182477603</v>
      </c>
      <c r="F2044" s="7">
        <f>SUMPRODUCT($C$6:$X$6,'batch tool'!$B2038:$W2038)+$Y$6</f>
        <v>-47.741473633885199</v>
      </c>
      <c r="G2044" s="7">
        <f>SUMPRODUCT($C$7:$X$7,'batch tool'!$B2038:$W2038)+$Y$7</f>
        <v>-19.739516238059196</v>
      </c>
      <c r="H2044" s="7">
        <f t="shared" si="64"/>
        <v>-19.739516238059196</v>
      </c>
      <c r="I2044">
        <f t="shared" si="65"/>
        <v>6</v>
      </c>
      <c r="J2044" t="str" cm="1">
        <f t="array" ref="J2044">INDEX($A$2:$A$7,I2044)</f>
        <v>Segment 6- Self-Conscious Male</v>
      </c>
    </row>
    <row r="2045" spans="1:10" x14ac:dyDescent="0.25">
      <c r="A2045" s="1">
        <f>'batch tool'!A2039</f>
        <v>0</v>
      </c>
      <c r="B2045" s="7">
        <f>SUMPRODUCT($C$2:$X$2,'batch tool'!$B2039:$W2039)+$Y$2</f>
        <v>-49.12272534143483</v>
      </c>
      <c r="C2045" s="7">
        <f>SUMPRODUCT($C$3:$X$3,'batch tool'!$B2039:$W2039)+$Y$3</f>
        <v>-36.514029388465531</v>
      </c>
      <c r="D2045" s="7">
        <f>SUMPRODUCT($C$4:$X$4,'batch tool'!$B2039:$W2039)+$Y$4</f>
        <v>-44.639843068043824</v>
      </c>
      <c r="E2045" s="7">
        <f>SUMPRODUCT($C$5:$X$5,'batch tool'!$B2039:$W2039)+$Y$5</f>
        <v>-51.578889182477603</v>
      </c>
      <c r="F2045" s="7">
        <f>SUMPRODUCT($C$6:$X$6,'batch tool'!$B2039:$W2039)+$Y$6</f>
        <v>-47.741473633885199</v>
      </c>
      <c r="G2045" s="7">
        <f>SUMPRODUCT($C$7:$X$7,'batch tool'!$B2039:$W2039)+$Y$7</f>
        <v>-19.739516238059196</v>
      </c>
      <c r="H2045" s="7">
        <f t="shared" si="64"/>
        <v>-19.739516238059196</v>
      </c>
      <c r="I2045">
        <f t="shared" si="65"/>
        <v>6</v>
      </c>
      <c r="J2045" t="str" cm="1">
        <f t="array" ref="J2045">INDEX($A$2:$A$7,I2045)</f>
        <v>Segment 6- Self-Conscious Male</v>
      </c>
    </row>
    <row r="2046" spans="1:10" x14ac:dyDescent="0.25">
      <c r="A2046" s="1">
        <f>'batch tool'!A2040</f>
        <v>0</v>
      </c>
      <c r="B2046" s="7">
        <f>SUMPRODUCT($C$2:$X$2,'batch tool'!$B2040:$W2040)+$Y$2</f>
        <v>-49.12272534143483</v>
      </c>
      <c r="C2046" s="7">
        <f>SUMPRODUCT($C$3:$X$3,'batch tool'!$B2040:$W2040)+$Y$3</f>
        <v>-36.514029388465531</v>
      </c>
      <c r="D2046" s="7">
        <f>SUMPRODUCT($C$4:$X$4,'batch tool'!$B2040:$W2040)+$Y$4</f>
        <v>-44.639843068043824</v>
      </c>
      <c r="E2046" s="7">
        <f>SUMPRODUCT($C$5:$X$5,'batch tool'!$B2040:$W2040)+$Y$5</f>
        <v>-51.578889182477603</v>
      </c>
      <c r="F2046" s="7">
        <f>SUMPRODUCT($C$6:$X$6,'batch tool'!$B2040:$W2040)+$Y$6</f>
        <v>-47.741473633885199</v>
      </c>
      <c r="G2046" s="7">
        <f>SUMPRODUCT($C$7:$X$7,'batch tool'!$B2040:$W2040)+$Y$7</f>
        <v>-19.739516238059196</v>
      </c>
      <c r="H2046" s="7">
        <f t="shared" si="64"/>
        <v>-19.739516238059196</v>
      </c>
      <c r="I2046">
        <f t="shared" si="65"/>
        <v>6</v>
      </c>
      <c r="J2046" t="str" cm="1">
        <f t="array" ref="J2046">INDEX($A$2:$A$7,I2046)</f>
        <v>Segment 6- Self-Conscious Male</v>
      </c>
    </row>
    <row r="2047" spans="1:10" x14ac:dyDescent="0.25">
      <c r="A2047" s="1">
        <f>'batch tool'!A2041</f>
        <v>0</v>
      </c>
      <c r="B2047" s="7">
        <f>SUMPRODUCT($C$2:$X$2,'batch tool'!$B2041:$W2041)+$Y$2</f>
        <v>-49.12272534143483</v>
      </c>
      <c r="C2047" s="7">
        <f>SUMPRODUCT($C$3:$X$3,'batch tool'!$B2041:$W2041)+$Y$3</f>
        <v>-36.514029388465531</v>
      </c>
      <c r="D2047" s="7">
        <f>SUMPRODUCT($C$4:$X$4,'batch tool'!$B2041:$W2041)+$Y$4</f>
        <v>-44.639843068043824</v>
      </c>
      <c r="E2047" s="7">
        <f>SUMPRODUCT($C$5:$X$5,'batch tool'!$B2041:$W2041)+$Y$5</f>
        <v>-51.578889182477603</v>
      </c>
      <c r="F2047" s="7">
        <f>SUMPRODUCT($C$6:$X$6,'batch tool'!$B2041:$W2041)+$Y$6</f>
        <v>-47.741473633885199</v>
      </c>
      <c r="G2047" s="7">
        <f>SUMPRODUCT($C$7:$X$7,'batch tool'!$B2041:$W2041)+$Y$7</f>
        <v>-19.739516238059196</v>
      </c>
      <c r="H2047" s="7">
        <f t="shared" si="64"/>
        <v>-19.739516238059196</v>
      </c>
      <c r="I2047">
        <f t="shared" si="65"/>
        <v>6</v>
      </c>
      <c r="J2047" t="str" cm="1">
        <f t="array" ref="J2047">INDEX($A$2:$A$7,I2047)</f>
        <v>Segment 6- Self-Conscious Male</v>
      </c>
    </row>
    <row r="2048" spans="1:10" x14ac:dyDescent="0.25">
      <c r="A2048" s="1">
        <f>'batch tool'!A2042</f>
        <v>0</v>
      </c>
      <c r="B2048" s="7">
        <f>SUMPRODUCT($C$2:$X$2,'batch tool'!$B2042:$W2042)+$Y$2</f>
        <v>-49.12272534143483</v>
      </c>
      <c r="C2048" s="7">
        <f>SUMPRODUCT($C$3:$X$3,'batch tool'!$B2042:$W2042)+$Y$3</f>
        <v>-36.514029388465531</v>
      </c>
      <c r="D2048" s="7">
        <f>SUMPRODUCT($C$4:$X$4,'batch tool'!$B2042:$W2042)+$Y$4</f>
        <v>-44.639843068043824</v>
      </c>
      <c r="E2048" s="7">
        <f>SUMPRODUCT($C$5:$X$5,'batch tool'!$B2042:$W2042)+$Y$5</f>
        <v>-51.578889182477603</v>
      </c>
      <c r="F2048" s="7">
        <f>SUMPRODUCT($C$6:$X$6,'batch tool'!$B2042:$W2042)+$Y$6</f>
        <v>-47.741473633885199</v>
      </c>
      <c r="G2048" s="7">
        <f>SUMPRODUCT($C$7:$X$7,'batch tool'!$B2042:$W2042)+$Y$7</f>
        <v>-19.739516238059196</v>
      </c>
      <c r="H2048" s="7">
        <f t="shared" si="64"/>
        <v>-19.739516238059196</v>
      </c>
      <c r="I2048">
        <f t="shared" si="65"/>
        <v>6</v>
      </c>
      <c r="J2048" t="str" cm="1">
        <f t="array" ref="J2048">INDEX($A$2:$A$7,I2048)</f>
        <v>Segment 6- Self-Conscious Male</v>
      </c>
    </row>
    <row r="2049" spans="1:10" x14ac:dyDescent="0.25">
      <c r="A2049" s="1">
        <f>'batch tool'!A2043</f>
        <v>0</v>
      </c>
      <c r="B2049" s="7">
        <f>SUMPRODUCT($C$2:$X$2,'batch tool'!$B2043:$W2043)+$Y$2</f>
        <v>-49.12272534143483</v>
      </c>
      <c r="C2049" s="7">
        <f>SUMPRODUCT($C$3:$X$3,'batch tool'!$B2043:$W2043)+$Y$3</f>
        <v>-36.514029388465531</v>
      </c>
      <c r="D2049" s="7">
        <f>SUMPRODUCT($C$4:$X$4,'batch tool'!$B2043:$W2043)+$Y$4</f>
        <v>-44.639843068043824</v>
      </c>
      <c r="E2049" s="7">
        <f>SUMPRODUCT($C$5:$X$5,'batch tool'!$B2043:$W2043)+$Y$5</f>
        <v>-51.578889182477603</v>
      </c>
      <c r="F2049" s="7">
        <f>SUMPRODUCT($C$6:$X$6,'batch tool'!$B2043:$W2043)+$Y$6</f>
        <v>-47.741473633885199</v>
      </c>
      <c r="G2049" s="7">
        <f>SUMPRODUCT($C$7:$X$7,'batch tool'!$B2043:$W2043)+$Y$7</f>
        <v>-19.739516238059196</v>
      </c>
      <c r="H2049" s="7">
        <f t="shared" si="64"/>
        <v>-19.739516238059196</v>
      </c>
      <c r="I2049">
        <f t="shared" si="65"/>
        <v>6</v>
      </c>
      <c r="J2049" t="str" cm="1">
        <f t="array" ref="J2049">INDEX($A$2:$A$7,I2049)</f>
        <v>Segment 6- Self-Conscious Male</v>
      </c>
    </row>
    <row r="2050" spans="1:10" x14ac:dyDescent="0.25">
      <c r="A2050" s="1">
        <f>'batch tool'!A2044</f>
        <v>0</v>
      </c>
      <c r="B2050" s="7">
        <f>SUMPRODUCT($C$2:$X$2,'batch tool'!$B2044:$W2044)+$Y$2</f>
        <v>-49.12272534143483</v>
      </c>
      <c r="C2050" s="7">
        <f>SUMPRODUCT($C$3:$X$3,'batch tool'!$B2044:$W2044)+$Y$3</f>
        <v>-36.514029388465531</v>
      </c>
      <c r="D2050" s="7">
        <f>SUMPRODUCT($C$4:$X$4,'batch tool'!$B2044:$W2044)+$Y$4</f>
        <v>-44.639843068043824</v>
      </c>
      <c r="E2050" s="7">
        <f>SUMPRODUCT($C$5:$X$5,'batch tool'!$B2044:$W2044)+$Y$5</f>
        <v>-51.578889182477603</v>
      </c>
      <c r="F2050" s="7">
        <f>SUMPRODUCT($C$6:$X$6,'batch tool'!$B2044:$W2044)+$Y$6</f>
        <v>-47.741473633885199</v>
      </c>
      <c r="G2050" s="7">
        <f>SUMPRODUCT($C$7:$X$7,'batch tool'!$B2044:$W2044)+$Y$7</f>
        <v>-19.739516238059196</v>
      </c>
      <c r="H2050" s="7">
        <f t="shared" si="64"/>
        <v>-19.739516238059196</v>
      </c>
      <c r="I2050">
        <f t="shared" si="65"/>
        <v>6</v>
      </c>
      <c r="J2050" t="str" cm="1">
        <f t="array" ref="J2050">INDEX($A$2:$A$7,I2050)</f>
        <v>Segment 6- Self-Conscious Male</v>
      </c>
    </row>
    <row r="2051" spans="1:10" x14ac:dyDescent="0.25">
      <c r="A2051" s="1">
        <f>'batch tool'!A2045</f>
        <v>0</v>
      </c>
      <c r="B2051" s="7">
        <f>SUMPRODUCT($C$2:$X$2,'batch tool'!$B2045:$W2045)+$Y$2</f>
        <v>-49.12272534143483</v>
      </c>
      <c r="C2051" s="7">
        <f>SUMPRODUCT($C$3:$X$3,'batch tool'!$B2045:$W2045)+$Y$3</f>
        <v>-36.514029388465531</v>
      </c>
      <c r="D2051" s="7">
        <f>SUMPRODUCT($C$4:$X$4,'batch tool'!$B2045:$W2045)+$Y$4</f>
        <v>-44.639843068043824</v>
      </c>
      <c r="E2051" s="7">
        <f>SUMPRODUCT($C$5:$X$5,'batch tool'!$B2045:$W2045)+$Y$5</f>
        <v>-51.578889182477603</v>
      </c>
      <c r="F2051" s="7">
        <f>SUMPRODUCT($C$6:$X$6,'batch tool'!$B2045:$W2045)+$Y$6</f>
        <v>-47.741473633885199</v>
      </c>
      <c r="G2051" s="7">
        <f>SUMPRODUCT($C$7:$X$7,'batch tool'!$B2045:$W2045)+$Y$7</f>
        <v>-19.739516238059196</v>
      </c>
      <c r="H2051" s="7">
        <f t="shared" si="64"/>
        <v>-19.739516238059196</v>
      </c>
      <c r="I2051">
        <f t="shared" si="65"/>
        <v>6</v>
      </c>
      <c r="J2051" t="str" cm="1">
        <f t="array" ref="J2051">INDEX($A$2:$A$7,I2051)</f>
        <v>Segment 6- Self-Conscious Male</v>
      </c>
    </row>
    <row r="2052" spans="1:10" x14ac:dyDescent="0.25">
      <c r="A2052" s="1">
        <f>'batch tool'!A2046</f>
        <v>0</v>
      </c>
      <c r="B2052" s="7">
        <f>SUMPRODUCT($C$2:$X$2,'batch tool'!$B2046:$W2046)+$Y$2</f>
        <v>-49.12272534143483</v>
      </c>
      <c r="C2052" s="7">
        <f>SUMPRODUCT($C$3:$X$3,'batch tool'!$B2046:$W2046)+$Y$3</f>
        <v>-36.514029388465531</v>
      </c>
      <c r="D2052" s="7">
        <f>SUMPRODUCT($C$4:$X$4,'batch tool'!$B2046:$W2046)+$Y$4</f>
        <v>-44.639843068043824</v>
      </c>
      <c r="E2052" s="7">
        <f>SUMPRODUCT($C$5:$X$5,'batch tool'!$B2046:$W2046)+$Y$5</f>
        <v>-51.578889182477603</v>
      </c>
      <c r="F2052" s="7">
        <f>SUMPRODUCT($C$6:$X$6,'batch tool'!$B2046:$W2046)+$Y$6</f>
        <v>-47.741473633885199</v>
      </c>
      <c r="G2052" s="7">
        <f>SUMPRODUCT($C$7:$X$7,'batch tool'!$B2046:$W2046)+$Y$7</f>
        <v>-19.739516238059196</v>
      </c>
      <c r="H2052" s="7">
        <f t="shared" si="64"/>
        <v>-19.739516238059196</v>
      </c>
      <c r="I2052">
        <f t="shared" si="65"/>
        <v>6</v>
      </c>
      <c r="J2052" t="str" cm="1">
        <f t="array" ref="J2052">INDEX($A$2:$A$7,I2052)</f>
        <v>Segment 6- Self-Conscious Male</v>
      </c>
    </row>
    <row r="2053" spans="1:10" x14ac:dyDescent="0.25">
      <c r="A2053" s="1">
        <f>'batch tool'!A2047</f>
        <v>0</v>
      </c>
      <c r="B2053" s="7">
        <f>SUMPRODUCT($C$2:$X$2,'batch tool'!$B2047:$W2047)+$Y$2</f>
        <v>-49.12272534143483</v>
      </c>
      <c r="C2053" s="7">
        <f>SUMPRODUCT($C$3:$X$3,'batch tool'!$B2047:$W2047)+$Y$3</f>
        <v>-36.514029388465531</v>
      </c>
      <c r="D2053" s="7">
        <f>SUMPRODUCT($C$4:$X$4,'batch tool'!$B2047:$W2047)+$Y$4</f>
        <v>-44.639843068043824</v>
      </c>
      <c r="E2053" s="7">
        <f>SUMPRODUCT($C$5:$X$5,'batch tool'!$B2047:$W2047)+$Y$5</f>
        <v>-51.578889182477603</v>
      </c>
      <c r="F2053" s="7">
        <f>SUMPRODUCT($C$6:$X$6,'batch tool'!$B2047:$W2047)+$Y$6</f>
        <v>-47.741473633885199</v>
      </c>
      <c r="G2053" s="7">
        <f>SUMPRODUCT($C$7:$X$7,'batch tool'!$B2047:$W2047)+$Y$7</f>
        <v>-19.739516238059196</v>
      </c>
      <c r="H2053" s="7">
        <f t="shared" si="64"/>
        <v>-19.739516238059196</v>
      </c>
      <c r="I2053">
        <f t="shared" si="65"/>
        <v>6</v>
      </c>
      <c r="J2053" t="str" cm="1">
        <f t="array" ref="J2053">INDEX($A$2:$A$7,I2053)</f>
        <v>Segment 6- Self-Conscious Male</v>
      </c>
    </row>
    <row r="2054" spans="1:10" x14ac:dyDescent="0.25">
      <c r="A2054" s="1">
        <f>'batch tool'!A2048</f>
        <v>0</v>
      </c>
      <c r="B2054" s="7">
        <f>SUMPRODUCT($C$2:$X$2,'batch tool'!$B2048:$W2048)+$Y$2</f>
        <v>-49.12272534143483</v>
      </c>
      <c r="C2054" s="7">
        <f>SUMPRODUCT($C$3:$X$3,'batch tool'!$B2048:$W2048)+$Y$3</f>
        <v>-36.514029388465531</v>
      </c>
      <c r="D2054" s="7">
        <f>SUMPRODUCT($C$4:$X$4,'batch tool'!$B2048:$W2048)+$Y$4</f>
        <v>-44.639843068043824</v>
      </c>
      <c r="E2054" s="7">
        <f>SUMPRODUCT($C$5:$X$5,'batch tool'!$B2048:$W2048)+$Y$5</f>
        <v>-51.578889182477603</v>
      </c>
      <c r="F2054" s="7">
        <f>SUMPRODUCT($C$6:$X$6,'batch tool'!$B2048:$W2048)+$Y$6</f>
        <v>-47.741473633885199</v>
      </c>
      <c r="G2054" s="7">
        <f>SUMPRODUCT($C$7:$X$7,'batch tool'!$B2048:$W2048)+$Y$7</f>
        <v>-19.739516238059196</v>
      </c>
      <c r="H2054" s="7">
        <f t="shared" si="64"/>
        <v>-19.739516238059196</v>
      </c>
      <c r="I2054">
        <f t="shared" si="65"/>
        <v>6</v>
      </c>
      <c r="J2054" t="str" cm="1">
        <f t="array" ref="J2054">INDEX($A$2:$A$7,I2054)</f>
        <v>Segment 6- Self-Conscious Male</v>
      </c>
    </row>
    <row r="2055" spans="1:10" x14ac:dyDescent="0.25">
      <c r="A2055" s="1">
        <f>'batch tool'!A2049</f>
        <v>0</v>
      </c>
      <c r="B2055" s="7">
        <f>SUMPRODUCT($C$2:$X$2,'batch tool'!$B2049:$W2049)+$Y$2</f>
        <v>-49.12272534143483</v>
      </c>
      <c r="C2055" s="7">
        <f>SUMPRODUCT($C$3:$X$3,'batch tool'!$B2049:$W2049)+$Y$3</f>
        <v>-36.514029388465531</v>
      </c>
      <c r="D2055" s="7">
        <f>SUMPRODUCT($C$4:$X$4,'batch tool'!$B2049:$W2049)+$Y$4</f>
        <v>-44.639843068043824</v>
      </c>
      <c r="E2055" s="7">
        <f>SUMPRODUCT($C$5:$X$5,'batch tool'!$B2049:$W2049)+$Y$5</f>
        <v>-51.578889182477603</v>
      </c>
      <c r="F2055" s="7">
        <f>SUMPRODUCT($C$6:$X$6,'batch tool'!$B2049:$W2049)+$Y$6</f>
        <v>-47.741473633885199</v>
      </c>
      <c r="G2055" s="7">
        <f>SUMPRODUCT($C$7:$X$7,'batch tool'!$B2049:$W2049)+$Y$7</f>
        <v>-19.739516238059196</v>
      </c>
      <c r="H2055" s="7">
        <f t="shared" si="64"/>
        <v>-19.739516238059196</v>
      </c>
      <c r="I2055">
        <f t="shared" si="65"/>
        <v>6</v>
      </c>
      <c r="J2055" t="str" cm="1">
        <f t="array" ref="J2055">INDEX($A$2:$A$7,I2055)</f>
        <v>Segment 6- Self-Conscious Male</v>
      </c>
    </row>
    <row r="2056" spans="1:10" x14ac:dyDescent="0.25">
      <c r="A2056" s="1">
        <f>'batch tool'!A2050</f>
        <v>0</v>
      </c>
      <c r="B2056" s="7">
        <f>SUMPRODUCT($C$2:$X$2,'batch tool'!$B2050:$W2050)+$Y$2</f>
        <v>-49.12272534143483</v>
      </c>
      <c r="C2056" s="7">
        <f>SUMPRODUCT($C$3:$X$3,'batch tool'!$B2050:$W2050)+$Y$3</f>
        <v>-36.514029388465531</v>
      </c>
      <c r="D2056" s="7">
        <f>SUMPRODUCT($C$4:$X$4,'batch tool'!$B2050:$W2050)+$Y$4</f>
        <v>-44.639843068043824</v>
      </c>
      <c r="E2056" s="7">
        <f>SUMPRODUCT($C$5:$X$5,'batch tool'!$B2050:$W2050)+$Y$5</f>
        <v>-51.578889182477603</v>
      </c>
      <c r="F2056" s="7">
        <f>SUMPRODUCT($C$6:$X$6,'batch tool'!$B2050:$W2050)+$Y$6</f>
        <v>-47.741473633885199</v>
      </c>
      <c r="G2056" s="7">
        <f>SUMPRODUCT($C$7:$X$7,'batch tool'!$B2050:$W2050)+$Y$7</f>
        <v>-19.739516238059196</v>
      </c>
      <c r="H2056" s="7">
        <f t="shared" si="64"/>
        <v>-19.739516238059196</v>
      </c>
      <c r="I2056">
        <f t="shared" si="65"/>
        <v>6</v>
      </c>
      <c r="J2056" t="str" cm="1">
        <f t="array" ref="J2056">INDEX($A$2:$A$7,I2056)</f>
        <v>Segment 6- Self-Conscious Male</v>
      </c>
    </row>
    <row r="2057" spans="1:10" x14ac:dyDescent="0.25">
      <c r="A2057" s="1">
        <f>'batch tool'!A2051</f>
        <v>0</v>
      </c>
      <c r="B2057" s="7">
        <f>SUMPRODUCT($C$2:$X$2,'batch tool'!$B2051:$W2051)+$Y$2</f>
        <v>-49.12272534143483</v>
      </c>
      <c r="C2057" s="7">
        <f>SUMPRODUCT($C$3:$X$3,'batch tool'!$B2051:$W2051)+$Y$3</f>
        <v>-36.514029388465531</v>
      </c>
      <c r="D2057" s="7">
        <f>SUMPRODUCT($C$4:$X$4,'batch tool'!$B2051:$W2051)+$Y$4</f>
        <v>-44.639843068043824</v>
      </c>
      <c r="E2057" s="7">
        <f>SUMPRODUCT($C$5:$X$5,'batch tool'!$B2051:$W2051)+$Y$5</f>
        <v>-51.578889182477603</v>
      </c>
      <c r="F2057" s="7">
        <f>SUMPRODUCT($C$6:$X$6,'batch tool'!$B2051:$W2051)+$Y$6</f>
        <v>-47.741473633885199</v>
      </c>
      <c r="G2057" s="7">
        <f>SUMPRODUCT($C$7:$X$7,'batch tool'!$B2051:$W2051)+$Y$7</f>
        <v>-19.739516238059196</v>
      </c>
      <c r="H2057" s="7">
        <f t="shared" si="64"/>
        <v>-19.739516238059196</v>
      </c>
      <c r="I2057">
        <f t="shared" si="65"/>
        <v>6</v>
      </c>
      <c r="J2057" t="str" cm="1">
        <f t="array" ref="J2057">INDEX($A$2:$A$7,I2057)</f>
        <v>Segment 6- Self-Conscious Male</v>
      </c>
    </row>
    <row r="2058" spans="1:10" x14ac:dyDescent="0.25">
      <c r="A2058" s="1">
        <f>'batch tool'!A2052</f>
        <v>0</v>
      </c>
      <c r="B2058" s="7">
        <f>SUMPRODUCT($C$2:$X$2,'batch tool'!$B2052:$W2052)+$Y$2</f>
        <v>-49.12272534143483</v>
      </c>
      <c r="C2058" s="7">
        <f>SUMPRODUCT($C$3:$X$3,'batch tool'!$B2052:$W2052)+$Y$3</f>
        <v>-36.514029388465531</v>
      </c>
      <c r="D2058" s="7">
        <f>SUMPRODUCT($C$4:$X$4,'batch tool'!$B2052:$W2052)+$Y$4</f>
        <v>-44.639843068043824</v>
      </c>
      <c r="E2058" s="7">
        <f>SUMPRODUCT($C$5:$X$5,'batch tool'!$B2052:$W2052)+$Y$5</f>
        <v>-51.578889182477603</v>
      </c>
      <c r="F2058" s="7">
        <f>SUMPRODUCT($C$6:$X$6,'batch tool'!$B2052:$W2052)+$Y$6</f>
        <v>-47.741473633885199</v>
      </c>
      <c r="G2058" s="7">
        <f>SUMPRODUCT($C$7:$X$7,'batch tool'!$B2052:$W2052)+$Y$7</f>
        <v>-19.739516238059196</v>
      </c>
      <c r="H2058" s="7">
        <f t="shared" si="64"/>
        <v>-19.739516238059196</v>
      </c>
      <c r="I2058">
        <f t="shared" si="65"/>
        <v>6</v>
      </c>
      <c r="J2058" t="str" cm="1">
        <f t="array" ref="J2058">INDEX($A$2:$A$7,I2058)</f>
        <v>Segment 6- Self-Conscious Male</v>
      </c>
    </row>
    <row r="2059" spans="1:10" x14ac:dyDescent="0.25">
      <c r="A2059" s="1">
        <f>'batch tool'!A2053</f>
        <v>0</v>
      </c>
      <c r="B2059" s="7">
        <f>SUMPRODUCT($C$2:$X$2,'batch tool'!$B2053:$W2053)+$Y$2</f>
        <v>-49.12272534143483</v>
      </c>
      <c r="C2059" s="7">
        <f>SUMPRODUCT($C$3:$X$3,'batch tool'!$B2053:$W2053)+$Y$3</f>
        <v>-36.514029388465531</v>
      </c>
      <c r="D2059" s="7">
        <f>SUMPRODUCT($C$4:$X$4,'batch tool'!$B2053:$W2053)+$Y$4</f>
        <v>-44.639843068043824</v>
      </c>
      <c r="E2059" s="7">
        <f>SUMPRODUCT($C$5:$X$5,'batch tool'!$B2053:$W2053)+$Y$5</f>
        <v>-51.578889182477603</v>
      </c>
      <c r="F2059" s="7">
        <f>SUMPRODUCT($C$6:$X$6,'batch tool'!$B2053:$W2053)+$Y$6</f>
        <v>-47.741473633885199</v>
      </c>
      <c r="G2059" s="7">
        <f>SUMPRODUCT($C$7:$X$7,'batch tool'!$B2053:$W2053)+$Y$7</f>
        <v>-19.739516238059196</v>
      </c>
      <c r="H2059" s="7">
        <f t="shared" si="64"/>
        <v>-19.739516238059196</v>
      </c>
      <c r="I2059">
        <f t="shared" si="65"/>
        <v>6</v>
      </c>
      <c r="J2059" t="str" cm="1">
        <f t="array" ref="J2059">INDEX($A$2:$A$7,I2059)</f>
        <v>Segment 6- Self-Conscious Male</v>
      </c>
    </row>
    <row r="2060" spans="1:10" x14ac:dyDescent="0.25">
      <c r="A2060" s="1">
        <f>'batch tool'!A2054</f>
        <v>0</v>
      </c>
      <c r="B2060" s="7">
        <f>SUMPRODUCT($C$2:$X$2,'batch tool'!$B2054:$W2054)+$Y$2</f>
        <v>-49.12272534143483</v>
      </c>
      <c r="C2060" s="7">
        <f>SUMPRODUCT($C$3:$X$3,'batch tool'!$B2054:$W2054)+$Y$3</f>
        <v>-36.514029388465531</v>
      </c>
      <c r="D2060" s="7">
        <f>SUMPRODUCT($C$4:$X$4,'batch tool'!$B2054:$W2054)+$Y$4</f>
        <v>-44.639843068043824</v>
      </c>
      <c r="E2060" s="7">
        <f>SUMPRODUCT($C$5:$X$5,'batch tool'!$B2054:$W2054)+$Y$5</f>
        <v>-51.578889182477603</v>
      </c>
      <c r="F2060" s="7">
        <f>SUMPRODUCT($C$6:$X$6,'batch tool'!$B2054:$W2054)+$Y$6</f>
        <v>-47.741473633885199</v>
      </c>
      <c r="G2060" s="7">
        <f>SUMPRODUCT($C$7:$X$7,'batch tool'!$B2054:$W2054)+$Y$7</f>
        <v>-19.739516238059196</v>
      </c>
      <c r="H2060" s="7">
        <f t="shared" si="64"/>
        <v>-19.739516238059196</v>
      </c>
      <c r="I2060">
        <f t="shared" si="65"/>
        <v>6</v>
      </c>
      <c r="J2060" t="str" cm="1">
        <f t="array" ref="J2060">INDEX($A$2:$A$7,I2060)</f>
        <v>Segment 6- Self-Conscious Male</v>
      </c>
    </row>
    <row r="2061" spans="1:10" x14ac:dyDescent="0.25">
      <c r="A2061" s="1">
        <f>'batch tool'!A2055</f>
        <v>0</v>
      </c>
      <c r="B2061" s="7">
        <f>SUMPRODUCT($C$2:$X$2,'batch tool'!$B2055:$W2055)+$Y$2</f>
        <v>-49.12272534143483</v>
      </c>
      <c r="C2061" s="7">
        <f>SUMPRODUCT($C$3:$X$3,'batch tool'!$B2055:$W2055)+$Y$3</f>
        <v>-36.514029388465531</v>
      </c>
      <c r="D2061" s="7">
        <f>SUMPRODUCT($C$4:$X$4,'batch tool'!$B2055:$W2055)+$Y$4</f>
        <v>-44.639843068043824</v>
      </c>
      <c r="E2061" s="7">
        <f>SUMPRODUCT($C$5:$X$5,'batch tool'!$B2055:$W2055)+$Y$5</f>
        <v>-51.578889182477603</v>
      </c>
      <c r="F2061" s="7">
        <f>SUMPRODUCT($C$6:$X$6,'batch tool'!$B2055:$W2055)+$Y$6</f>
        <v>-47.741473633885199</v>
      </c>
      <c r="G2061" s="7">
        <f>SUMPRODUCT($C$7:$X$7,'batch tool'!$B2055:$W2055)+$Y$7</f>
        <v>-19.739516238059196</v>
      </c>
      <c r="H2061" s="7">
        <f t="shared" si="64"/>
        <v>-19.739516238059196</v>
      </c>
      <c r="I2061">
        <f t="shared" si="65"/>
        <v>6</v>
      </c>
      <c r="J2061" t="str" cm="1">
        <f t="array" ref="J2061">INDEX($A$2:$A$7,I2061)</f>
        <v>Segment 6- Self-Conscious Male</v>
      </c>
    </row>
    <row r="2062" spans="1:10" x14ac:dyDescent="0.25">
      <c r="A2062" s="1">
        <f>'batch tool'!A2056</f>
        <v>0</v>
      </c>
      <c r="B2062" s="7">
        <f>SUMPRODUCT($C$2:$X$2,'batch tool'!$B2056:$W2056)+$Y$2</f>
        <v>-49.12272534143483</v>
      </c>
      <c r="C2062" s="7">
        <f>SUMPRODUCT($C$3:$X$3,'batch tool'!$B2056:$W2056)+$Y$3</f>
        <v>-36.514029388465531</v>
      </c>
      <c r="D2062" s="7">
        <f>SUMPRODUCT($C$4:$X$4,'batch tool'!$B2056:$W2056)+$Y$4</f>
        <v>-44.639843068043824</v>
      </c>
      <c r="E2062" s="7">
        <f>SUMPRODUCT($C$5:$X$5,'batch tool'!$B2056:$W2056)+$Y$5</f>
        <v>-51.578889182477603</v>
      </c>
      <c r="F2062" s="7">
        <f>SUMPRODUCT($C$6:$X$6,'batch tool'!$B2056:$W2056)+$Y$6</f>
        <v>-47.741473633885199</v>
      </c>
      <c r="G2062" s="7">
        <f>SUMPRODUCT($C$7:$X$7,'batch tool'!$B2056:$W2056)+$Y$7</f>
        <v>-19.739516238059196</v>
      </c>
      <c r="H2062" s="7">
        <f t="shared" si="64"/>
        <v>-19.739516238059196</v>
      </c>
      <c r="I2062">
        <f t="shared" si="65"/>
        <v>6</v>
      </c>
      <c r="J2062" t="str" cm="1">
        <f t="array" ref="J2062">INDEX($A$2:$A$7,I2062)</f>
        <v>Segment 6- Self-Conscious Male</v>
      </c>
    </row>
    <row r="2063" spans="1:10" x14ac:dyDescent="0.25">
      <c r="A2063" s="1">
        <f>'batch tool'!A2057</f>
        <v>0</v>
      </c>
      <c r="B2063" s="7">
        <f>SUMPRODUCT($C$2:$X$2,'batch tool'!$B2057:$W2057)+$Y$2</f>
        <v>-49.12272534143483</v>
      </c>
      <c r="C2063" s="7">
        <f>SUMPRODUCT($C$3:$X$3,'batch tool'!$B2057:$W2057)+$Y$3</f>
        <v>-36.514029388465531</v>
      </c>
      <c r="D2063" s="7">
        <f>SUMPRODUCT($C$4:$X$4,'batch tool'!$B2057:$W2057)+$Y$4</f>
        <v>-44.639843068043824</v>
      </c>
      <c r="E2063" s="7">
        <f>SUMPRODUCT($C$5:$X$5,'batch tool'!$B2057:$W2057)+$Y$5</f>
        <v>-51.578889182477603</v>
      </c>
      <c r="F2063" s="7">
        <f>SUMPRODUCT($C$6:$X$6,'batch tool'!$B2057:$W2057)+$Y$6</f>
        <v>-47.741473633885199</v>
      </c>
      <c r="G2063" s="7">
        <f>SUMPRODUCT($C$7:$X$7,'batch tool'!$B2057:$W2057)+$Y$7</f>
        <v>-19.739516238059196</v>
      </c>
      <c r="H2063" s="7">
        <f t="shared" si="64"/>
        <v>-19.739516238059196</v>
      </c>
      <c r="I2063">
        <f t="shared" si="65"/>
        <v>6</v>
      </c>
      <c r="J2063" t="str" cm="1">
        <f t="array" ref="J2063">INDEX($A$2:$A$7,I2063)</f>
        <v>Segment 6- Self-Conscious Male</v>
      </c>
    </row>
    <row r="2064" spans="1:10" x14ac:dyDescent="0.25">
      <c r="A2064" s="1">
        <f>'batch tool'!A2058</f>
        <v>0</v>
      </c>
      <c r="B2064" s="7">
        <f>SUMPRODUCT($C$2:$X$2,'batch tool'!$B2058:$W2058)+$Y$2</f>
        <v>-49.12272534143483</v>
      </c>
      <c r="C2064" s="7">
        <f>SUMPRODUCT($C$3:$X$3,'batch tool'!$B2058:$W2058)+$Y$3</f>
        <v>-36.514029388465531</v>
      </c>
      <c r="D2064" s="7">
        <f>SUMPRODUCT($C$4:$X$4,'batch tool'!$B2058:$W2058)+$Y$4</f>
        <v>-44.639843068043824</v>
      </c>
      <c r="E2064" s="7">
        <f>SUMPRODUCT($C$5:$X$5,'batch tool'!$B2058:$W2058)+$Y$5</f>
        <v>-51.578889182477603</v>
      </c>
      <c r="F2064" s="7">
        <f>SUMPRODUCT($C$6:$X$6,'batch tool'!$B2058:$W2058)+$Y$6</f>
        <v>-47.741473633885199</v>
      </c>
      <c r="G2064" s="7">
        <f>SUMPRODUCT($C$7:$X$7,'batch tool'!$B2058:$W2058)+$Y$7</f>
        <v>-19.739516238059196</v>
      </c>
      <c r="H2064" s="7">
        <f t="shared" si="64"/>
        <v>-19.739516238059196</v>
      </c>
      <c r="I2064">
        <f t="shared" si="65"/>
        <v>6</v>
      </c>
      <c r="J2064" t="str" cm="1">
        <f t="array" ref="J2064">INDEX($A$2:$A$7,I2064)</f>
        <v>Segment 6- Self-Conscious Male</v>
      </c>
    </row>
    <row r="2065" spans="1:10" x14ac:dyDescent="0.25">
      <c r="A2065" s="1">
        <f>'batch tool'!A2059</f>
        <v>0</v>
      </c>
      <c r="B2065" s="7">
        <f>SUMPRODUCT($C$2:$X$2,'batch tool'!$B2059:$W2059)+$Y$2</f>
        <v>-49.12272534143483</v>
      </c>
      <c r="C2065" s="7">
        <f>SUMPRODUCT($C$3:$X$3,'batch tool'!$B2059:$W2059)+$Y$3</f>
        <v>-36.514029388465531</v>
      </c>
      <c r="D2065" s="7">
        <f>SUMPRODUCT($C$4:$X$4,'batch tool'!$B2059:$W2059)+$Y$4</f>
        <v>-44.639843068043824</v>
      </c>
      <c r="E2065" s="7">
        <f>SUMPRODUCT($C$5:$X$5,'batch tool'!$B2059:$W2059)+$Y$5</f>
        <v>-51.578889182477603</v>
      </c>
      <c r="F2065" s="7">
        <f>SUMPRODUCT($C$6:$X$6,'batch tool'!$B2059:$W2059)+$Y$6</f>
        <v>-47.741473633885199</v>
      </c>
      <c r="G2065" s="7">
        <f>SUMPRODUCT($C$7:$X$7,'batch tool'!$B2059:$W2059)+$Y$7</f>
        <v>-19.739516238059196</v>
      </c>
      <c r="H2065" s="7">
        <f t="shared" si="64"/>
        <v>-19.739516238059196</v>
      </c>
      <c r="I2065">
        <f t="shared" si="65"/>
        <v>6</v>
      </c>
      <c r="J2065" t="str" cm="1">
        <f t="array" ref="J2065">INDEX($A$2:$A$7,I2065)</f>
        <v>Segment 6- Self-Conscious Male</v>
      </c>
    </row>
    <row r="2066" spans="1:10" x14ac:dyDescent="0.25">
      <c r="A2066" s="1">
        <f>'batch tool'!A2060</f>
        <v>0</v>
      </c>
      <c r="B2066" s="7">
        <f>SUMPRODUCT($C$2:$X$2,'batch tool'!$B2060:$W2060)+$Y$2</f>
        <v>-49.12272534143483</v>
      </c>
      <c r="C2066" s="7">
        <f>SUMPRODUCT($C$3:$X$3,'batch tool'!$B2060:$W2060)+$Y$3</f>
        <v>-36.514029388465531</v>
      </c>
      <c r="D2066" s="7">
        <f>SUMPRODUCT($C$4:$X$4,'batch tool'!$B2060:$W2060)+$Y$4</f>
        <v>-44.639843068043824</v>
      </c>
      <c r="E2066" s="7">
        <f>SUMPRODUCT($C$5:$X$5,'batch tool'!$B2060:$W2060)+$Y$5</f>
        <v>-51.578889182477603</v>
      </c>
      <c r="F2066" s="7">
        <f>SUMPRODUCT($C$6:$X$6,'batch tool'!$B2060:$W2060)+$Y$6</f>
        <v>-47.741473633885199</v>
      </c>
      <c r="G2066" s="7">
        <f>SUMPRODUCT($C$7:$X$7,'batch tool'!$B2060:$W2060)+$Y$7</f>
        <v>-19.739516238059196</v>
      </c>
      <c r="H2066" s="7">
        <f t="shared" si="64"/>
        <v>-19.739516238059196</v>
      </c>
      <c r="I2066">
        <f t="shared" si="65"/>
        <v>6</v>
      </c>
      <c r="J2066" t="str" cm="1">
        <f t="array" ref="J2066">INDEX($A$2:$A$7,I2066)</f>
        <v>Segment 6- Self-Conscious Male</v>
      </c>
    </row>
    <row r="2067" spans="1:10" x14ac:dyDescent="0.25">
      <c r="A2067" s="1">
        <f>'batch tool'!A2061</f>
        <v>0</v>
      </c>
      <c r="B2067" s="7">
        <f>SUMPRODUCT($C$2:$X$2,'batch tool'!$B2061:$W2061)+$Y$2</f>
        <v>-49.12272534143483</v>
      </c>
      <c r="C2067" s="7">
        <f>SUMPRODUCT($C$3:$X$3,'batch tool'!$B2061:$W2061)+$Y$3</f>
        <v>-36.514029388465531</v>
      </c>
      <c r="D2067" s="7">
        <f>SUMPRODUCT($C$4:$X$4,'batch tool'!$B2061:$W2061)+$Y$4</f>
        <v>-44.639843068043824</v>
      </c>
      <c r="E2067" s="7">
        <f>SUMPRODUCT($C$5:$X$5,'batch tool'!$B2061:$W2061)+$Y$5</f>
        <v>-51.578889182477603</v>
      </c>
      <c r="F2067" s="7">
        <f>SUMPRODUCT($C$6:$X$6,'batch tool'!$B2061:$W2061)+$Y$6</f>
        <v>-47.741473633885199</v>
      </c>
      <c r="G2067" s="7">
        <f>SUMPRODUCT($C$7:$X$7,'batch tool'!$B2061:$W2061)+$Y$7</f>
        <v>-19.739516238059196</v>
      </c>
      <c r="H2067" s="7">
        <f t="shared" si="64"/>
        <v>-19.739516238059196</v>
      </c>
      <c r="I2067">
        <f t="shared" si="65"/>
        <v>6</v>
      </c>
      <c r="J2067" t="str" cm="1">
        <f t="array" ref="J2067">INDEX($A$2:$A$7,I2067)</f>
        <v>Segment 6- Self-Conscious Male</v>
      </c>
    </row>
    <row r="2068" spans="1:10" x14ac:dyDescent="0.25">
      <c r="A2068" s="1">
        <f>'batch tool'!A2062</f>
        <v>0</v>
      </c>
      <c r="B2068" s="7">
        <f>SUMPRODUCT($C$2:$X$2,'batch tool'!$B2062:$W2062)+$Y$2</f>
        <v>-49.12272534143483</v>
      </c>
      <c r="C2068" s="7">
        <f>SUMPRODUCT($C$3:$X$3,'batch tool'!$B2062:$W2062)+$Y$3</f>
        <v>-36.514029388465531</v>
      </c>
      <c r="D2068" s="7">
        <f>SUMPRODUCT($C$4:$X$4,'batch tool'!$B2062:$W2062)+$Y$4</f>
        <v>-44.639843068043824</v>
      </c>
      <c r="E2068" s="7">
        <f>SUMPRODUCT($C$5:$X$5,'batch tool'!$B2062:$W2062)+$Y$5</f>
        <v>-51.578889182477603</v>
      </c>
      <c r="F2068" s="7">
        <f>SUMPRODUCT($C$6:$X$6,'batch tool'!$B2062:$W2062)+$Y$6</f>
        <v>-47.741473633885199</v>
      </c>
      <c r="G2068" s="7">
        <f>SUMPRODUCT($C$7:$X$7,'batch tool'!$B2062:$W2062)+$Y$7</f>
        <v>-19.739516238059196</v>
      </c>
      <c r="H2068" s="7">
        <f t="shared" si="64"/>
        <v>-19.739516238059196</v>
      </c>
      <c r="I2068">
        <f t="shared" si="65"/>
        <v>6</v>
      </c>
      <c r="J2068" t="str" cm="1">
        <f t="array" ref="J2068">INDEX($A$2:$A$7,I2068)</f>
        <v>Segment 6- Self-Conscious Male</v>
      </c>
    </row>
    <row r="2069" spans="1:10" x14ac:dyDescent="0.25">
      <c r="A2069" s="1">
        <f>'batch tool'!A2063</f>
        <v>0</v>
      </c>
      <c r="B2069" s="7">
        <f>SUMPRODUCT($C$2:$X$2,'batch tool'!$B2063:$W2063)+$Y$2</f>
        <v>-49.12272534143483</v>
      </c>
      <c r="C2069" s="7">
        <f>SUMPRODUCT($C$3:$X$3,'batch tool'!$B2063:$W2063)+$Y$3</f>
        <v>-36.514029388465531</v>
      </c>
      <c r="D2069" s="7">
        <f>SUMPRODUCT($C$4:$X$4,'batch tool'!$B2063:$W2063)+$Y$4</f>
        <v>-44.639843068043824</v>
      </c>
      <c r="E2069" s="7">
        <f>SUMPRODUCT($C$5:$X$5,'batch tool'!$B2063:$W2063)+$Y$5</f>
        <v>-51.578889182477603</v>
      </c>
      <c r="F2069" s="7">
        <f>SUMPRODUCT($C$6:$X$6,'batch tool'!$B2063:$W2063)+$Y$6</f>
        <v>-47.741473633885199</v>
      </c>
      <c r="G2069" s="7">
        <f>SUMPRODUCT($C$7:$X$7,'batch tool'!$B2063:$W2063)+$Y$7</f>
        <v>-19.739516238059196</v>
      </c>
      <c r="H2069" s="7">
        <f t="shared" si="64"/>
        <v>-19.739516238059196</v>
      </c>
      <c r="I2069">
        <f t="shared" si="65"/>
        <v>6</v>
      </c>
      <c r="J2069" t="str" cm="1">
        <f t="array" ref="J2069">INDEX($A$2:$A$7,I2069)</f>
        <v>Segment 6- Self-Conscious Male</v>
      </c>
    </row>
    <row r="2070" spans="1:10" x14ac:dyDescent="0.25">
      <c r="A2070" s="1">
        <f>'batch tool'!A2064</f>
        <v>0</v>
      </c>
      <c r="B2070" s="7">
        <f>SUMPRODUCT($C$2:$X$2,'batch tool'!$B2064:$W2064)+$Y$2</f>
        <v>-49.12272534143483</v>
      </c>
      <c r="C2070" s="7">
        <f>SUMPRODUCT($C$3:$X$3,'batch tool'!$B2064:$W2064)+$Y$3</f>
        <v>-36.514029388465531</v>
      </c>
      <c r="D2070" s="7">
        <f>SUMPRODUCT($C$4:$X$4,'batch tool'!$B2064:$W2064)+$Y$4</f>
        <v>-44.639843068043824</v>
      </c>
      <c r="E2070" s="7">
        <f>SUMPRODUCT($C$5:$X$5,'batch tool'!$B2064:$W2064)+$Y$5</f>
        <v>-51.578889182477603</v>
      </c>
      <c r="F2070" s="7">
        <f>SUMPRODUCT($C$6:$X$6,'batch tool'!$B2064:$W2064)+$Y$6</f>
        <v>-47.741473633885199</v>
      </c>
      <c r="G2070" s="7">
        <f>SUMPRODUCT($C$7:$X$7,'batch tool'!$B2064:$W2064)+$Y$7</f>
        <v>-19.739516238059196</v>
      </c>
      <c r="H2070" s="7">
        <f t="shared" si="64"/>
        <v>-19.739516238059196</v>
      </c>
      <c r="I2070">
        <f t="shared" si="65"/>
        <v>6</v>
      </c>
      <c r="J2070" t="str" cm="1">
        <f t="array" ref="J2070">INDEX($A$2:$A$7,I2070)</f>
        <v>Segment 6- Self-Conscious Male</v>
      </c>
    </row>
    <row r="2071" spans="1:10" x14ac:dyDescent="0.25">
      <c r="A2071" s="1">
        <f>'batch tool'!A2065</f>
        <v>0</v>
      </c>
      <c r="B2071" s="7">
        <f>SUMPRODUCT($C$2:$X$2,'batch tool'!$B2065:$W2065)+$Y$2</f>
        <v>-49.12272534143483</v>
      </c>
      <c r="C2071" s="7">
        <f>SUMPRODUCT($C$3:$X$3,'batch tool'!$B2065:$W2065)+$Y$3</f>
        <v>-36.514029388465531</v>
      </c>
      <c r="D2071" s="7">
        <f>SUMPRODUCT($C$4:$X$4,'batch tool'!$B2065:$W2065)+$Y$4</f>
        <v>-44.639843068043824</v>
      </c>
      <c r="E2071" s="7">
        <f>SUMPRODUCT($C$5:$X$5,'batch tool'!$B2065:$W2065)+$Y$5</f>
        <v>-51.578889182477603</v>
      </c>
      <c r="F2071" s="7">
        <f>SUMPRODUCT($C$6:$X$6,'batch tool'!$B2065:$W2065)+$Y$6</f>
        <v>-47.741473633885199</v>
      </c>
      <c r="G2071" s="7">
        <f>SUMPRODUCT($C$7:$X$7,'batch tool'!$B2065:$W2065)+$Y$7</f>
        <v>-19.739516238059196</v>
      </c>
      <c r="H2071" s="7">
        <f t="shared" si="64"/>
        <v>-19.739516238059196</v>
      </c>
      <c r="I2071">
        <f t="shared" si="65"/>
        <v>6</v>
      </c>
      <c r="J2071" t="str" cm="1">
        <f t="array" ref="J2071">INDEX($A$2:$A$7,I2071)</f>
        <v>Segment 6- Self-Conscious Male</v>
      </c>
    </row>
    <row r="2072" spans="1:10" x14ac:dyDescent="0.25">
      <c r="A2072" s="1">
        <f>'batch tool'!A2066</f>
        <v>0</v>
      </c>
      <c r="B2072" s="7">
        <f>SUMPRODUCT($C$2:$X$2,'batch tool'!$B2066:$W2066)+$Y$2</f>
        <v>-49.12272534143483</v>
      </c>
      <c r="C2072" s="7">
        <f>SUMPRODUCT($C$3:$X$3,'batch tool'!$B2066:$W2066)+$Y$3</f>
        <v>-36.514029388465531</v>
      </c>
      <c r="D2072" s="7">
        <f>SUMPRODUCT($C$4:$X$4,'batch tool'!$B2066:$W2066)+$Y$4</f>
        <v>-44.639843068043824</v>
      </c>
      <c r="E2072" s="7">
        <f>SUMPRODUCT($C$5:$X$5,'batch tool'!$B2066:$W2066)+$Y$5</f>
        <v>-51.578889182477603</v>
      </c>
      <c r="F2072" s="7">
        <f>SUMPRODUCT($C$6:$X$6,'batch tool'!$B2066:$W2066)+$Y$6</f>
        <v>-47.741473633885199</v>
      </c>
      <c r="G2072" s="7">
        <f>SUMPRODUCT($C$7:$X$7,'batch tool'!$B2066:$W2066)+$Y$7</f>
        <v>-19.739516238059196</v>
      </c>
      <c r="H2072" s="7">
        <f t="shared" si="64"/>
        <v>-19.739516238059196</v>
      </c>
      <c r="I2072">
        <f t="shared" si="65"/>
        <v>6</v>
      </c>
      <c r="J2072" t="str" cm="1">
        <f t="array" ref="J2072">INDEX($A$2:$A$7,I2072)</f>
        <v>Segment 6- Self-Conscious Male</v>
      </c>
    </row>
    <row r="2073" spans="1:10" x14ac:dyDescent="0.25">
      <c r="A2073" s="1">
        <f>'batch tool'!A2067</f>
        <v>0</v>
      </c>
      <c r="B2073" s="7">
        <f>SUMPRODUCT($C$2:$X$2,'batch tool'!$B2067:$W2067)+$Y$2</f>
        <v>-49.12272534143483</v>
      </c>
      <c r="C2073" s="7">
        <f>SUMPRODUCT($C$3:$X$3,'batch tool'!$B2067:$W2067)+$Y$3</f>
        <v>-36.514029388465531</v>
      </c>
      <c r="D2073" s="7">
        <f>SUMPRODUCT($C$4:$X$4,'batch tool'!$B2067:$W2067)+$Y$4</f>
        <v>-44.639843068043824</v>
      </c>
      <c r="E2073" s="7">
        <f>SUMPRODUCT($C$5:$X$5,'batch tool'!$B2067:$W2067)+$Y$5</f>
        <v>-51.578889182477603</v>
      </c>
      <c r="F2073" s="7">
        <f>SUMPRODUCT($C$6:$X$6,'batch tool'!$B2067:$W2067)+$Y$6</f>
        <v>-47.741473633885199</v>
      </c>
      <c r="G2073" s="7">
        <f>SUMPRODUCT($C$7:$X$7,'batch tool'!$B2067:$W2067)+$Y$7</f>
        <v>-19.739516238059196</v>
      </c>
      <c r="H2073" s="7">
        <f t="shared" si="64"/>
        <v>-19.739516238059196</v>
      </c>
      <c r="I2073">
        <f t="shared" si="65"/>
        <v>6</v>
      </c>
      <c r="J2073" t="str" cm="1">
        <f t="array" ref="J2073">INDEX($A$2:$A$7,I2073)</f>
        <v>Segment 6- Self-Conscious Male</v>
      </c>
    </row>
    <row r="2074" spans="1:10" x14ac:dyDescent="0.25">
      <c r="A2074" s="1">
        <f>'batch tool'!A2068</f>
        <v>0</v>
      </c>
      <c r="B2074" s="7">
        <f>SUMPRODUCT($C$2:$X$2,'batch tool'!$B2068:$W2068)+$Y$2</f>
        <v>-49.12272534143483</v>
      </c>
      <c r="C2074" s="7">
        <f>SUMPRODUCT($C$3:$X$3,'batch tool'!$B2068:$W2068)+$Y$3</f>
        <v>-36.514029388465531</v>
      </c>
      <c r="D2074" s="7">
        <f>SUMPRODUCT($C$4:$X$4,'batch tool'!$B2068:$W2068)+$Y$4</f>
        <v>-44.639843068043824</v>
      </c>
      <c r="E2074" s="7">
        <f>SUMPRODUCT($C$5:$X$5,'batch tool'!$B2068:$W2068)+$Y$5</f>
        <v>-51.578889182477603</v>
      </c>
      <c r="F2074" s="7">
        <f>SUMPRODUCT($C$6:$X$6,'batch tool'!$B2068:$W2068)+$Y$6</f>
        <v>-47.741473633885199</v>
      </c>
      <c r="G2074" s="7">
        <f>SUMPRODUCT($C$7:$X$7,'batch tool'!$B2068:$W2068)+$Y$7</f>
        <v>-19.739516238059196</v>
      </c>
      <c r="H2074" s="7">
        <f t="shared" si="64"/>
        <v>-19.739516238059196</v>
      </c>
      <c r="I2074">
        <f t="shared" si="65"/>
        <v>6</v>
      </c>
      <c r="J2074" t="str" cm="1">
        <f t="array" ref="J2074">INDEX($A$2:$A$7,I2074)</f>
        <v>Segment 6- Self-Conscious Male</v>
      </c>
    </row>
    <row r="2075" spans="1:10" x14ac:dyDescent="0.25">
      <c r="A2075" s="1">
        <f>'batch tool'!A2069</f>
        <v>0</v>
      </c>
      <c r="B2075" s="7">
        <f>SUMPRODUCT($C$2:$X$2,'batch tool'!$B2069:$W2069)+$Y$2</f>
        <v>-49.12272534143483</v>
      </c>
      <c r="C2075" s="7">
        <f>SUMPRODUCT($C$3:$X$3,'batch tool'!$B2069:$W2069)+$Y$3</f>
        <v>-36.514029388465531</v>
      </c>
      <c r="D2075" s="7">
        <f>SUMPRODUCT($C$4:$X$4,'batch tool'!$B2069:$W2069)+$Y$4</f>
        <v>-44.639843068043824</v>
      </c>
      <c r="E2075" s="7">
        <f>SUMPRODUCT($C$5:$X$5,'batch tool'!$B2069:$W2069)+$Y$5</f>
        <v>-51.578889182477603</v>
      </c>
      <c r="F2075" s="7">
        <f>SUMPRODUCT($C$6:$X$6,'batch tool'!$B2069:$W2069)+$Y$6</f>
        <v>-47.741473633885199</v>
      </c>
      <c r="G2075" s="7">
        <f>SUMPRODUCT($C$7:$X$7,'batch tool'!$B2069:$W2069)+$Y$7</f>
        <v>-19.739516238059196</v>
      </c>
      <c r="H2075" s="7">
        <f t="shared" ref="H2075:H2138" si="66">MAX(B2075:G2075)</f>
        <v>-19.739516238059196</v>
      </c>
      <c r="I2075">
        <f t="shared" ref="I2075:I2138" si="67">MATCH(H2075,B2075:G2075,0)</f>
        <v>6</v>
      </c>
      <c r="J2075" t="str" cm="1">
        <f t="array" ref="J2075">INDEX($A$2:$A$7,I2075)</f>
        <v>Segment 6- Self-Conscious Male</v>
      </c>
    </row>
    <row r="2076" spans="1:10" x14ac:dyDescent="0.25">
      <c r="A2076" s="1">
        <f>'batch tool'!A2070</f>
        <v>0</v>
      </c>
      <c r="B2076" s="7">
        <f>SUMPRODUCT($C$2:$X$2,'batch tool'!$B2070:$W2070)+$Y$2</f>
        <v>-49.12272534143483</v>
      </c>
      <c r="C2076" s="7">
        <f>SUMPRODUCT($C$3:$X$3,'batch tool'!$B2070:$W2070)+$Y$3</f>
        <v>-36.514029388465531</v>
      </c>
      <c r="D2076" s="7">
        <f>SUMPRODUCT($C$4:$X$4,'batch tool'!$B2070:$W2070)+$Y$4</f>
        <v>-44.639843068043824</v>
      </c>
      <c r="E2076" s="7">
        <f>SUMPRODUCT($C$5:$X$5,'batch tool'!$B2070:$W2070)+$Y$5</f>
        <v>-51.578889182477603</v>
      </c>
      <c r="F2076" s="7">
        <f>SUMPRODUCT($C$6:$X$6,'batch tool'!$B2070:$W2070)+$Y$6</f>
        <v>-47.741473633885199</v>
      </c>
      <c r="G2076" s="7">
        <f>SUMPRODUCT($C$7:$X$7,'batch tool'!$B2070:$W2070)+$Y$7</f>
        <v>-19.739516238059196</v>
      </c>
      <c r="H2076" s="7">
        <f t="shared" si="66"/>
        <v>-19.739516238059196</v>
      </c>
      <c r="I2076">
        <f t="shared" si="67"/>
        <v>6</v>
      </c>
      <c r="J2076" t="str" cm="1">
        <f t="array" ref="J2076">INDEX($A$2:$A$7,I2076)</f>
        <v>Segment 6- Self-Conscious Male</v>
      </c>
    </row>
    <row r="2077" spans="1:10" x14ac:dyDescent="0.25">
      <c r="A2077" s="1">
        <f>'batch tool'!A2071</f>
        <v>0</v>
      </c>
      <c r="B2077" s="7">
        <f>SUMPRODUCT($C$2:$X$2,'batch tool'!$B2071:$W2071)+$Y$2</f>
        <v>-49.12272534143483</v>
      </c>
      <c r="C2077" s="7">
        <f>SUMPRODUCT($C$3:$X$3,'batch tool'!$B2071:$W2071)+$Y$3</f>
        <v>-36.514029388465531</v>
      </c>
      <c r="D2077" s="7">
        <f>SUMPRODUCT($C$4:$X$4,'batch tool'!$B2071:$W2071)+$Y$4</f>
        <v>-44.639843068043824</v>
      </c>
      <c r="E2077" s="7">
        <f>SUMPRODUCT($C$5:$X$5,'batch tool'!$B2071:$W2071)+$Y$5</f>
        <v>-51.578889182477603</v>
      </c>
      <c r="F2077" s="7">
        <f>SUMPRODUCT($C$6:$X$6,'batch tool'!$B2071:$W2071)+$Y$6</f>
        <v>-47.741473633885199</v>
      </c>
      <c r="G2077" s="7">
        <f>SUMPRODUCT($C$7:$X$7,'batch tool'!$B2071:$W2071)+$Y$7</f>
        <v>-19.739516238059196</v>
      </c>
      <c r="H2077" s="7">
        <f t="shared" si="66"/>
        <v>-19.739516238059196</v>
      </c>
      <c r="I2077">
        <f t="shared" si="67"/>
        <v>6</v>
      </c>
      <c r="J2077" t="str" cm="1">
        <f t="array" ref="J2077">INDEX($A$2:$A$7,I2077)</f>
        <v>Segment 6- Self-Conscious Male</v>
      </c>
    </row>
    <row r="2078" spans="1:10" x14ac:dyDescent="0.25">
      <c r="A2078" s="1">
        <f>'batch tool'!A2072</f>
        <v>0</v>
      </c>
      <c r="B2078" s="7">
        <f>SUMPRODUCT($C$2:$X$2,'batch tool'!$B2072:$W2072)+$Y$2</f>
        <v>-49.12272534143483</v>
      </c>
      <c r="C2078" s="7">
        <f>SUMPRODUCT($C$3:$X$3,'batch tool'!$B2072:$W2072)+$Y$3</f>
        <v>-36.514029388465531</v>
      </c>
      <c r="D2078" s="7">
        <f>SUMPRODUCT($C$4:$X$4,'batch tool'!$B2072:$W2072)+$Y$4</f>
        <v>-44.639843068043824</v>
      </c>
      <c r="E2078" s="7">
        <f>SUMPRODUCT($C$5:$X$5,'batch tool'!$B2072:$W2072)+$Y$5</f>
        <v>-51.578889182477603</v>
      </c>
      <c r="F2078" s="7">
        <f>SUMPRODUCT($C$6:$X$6,'batch tool'!$B2072:$W2072)+$Y$6</f>
        <v>-47.741473633885199</v>
      </c>
      <c r="G2078" s="7">
        <f>SUMPRODUCT($C$7:$X$7,'batch tool'!$B2072:$W2072)+$Y$7</f>
        <v>-19.739516238059196</v>
      </c>
      <c r="H2078" s="7">
        <f t="shared" si="66"/>
        <v>-19.739516238059196</v>
      </c>
      <c r="I2078">
        <f t="shared" si="67"/>
        <v>6</v>
      </c>
      <c r="J2078" t="str" cm="1">
        <f t="array" ref="J2078">INDEX($A$2:$A$7,I2078)</f>
        <v>Segment 6- Self-Conscious Male</v>
      </c>
    </row>
    <row r="2079" spans="1:10" x14ac:dyDescent="0.25">
      <c r="A2079" s="1">
        <f>'batch tool'!A2073</f>
        <v>0</v>
      </c>
      <c r="B2079" s="7">
        <f>SUMPRODUCT($C$2:$X$2,'batch tool'!$B2073:$W2073)+$Y$2</f>
        <v>-49.12272534143483</v>
      </c>
      <c r="C2079" s="7">
        <f>SUMPRODUCT($C$3:$X$3,'batch tool'!$B2073:$W2073)+$Y$3</f>
        <v>-36.514029388465531</v>
      </c>
      <c r="D2079" s="7">
        <f>SUMPRODUCT($C$4:$X$4,'batch tool'!$B2073:$W2073)+$Y$4</f>
        <v>-44.639843068043824</v>
      </c>
      <c r="E2079" s="7">
        <f>SUMPRODUCT($C$5:$X$5,'batch tool'!$B2073:$W2073)+$Y$5</f>
        <v>-51.578889182477603</v>
      </c>
      <c r="F2079" s="7">
        <f>SUMPRODUCT($C$6:$X$6,'batch tool'!$B2073:$W2073)+$Y$6</f>
        <v>-47.741473633885199</v>
      </c>
      <c r="G2079" s="7">
        <f>SUMPRODUCT($C$7:$X$7,'batch tool'!$B2073:$W2073)+$Y$7</f>
        <v>-19.739516238059196</v>
      </c>
      <c r="H2079" s="7">
        <f t="shared" si="66"/>
        <v>-19.739516238059196</v>
      </c>
      <c r="I2079">
        <f t="shared" si="67"/>
        <v>6</v>
      </c>
      <c r="J2079" t="str" cm="1">
        <f t="array" ref="J2079">INDEX($A$2:$A$7,I2079)</f>
        <v>Segment 6- Self-Conscious Male</v>
      </c>
    </row>
    <row r="2080" spans="1:10" x14ac:dyDescent="0.25">
      <c r="A2080" s="1">
        <f>'batch tool'!A2074</f>
        <v>0</v>
      </c>
      <c r="B2080" s="7">
        <f>SUMPRODUCT($C$2:$X$2,'batch tool'!$B2074:$W2074)+$Y$2</f>
        <v>-49.12272534143483</v>
      </c>
      <c r="C2080" s="7">
        <f>SUMPRODUCT($C$3:$X$3,'batch tool'!$B2074:$W2074)+$Y$3</f>
        <v>-36.514029388465531</v>
      </c>
      <c r="D2080" s="7">
        <f>SUMPRODUCT($C$4:$X$4,'batch tool'!$B2074:$W2074)+$Y$4</f>
        <v>-44.639843068043824</v>
      </c>
      <c r="E2080" s="7">
        <f>SUMPRODUCT($C$5:$X$5,'batch tool'!$B2074:$W2074)+$Y$5</f>
        <v>-51.578889182477603</v>
      </c>
      <c r="F2080" s="7">
        <f>SUMPRODUCT($C$6:$X$6,'batch tool'!$B2074:$W2074)+$Y$6</f>
        <v>-47.741473633885199</v>
      </c>
      <c r="G2080" s="7">
        <f>SUMPRODUCT($C$7:$X$7,'batch tool'!$B2074:$W2074)+$Y$7</f>
        <v>-19.739516238059196</v>
      </c>
      <c r="H2080" s="7">
        <f t="shared" si="66"/>
        <v>-19.739516238059196</v>
      </c>
      <c r="I2080">
        <f t="shared" si="67"/>
        <v>6</v>
      </c>
      <c r="J2080" t="str" cm="1">
        <f t="array" ref="J2080">INDEX($A$2:$A$7,I2080)</f>
        <v>Segment 6- Self-Conscious Male</v>
      </c>
    </row>
    <row r="2081" spans="1:10" x14ac:dyDescent="0.25">
      <c r="A2081" s="1">
        <f>'batch tool'!A2075</f>
        <v>0</v>
      </c>
      <c r="B2081" s="7">
        <f>SUMPRODUCT($C$2:$X$2,'batch tool'!$B2075:$W2075)+$Y$2</f>
        <v>-49.12272534143483</v>
      </c>
      <c r="C2081" s="7">
        <f>SUMPRODUCT($C$3:$X$3,'batch tool'!$B2075:$W2075)+$Y$3</f>
        <v>-36.514029388465531</v>
      </c>
      <c r="D2081" s="7">
        <f>SUMPRODUCT($C$4:$X$4,'batch tool'!$B2075:$W2075)+$Y$4</f>
        <v>-44.639843068043824</v>
      </c>
      <c r="E2081" s="7">
        <f>SUMPRODUCT($C$5:$X$5,'batch tool'!$B2075:$W2075)+$Y$5</f>
        <v>-51.578889182477603</v>
      </c>
      <c r="F2081" s="7">
        <f>SUMPRODUCT($C$6:$X$6,'batch tool'!$B2075:$W2075)+$Y$6</f>
        <v>-47.741473633885199</v>
      </c>
      <c r="G2081" s="7">
        <f>SUMPRODUCT($C$7:$X$7,'batch tool'!$B2075:$W2075)+$Y$7</f>
        <v>-19.739516238059196</v>
      </c>
      <c r="H2081" s="7">
        <f t="shared" si="66"/>
        <v>-19.739516238059196</v>
      </c>
      <c r="I2081">
        <f t="shared" si="67"/>
        <v>6</v>
      </c>
      <c r="J2081" t="str" cm="1">
        <f t="array" ref="J2081">INDEX($A$2:$A$7,I2081)</f>
        <v>Segment 6- Self-Conscious Male</v>
      </c>
    </row>
    <row r="2082" spans="1:10" x14ac:dyDescent="0.25">
      <c r="A2082" s="1">
        <f>'batch tool'!A2076</f>
        <v>0</v>
      </c>
      <c r="B2082" s="7">
        <f>SUMPRODUCT($C$2:$X$2,'batch tool'!$B2076:$W2076)+$Y$2</f>
        <v>-49.12272534143483</v>
      </c>
      <c r="C2082" s="7">
        <f>SUMPRODUCT($C$3:$X$3,'batch tool'!$B2076:$W2076)+$Y$3</f>
        <v>-36.514029388465531</v>
      </c>
      <c r="D2082" s="7">
        <f>SUMPRODUCT($C$4:$X$4,'batch tool'!$B2076:$W2076)+$Y$4</f>
        <v>-44.639843068043824</v>
      </c>
      <c r="E2082" s="7">
        <f>SUMPRODUCT($C$5:$X$5,'batch tool'!$B2076:$W2076)+$Y$5</f>
        <v>-51.578889182477603</v>
      </c>
      <c r="F2082" s="7">
        <f>SUMPRODUCT($C$6:$X$6,'batch tool'!$B2076:$W2076)+$Y$6</f>
        <v>-47.741473633885199</v>
      </c>
      <c r="G2082" s="7">
        <f>SUMPRODUCT($C$7:$X$7,'batch tool'!$B2076:$W2076)+$Y$7</f>
        <v>-19.739516238059196</v>
      </c>
      <c r="H2082" s="7">
        <f t="shared" si="66"/>
        <v>-19.739516238059196</v>
      </c>
      <c r="I2082">
        <f t="shared" si="67"/>
        <v>6</v>
      </c>
      <c r="J2082" t="str" cm="1">
        <f t="array" ref="J2082">INDEX($A$2:$A$7,I2082)</f>
        <v>Segment 6- Self-Conscious Male</v>
      </c>
    </row>
    <row r="2083" spans="1:10" x14ac:dyDescent="0.25">
      <c r="A2083" s="1">
        <f>'batch tool'!A2077</f>
        <v>0</v>
      </c>
      <c r="B2083" s="7">
        <f>SUMPRODUCT($C$2:$X$2,'batch tool'!$B2077:$W2077)+$Y$2</f>
        <v>-49.12272534143483</v>
      </c>
      <c r="C2083" s="7">
        <f>SUMPRODUCT($C$3:$X$3,'batch tool'!$B2077:$W2077)+$Y$3</f>
        <v>-36.514029388465531</v>
      </c>
      <c r="D2083" s="7">
        <f>SUMPRODUCT($C$4:$X$4,'batch tool'!$B2077:$W2077)+$Y$4</f>
        <v>-44.639843068043824</v>
      </c>
      <c r="E2083" s="7">
        <f>SUMPRODUCT($C$5:$X$5,'batch tool'!$B2077:$W2077)+$Y$5</f>
        <v>-51.578889182477603</v>
      </c>
      <c r="F2083" s="7">
        <f>SUMPRODUCT($C$6:$X$6,'batch tool'!$B2077:$W2077)+$Y$6</f>
        <v>-47.741473633885199</v>
      </c>
      <c r="G2083" s="7">
        <f>SUMPRODUCT($C$7:$X$7,'batch tool'!$B2077:$W2077)+$Y$7</f>
        <v>-19.739516238059196</v>
      </c>
      <c r="H2083" s="7">
        <f t="shared" si="66"/>
        <v>-19.739516238059196</v>
      </c>
      <c r="I2083">
        <f t="shared" si="67"/>
        <v>6</v>
      </c>
      <c r="J2083" t="str" cm="1">
        <f t="array" ref="J2083">INDEX($A$2:$A$7,I2083)</f>
        <v>Segment 6- Self-Conscious Male</v>
      </c>
    </row>
    <row r="2084" spans="1:10" x14ac:dyDescent="0.25">
      <c r="A2084" s="1">
        <f>'batch tool'!A2078</f>
        <v>0</v>
      </c>
      <c r="B2084" s="7">
        <f>SUMPRODUCT($C$2:$X$2,'batch tool'!$B2078:$W2078)+$Y$2</f>
        <v>-49.12272534143483</v>
      </c>
      <c r="C2084" s="7">
        <f>SUMPRODUCT($C$3:$X$3,'batch tool'!$B2078:$W2078)+$Y$3</f>
        <v>-36.514029388465531</v>
      </c>
      <c r="D2084" s="7">
        <f>SUMPRODUCT($C$4:$X$4,'batch tool'!$B2078:$W2078)+$Y$4</f>
        <v>-44.639843068043824</v>
      </c>
      <c r="E2084" s="7">
        <f>SUMPRODUCT($C$5:$X$5,'batch tool'!$B2078:$W2078)+$Y$5</f>
        <v>-51.578889182477603</v>
      </c>
      <c r="F2084" s="7">
        <f>SUMPRODUCT($C$6:$X$6,'batch tool'!$B2078:$W2078)+$Y$6</f>
        <v>-47.741473633885199</v>
      </c>
      <c r="G2084" s="7">
        <f>SUMPRODUCT($C$7:$X$7,'batch tool'!$B2078:$W2078)+$Y$7</f>
        <v>-19.739516238059196</v>
      </c>
      <c r="H2084" s="7">
        <f t="shared" si="66"/>
        <v>-19.739516238059196</v>
      </c>
      <c r="I2084">
        <f t="shared" si="67"/>
        <v>6</v>
      </c>
      <c r="J2084" t="str" cm="1">
        <f t="array" ref="J2084">INDEX($A$2:$A$7,I2084)</f>
        <v>Segment 6- Self-Conscious Male</v>
      </c>
    </row>
    <row r="2085" spans="1:10" x14ac:dyDescent="0.25">
      <c r="A2085" s="1">
        <f>'batch tool'!A2079</f>
        <v>0</v>
      </c>
      <c r="B2085" s="7">
        <f>SUMPRODUCT($C$2:$X$2,'batch tool'!$B2079:$W2079)+$Y$2</f>
        <v>-49.12272534143483</v>
      </c>
      <c r="C2085" s="7">
        <f>SUMPRODUCT($C$3:$X$3,'batch tool'!$B2079:$W2079)+$Y$3</f>
        <v>-36.514029388465531</v>
      </c>
      <c r="D2085" s="7">
        <f>SUMPRODUCT($C$4:$X$4,'batch tool'!$B2079:$W2079)+$Y$4</f>
        <v>-44.639843068043824</v>
      </c>
      <c r="E2085" s="7">
        <f>SUMPRODUCT($C$5:$X$5,'batch tool'!$B2079:$W2079)+$Y$5</f>
        <v>-51.578889182477603</v>
      </c>
      <c r="F2085" s="7">
        <f>SUMPRODUCT($C$6:$X$6,'batch tool'!$B2079:$W2079)+$Y$6</f>
        <v>-47.741473633885199</v>
      </c>
      <c r="G2085" s="7">
        <f>SUMPRODUCT($C$7:$X$7,'batch tool'!$B2079:$W2079)+$Y$7</f>
        <v>-19.739516238059196</v>
      </c>
      <c r="H2085" s="7">
        <f t="shared" si="66"/>
        <v>-19.739516238059196</v>
      </c>
      <c r="I2085">
        <f t="shared" si="67"/>
        <v>6</v>
      </c>
      <c r="J2085" t="str" cm="1">
        <f t="array" ref="J2085">INDEX($A$2:$A$7,I2085)</f>
        <v>Segment 6- Self-Conscious Male</v>
      </c>
    </row>
    <row r="2086" spans="1:10" x14ac:dyDescent="0.25">
      <c r="A2086" s="1">
        <f>'batch tool'!A2080</f>
        <v>0</v>
      </c>
      <c r="B2086" s="7">
        <f>SUMPRODUCT($C$2:$X$2,'batch tool'!$B2080:$W2080)+$Y$2</f>
        <v>-49.12272534143483</v>
      </c>
      <c r="C2086" s="7">
        <f>SUMPRODUCT($C$3:$X$3,'batch tool'!$B2080:$W2080)+$Y$3</f>
        <v>-36.514029388465531</v>
      </c>
      <c r="D2086" s="7">
        <f>SUMPRODUCT($C$4:$X$4,'batch tool'!$B2080:$W2080)+$Y$4</f>
        <v>-44.639843068043824</v>
      </c>
      <c r="E2086" s="7">
        <f>SUMPRODUCT($C$5:$X$5,'batch tool'!$B2080:$W2080)+$Y$5</f>
        <v>-51.578889182477603</v>
      </c>
      <c r="F2086" s="7">
        <f>SUMPRODUCT($C$6:$X$6,'batch tool'!$B2080:$W2080)+$Y$6</f>
        <v>-47.741473633885199</v>
      </c>
      <c r="G2086" s="7">
        <f>SUMPRODUCT($C$7:$X$7,'batch tool'!$B2080:$W2080)+$Y$7</f>
        <v>-19.739516238059196</v>
      </c>
      <c r="H2086" s="7">
        <f t="shared" si="66"/>
        <v>-19.739516238059196</v>
      </c>
      <c r="I2086">
        <f t="shared" si="67"/>
        <v>6</v>
      </c>
      <c r="J2086" t="str" cm="1">
        <f t="array" ref="J2086">INDEX($A$2:$A$7,I2086)</f>
        <v>Segment 6- Self-Conscious Male</v>
      </c>
    </row>
    <row r="2087" spans="1:10" x14ac:dyDescent="0.25">
      <c r="A2087" s="1">
        <f>'batch tool'!A2081</f>
        <v>0</v>
      </c>
      <c r="B2087" s="7">
        <f>SUMPRODUCT($C$2:$X$2,'batch tool'!$B2081:$W2081)+$Y$2</f>
        <v>-49.12272534143483</v>
      </c>
      <c r="C2087" s="7">
        <f>SUMPRODUCT($C$3:$X$3,'batch tool'!$B2081:$W2081)+$Y$3</f>
        <v>-36.514029388465531</v>
      </c>
      <c r="D2087" s="7">
        <f>SUMPRODUCT($C$4:$X$4,'batch tool'!$B2081:$W2081)+$Y$4</f>
        <v>-44.639843068043824</v>
      </c>
      <c r="E2087" s="7">
        <f>SUMPRODUCT($C$5:$X$5,'batch tool'!$B2081:$W2081)+$Y$5</f>
        <v>-51.578889182477603</v>
      </c>
      <c r="F2087" s="7">
        <f>SUMPRODUCT($C$6:$X$6,'batch tool'!$B2081:$W2081)+$Y$6</f>
        <v>-47.741473633885199</v>
      </c>
      <c r="G2087" s="7">
        <f>SUMPRODUCT($C$7:$X$7,'batch tool'!$B2081:$W2081)+$Y$7</f>
        <v>-19.739516238059196</v>
      </c>
      <c r="H2087" s="7">
        <f t="shared" si="66"/>
        <v>-19.739516238059196</v>
      </c>
      <c r="I2087">
        <f t="shared" si="67"/>
        <v>6</v>
      </c>
      <c r="J2087" t="str" cm="1">
        <f t="array" ref="J2087">INDEX($A$2:$A$7,I2087)</f>
        <v>Segment 6- Self-Conscious Male</v>
      </c>
    </row>
    <row r="2088" spans="1:10" x14ac:dyDescent="0.25">
      <c r="A2088" s="1">
        <f>'batch tool'!A2082</f>
        <v>0</v>
      </c>
      <c r="B2088" s="7">
        <f>SUMPRODUCT($C$2:$X$2,'batch tool'!$B2082:$W2082)+$Y$2</f>
        <v>-49.12272534143483</v>
      </c>
      <c r="C2088" s="7">
        <f>SUMPRODUCT($C$3:$X$3,'batch tool'!$B2082:$W2082)+$Y$3</f>
        <v>-36.514029388465531</v>
      </c>
      <c r="D2088" s="7">
        <f>SUMPRODUCT($C$4:$X$4,'batch tool'!$B2082:$W2082)+$Y$4</f>
        <v>-44.639843068043824</v>
      </c>
      <c r="E2088" s="7">
        <f>SUMPRODUCT($C$5:$X$5,'batch tool'!$B2082:$W2082)+$Y$5</f>
        <v>-51.578889182477603</v>
      </c>
      <c r="F2088" s="7">
        <f>SUMPRODUCT($C$6:$X$6,'batch tool'!$B2082:$W2082)+$Y$6</f>
        <v>-47.741473633885199</v>
      </c>
      <c r="G2088" s="7">
        <f>SUMPRODUCT($C$7:$X$7,'batch tool'!$B2082:$W2082)+$Y$7</f>
        <v>-19.739516238059196</v>
      </c>
      <c r="H2088" s="7">
        <f t="shared" si="66"/>
        <v>-19.739516238059196</v>
      </c>
      <c r="I2088">
        <f t="shared" si="67"/>
        <v>6</v>
      </c>
      <c r="J2088" t="str" cm="1">
        <f t="array" ref="J2088">INDEX($A$2:$A$7,I2088)</f>
        <v>Segment 6- Self-Conscious Male</v>
      </c>
    </row>
    <row r="2089" spans="1:10" x14ac:dyDescent="0.25">
      <c r="A2089" s="1">
        <f>'batch tool'!A2083</f>
        <v>0</v>
      </c>
      <c r="B2089" s="7">
        <f>SUMPRODUCT($C$2:$X$2,'batch tool'!$B2083:$W2083)+$Y$2</f>
        <v>-49.12272534143483</v>
      </c>
      <c r="C2089" s="7">
        <f>SUMPRODUCT($C$3:$X$3,'batch tool'!$B2083:$W2083)+$Y$3</f>
        <v>-36.514029388465531</v>
      </c>
      <c r="D2089" s="7">
        <f>SUMPRODUCT($C$4:$X$4,'batch tool'!$B2083:$W2083)+$Y$4</f>
        <v>-44.639843068043824</v>
      </c>
      <c r="E2089" s="7">
        <f>SUMPRODUCT($C$5:$X$5,'batch tool'!$B2083:$W2083)+$Y$5</f>
        <v>-51.578889182477603</v>
      </c>
      <c r="F2089" s="7">
        <f>SUMPRODUCT($C$6:$X$6,'batch tool'!$B2083:$W2083)+$Y$6</f>
        <v>-47.741473633885199</v>
      </c>
      <c r="G2089" s="7">
        <f>SUMPRODUCT($C$7:$X$7,'batch tool'!$B2083:$W2083)+$Y$7</f>
        <v>-19.739516238059196</v>
      </c>
      <c r="H2089" s="7">
        <f t="shared" si="66"/>
        <v>-19.739516238059196</v>
      </c>
      <c r="I2089">
        <f t="shared" si="67"/>
        <v>6</v>
      </c>
      <c r="J2089" t="str" cm="1">
        <f t="array" ref="J2089">INDEX($A$2:$A$7,I2089)</f>
        <v>Segment 6- Self-Conscious Male</v>
      </c>
    </row>
    <row r="2090" spans="1:10" x14ac:dyDescent="0.25">
      <c r="A2090" s="1">
        <f>'batch tool'!A2084</f>
        <v>0</v>
      </c>
      <c r="B2090" s="7">
        <f>SUMPRODUCT($C$2:$X$2,'batch tool'!$B2084:$W2084)+$Y$2</f>
        <v>-49.12272534143483</v>
      </c>
      <c r="C2090" s="7">
        <f>SUMPRODUCT($C$3:$X$3,'batch tool'!$B2084:$W2084)+$Y$3</f>
        <v>-36.514029388465531</v>
      </c>
      <c r="D2090" s="7">
        <f>SUMPRODUCT($C$4:$X$4,'batch tool'!$B2084:$W2084)+$Y$4</f>
        <v>-44.639843068043824</v>
      </c>
      <c r="E2090" s="7">
        <f>SUMPRODUCT($C$5:$X$5,'batch tool'!$B2084:$W2084)+$Y$5</f>
        <v>-51.578889182477603</v>
      </c>
      <c r="F2090" s="7">
        <f>SUMPRODUCT($C$6:$X$6,'batch tool'!$B2084:$W2084)+$Y$6</f>
        <v>-47.741473633885199</v>
      </c>
      <c r="G2090" s="7">
        <f>SUMPRODUCT($C$7:$X$7,'batch tool'!$B2084:$W2084)+$Y$7</f>
        <v>-19.739516238059196</v>
      </c>
      <c r="H2090" s="7">
        <f t="shared" si="66"/>
        <v>-19.739516238059196</v>
      </c>
      <c r="I2090">
        <f t="shared" si="67"/>
        <v>6</v>
      </c>
      <c r="J2090" t="str" cm="1">
        <f t="array" ref="J2090">INDEX($A$2:$A$7,I2090)</f>
        <v>Segment 6- Self-Conscious Male</v>
      </c>
    </row>
    <row r="2091" spans="1:10" x14ac:dyDescent="0.25">
      <c r="A2091" s="1">
        <f>'batch tool'!A2085</f>
        <v>0</v>
      </c>
      <c r="B2091" s="7">
        <f>SUMPRODUCT($C$2:$X$2,'batch tool'!$B2085:$W2085)+$Y$2</f>
        <v>-49.12272534143483</v>
      </c>
      <c r="C2091" s="7">
        <f>SUMPRODUCT($C$3:$X$3,'batch tool'!$B2085:$W2085)+$Y$3</f>
        <v>-36.514029388465531</v>
      </c>
      <c r="D2091" s="7">
        <f>SUMPRODUCT($C$4:$X$4,'batch tool'!$B2085:$W2085)+$Y$4</f>
        <v>-44.639843068043824</v>
      </c>
      <c r="E2091" s="7">
        <f>SUMPRODUCT($C$5:$X$5,'batch tool'!$B2085:$W2085)+$Y$5</f>
        <v>-51.578889182477603</v>
      </c>
      <c r="F2091" s="7">
        <f>SUMPRODUCT($C$6:$X$6,'batch tool'!$B2085:$W2085)+$Y$6</f>
        <v>-47.741473633885199</v>
      </c>
      <c r="G2091" s="7">
        <f>SUMPRODUCT($C$7:$X$7,'batch tool'!$B2085:$W2085)+$Y$7</f>
        <v>-19.739516238059196</v>
      </c>
      <c r="H2091" s="7">
        <f t="shared" si="66"/>
        <v>-19.739516238059196</v>
      </c>
      <c r="I2091">
        <f t="shared" si="67"/>
        <v>6</v>
      </c>
      <c r="J2091" t="str" cm="1">
        <f t="array" ref="J2091">INDEX($A$2:$A$7,I2091)</f>
        <v>Segment 6- Self-Conscious Male</v>
      </c>
    </row>
    <row r="2092" spans="1:10" x14ac:dyDescent="0.25">
      <c r="A2092" s="1">
        <f>'batch tool'!A2086</f>
        <v>0</v>
      </c>
      <c r="B2092" s="7">
        <f>SUMPRODUCT($C$2:$X$2,'batch tool'!$B2086:$W2086)+$Y$2</f>
        <v>-49.12272534143483</v>
      </c>
      <c r="C2092" s="7">
        <f>SUMPRODUCT($C$3:$X$3,'batch tool'!$B2086:$W2086)+$Y$3</f>
        <v>-36.514029388465531</v>
      </c>
      <c r="D2092" s="7">
        <f>SUMPRODUCT($C$4:$X$4,'batch tool'!$B2086:$W2086)+$Y$4</f>
        <v>-44.639843068043824</v>
      </c>
      <c r="E2092" s="7">
        <f>SUMPRODUCT($C$5:$X$5,'batch tool'!$B2086:$W2086)+$Y$5</f>
        <v>-51.578889182477603</v>
      </c>
      <c r="F2092" s="7">
        <f>SUMPRODUCT($C$6:$X$6,'batch tool'!$B2086:$W2086)+$Y$6</f>
        <v>-47.741473633885199</v>
      </c>
      <c r="G2092" s="7">
        <f>SUMPRODUCT($C$7:$X$7,'batch tool'!$B2086:$W2086)+$Y$7</f>
        <v>-19.739516238059196</v>
      </c>
      <c r="H2092" s="7">
        <f t="shared" si="66"/>
        <v>-19.739516238059196</v>
      </c>
      <c r="I2092">
        <f t="shared" si="67"/>
        <v>6</v>
      </c>
      <c r="J2092" t="str" cm="1">
        <f t="array" ref="J2092">INDEX($A$2:$A$7,I2092)</f>
        <v>Segment 6- Self-Conscious Male</v>
      </c>
    </row>
    <row r="2093" spans="1:10" x14ac:dyDescent="0.25">
      <c r="A2093" s="1">
        <f>'batch tool'!A2087</f>
        <v>0</v>
      </c>
      <c r="B2093" s="7">
        <f>SUMPRODUCT($C$2:$X$2,'batch tool'!$B2087:$W2087)+$Y$2</f>
        <v>-49.12272534143483</v>
      </c>
      <c r="C2093" s="7">
        <f>SUMPRODUCT($C$3:$X$3,'batch tool'!$B2087:$W2087)+$Y$3</f>
        <v>-36.514029388465531</v>
      </c>
      <c r="D2093" s="7">
        <f>SUMPRODUCT($C$4:$X$4,'batch tool'!$B2087:$W2087)+$Y$4</f>
        <v>-44.639843068043824</v>
      </c>
      <c r="E2093" s="7">
        <f>SUMPRODUCT($C$5:$X$5,'batch tool'!$B2087:$W2087)+$Y$5</f>
        <v>-51.578889182477603</v>
      </c>
      <c r="F2093" s="7">
        <f>SUMPRODUCT($C$6:$X$6,'batch tool'!$B2087:$W2087)+$Y$6</f>
        <v>-47.741473633885199</v>
      </c>
      <c r="G2093" s="7">
        <f>SUMPRODUCT($C$7:$X$7,'batch tool'!$B2087:$W2087)+$Y$7</f>
        <v>-19.739516238059196</v>
      </c>
      <c r="H2093" s="7">
        <f t="shared" si="66"/>
        <v>-19.739516238059196</v>
      </c>
      <c r="I2093">
        <f t="shared" si="67"/>
        <v>6</v>
      </c>
      <c r="J2093" t="str" cm="1">
        <f t="array" ref="J2093">INDEX($A$2:$A$7,I2093)</f>
        <v>Segment 6- Self-Conscious Male</v>
      </c>
    </row>
    <row r="2094" spans="1:10" x14ac:dyDescent="0.25">
      <c r="A2094" s="1">
        <f>'batch tool'!A2088</f>
        <v>0</v>
      </c>
      <c r="B2094" s="7">
        <f>SUMPRODUCT($C$2:$X$2,'batch tool'!$B2088:$W2088)+$Y$2</f>
        <v>-49.12272534143483</v>
      </c>
      <c r="C2094" s="7">
        <f>SUMPRODUCT($C$3:$X$3,'batch tool'!$B2088:$W2088)+$Y$3</f>
        <v>-36.514029388465531</v>
      </c>
      <c r="D2094" s="7">
        <f>SUMPRODUCT($C$4:$X$4,'batch tool'!$B2088:$W2088)+$Y$4</f>
        <v>-44.639843068043824</v>
      </c>
      <c r="E2094" s="7">
        <f>SUMPRODUCT($C$5:$X$5,'batch tool'!$B2088:$W2088)+$Y$5</f>
        <v>-51.578889182477603</v>
      </c>
      <c r="F2094" s="7">
        <f>SUMPRODUCT($C$6:$X$6,'batch tool'!$B2088:$W2088)+$Y$6</f>
        <v>-47.741473633885199</v>
      </c>
      <c r="G2094" s="7">
        <f>SUMPRODUCT($C$7:$X$7,'batch tool'!$B2088:$W2088)+$Y$7</f>
        <v>-19.739516238059196</v>
      </c>
      <c r="H2094" s="7">
        <f t="shared" si="66"/>
        <v>-19.739516238059196</v>
      </c>
      <c r="I2094">
        <f t="shared" si="67"/>
        <v>6</v>
      </c>
      <c r="J2094" t="str" cm="1">
        <f t="array" ref="J2094">INDEX($A$2:$A$7,I2094)</f>
        <v>Segment 6- Self-Conscious Male</v>
      </c>
    </row>
    <row r="2095" spans="1:10" x14ac:dyDescent="0.25">
      <c r="A2095" s="1">
        <f>'batch tool'!A2089</f>
        <v>0</v>
      </c>
      <c r="B2095" s="7">
        <f>SUMPRODUCT($C$2:$X$2,'batch tool'!$B2089:$W2089)+$Y$2</f>
        <v>-49.12272534143483</v>
      </c>
      <c r="C2095" s="7">
        <f>SUMPRODUCT($C$3:$X$3,'batch tool'!$B2089:$W2089)+$Y$3</f>
        <v>-36.514029388465531</v>
      </c>
      <c r="D2095" s="7">
        <f>SUMPRODUCT($C$4:$X$4,'batch tool'!$B2089:$W2089)+$Y$4</f>
        <v>-44.639843068043824</v>
      </c>
      <c r="E2095" s="7">
        <f>SUMPRODUCT($C$5:$X$5,'batch tool'!$B2089:$W2089)+$Y$5</f>
        <v>-51.578889182477603</v>
      </c>
      <c r="F2095" s="7">
        <f>SUMPRODUCT($C$6:$X$6,'batch tool'!$B2089:$W2089)+$Y$6</f>
        <v>-47.741473633885199</v>
      </c>
      <c r="G2095" s="7">
        <f>SUMPRODUCT($C$7:$X$7,'batch tool'!$B2089:$W2089)+$Y$7</f>
        <v>-19.739516238059196</v>
      </c>
      <c r="H2095" s="7">
        <f t="shared" si="66"/>
        <v>-19.739516238059196</v>
      </c>
      <c r="I2095">
        <f t="shared" si="67"/>
        <v>6</v>
      </c>
      <c r="J2095" t="str" cm="1">
        <f t="array" ref="J2095">INDEX($A$2:$A$7,I2095)</f>
        <v>Segment 6- Self-Conscious Male</v>
      </c>
    </row>
    <row r="2096" spans="1:10" x14ac:dyDescent="0.25">
      <c r="A2096" s="1">
        <f>'batch tool'!A2090</f>
        <v>0</v>
      </c>
      <c r="B2096" s="7">
        <f>SUMPRODUCT($C$2:$X$2,'batch tool'!$B2090:$W2090)+$Y$2</f>
        <v>-49.12272534143483</v>
      </c>
      <c r="C2096" s="7">
        <f>SUMPRODUCT($C$3:$X$3,'batch tool'!$B2090:$W2090)+$Y$3</f>
        <v>-36.514029388465531</v>
      </c>
      <c r="D2096" s="7">
        <f>SUMPRODUCT($C$4:$X$4,'batch tool'!$B2090:$W2090)+$Y$4</f>
        <v>-44.639843068043824</v>
      </c>
      <c r="E2096" s="7">
        <f>SUMPRODUCT($C$5:$X$5,'batch tool'!$B2090:$W2090)+$Y$5</f>
        <v>-51.578889182477603</v>
      </c>
      <c r="F2096" s="7">
        <f>SUMPRODUCT($C$6:$X$6,'batch tool'!$B2090:$W2090)+$Y$6</f>
        <v>-47.741473633885199</v>
      </c>
      <c r="G2096" s="7">
        <f>SUMPRODUCT($C$7:$X$7,'batch tool'!$B2090:$W2090)+$Y$7</f>
        <v>-19.739516238059196</v>
      </c>
      <c r="H2096" s="7">
        <f t="shared" si="66"/>
        <v>-19.739516238059196</v>
      </c>
      <c r="I2096">
        <f t="shared" si="67"/>
        <v>6</v>
      </c>
      <c r="J2096" t="str" cm="1">
        <f t="array" ref="J2096">INDEX($A$2:$A$7,I2096)</f>
        <v>Segment 6- Self-Conscious Male</v>
      </c>
    </row>
    <row r="2097" spans="1:10" x14ac:dyDescent="0.25">
      <c r="A2097" s="1">
        <f>'batch tool'!A2091</f>
        <v>0</v>
      </c>
      <c r="B2097" s="7">
        <f>SUMPRODUCT($C$2:$X$2,'batch tool'!$B2091:$W2091)+$Y$2</f>
        <v>-49.12272534143483</v>
      </c>
      <c r="C2097" s="7">
        <f>SUMPRODUCT($C$3:$X$3,'batch tool'!$B2091:$W2091)+$Y$3</f>
        <v>-36.514029388465531</v>
      </c>
      <c r="D2097" s="7">
        <f>SUMPRODUCT($C$4:$X$4,'batch tool'!$B2091:$W2091)+$Y$4</f>
        <v>-44.639843068043824</v>
      </c>
      <c r="E2097" s="7">
        <f>SUMPRODUCT($C$5:$X$5,'batch tool'!$B2091:$W2091)+$Y$5</f>
        <v>-51.578889182477603</v>
      </c>
      <c r="F2097" s="7">
        <f>SUMPRODUCT($C$6:$X$6,'batch tool'!$B2091:$W2091)+$Y$6</f>
        <v>-47.741473633885199</v>
      </c>
      <c r="G2097" s="7">
        <f>SUMPRODUCT($C$7:$X$7,'batch tool'!$B2091:$W2091)+$Y$7</f>
        <v>-19.739516238059196</v>
      </c>
      <c r="H2097" s="7">
        <f t="shared" si="66"/>
        <v>-19.739516238059196</v>
      </c>
      <c r="I2097">
        <f t="shared" si="67"/>
        <v>6</v>
      </c>
      <c r="J2097" t="str" cm="1">
        <f t="array" ref="J2097">INDEX($A$2:$A$7,I2097)</f>
        <v>Segment 6- Self-Conscious Male</v>
      </c>
    </row>
    <row r="2098" spans="1:10" x14ac:dyDescent="0.25">
      <c r="A2098" s="1">
        <f>'batch tool'!A2092</f>
        <v>0</v>
      </c>
      <c r="B2098" s="7">
        <f>SUMPRODUCT($C$2:$X$2,'batch tool'!$B2092:$W2092)+$Y$2</f>
        <v>-49.12272534143483</v>
      </c>
      <c r="C2098" s="7">
        <f>SUMPRODUCT($C$3:$X$3,'batch tool'!$B2092:$W2092)+$Y$3</f>
        <v>-36.514029388465531</v>
      </c>
      <c r="D2098" s="7">
        <f>SUMPRODUCT($C$4:$X$4,'batch tool'!$B2092:$W2092)+$Y$4</f>
        <v>-44.639843068043824</v>
      </c>
      <c r="E2098" s="7">
        <f>SUMPRODUCT($C$5:$X$5,'batch tool'!$B2092:$W2092)+$Y$5</f>
        <v>-51.578889182477603</v>
      </c>
      <c r="F2098" s="7">
        <f>SUMPRODUCT($C$6:$X$6,'batch tool'!$B2092:$W2092)+$Y$6</f>
        <v>-47.741473633885199</v>
      </c>
      <c r="G2098" s="7">
        <f>SUMPRODUCT($C$7:$X$7,'batch tool'!$B2092:$W2092)+$Y$7</f>
        <v>-19.739516238059196</v>
      </c>
      <c r="H2098" s="7">
        <f t="shared" si="66"/>
        <v>-19.739516238059196</v>
      </c>
      <c r="I2098">
        <f t="shared" si="67"/>
        <v>6</v>
      </c>
      <c r="J2098" t="str" cm="1">
        <f t="array" ref="J2098">INDEX($A$2:$A$7,I2098)</f>
        <v>Segment 6- Self-Conscious Male</v>
      </c>
    </row>
    <row r="2099" spans="1:10" x14ac:dyDescent="0.25">
      <c r="A2099" s="1">
        <f>'batch tool'!A2093</f>
        <v>0</v>
      </c>
      <c r="B2099" s="7">
        <f>SUMPRODUCT($C$2:$X$2,'batch tool'!$B2093:$W2093)+$Y$2</f>
        <v>-49.12272534143483</v>
      </c>
      <c r="C2099" s="7">
        <f>SUMPRODUCT($C$3:$X$3,'batch tool'!$B2093:$W2093)+$Y$3</f>
        <v>-36.514029388465531</v>
      </c>
      <c r="D2099" s="7">
        <f>SUMPRODUCT($C$4:$X$4,'batch tool'!$B2093:$W2093)+$Y$4</f>
        <v>-44.639843068043824</v>
      </c>
      <c r="E2099" s="7">
        <f>SUMPRODUCT($C$5:$X$5,'batch tool'!$B2093:$W2093)+$Y$5</f>
        <v>-51.578889182477603</v>
      </c>
      <c r="F2099" s="7">
        <f>SUMPRODUCT($C$6:$X$6,'batch tool'!$B2093:$W2093)+$Y$6</f>
        <v>-47.741473633885199</v>
      </c>
      <c r="G2099" s="7">
        <f>SUMPRODUCT($C$7:$X$7,'batch tool'!$B2093:$W2093)+$Y$7</f>
        <v>-19.739516238059196</v>
      </c>
      <c r="H2099" s="7">
        <f t="shared" si="66"/>
        <v>-19.739516238059196</v>
      </c>
      <c r="I2099">
        <f t="shared" si="67"/>
        <v>6</v>
      </c>
      <c r="J2099" t="str" cm="1">
        <f t="array" ref="J2099">INDEX($A$2:$A$7,I2099)</f>
        <v>Segment 6- Self-Conscious Male</v>
      </c>
    </row>
    <row r="2100" spans="1:10" x14ac:dyDescent="0.25">
      <c r="A2100" s="1">
        <f>'batch tool'!A2094</f>
        <v>0</v>
      </c>
      <c r="B2100" s="7">
        <f>SUMPRODUCT($C$2:$X$2,'batch tool'!$B2094:$W2094)+$Y$2</f>
        <v>-49.12272534143483</v>
      </c>
      <c r="C2100" s="7">
        <f>SUMPRODUCT($C$3:$X$3,'batch tool'!$B2094:$W2094)+$Y$3</f>
        <v>-36.514029388465531</v>
      </c>
      <c r="D2100" s="7">
        <f>SUMPRODUCT($C$4:$X$4,'batch tool'!$B2094:$W2094)+$Y$4</f>
        <v>-44.639843068043824</v>
      </c>
      <c r="E2100" s="7">
        <f>SUMPRODUCT($C$5:$X$5,'batch tool'!$B2094:$W2094)+$Y$5</f>
        <v>-51.578889182477603</v>
      </c>
      <c r="F2100" s="7">
        <f>SUMPRODUCT($C$6:$X$6,'batch tool'!$B2094:$W2094)+$Y$6</f>
        <v>-47.741473633885199</v>
      </c>
      <c r="G2100" s="7">
        <f>SUMPRODUCT($C$7:$X$7,'batch tool'!$B2094:$W2094)+$Y$7</f>
        <v>-19.739516238059196</v>
      </c>
      <c r="H2100" s="7">
        <f t="shared" si="66"/>
        <v>-19.739516238059196</v>
      </c>
      <c r="I2100">
        <f t="shared" si="67"/>
        <v>6</v>
      </c>
      <c r="J2100" t="str" cm="1">
        <f t="array" ref="J2100">INDEX($A$2:$A$7,I2100)</f>
        <v>Segment 6- Self-Conscious Male</v>
      </c>
    </row>
    <row r="2101" spans="1:10" x14ac:dyDescent="0.25">
      <c r="A2101" s="1">
        <f>'batch tool'!A2095</f>
        <v>0</v>
      </c>
      <c r="B2101" s="7">
        <f>SUMPRODUCT($C$2:$X$2,'batch tool'!$B2095:$W2095)+$Y$2</f>
        <v>-49.12272534143483</v>
      </c>
      <c r="C2101" s="7">
        <f>SUMPRODUCT($C$3:$X$3,'batch tool'!$B2095:$W2095)+$Y$3</f>
        <v>-36.514029388465531</v>
      </c>
      <c r="D2101" s="7">
        <f>SUMPRODUCT($C$4:$X$4,'batch tool'!$B2095:$W2095)+$Y$4</f>
        <v>-44.639843068043824</v>
      </c>
      <c r="E2101" s="7">
        <f>SUMPRODUCT($C$5:$X$5,'batch tool'!$B2095:$W2095)+$Y$5</f>
        <v>-51.578889182477603</v>
      </c>
      <c r="F2101" s="7">
        <f>SUMPRODUCT($C$6:$X$6,'batch tool'!$B2095:$W2095)+$Y$6</f>
        <v>-47.741473633885199</v>
      </c>
      <c r="G2101" s="7">
        <f>SUMPRODUCT($C$7:$X$7,'batch tool'!$B2095:$W2095)+$Y$7</f>
        <v>-19.739516238059196</v>
      </c>
      <c r="H2101" s="7">
        <f t="shared" si="66"/>
        <v>-19.739516238059196</v>
      </c>
      <c r="I2101">
        <f t="shared" si="67"/>
        <v>6</v>
      </c>
      <c r="J2101" t="str" cm="1">
        <f t="array" ref="J2101">INDEX($A$2:$A$7,I2101)</f>
        <v>Segment 6- Self-Conscious Male</v>
      </c>
    </row>
    <row r="2102" spans="1:10" x14ac:dyDescent="0.25">
      <c r="A2102" s="1">
        <f>'batch tool'!A2096</f>
        <v>0</v>
      </c>
      <c r="B2102" s="7">
        <f>SUMPRODUCT($C$2:$X$2,'batch tool'!$B2096:$W2096)+$Y$2</f>
        <v>-49.12272534143483</v>
      </c>
      <c r="C2102" s="7">
        <f>SUMPRODUCT($C$3:$X$3,'batch tool'!$B2096:$W2096)+$Y$3</f>
        <v>-36.514029388465531</v>
      </c>
      <c r="D2102" s="7">
        <f>SUMPRODUCT($C$4:$X$4,'batch tool'!$B2096:$W2096)+$Y$4</f>
        <v>-44.639843068043824</v>
      </c>
      <c r="E2102" s="7">
        <f>SUMPRODUCT($C$5:$X$5,'batch tool'!$B2096:$W2096)+$Y$5</f>
        <v>-51.578889182477603</v>
      </c>
      <c r="F2102" s="7">
        <f>SUMPRODUCT($C$6:$X$6,'batch tool'!$B2096:$W2096)+$Y$6</f>
        <v>-47.741473633885199</v>
      </c>
      <c r="G2102" s="7">
        <f>SUMPRODUCT($C$7:$X$7,'batch tool'!$B2096:$W2096)+$Y$7</f>
        <v>-19.739516238059196</v>
      </c>
      <c r="H2102" s="7">
        <f t="shared" si="66"/>
        <v>-19.739516238059196</v>
      </c>
      <c r="I2102">
        <f t="shared" si="67"/>
        <v>6</v>
      </c>
      <c r="J2102" t="str" cm="1">
        <f t="array" ref="J2102">INDEX($A$2:$A$7,I2102)</f>
        <v>Segment 6- Self-Conscious Male</v>
      </c>
    </row>
    <row r="2103" spans="1:10" x14ac:dyDescent="0.25">
      <c r="A2103" s="1">
        <f>'batch tool'!A2097</f>
        <v>0</v>
      </c>
      <c r="B2103" s="7">
        <f>SUMPRODUCT($C$2:$X$2,'batch tool'!$B2097:$W2097)+$Y$2</f>
        <v>-49.12272534143483</v>
      </c>
      <c r="C2103" s="7">
        <f>SUMPRODUCT($C$3:$X$3,'batch tool'!$B2097:$W2097)+$Y$3</f>
        <v>-36.514029388465531</v>
      </c>
      <c r="D2103" s="7">
        <f>SUMPRODUCT($C$4:$X$4,'batch tool'!$B2097:$W2097)+$Y$4</f>
        <v>-44.639843068043824</v>
      </c>
      <c r="E2103" s="7">
        <f>SUMPRODUCT($C$5:$X$5,'batch tool'!$B2097:$W2097)+$Y$5</f>
        <v>-51.578889182477603</v>
      </c>
      <c r="F2103" s="7">
        <f>SUMPRODUCT($C$6:$X$6,'batch tool'!$B2097:$W2097)+$Y$6</f>
        <v>-47.741473633885199</v>
      </c>
      <c r="G2103" s="7">
        <f>SUMPRODUCT($C$7:$X$7,'batch tool'!$B2097:$W2097)+$Y$7</f>
        <v>-19.739516238059196</v>
      </c>
      <c r="H2103" s="7">
        <f t="shared" si="66"/>
        <v>-19.739516238059196</v>
      </c>
      <c r="I2103">
        <f t="shared" si="67"/>
        <v>6</v>
      </c>
      <c r="J2103" t="str" cm="1">
        <f t="array" ref="J2103">INDEX($A$2:$A$7,I2103)</f>
        <v>Segment 6- Self-Conscious Male</v>
      </c>
    </row>
    <row r="2104" spans="1:10" x14ac:dyDescent="0.25">
      <c r="A2104" s="1">
        <f>'batch tool'!A2098</f>
        <v>0</v>
      </c>
      <c r="B2104" s="7">
        <f>SUMPRODUCT($C$2:$X$2,'batch tool'!$B2098:$W2098)+$Y$2</f>
        <v>-49.12272534143483</v>
      </c>
      <c r="C2104" s="7">
        <f>SUMPRODUCT($C$3:$X$3,'batch tool'!$B2098:$W2098)+$Y$3</f>
        <v>-36.514029388465531</v>
      </c>
      <c r="D2104" s="7">
        <f>SUMPRODUCT($C$4:$X$4,'batch tool'!$B2098:$W2098)+$Y$4</f>
        <v>-44.639843068043824</v>
      </c>
      <c r="E2104" s="7">
        <f>SUMPRODUCT($C$5:$X$5,'batch tool'!$B2098:$W2098)+$Y$5</f>
        <v>-51.578889182477603</v>
      </c>
      <c r="F2104" s="7">
        <f>SUMPRODUCT($C$6:$X$6,'batch tool'!$B2098:$W2098)+$Y$6</f>
        <v>-47.741473633885199</v>
      </c>
      <c r="G2104" s="7">
        <f>SUMPRODUCT($C$7:$X$7,'batch tool'!$B2098:$W2098)+$Y$7</f>
        <v>-19.739516238059196</v>
      </c>
      <c r="H2104" s="7">
        <f t="shared" si="66"/>
        <v>-19.739516238059196</v>
      </c>
      <c r="I2104">
        <f t="shared" si="67"/>
        <v>6</v>
      </c>
      <c r="J2104" t="str" cm="1">
        <f t="array" ref="J2104">INDEX($A$2:$A$7,I2104)</f>
        <v>Segment 6- Self-Conscious Male</v>
      </c>
    </row>
    <row r="2105" spans="1:10" x14ac:dyDescent="0.25">
      <c r="A2105" s="1">
        <f>'batch tool'!A2099</f>
        <v>0</v>
      </c>
      <c r="B2105" s="7">
        <f>SUMPRODUCT($C$2:$X$2,'batch tool'!$B2099:$W2099)+$Y$2</f>
        <v>-49.12272534143483</v>
      </c>
      <c r="C2105" s="7">
        <f>SUMPRODUCT($C$3:$X$3,'batch tool'!$B2099:$W2099)+$Y$3</f>
        <v>-36.514029388465531</v>
      </c>
      <c r="D2105" s="7">
        <f>SUMPRODUCT($C$4:$X$4,'batch tool'!$B2099:$W2099)+$Y$4</f>
        <v>-44.639843068043824</v>
      </c>
      <c r="E2105" s="7">
        <f>SUMPRODUCT($C$5:$X$5,'batch tool'!$B2099:$W2099)+$Y$5</f>
        <v>-51.578889182477603</v>
      </c>
      <c r="F2105" s="7">
        <f>SUMPRODUCT($C$6:$X$6,'batch tool'!$B2099:$W2099)+$Y$6</f>
        <v>-47.741473633885199</v>
      </c>
      <c r="G2105" s="7">
        <f>SUMPRODUCT($C$7:$X$7,'batch tool'!$B2099:$W2099)+$Y$7</f>
        <v>-19.739516238059196</v>
      </c>
      <c r="H2105" s="7">
        <f t="shared" si="66"/>
        <v>-19.739516238059196</v>
      </c>
      <c r="I2105">
        <f t="shared" si="67"/>
        <v>6</v>
      </c>
      <c r="J2105" t="str" cm="1">
        <f t="array" ref="J2105">INDEX($A$2:$A$7,I2105)</f>
        <v>Segment 6- Self-Conscious Male</v>
      </c>
    </row>
    <row r="2106" spans="1:10" x14ac:dyDescent="0.25">
      <c r="A2106" s="1">
        <f>'batch tool'!A2100</f>
        <v>0</v>
      </c>
      <c r="B2106" s="7">
        <f>SUMPRODUCT($C$2:$X$2,'batch tool'!$B2100:$W2100)+$Y$2</f>
        <v>-49.12272534143483</v>
      </c>
      <c r="C2106" s="7">
        <f>SUMPRODUCT($C$3:$X$3,'batch tool'!$B2100:$W2100)+$Y$3</f>
        <v>-36.514029388465531</v>
      </c>
      <c r="D2106" s="7">
        <f>SUMPRODUCT($C$4:$X$4,'batch tool'!$B2100:$W2100)+$Y$4</f>
        <v>-44.639843068043824</v>
      </c>
      <c r="E2106" s="7">
        <f>SUMPRODUCT($C$5:$X$5,'batch tool'!$B2100:$W2100)+$Y$5</f>
        <v>-51.578889182477603</v>
      </c>
      <c r="F2106" s="7">
        <f>SUMPRODUCT($C$6:$X$6,'batch tool'!$B2100:$W2100)+$Y$6</f>
        <v>-47.741473633885199</v>
      </c>
      <c r="G2106" s="7">
        <f>SUMPRODUCT($C$7:$X$7,'batch tool'!$B2100:$W2100)+$Y$7</f>
        <v>-19.739516238059196</v>
      </c>
      <c r="H2106" s="7">
        <f t="shared" si="66"/>
        <v>-19.739516238059196</v>
      </c>
      <c r="I2106">
        <f t="shared" si="67"/>
        <v>6</v>
      </c>
      <c r="J2106" t="str" cm="1">
        <f t="array" ref="J2106">INDEX($A$2:$A$7,I2106)</f>
        <v>Segment 6- Self-Conscious Male</v>
      </c>
    </row>
    <row r="2107" spans="1:10" x14ac:dyDescent="0.25">
      <c r="A2107" s="1">
        <f>'batch tool'!A2101</f>
        <v>0</v>
      </c>
      <c r="B2107" s="7">
        <f>SUMPRODUCT($C$2:$X$2,'batch tool'!$B2101:$W2101)+$Y$2</f>
        <v>-49.12272534143483</v>
      </c>
      <c r="C2107" s="7">
        <f>SUMPRODUCT($C$3:$X$3,'batch tool'!$B2101:$W2101)+$Y$3</f>
        <v>-36.514029388465531</v>
      </c>
      <c r="D2107" s="7">
        <f>SUMPRODUCT($C$4:$X$4,'batch tool'!$B2101:$W2101)+$Y$4</f>
        <v>-44.639843068043824</v>
      </c>
      <c r="E2107" s="7">
        <f>SUMPRODUCT($C$5:$X$5,'batch tool'!$B2101:$W2101)+$Y$5</f>
        <v>-51.578889182477603</v>
      </c>
      <c r="F2107" s="7">
        <f>SUMPRODUCT($C$6:$X$6,'batch tool'!$B2101:$W2101)+$Y$6</f>
        <v>-47.741473633885199</v>
      </c>
      <c r="G2107" s="7">
        <f>SUMPRODUCT($C$7:$X$7,'batch tool'!$B2101:$W2101)+$Y$7</f>
        <v>-19.739516238059196</v>
      </c>
      <c r="H2107" s="7">
        <f t="shared" si="66"/>
        <v>-19.739516238059196</v>
      </c>
      <c r="I2107">
        <f t="shared" si="67"/>
        <v>6</v>
      </c>
      <c r="J2107" t="str" cm="1">
        <f t="array" ref="J2107">INDEX($A$2:$A$7,I2107)</f>
        <v>Segment 6- Self-Conscious Male</v>
      </c>
    </row>
    <row r="2108" spans="1:10" x14ac:dyDescent="0.25">
      <c r="A2108" s="1">
        <f>'batch tool'!A2102</f>
        <v>0</v>
      </c>
      <c r="B2108" s="7">
        <f>SUMPRODUCT($C$2:$X$2,'batch tool'!$B2102:$W2102)+$Y$2</f>
        <v>-49.12272534143483</v>
      </c>
      <c r="C2108" s="7">
        <f>SUMPRODUCT($C$3:$X$3,'batch tool'!$B2102:$W2102)+$Y$3</f>
        <v>-36.514029388465531</v>
      </c>
      <c r="D2108" s="7">
        <f>SUMPRODUCT($C$4:$X$4,'batch tool'!$B2102:$W2102)+$Y$4</f>
        <v>-44.639843068043824</v>
      </c>
      <c r="E2108" s="7">
        <f>SUMPRODUCT($C$5:$X$5,'batch tool'!$B2102:$W2102)+$Y$5</f>
        <v>-51.578889182477603</v>
      </c>
      <c r="F2108" s="7">
        <f>SUMPRODUCT($C$6:$X$6,'batch tool'!$B2102:$W2102)+$Y$6</f>
        <v>-47.741473633885199</v>
      </c>
      <c r="G2108" s="7">
        <f>SUMPRODUCT($C$7:$X$7,'batch tool'!$B2102:$W2102)+$Y$7</f>
        <v>-19.739516238059196</v>
      </c>
      <c r="H2108" s="7">
        <f t="shared" si="66"/>
        <v>-19.739516238059196</v>
      </c>
      <c r="I2108">
        <f t="shared" si="67"/>
        <v>6</v>
      </c>
      <c r="J2108" t="str" cm="1">
        <f t="array" ref="J2108">INDEX($A$2:$A$7,I2108)</f>
        <v>Segment 6- Self-Conscious Male</v>
      </c>
    </row>
    <row r="2109" spans="1:10" x14ac:dyDescent="0.25">
      <c r="A2109" s="1">
        <f>'batch tool'!A2103</f>
        <v>0</v>
      </c>
      <c r="B2109" s="7">
        <f>SUMPRODUCT($C$2:$X$2,'batch tool'!$B2103:$W2103)+$Y$2</f>
        <v>-49.12272534143483</v>
      </c>
      <c r="C2109" s="7">
        <f>SUMPRODUCT($C$3:$X$3,'batch tool'!$B2103:$W2103)+$Y$3</f>
        <v>-36.514029388465531</v>
      </c>
      <c r="D2109" s="7">
        <f>SUMPRODUCT($C$4:$X$4,'batch tool'!$B2103:$W2103)+$Y$4</f>
        <v>-44.639843068043824</v>
      </c>
      <c r="E2109" s="7">
        <f>SUMPRODUCT($C$5:$X$5,'batch tool'!$B2103:$W2103)+$Y$5</f>
        <v>-51.578889182477603</v>
      </c>
      <c r="F2109" s="7">
        <f>SUMPRODUCT($C$6:$X$6,'batch tool'!$B2103:$W2103)+$Y$6</f>
        <v>-47.741473633885199</v>
      </c>
      <c r="G2109" s="7">
        <f>SUMPRODUCT($C$7:$X$7,'batch tool'!$B2103:$W2103)+$Y$7</f>
        <v>-19.739516238059196</v>
      </c>
      <c r="H2109" s="7">
        <f t="shared" si="66"/>
        <v>-19.739516238059196</v>
      </c>
      <c r="I2109">
        <f t="shared" si="67"/>
        <v>6</v>
      </c>
      <c r="J2109" t="str" cm="1">
        <f t="array" ref="J2109">INDEX($A$2:$A$7,I2109)</f>
        <v>Segment 6- Self-Conscious Male</v>
      </c>
    </row>
    <row r="2110" spans="1:10" x14ac:dyDescent="0.25">
      <c r="A2110" s="1">
        <f>'batch tool'!A2104</f>
        <v>0</v>
      </c>
      <c r="B2110" s="7">
        <f>SUMPRODUCT($C$2:$X$2,'batch tool'!$B2104:$W2104)+$Y$2</f>
        <v>-49.12272534143483</v>
      </c>
      <c r="C2110" s="7">
        <f>SUMPRODUCT($C$3:$X$3,'batch tool'!$B2104:$W2104)+$Y$3</f>
        <v>-36.514029388465531</v>
      </c>
      <c r="D2110" s="7">
        <f>SUMPRODUCT($C$4:$X$4,'batch tool'!$B2104:$W2104)+$Y$4</f>
        <v>-44.639843068043824</v>
      </c>
      <c r="E2110" s="7">
        <f>SUMPRODUCT($C$5:$X$5,'batch tool'!$B2104:$W2104)+$Y$5</f>
        <v>-51.578889182477603</v>
      </c>
      <c r="F2110" s="7">
        <f>SUMPRODUCT($C$6:$X$6,'batch tool'!$B2104:$W2104)+$Y$6</f>
        <v>-47.741473633885199</v>
      </c>
      <c r="G2110" s="7">
        <f>SUMPRODUCT($C$7:$X$7,'batch tool'!$B2104:$W2104)+$Y$7</f>
        <v>-19.739516238059196</v>
      </c>
      <c r="H2110" s="7">
        <f t="shared" si="66"/>
        <v>-19.739516238059196</v>
      </c>
      <c r="I2110">
        <f t="shared" si="67"/>
        <v>6</v>
      </c>
      <c r="J2110" t="str" cm="1">
        <f t="array" ref="J2110">INDEX($A$2:$A$7,I2110)</f>
        <v>Segment 6- Self-Conscious Male</v>
      </c>
    </row>
    <row r="2111" spans="1:10" x14ac:dyDescent="0.25">
      <c r="A2111" s="1">
        <f>'batch tool'!A2105</f>
        <v>0</v>
      </c>
      <c r="B2111" s="7">
        <f>SUMPRODUCT($C$2:$X$2,'batch tool'!$B2105:$W2105)+$Y$2</f>
        <v>-49.12272534143483</v>
      </c>
      <c r="C2111" s="7">
        <f>SUMPRODUCT($C$3:$X$3,'batch tool'!$B2105:$W2105)+$Y$3</f>
        <v>-36.514029388465531</v>
      </c>
      <c r="D2111" s="7">
        <f>SUMPRODUCT($C$4:$X$4,'batch tool'!$B2105:$W2105)+$Y$4</f>
        <v>-44.639843068043824</v>
      </c>
      <c r="E2111" s="7">
        <f>SUMPRODUCT($C$5:$X$5,'batch tool'!$B2105:$W2105)+$Y$5</f>
        <v>-51.578889182477603</v>
      </c>
      <c r="F2111" s="7">
        <f>SUMPRODUCT($C$6:$X$6,'batch tool'!$B2105:$W2105)+$Y$6</f>
        <v>-47.741473633885199</v>
      </c>
      <c r="G2111" s="7">
        <f>SUMPRODUCT($C$7:$X$7,'batch tool'!$B2105:$W2105)+$Y$7</f>
        <v>-19.739516238059196</v>
      </c>
      <c r="H2111" s="7">
        <f t="shared" si="66"/>
        <v>-19.739516238059196</v>
      </c>
      <c r="I2111">
        <f t="shared" si="67"/>
        <v>6</v>
      </c>
      <c r="J2111" t="str" cm="1">
        <f t="array" ref="J2111">INDEX($A$2:$A$7,I2111)</f>
        <v>Segment 6- Self-Conscious Male</v>
      </c>
    </row>
    <row r="2112" spans="1:10" x14ac:dyDescent="0.25">
      <c r="A2112" s="1">
        <f>'batch tool'!A2106</f>
        <v>0</v>
      </c>
      <c r="B2112" s="7">
        <f>SUMPRODUCT($C$2:$X$2,'batch tool'!$B2106:$W2106)+$Y$2</f>
        <v>-49.12272534143483</v>
      </c>
      <c r="C2112" s="7">
        <f>SUMPRODUCT($C$3:$X$3,'batch tool'!$B2106:$W2106)+$Y$3</f>
        <v>-36.514029388465531</v>
      </c>
      <c r="D2112" s="7">
        <f>SUMPRODUCT($C$4:$X$4,'batch tool'!$B2106:$W2106)+$Y$4</f>
        <v>-44.639843068043824</v>
      </c>
      <c r="E2112" s="7">
        <f>SUMPRODUCT($C$5:$X$5,'batch tool'!$B2106:$W2106)+$Y$5</f>
        <v>-51.578889182477603</v>
      </c>
      <c r="F2112" s="7">
        <f>SUMPRODUCT($C$6:$X$6,'batch tool'!$B2106:$W2106)+$Y$6</f>
        <v>-47.741473633885199</v>
      </c>
      <c r="G2112" s="7">
        <f>SUMPRODUCT($C$7:$X$7,'batch tool'!$B2106:$W2106)+$Y$7</f>
        <v>-19.739516238059196</v>
      </c>
      <c r="H2112" s="7">
        <f t="shared" si="66"/>
        <v>-19.739516238059196</v>
      </c>
      <c r="I2112">
        <f t="shared" si="67"/>
        <v>6</v>
      </c>
      <c r="J2112" t="str" cm="1">
        <f t="array" ref="J2112">INDEX($A$2:$A$7,I2112)</f>
        <v>Segment 6- Self-Conscious Male</v>
      </c>
    </row>
    <row r="2113" spans="1:10" x14ac:dyDescent="0.25">
      <c r="A2113" s="1">
        <f>'batch tool'!A2107</f>
        <v>0</v>
      </c>
      <c r="B2113" s="7">
        <f>SUMPRODUCT($C$2:$X$2,'batch tool'!$B2107:$W2107)+$Y$2</f>
        <v>-49.12272534143483</v>
      </c>
      <c r="C2113" s="7">
        <f>SUMPRODUCT($C$3:$X$3,'batch tool'!$B2107:$W2107)+$Y$3</f>
        <v>-36.514029388465531</v>
      </c>
      <c r="D2113" s="7">
        <f>SUMPRODUCT($C$4:$X$4,'batch tool'!$B2107:$W2107)+$Y$4</f>
        <v>-44.639843068043824</v>
      </c>
      <c r="E2113" s="7">
        <f>SUMPRODUCT($C$5:$X$5,'batch tool'!$B2107:$W2107)+$Y$5</f>
        <v>-51.578889182477603</v>
      </c>
      <c r="F2113" s="7">
        <f>SUMPRODUCT($C$6:$X$6,'batch tool'!$B2107:$W2107)+$Y$6</f>
        <v>-47.741473633885199</v>
      </c>
      <c r="G2113" s="7">
        <f>SUMPRODUCT($C$7:$X$7,'batch tool'!$B2107:$W2107)+$Y$7</f>
        <v>-19.739516238059196</v>
      </c>
      <c r="H2113" s="7">
        <f t="shared" si="66"/>
        <v>-19.739516238059196</v>
      </c>
      <c r="I2113">
        <f t="shared" si="67"/>
        <v>6</v>
      </c>
      <c r="J2113" t="str" cm="1">
        <f t="array" ref="J2113">INDEX($A$2:$A$7,I2113)</f>
        <v>Segment 6- Self-Conscious Male</v>
      </c>
    </row>
    <row r="2114" spans="1:10" x14ac:dyDescent="0.25">
      <c r="A2114" s="1">
        <f>'batch tool'!A2108</f>
        <v>0</v>
      </c>
      <c r="B2114" s="7">
        <f>SUMPRODUCT($C$2:$X$2,'batch tool'!$B2108:$W2108)+$Y$2</f>
        <v>-49.12272534143483</v>
      </c>
      <c r="C2114" s="7">
        <f>SUMPRODUCT($C$3:$X$3,'batch tool'!$B2108:$W2108)+$Y$3</f>
        <v>-36.514029388465531</v>
      </c>
      <c r="D2114" s="7">
        <f>SUMPRODUCT($C$4:$X$4,'batch tool'!$B2108:$W2108)+$Y$4</f>
        <v>-44.639843068043824</v>
      </c>
      <c r="E2114" s="7">
        <f>SUMPRODUCT($C$5:$X$5,'batch tool'!$B2108:$W2108)+$Y$5</f>
        <v>-51.578889182477603</v>
      </c>
      <c r="F2114" s="7">
        <f>SUMPRODUCT($C$6:$X$6,'batch tool'!$B2108:$W2108)+$Y$6</f>
        <v>-47.741473633885199</v>
      </c>
      <c r="G2114" s="7">
        <f>SUMPRODUCT($C$7:$X$7,'batch tool'!$B2108:$W2108)+$Y$7</f>
        <v>-19.739516238059196</v>
      </c>
      <c r="H2114" s="7">
        <f t="shared" si="66"/>
        <v>-19.739516238059196</v>
      </c>
      <c r="I2114">
        <f t="shared" si="67"/>
        <v>6</v>
      </c>
      <c r="J2114" t="str" cm="1">
        <f t="array" ref="J2114">INDEX($A$2:$A$7,I2114)</f>
        <v>Segment 6- Self-Conscious Male</v>
      </c>
    </row>
    <row r="2115" spans="1:10" x14ac:dyDescent="0.25">
      <c r="A2115" s="1">
        <f>'batch tool'!A2109</f>
        <v>0</v>
      </c>
      <c r="B2115" s="7">
        <f>SUMPRODUCT($C$2:$X$2,'batch tool'!$B2109:$W2109)+$Y$2</f>
        <v>-49.12272534143483</v>
      </c>
      <c r="C2115" s="7">
        <f>SUMPRODUCT($C$3:$X$3,'batch tool'!$B2109:$W2109)+$Y$3</f>
        <v>-36.514029388465531</v>
      </c>
      <c r="D2115" s="7">
        <f>SUMPRODUCT($C$4:$X$4,'batch tool'!$B2109:$W2109)+$Y$4</f>
        <v>-44.639843068043824</v>
      </c>
      <c r="E2115" s="7">
        <f>SUMPRODUCT($C$5:$X$5,'batch tool'!$B2109:$W2109)+$Y$5</f>
        <v>-51.578889182477603</v>
      </c>
      <c r="F2115" s="7">
        <f>SUMPRODUCT($C$6:$X$6,'batch tool'!$B2109:$W2109)+$Y$6</f>
        <v>-47.741473633885199</v>
      </c>
      <c r="G2115" s="7">
        <f>SUMPRODUCT($C$7:$X$7,'batch tool'!$B2109:$W2109)+$Y$7</f>
        <v>-19.739516238059196</v>
      </c>
      <c r="H2115" s="7">
        <f t="shared" si="66"/>
        <v>-19.739516238059196</v>
      </c>
      <c r="I2115">
        <f t="shared" si="67"/>
        <v>6</v>
      </c>
      <c r="J2115" t="str" cm="1">
        <f t="array" ref="J2115">INDEX($A$2:$A$7,I2115)</f>
        <v>Segment 6- Self-Conscious Male</v>
      </c>
    </row>
    <row r="2116" spans="1:10" x14ac:dyDescent="0.25">
      <c r="A2116" s="1">
        <f>'batch tool'!A2110</f>
        <v>0</v>
      </c>
      <c r="B2116" s="7">
        <f>SUMPRODUCT($C$2:$X$2,'batch tool'!$B2110:$W2110)+$Y$2</f>
        <v>-49.12272534143483</v>
      </c>
      <c r="C2116" s="7">
        <f>SUMPRODUCT($C$3:$X$3,'batch tool'!$B2110:$W2110)+$Y$3</f>
        <v>-36.514029388465531</v>
      </c>
      <c r="D2116" s="7">
        <f>SUMPRODUCT($C$4:$X$4,'batch tool'!$B2110:$W2110)+$Y$4</f>
        <v>-44.639843068043824</v>
      </c>
      <c r="E2116" s="7">
        <f>SUMPRODUCT($C$5:$X$5,'batch tool'!$B2110:$W2110)+$Y$5</f>
        <v>-51.578889182477603</v>
      </c>
      <c r="F2116" s="7">
        <f>SUMPRODUCT($C$6:$X$6,'batch tool'!$B2110:$W2110)+$Y$6</f>
        <v>-47.741473633885199</v>
      </c>
      <c r="G2116" s="7">
        <f>SUMPRODUCT($C$7:$X$7,'batch tool'!$B2110:$W2110)+$Y$7</f>
        <v>-19.739516238059196</v>
      </c>
      <c r="H2116" s="7">
        <f t="shared" si="66"/>
        <v>-19.739516238059196</v>
      </c>
      <c r="I2116">
        <f t="shared" si="67"/>
        <v>6</v>
      </c>
      <c r="J2116" t="str" cm="1">
        <f t="array" ref="J2116">INDEX($A$2:$A$7,I2116)</f>
        <v>Segment 6- Self-Conscious Male</v>
      </c>
    </row>
    <row r="2117" spans="1:10" x14ac:dyDescent="0.25">
      <c r="A2117" s="1">
        <f>'batch tool'!A2111</f>
        <v>0</v>
      </c>
      <c r="B2117" s="7">
        <f>SUMPRODUCT($C$2:$X$2,'batch tool'!$B2111:$W2111)+$Y$2</f>
        <v>-49.12272534143483</v>
      </c>
      <c r="C2117" s="7">
        <f>SUMPRODUCT($C$3:$X$3,'batch tool'!$B2111:$W2111)+$Y$3</f>
        <v>-36.514029388465531</v>
      </c>
      <c r="D2117" s="7">
        <f>SUMPRODUCT($C$4:$X$4,'batch tool'!$B2111:$W2111)+$Y$4</f>
        <v>-44.639843068043824</v>
      </c>
      <c r="E2117" s="7">
        <f>SUMPRODUCT($C$5:$X$5,'batch tool'!$B2111:$W2111)+$Y$5</f>
        <v>-51.578889182477603</v>
      </c>
      <c r="F2117" s="7">
        <f>SUMPRODUCT($C$6:$X$6,'batch tool'!$B2111:$W2111)+$Y$6</f>
        <v>-47.741473633885199</v>
      </c>
      <c r="G2117" s="7">
        <f>SUMPRODUCT($C$7:$X$7,'batch tool'!$B2111:$W2111)+$Y$7</f>
        <v>-19.739516238059196</v>
      </c>
      <c r="H2117" s="7">
        <f t="shared" si="66"/>
        <v>-19.739516238059196</v>
      </c>
      <c r="I2117">
        <f t="shared" si="67"/>
        <v>6</v>
      </c>
      <c r="J2117" t="str" cm="1">
        <f t="array" ref="J2117">INDEX($A$2:$A$7,I2117)</f>
        <v>Segment 6- Self-Conscious Male</v>
      </c>
    </row>
    <row r="2118" spans="1:10" x14ac:dyDescent="0.25">
      <c r="A2118" s="1">
        <f>'batch tool'!A2112</f>
        <v>0</v>
      </c>
      <c r="B2118" s="7">
        <f>SUMPRODUCT($C$2:$X$2,'batch tool'!$B2112:$W2112)+$Y$2</f>
        <v>-49.12272534143483</v>
      </c>
      <c r="C2118" s="7">
        <f>SUMPRODUCT($C$3:$X$3,'batch tool'!$B2112:$W2112)+$Y$3</f>
        <v>-36.514029388465531</v>
      </c>
      <c r="D2118" s="7">
        <f>SUMPRODUCT($C$4:$X$4,'batch tool'!$B2112:$W2112)+$Y$4</f>
        <v>-44.639843068043824</v>
      </c>
      <c r="E2118" s="7">
        <f>SUMPRODUCT($C$5:$X$5,'batch tool'!$B2112:$W2112)+$Y$5</f>
        <v>-51.578889182477603</v>
      </c>
      <c r="F2118" s="7">
        <f>SUMPRODUCT($C$6:$X$6,'batch tool'!$B2112:$W2112)+$Y$6</f>
        <v>-47.741473633885199</v>
      </c>
      <c r="G2118" s="7">
        <f>SUMPRODUCT($C$7:$X$7,'batch tool'!$B2112:$W2112)+$Y$7</f>
        <v>-19.739516238059196</v>
      </c>
      <c r="H2118" s="7">
        <f t="shared" si="66"/>
        <v>-19.739516238059196</v>
      </c>
      <c r="I2118">
        <f t="shared" si="67"/>
        <v>6</v>
      </c>
      <c r="J2118" t="str" cm="1">
        <f t="array" ref="J2118">INDEX($A$2:$A$7,I2118)</f>
        <v>Segment 6- Self-Conscious Male</v>
      </c>
    </row>
    <row r="2119" spans="1:10" x14ac:dyDescent="0.25">
      <c r="A2119" s="1">
        <f>'batch tool'!A2113</f>
        <v>0</v>
      </c>
      <c r="B2119" s="7">
        <f>SUMPRODUCT($C$2:$X$2,'batch tool'!$B2113:$W2113)+$Y$2</f>
        <v>-49.12272534143483</v>
      </c>
      <c r="C2119" s="7">
        <f>SUMPRODUCT($C$3:$X$3,'batch tool'!$B2113:$W2113)+$Y$3</f>
        <v>-36.514029388465531</v>
      </c>
      <c r="D2119" s="7">
        <f>SUMPRODUCT($C$4:$X$4,'batch tool'!$B2113:$W2113)+$Y$4</f>
        <v>-44.639843068043824</v>
      </c>
      <c r="E2119" s="7">
        <f>SUMPRODUCT($C$5:$X$5,'batch tool'!$B2113:$W2113)+$Y$5</f>
        <v>-51.578889182477603</v>
      </c>
      <c r="F2119" s="7">
        <f>SUMPRODUCT($C$6:$X$6,'batch tool'!$B2113:$W2113)+$Y$6</f>
        <v>-47.741473633885199</v>
      </c>
      <c r="G2119" s="7">
        <f>SUMPRODUCT($C$7:$X$7,'batch tool'!$B2113:$W2113)+$Y$7</f>
        <v>-19.739516238059196</v>
      </c>
      <c r="H2119" s="7">
        <f t="shared" si="66"/>
        <v>-19.739516238059196</v>
      </c>
      <c r="I2119">
        <f t="shared" si="67"/>
        <v>6</v>
      </c>
      <c r="J2119" t="str" cm="1">
        <f t="array" ref="J2119">INDEX($A$2:$A$7,I2119)</f>
        <v>Segment 6- Self-Conscious Male</v>
      </c>
    </row>
    <row r="2120" spans="1:10" x14ac:dyDescent="0.25">
      <c r="A2120" s="1">
        <f>'batch tool'!A2114</f>
        <v>0</v>
      </c>
      <c r="B2120" s="7">
        <f>SUMPRODUCT($C$2:$X$2,'batch tool'!$B2114:$W2114)+$Y$2</f>
        <v>-49.12272534143483</v>
      </c>
      <c r="C2120" s="7">
        <f>SUMPRODUCT($C$3:$X$3,'batch tool'!$B2114:$W2114)+$Y$3</f>
        <v>-36.514029388465531</v>
      </c>
      <c r="D2120" s="7">
        <f>SUMPRODUCT($C$4:$X$4,'batch tool'!$B2114:$W2114)+$Y$4</f>
        <v>-44.639843068043824</v>
      </c>
      <c r="E2120" s="7">
        <f>SUMPRODUCT($C$5:$X$5,'batch tool'!$B2114:$W2114)+$Y$5</f>
        <v>-51.578889182477603</v>
      </c>
      <c r="F2120" s="7">
        <f>SUMPRODUCT($C$6:$X$6,'batch tool'!$B2114:$W2114)+$Y$6</f>
        <v>-47.741473633885199</v>
      </c>
      <c r="G2120" s="7">
        <f>SUMPRODUCT($C$7:$X$7,'batch tool'!$B2114:$W2114)+$Y$7</f>
        <v>-19.739516238059196</v>
      </c>
      <c r="H2120" s="7">
        <f t="shared" si="66"/>
        <v>-19.739516238059196</v>
      </c>
      <c r="I2120">
        <f t="shared" si="67"/>
        <v>6</v>
      </c>
      <c r="J2120" t="str" cm="1">
        <f t="array" ref="J2120">INDEX($A$2:$A$7,I2120)</f>
        <v>Segment 6- Self-Conscious Male</v>
      </c>
    </row>
    <row r="2121" spans="1:10" x14ac:dyDescent="0.25">
      <c r="A2121" s="1">
        <f>'batch tool'!A2115</f>
        <v>0</v>
      </c>
      <c r="B2121" s="7">
        <f>SUMPRODUCT($C$2:$X$2,'batch tool'!$B2115:$W2115)+$Y$2</f>
        <v>-49.12272534143483</v>
      </c>
      <c r="C2121" s="7">
        <f>SUMPRODUCT($C$3:$X$3,'batch tool'!$B2115:$W2115)+$Y$3</f>
        <v>-36.514029388465531</v>
      </c>
      <c r="D2121" s="7">
        <f>SUMPRODUCT($C$4:$X$4,'batch tool'!$B2115:$W2115)+$Y$4</f>
        <v>-44.639843068043824</v>
      </c>
      <c r="E2121" s="7">
        <f>SUMPRODUCT($C$5:$X$5,'batch tool'!$B2115:$W2115)+$Y$5</f>
        <v>-51.578889182477603</v>
      </c>
      <c r="F2121" s="7">
        <f>SUMPRODUCT($C$6:$X$6,'batch tool'!$B2115:$W2115)+$Y$6</f>
        <v>-47.741473633885199</v>
      </c>
      <c r="G2121" s="7">
        <f>SUMPRODUCT($C$7:$X$7,'batch tool'!$B2115:$W2115)+$Y$7</f>
        <v>-19.739516238059196</v>
      </c>
      <c r="H2121" s="7">
        <f t="shared" si="66"/>
        <v>-19.739516238059196</v>
      </c>
      <c r="I2121">
        <f t="shared" si="67"/>
        <v>6</v>
      </c>
      <c r="J2121" t="str" cm="1">
        <f t="array" ref="J2121">INDEX($A$2:$A$7,I2121)</f>
        <v>Segment 6- Self-Conscious Male</v>
      </c>
    </row>
    <row r="2122" spans="1:10" x14ac:dyDescent="0.25">
      <c r="A2122" s="1">
        <f>'batch tool'!A2116</f>
        <v>0</v>
      </c>
      <c r="B2122" s="7">
        <f>SUMPRODUCT($C$2:$X$2,'batch tool'!$B2116:$W2116)+$Y$2</f>
        <v>-49.12272534143483</v>
      </c>
      <c r="C2122" s="7">
        <f>SUMPRODUCT($C$3:$X$3,'batch tool'!$B2116:$W2116)+$Y$3</f>
        <v>-36.514029388465531</v>
      </c>
      <c r="D2122" s="7">
        <f>SUMPRODUCT($C$4:$X$4,'batch tool'!$B2116:$W2116)+$Y$4</f>
        <v>-44.639843068043824</v>
      </c>
      <c r="E2122" s="7">
        <f>SUMPRODUCT($C$5:$X$5,'batch tool'!$B2116:$W2116)+$Y$5</f>
        <v>-51.578889182477603</v>
      </c>
      <c r="F2122" s="7">
        <f>SUMPRODUCT($C$6:$X$6,'batch tool'!$B2116:$W2116)+$Y$6</f>
        <v>-47.741473633885199</v>
      </c>
      <c r="G2122" s="7">
        <f>SUMPRODUCT($C$7:$X$7,'batch tool'!$B2116:$W2116)+$Y$7</f>
        <v>-19.739516238059196</v>
      </c>
      <c r="H2122" s="7">
        <f t="shared" si="66"/>
        <v>-19.739516238059196</v>
      </c>
      <c r="I2122">
        <f t="shared" si="67"/>
        <v>6</v>
      </c>
      <c r="J2122" t="str" cm="1">
        <f t="array" ref="J2122">INDEX($A$2:$A$7,I2122)</f>
        <v>Segment 6- Self-Conscious Male</v>
      </c>
    </row>
    <row r="2123" spans="1:10" x14ac:dyDescent="0.25">
      <c r="A2123" s="1">
        <f>'batch tool'!A2117</f>
        <v>0</v>
      </c>
      <c r="B2123" s="7">
        <f>SUMPRODUCT($C$2:$X$2,'batch tool'!$B2117:$W2117)+$Y$2</f>
        <v>-49.12272534143483</v>
      </c>
      <c r="C2123" s="7">
        <f>SUMPRODUCT($C$3:$X$3,'batch tool'!$B2117:$W2117)+$Y$3</f>
        <v>-36.514029388465531</v>
      </c>
      <c r="D2123" s="7">
        <f>SUMPRODUCT($C$4:$X$4,'batch tool'!$B2117:$W2117)+$Y$4</f>
        <v>-44.639843068043824</v>
      </c>
      <c r="E2123" s="7">
        <f>SUMPRODUCT($C$5:$X$5,'batch tool'!$B2117:$W2117)+$Y$5</f>
        <v>-51.578889182477603</v>
      </c>
      <c r="F2123" s="7">
        <f>SUMPRODUCT($C$6:$X$6,'batch tool'!$B2117:$W2117)+$Y$6</f>
        <v>-47.741473633885199</v>
      </c>
      <c r="G2123" s="7">
        <f>SUMPRODUCT($C$7:$X$7,'batch tool'!$B2117:$W2117)+$Y$7</f>
        <v>-19.739516238059196</v>
      </c>
      <c r="H2123" s="7">
        <f t="shared" si="66"/>
        <v>-19.739516238059196</v>
      </c>
      <c r="I2123">
        <f t="shared" si="67"/>
        <v>6</v>
      </c>
      <c r="J2123" t="str" cm="1">
        <f t="array" ref="J2123">INDEX($A$2:$A$7,I2123)</f>
        <v>Segment 6- Self-Conscious Male</v>
      </c>
    </row>
    <row r="2124" spans="1:10" x14ac:dyDescent="0.25">
      <c r="A2124" s="1">
        <f>'batch tool'!A2118</f>
        <v>0</v>
      </c>
      <c r="B2124" s="7">
        <f>SUMPRODUCT($C$2:$X$2,'batch tool'!$B2118:$W2118)+$Y$2</f>
        <v>-49.12272534143483</v>
      </c>
      <c r="C2124" s="7">
        <f>SUMPRODUCT($C$3:$X$3,'batch tool'!$B2118:$W2118)+$Y$3</f>
        <v>-36.514029388465531</v>
      </c>
      <c r="D2124" s="7">
        <f>SUMPRODUCT($C$4:$X$4,'batch tool'!$B2118:$W2118)+$Y$4</f>
        <v>-44.639843068043824</v>
      </c>
      <c r="E2124" s="7">
        <f>SUMPRODUCT($C$5:$X$5,'batch tool'!$B2118:$W2118)+$Y$5</f>
        <v>-51.578889182477603</v>
      </c>
      <c r="F2124" s="7">
        <f>SUMPRODUCT($C$6:$X$6,'batch tool'!$B2118:$W2118)+$Y$6</f>
        <v>-47.741473633885199</v>
      </c>
      <c r="G2124" s="7">
        <f>SUMPRODUCT($C$7:$X$7,'batch tool'!$B2118:$W2118)+$Y$7</f>
        <v>-19.739516238059196</v>
      </c>
      <c r="H2124" s="7">
        <f t="shared" si="66"/>
        <v>-19.739516238059196</v>
      </c>
      <c r="I2124">
        <f t="shared" si="67"/>
        <v>6</v>
      </c>
      <c r="J2124" t="str" cm="1">
        <f t="array" ref="J2124">INDEX($A$2:$A$7,I2124)</f>
        <v>Segment 6- Self-Conscious Male</v>
      </c>
    </row>
    <row r="2125" spans="1:10" x14ac:dyDescent="0.25">
      <c r="A2125" s="1">
        <f>'batch tool'!A2119</f>
        <v>0</v>
      </c>
      <c r="B2125" s="7">
        <f>SUMPRODUCT($C$2:$X$2,'batch tool'!$B2119:$W2119)+$Y$2</f>
        <v>-49.12272534143483</v>
      </c>
      <c r="C2125" s="7">
        <f>SUMPRODUCT($C$3:$X$3,'batch tool'!$B2119:$W2119)+$Y$3</f>
        <v>-36.514029388465531</v>
      </c>
      <c r="D2125" s="7">
        <f>SUMPRODUCT($C$4:$X$4,'batch tool'!$B2119:$W2119)+$Y$4</f>
        <v>-44.639843068043824</v>
      </c>
      <c r="E2125" s="7">
        <f>SUMPRODUCT($C$5:$X$5,'batch tool'!$B2119:$W2119)+$Y$5</f>
        <v>-51.578889182477603</v>
      </c>
      <c r="F2125" s="7">
        <f>SUMPRODUCT($C$6:$X$6,'batch tool'!$B2119:$W2119)+$Y$6</f>
        <v>-47.741473633885199</v>
      </c>
      <c r="G2125" s="7">
        <f>SUMPRODUCT($C$7:$X$7,'batch tool'!$B2119:$W2119)+$Y$7</f>
        <v>-19.739516238059196</v>
      </c>
      <c r="H2125" s="7">
        <f t="shared" si="66"/>
        <v>-19.739516238059196</v>
      </c>
      <c r="I2125">
        <f t="shared" si="67"/>
        <v>6</v>
      </c>
      <c r="J2125" t="str" cm="1">
        <f t="array" ref="J2125">INDEX($A$2:$A$7,I2125)</f>
        <v>Segment 6- Self-Conscious Male</v>
      </c>
    </row>
    <row r="2126" spans="1:10" x14ac:dyDescent="0.25">
      <c r="A2126" s="1">
        <f>'batch tool'!A2120</f>
        <v>0</v>
      </c>
      <c r="B2126" s="7">
        <f>SUMPRODUCT($C$2:$X$2,'batch tool'!$B2120:$W2120)+$Y$2</f>
        <v>-49.12272534143483</v>
      </c>
      <c r="C2126" s="7">
        <f>SUMPRODUCT($C$3:$X$3,'batch tool'!$B2120:$W2120)+$Y$3</f>
        <v>-36.514029388465531</v>
      </c>
      <c r="D2126" s="7">
        <f>SUMPRODUCT($C$4:$X$4,'batch tool'!$B2120:$W2120)+$Y$4</f>
        <v>-44.639843068043824</v>
      </c>
      <c r="E2126" s="7">
        <f>SUMPRODUCT($C$5:$X$5,'batch tool'!$B2120:$W2120)+$Y$5</f>
        <v>-51.578889182477603</v>
      </c>
      <c r="F2126" s="7">
        <f>SUMPRODUCT($C$6:$X$6,'batch tool'!$B2120:$W2120)+$Y$6</f>
        <v>-47.741473633885199</v>
      </c>
      <c r="G2126" s="7">
        <f>SUMPRODUCT($C$7:$X$7,'batch tool'!$B2120:$W2120)+$Y$7</f>
        <v>-19.739516238059196</v>
      </c>
      <c r="H2126" s="7">
        <f t="shared" si="66"/>
        <v>-19.739516238059196</v>
      </c>
      <c r="I2126">
        <f t="shared" si="67"/>
        <v>6</v>
      </c>
      <c r="J2126" t="str" cm="1">
        <f t="array" ref="J2126">INDEX($A$2:$A$7,I2126)</f>
        <v>Segment 6- Self-Conscious Male</v>
      </c>
    </row>
    <row r="2127" spans="1:10" x14ac:dyDescent="0.25">
      <c r="A2127" s="1">
        <f>'batch tool'!A2121</f>
        <v>0</v>
      </c>
      <c r="B2127" s="7">
        <f>SUMPRODUCT($C$2:$X$2,'batch tool'!$B2121:$W2121)+$Y$2</f>
        <v>-49.12272534143483</v>
      </c>
      <c r="C2127" s="7">
        <f>SUMPRODUCT($C$3:$X$3,'batch tool'!$B2121:$W2121)+$Y$3</f>
        <v>-36.514029388465531</v>
      </c>
      <c r="D2127" s="7">
        <f>SUMPRODUCT($C$4:$X$4,'batch tool'!$B2121:$W2121)+$Y$4</f>
        <v>-44.639843068043824</v>
      </c>
      <c r="E2127" s="7">
        <f>SUMPRODUCT($C$5:$X$5,'batch tool'!$B2121:$W2121)+$Y$5</f>
        <v>-51.578889182477603</v>
      </c>
      <c r="F2127" s="7">
        <f>SUMPRODUCT($C$6:$X$6,'batch tool'!$B2121:$W2121)+$Y$6</f>
        <v>-47.741473633885199</v>
      </c>
      <c r="G2127" s="7">
        <f>SUMPRODUCT($C$7:$X$7,'batch tool'!$B2121:$W2121)+$Y$7</f>
        <v>-19.739516238059196</v>
      </c>
      <c r="H2127" s="7">
        <f t="shared" si="66"/>
        <v>-19.739516238059196</v>
      </c>
      <c r="I2127">
        <f t="shared" si="67"/>
        <v>6</v>
      </c>
      <c r="J2127" t="str" cm="1">
        <f t="array" ref="J2127">INDEX($A$2:$A$7,I2127)</f>
        <v>Segment 6- Self-Conscious Male</v>
      </c>
    </row>
    <row r="2128" spans="1:10" x14ac:dyDescent="0.25">
      <c r="A2128" s="1">
        <f>'batch tool'!A2122</f>
        <v>0</v>
      </c>
      <c r="B2128" s="7">
        <f>SUMPRODUCT($C$2:$X$2,'batch tool'!$B2122:$W2122)+$Y$2</f>
        <v>-49.12272534143483</v>
      </c>
      <c r="C2128" s="7">
        <f>SUMPRODUCT($C$3:$X$3,'batch tool'!$B2122:$W2122)+$Y$3</f>
        <v>-36.514029388465531</v>
      </c>
      <c r="D2128" s="7">
        <f>SUMPRODUCT($C$4:$X$4,'batch tool'!$B2122:$W2122)+$Y$4</f>
        <v>-44.639843068043824</v>
      </c>
      <c r="E2128" s="7">
        <f>SUMPRODUCT($C$5:$X$5,'batch tool'!$B2122:$W2122)+$Y$5</f>
        <v>-51.578889182477603</v>
      </c>
      <c r="F2128" s="7">
        <f>SUMPRODUCT($C$6:$X$6,'batch tool'!$B2122:$W2122)+$Y$6</f>
        <v>-47.741473633885199</v>
      </c>
      <c r="G2128" s="7">
        <f>SUMPRODUCT($C$7:$X$7,'batch tool'!$B2122:$W2122)+$Y$7</f>
        <v>-19.739516238059196</v>
      </c>
      <c r="H2128" s="7">
        <f t="shared" si="66"/>
        <v>-19.739516238059196</v>
      </c>
      <c r="I2128">
        <f t="shared" si="67"/>
        <v>6</v>
      </c>
      <c r="J2128" t="str" cm="1">
        <f t="array" ref="J2128">INDEX($A$2:$A$7,I2128)</f>
        <v>Segment 6- Self-Conscious Male</v>
      </c>
    </row>
    <row r="2129" spans="1:10" x14ac:dyDescent="0.25">
      <c r="A2129" s="1">
        <f>'batch tool'!A2123</f>
        <v>0</v>
      </c>
      <c r="B2129" s="7">
        <f>SUMPRODUCT($C$2:$X$2,'batch tool'!$B2123:$W2123)+$Y$2</f>
        <v>-49.12272534143483</v>
      </c>
      <c r="C2129" s="7">
        <f>SUMPRODUCT($C$3:$X$3,'batch tool'!$B2123:$W2123)+$Y$3</f>
        <v>-36.514029388465531</v>
      </c>
      <c r="D2129" s="7">
        <f>SUMPRODUCT($C$4:$X$4,'batch tool'!$B2123:$W2123)+$Y$4</f>
        <v>-44.639843068043824</v>
      </c>
      <c r="E2129" s="7">
        <f>SUMPRODUCT($C$5:$X$5,'batch tool'!$B2123:$W2123)+$Y$5</f>
        <v>-51.578889182477603</v>
      </c>
      <c r="F2129" s="7">
        <f>SUMPRODUCT($C$6:$X$6,'batch tool'!$B2123:$W2123)+$Y$6</f>
        <v>-47.741473633885199</v>
      </c>
      <c r="G2129" s="7">
        <f>SUMPRODUCT($C$7:$X$7,'batch tool'!$B2123:$W2123)+$Y$7</f>
        <v>-19.739516238059196</v>
      </c>
      <c r="H2129" s="7">
        <f t="shared" si="66"/>
        <v>-19.739516238059196</v>
      </c>
      <c r="I2129">
        <f t="shared" si="67"/>
        <v>6</v>
      </c>
      <c r="J2129" t="str" cm="1">
        <f t="array" ref="J2129">INDEX($A$2:$A$7,I2129)</f>
        <v>Segment 6- Self-Conscious Male</v>
      </c>
    </row>
    <row r="2130" spans="1:10" x14ac:dyDescent="0.25">
      <c r="A2130" s="1">
        <f>'batch tool'!A2124</f>
        <v>0</v>
      </c>
      <c r="B2130" s="7">
        <f>SUMPRODUCT($C$2:$X$2,'batch tool'!$B2124:$W2124)+$Y$2</f>
        <v>-49.12272534143483</v>
      </c>
      <c r="C2130" s="7">
        <f>SUMPRODUCT($C$3:$X$3,'batch tool'!$B2124:$W2124)+$Y$3</f>
        <v>-36.514029388465531</v>
      </c>
      <c r="D2130" s="7">
        <f>SUMPRODUCT($C$4:$X$4,'batch tool'!$B2124:$W2124)+$Y$4</f>
        <v>-44.639843068043824</v>
      </c>
      <c r="E2130" s="7">
        <f>SUMPRODUCT($C$5:$X$5,'batch tool'!$B2124:$W2124)+$Y$5</f>
        <v>-51.578889182477603</v>
      </c>
      <c r="F2130" s="7">
        <f>SUMPRODUCT($C$6:$X$6,'batch tool'!$B2124:$W2124)+$Y$6</f>
        <v>-47.741473633885199</v>
      </c>
      <c r="G2130" s="7">
        <f>SUMPRODUCT($C$7:$X$7,'batch tool'!$B2124:$W2124)+$Y$7</f>
        <v>-19.739516238059196</v>
      </c>
      <c r="H2130" s="7">
        <f t="shared" si="66"/>
        <v>-19.739516238059196</v>
      </c>
      <c r="I2130">
        <f t="shared" si="67"/>
        <v>6</v>
      </c>
      <c r="J2130" t="str" cm="1">
        <f t="array" ref="J2130">INDEX($A$2:$A$7,I2130)</f>
        <v>Segment 6- Self-Conscious Male</v>
      </c>
    </row>
    <row r="2131" spans="1:10" x14ac:dyDescent="0.25">
      <c r="A2131" s="1">
        <f>'batch tool'!A2125</f>
        <v>0</v>
      </c>
      <c r="B2131" s="7">
        <f>SUMPRODUCT($C$2:$X$2,'batch tool'!$B2125:$W2125)+$Y$2</f>
        <v>-49.12272534143483</v>
      </c>
      <c r="C2131" s="7">
        <f>SUMPRODUCT($C$3:$X$3,'batch tool'!$B2125:$W2125)+$Y$3</f>
        <v>-36.514029388465531</v>
      </c>
      <c r="D2131" s="7">
        <f>SUMPRODUCT($C$4:$X$4,'batch tool'!$B2125:$W2125)+$Y$4</f>
        <v>-44.639843068043824</v>
      </c>
      <c r="E2131" s="7">
        <f>SUMPRODUCT($C$5:$X$5,'batch tool'!$B2125:$W2125)+$Y$5</f>
        <v>-51.578889182477603</v>
      </c>
      <c r="F2131" s="7">
        <f>SUMPRODUCT($C$6:$X$6,'batch tool'!$B2125:$W2125)+$Y$6</f>
        <v>-47.741473633885199</v>
      </c>
      <c r="G2131" s="7">
        <f>SUMPRODUCT($C$7:$X$7,'batch tool'!$B2125:$W2125)+$Y$7</f>
        <v>-19.739516238059196</v>
      </c>
      <c r="H2131" s="7">
        <f t="shared" si="66"/>
        <v>-19.739516238059196</v>
      </c>
      <c r="I2131">
        <f t="shared" si="67"/>
        <v>6</v>
      </c>
      <c r="J2131" t="str" cm="1">
        <f t="array" ref="J2131">INDEX($A$2:$A$7,I2131)</f>
        <v>Segment 6- Self-Conscious Male</v>
      </c>
    </row>
    <row r="2132" spans="1:10" x14ac:dyDescent="0.25">
      <c r="A2132" s="1">
        <f>'batch tool'!A2126</f>
        <v>0</v>
      </c>
      <c r="B2132" s="7">
        <f>SUMPRODUCT($C$2:$X$2,'batch tool'!$B2126:$W2126)+$Y$2</f>
        <v>-49.12272534143483</v>
      </c>
      <c r="C2132" s="7">
        <f>SUMPRODUCT($C$3:$X$3,'batch tool'!$B2126:$W2126)+$Y$3</f>
        <v>-36.514029388465531</v>
      </c>
      <c r="D2132" s="7">
        <f>SUMPRODUCT($C$4:$X$4,'batch tool'!$B2126:$W2126)+$Y$4</f>
        <v>-44.639843068043824</v>
      </c>
      <c r="E2132" s="7">
        <f>SUMPRODUCT($C$5:$X$5,'batch tool'!$B2126:$W2126)+$Y$5</f>
        <v>-51.578889182477603</v>
      </c>
      <c r="F2132" s="7">
        <f>SUMPRODUCT($C$6:$X$6,'batch tool'!$B2126:$W2126)+$Y$6</f>
        <v>-47.741473633885199</v>
      </c>
      <c r="G2132" s="7">
        <f>SUMPRODUCT($C$7:$X$7,'batch tool'!$B2126:$W2126)+$Y$7</f>
        <v>-19.739516238059196</v>
      </c>
      <c r="H2132" s="7">
        <f t="shared" si="66"/>
        <v>-19.739516238059196</v>
      </c>
      <c r="I2132">
        <f t="shared" si="67"/>
        <v>6</v>
      </c>
      <c r="J2132" t="str" cm="1">
        <f t="array" ref="J2132">INDEX($A$2:$A$7,I2132)</f>
        <v>Segment 6- Self-Conscious Male</v>
      </c>
    </row>
    <row r="2133" spans="1:10" x14ac:dyDescent="0.25">
      <c r="A2133" s="1">
        <f>'batch tool'!A2127</f>
        <v>0</v>
      </c>
      <c r="B2133" s="7">
        <f>SUMPRODUCT($C$2:$X$2,'batch tool'!$B2127:$W2127)+$Y$2</f>
        <v>-49.12272534143483</v>
      </c>
      <c r="C2133" s="7">
        <f>SUMPRODUCT($C$3:$X$3,'batch tool'!$B2127:$W2127)+$Y$3</f>
        <v>-36.514029388465531</v>
      </c>
      <c r="D2133" s="7">
        <f>SUMPRODUCT($C$4:$X$4,'batch tool'!$B2127:$W2127)+$Y$4</f>
        <v>-44.639843068043824</v>
      </c>
      <c r="E2133" s="7">
        <f>SUMPRODUCT($C$5:$X$5,'batch tool'!$B2127:$W2127)+$Y$5</f>
        <v>-51.578889182477603</v>
      </c>
      <c r="F2133" s="7">
        <f>SUMPRODUCT($C$6:$X$6,'batch tool'!$B2127:$W2127)+$Y$6</f>
        <v>-47.741473633885199</v>
      </c>
      <c r="G2133" s="7">
        <f>SUMPRODUCT($C$7:$X$7,'batch tool'!$B2127:$W2127)+$Y$7</f>
        <v>-19.739516238059196</v>
      </c>
      <c r="H2133" s="7">
        <f t="shared" si="66"/>
        <v>-19.739516238059196</v>
      </c>
      <c r="I2133">
        <f t="shared" si="67"/>
        <v>6</v>
      </c>
      <c r="J2133" t="str" cm="1">
        <f t="array" ref="J2133">INDEX($A$2:$A$7,I2133)</f>
        <v>Segment 6- Self-Conscious Male</v>
      </c>
    </row>
    <row r="2134" spans="1:10" x14ac:dyDescent="0.25">
      <c r="A2134" s="1">
        <f>'batch tool'!A2128</f>
        <v>0</v>
      </c>
      <c r="B2134" s="7">
        <f>SUMPRODUCT($C$2:$X$2,'batch tool'!$B2128:$W2128)+$Y$2</f>
        <v>-49.12272534143483</v>
      </c>
      <c r="C2134" s="7">
        <f>SUMPRODUCT($C$3:$X$3,'batch tool'!$B2128:$W2128)+$Y$3</f>
        <v>-36.514029388465531</v>
      </c>
      <c r="D2134" s="7">
        <f>SUMPRODUCT($C$4:$X$4,'batch tool'!$B2128:$W2128)+$Y$4</f>
        <v>-44.639843068043824</v>
      </c>
      <c r="E2134" s="7">
        <f>SUMPRODUCT($C$5:$X$5,'batch tool'!$B2128:$W2128)+$Y$5</f>
        <v>-51.578889182477603</v>
      </c>
      <c r="F2134" s="7">
        <f>SUMPRODUCT($C$6:$X$6,'batch tool'!$B2128:$W2128)+$Y$6</f>
        <v>-47.741473633885199</v>
      </c>
      <c r="G2134" s="7">
        <f>SUMPRODUCT($C$7:$X$7,'batch tool'!$B2128:$W2128)+$Y$7</f>
        <v>-19.739516238059196</v>
      </c>
      <c r="H2134" s="7">
        <f t="shared" si="66"/>
        <v>-19.739516238059196</v>
      </c>
      <c r="I2134">
        <f t="shared" si="67"/>
        <v>6</v>
      </c>
      <c r="J2134" t="str" cm="1">
        <f t="array" ref="J2134">INDEX($A$2:$A$7,I2134)</f>
        <v>Segment 6- Self-Conscious Male</v>
      </c>
    </row>
    <row r="2135" spans="1:10" x14ac:dyDescent="0.25">
      <c r="A2135" s="1">
        <f>'batch tool'!A2129</f>
        <v>0</v>
      </c>
      <c r="B2135" s="7">
        <f>SUMPRODUCT($C$2:$X$2,'batch tool'!$B2129:$W2129)+$Y$2</f>
        <v>-49.12272534143483</v>
      </c>
      <c r="C2135" s="7">
        <f>SUMPRODUCT($C$3:$X$3,'batch tool'!$B2129:$W2129)+$Y$3</f>
        <v>-36.514029388465531</v>
      </c>
      <c r="D2135" s="7">
        <f>SUMPRODUCT($C$4:$X$4,'batch tool'!$B2129:$W2129)+$Y$4</f>
        <v>-44.639843068043824</v>
      </c>
      <c r="E2135" s="7">
        <f>SUMPRODUCT($C$5:$X$5,'batch tool'!$B2129:$W2129)+$Y$5</f>
        <v>-51.578889182477603</v>
      </c>
      <c r="F2135" s="7">
        <f>SUMPRODUCT($C$6:$X$6,'batch tool'!$B2129:$W2129)+$Y$6</f>
        <v>-47.741473633885199</v>
      </c>
      <c r="G2135" s="7">
        <f>SUMPRODUCT($C$7:$X$7,'batch tool'!$B2129:$W2129)+$Y$7</f>
        <v>-19.739516238059196</v>
      </c>
      <c r="H2135" s="7">
        <f t="shared" si="66"/>
        <v>-19.739516238059196</v>
      </c>
      <c r="I2135">
        <f t="shared" si="67"/>
        <v>6</v>
      </c>
      <c r="J2135" t="str" cm="1">
        <f t="array" ref="J2135">INDEX($A$2:$A$7,I2135)</f>
        <v>Segment 6- Self-Conscious Male</v>
      </c>
    </row>
    <row r="2136" spans="1:10" x14ac:dyDescent="0.25">
      <c r="A2136" s="1">
        <f>'batch tool'!A2130</f>
        <v>0</v>
      </c>
      <c r="B2136" s="7">
        <f>SUMPRODUCT($C$2:$X$2,'batch tool'!$B2130:$W2130)+$Y$2</f>
        <v>-49.12272534143483</v>
      </c>
      <c r="C2136" s="7">
        <f>SUMPRODUCT($C$3:$X$3,'batch tool'!$B2130:$W2130)+$Y$3</f>
        <v>-36.514029388465531</v>
      </c>
      <c r="D2136" s="7">
        <f>SUMPRODUCT($C$4:$X$4,'batch tool'!$B2130:$W2130)+$Y$4</f>
        <v>-44.639843068043824</v>
      </c>
      <c r="E2136" s="7">
        <f>SUMPRODUCT($C$5:$X$5,'batch tool'!$B2130:$W2130)+$Y$5</f>
        <v>-51.578889182477603</v>
      </c>
      <c r="F2136" s="7">
        <f>SUMPRODUCT($C$6:$X$6,'batch tool'!$B2130:$W2130)+$Y$6</f>
        <v>-47.741473633885199</v>
      </c>
      <c r="G2136" s="7">
        <f>SUMPRODUCT($C$7:$X$7,'batch tool'!$B2130:$W2130)+$Y$7</f>
        <v>-19.739516238059196</v>
      </c>
      <c r="H2136" s="7">
        <f t="shared" si="66"/>
        <v>-19.739516238059196</v>
      </c>
      <c r="I2136">
        <f t="shared" si="67"/>
        <v>6</v>
      </c>
      <c r="J2136" t="str" cm="1">
        <f t="array" ref="J2136">INDEX($A$2:$A$7,I2136)</f>
        <v>Segment 6- Self-Conscious Male</v>
      </c>
    </row>
    <row r="2137" spans="1:10" x14ac:dyDescent="0.25">
      <c r="A2137" s="1">
        <f>'batch tool'!A2131</f>
        <v>0</v>
      </c>
      <c r="B2137" s="7">
        <f>SUMPRODUCT($C$2:$X$2,'batch tool'!$B2131:$W2131)+$Y$2</f>
        <v>-49.12272534143483</v>
      </c>
      <c r="C2137" s="7">
        <f>SUMPRODUCT($C$3:$X$3,'batch tool'!$B2131:$W2131)+$Y$3</f>
        <v>-36.514029388465531</v>
      </c>
      <c r="D2137" s="7">
        <f>SUMPRODUCT($C$4:$X$4,'batch tool'!$B2131:$W2131)+$Y$4</f>
        <v>-44.639843068043824</v>
      </c>
      <c r="E2137" s="7">
        <f>SUMPRODUCT($C$5:$X$5,'batch tool'!$B2131:$W2131)+$Y$5</f>
        <v>-51.578889182477603</v>
      </c>
      <c r="F2137" s="7">
        <f>SUMPRODUCT($C$6:$X$6,'batch tool'!$B2131:$W2131)+$Y$6</f>
        <v>-47.741473633885199</v>
      </c>
      <c r="G2137" s="7">
        <f>SUMPRODUCT($C$7:$X$7,'batch tool'!$B2131:$W2131)+$Y$7</f>
        <v>-19.739516238059196</v>
      </c>
      <c r="H2137" s="7">
        <f t="shared" si="66"/>
        <v>-19.739516238059196</v>
      </c>
      <c r="I2137">
        <f t="shared" si="67"/>
        <v>6</v>
      </c>
      <c r="J2137" t="str" cm="1">
        <f t="array" ref="J2137">INDEX($A$2:$A$7,I2137)</f>
        <v>Segment 6- Self-Conscious Male</v>
      </c>
    </row>
    <row r="2138" spans="1:10" x14ac:dyDescent="0.25">
      <c r="A2138" s="1">
        <f>'batch tool'!A2132</f>
        <v>0</v>
      </c>
      <c r="B2138" s="7">
        <f>SUMPRODUCT($C$2:$X$2,'batch tool'!$B2132:$W2132)+$Y$2</f>
        <v>-49.12272534143483</v>
      </c>
      <c r="C2138" s="7">
        <f>SUMPRODUCT($C$3:$X$3,'batch tool'!$B2132:$W2132)+$Y$3</f>
        <v>-36.514029388465531</v>
      </c>
      <c r="D2138" s="7">
        <f>SUMPRODUCT($C$4:$X$4,'batch tool'!$B2132:$W2132)+$Y$4</f>
        <v>-44.639843068043824</v>
      </c>
      <c r="E2138" s="7">
        <f>SUMPRODUCT($C$5:$X$5,'batch tool'!$B2132:$W2132)+$Y$5</f>
        <v>-51.578889182477603</v>
      </c>
      <c r="F2138" s="7">
        <f>SUMPRODUCT($C$6:$X$6,'batch tool'!$B2132:$W2132)+$Y$6</f>
        <v>-47.741473633885199</v>
      </c>
      <c r="G2138" s="7">
        <f>SUMPRODUCT($C$7:$X$7,'batch tool'!$B2132:$W2132)+$Y$7</f>
        <v>-19.739516238059196</v>
      </c>
      <c r="H2138" s="7">
        <f t="shared" si="66"/>
        <v>-19.739516238059196</v>
      </c>
      <c r="I2138">
        <f t="shared" si="67"/>
        <v>6</v>
      </c>
      <c r="J2138" t="str" cm="1">
        <f t="array" ref="J2138">INDEX($A$2:$A$7,I2138)</f>
        <v>Segment 6- Self-Conscious Male</v>
      </c>
    </row>
    <row r="2139" spans="1:10" x14ac:dyDescent="0.25">
      <c r="A2139" s="1">
        <f>'batch tool'!A2133</f>
        <v>0</v>
      </c>
      <c r="B2139" s="7">
        <f>SUMPRODUCT($C$2:$X$2,'batch tool'!$B2133:$W2133)+$Y$2</f>
        <v>-49.12272534143483</v>
      </c>
      <c r="C2139" s="7">
        <f>SUMPRODUCT($C$3:$X$3,'batch tool'!$B2133:$W2133)+$Y$3</f>
        <v>-36.514029388465531</v>
      </c>
      <c r="D2139" s="7">
        <f>SUMPRODUCT($C$4:$X$4,'batch tool'!$B2133:$W2133)+$Y$4</f>
        <v>-44.639843068043824</v>
      </c>
      <c r="E2139" s="7">
        <f>SUMPRODUCT($C$5:$X$5,'batch tool'!$B2133:$W2133)+$Y$5</f>
        <v>-51.578889182477603</v>
      </c>
      <c r="F2139" s="7">
        <f>SUMPRODUCT($C$6:$X$6,'batch tool'!$B2133:$W2133)+$Y$6</f>
        <v>-47.741473633885199</v>
      </c>
      <c r="G2139" s="7">
        <f>SUMPRODUCT($C$7:$X$7,'batch tool'!$B2133:$W2133)+$Y$7</f>
        <v>-19.739516238059196</v>
      </c>
      <c r="H2139" s="7">
        <f t="shared" ref="H2139:H2202" si="68">MAX(B2139:G2139)</f>
        <v>-19.739516238059196</v>
      </c>
      <c r="I2139">
        <f t="shared" ref="I2139:I2202" si="69">MATCH(H2139,B2139:G2139,0)</f>
        <v>6</v>
      </c>
      <c r="J2139" t="str" cm="1">
        <f t="array" ref="J2139">INDEX($A$2:$A$7,I2139)</f>
        <v>Segment 6- Self-Conscious Male</v>
      </c>
    </row>
    <row r="2140" spans="1:10" x14ac:dyDescent="0.25">
      <c r="A2140" s="1">
        <f>'batch tool'!A2134</f>
        <v>0</v>
      </c>
      <c r="B2140" s="7">
        <f>SUMPRODUCT($C$2:$X$2,'batch tool'!$B2134:$W2134)+$Y$2</f>
        <v>-49.12272534143483</v>
      </c>
      <c r="C2140" s="7">
        <f>SUMPRODUCT($C$3:$X$3,'batch tool'!$B2134:$W2134)+$Y$3</f>
        <v>-36.514029388465531</v>
      </c>
      <c r="D2140" s="7">
        <f>SUMPRODUCT($C$4:$X$4,'batch tool'!$B2134:$W2134)+$Y$4</f>
        <v>-44.639843068043824</v>
      </c>
      <c r="E2140" s="7">
        <f>SUMPRODUCT($C$5:$X$5,'batch tool'!$B2134:$W2134)+$Y$5</f>
        <v>-51.578889182477603</v>
      </c>
      <c r="F2140" s="7">
        <f>SUMPRODUCT($C$6:$X$6,'batch tool'!$B2134:$W2134)+$Y$6</f>
        <v>-47.741473633885199</v>
      </c>
      <c r="G2140" s="7">
        <f>SUMPRODUCT($C$7:$X$7,'batch tool'!$B2134:$W2134)+$Y$7</f>
        <v>-19.739516238059196</v>
      </c>
      <c r="H2140" s="7">
        <f t="shared" si="68"/>
        <v>-19.739516238059196</v>
      </c>
      <c r="I2140">
        <f t="shared" si="69"/>
        <v>6</v>
      </c>
      <c r="J2140" t="str" cm="1">
        <f t="array" ref="J2140">INDEX($A$2:$A$7,I2140)</f>
        <v>Segment 6- Self-Conscious Male</v>
      </c>
    </row>
    <row r="2141" spans="1:10" x14ac:dyDescent="0.25">
      <c r="A2141" s="1">
        <f>'batch tool'!A2135</f>
        <v>0</v>
      </c>
      <c r="B2141" s="7">
        <f>SUMPRODUCT($C$2:$X$2,'batch tool'!$B2135:$W2135)+$Y$2</f>
        <v>-49.12272534143483</v>
      </c>
      <c r="C2141" s="7">
        <f>SUMPRODUCT($C$3:$X$3,'batch tool'!$B2135:$W2135)+$Y$3</f>
        <v>-36.514029388465531</v>
      </c>
      <c r="D2141" s="7">
        <f>SUMPRODUCT($C$4:$X$4,'batch tool'!$B2135:$W2135)+$Y$4</f>
        <v>-44.639843068043824</v>
      </c>
      <c r="E2141" s="7">
        <f>SUMPRODUCT($C$5:$X$5,'batch tool'!$B2135:$W2135)+$Y$5</f>
        <v>-51.578889182477603</v>
      </c>
      <c r="F2141" s="7">
        <f>SUMPRODUCT($C$6:$X$6,'batch tool'!$B2135:$W2135)+$Y$6</f>
        <v>-47.741473633885199</v>
      </c>
      <c r="G2141" s="7">
        <f>SUMPRODUCT($C$7:$X$7,'batch tool'!$B2135:$W2135)+$Y$7</f>
        <v>-19.739516238059196</v>
      </c>
      <c r="H2141" s="7">
        <f t="shared" si="68"/>
        <v>-19.739516238059196</v>
      </c>
      <c r="I2141">
        <f t="shared" si="69"/>
        <v>6</v>
      </c>
      <c r="J2141" t="str" cm="1">
        <f t="array" ref="J2141">INDEX($A$2:$A$7,I2141)</f>
        <v>Segment 6- Self-Conscious Male</v>
      </c>
    </row>
    <row r="2142" spans="1:10" x14ac:dyDescent="0.25">
      <c r="A2142" s="1">
        <f>'batch tool'!A2136</f>
        <v>0</v>
      </c>
      <c r="B2142" s="7">
        <f>SUMPRODUCT($C$2:$X$2,'batch tool'!$B2136:$W2136)+$Y$2</f>
        <v>-49.12272534143483</v>
      </c>
      <c r="C2142" s="7">
        <f>SUMPRODUCT($C$3:$X$3,'batch tool'!$B2136:$W2136)+$Y$3</f>
        <v>-36.514029388465531</v>
      </c>
      <c r="D2142" s="7">
        <f>SUMPRODUCT($C$4:$X$4,'batch tool'!$B2136:$W2136)+$Y$4</f>
        <v>-44.639843068043824</v>
      </c>
      <c r="E2142" s="7">
        <f>SUMPRODUCT($C$5:$X$5,'batch tool'!$B2136:$W2136)+$Y$5</f>
        <v>-51.578889182477603</v>
      </c>
      <c r="F2142" s="7">
        <f>SUMPRODUCT($C$6:$X$6,'batch tool'!$B2136:$W2136)+$Y$6</f>
        <v>-47.741473633885199</v>
      </c>
      <c r="G2142" s="7">
        <f>SUMPRODUCT($C$7:$X$7,'batch tool'!$B2136:$W2136)+$Y$7</f>
        <v>-19.739516238059196</v>
      </c>
      <c r="H2142" s="7">
        <f t="shared" si="68"/>
        <v>-19.739516238059196</v>
      </c>
      <c r="I2142">
        <f t="shared" si="69"/>
        <v>6</v>
      </c>
      <c r="J2142" t="str" cm="1">
        <f t="array" ref="J2142">INDEX($A$2:$A$7,I2142)</f>
        <v>Segment 6- Self-Conscious Male</v>
      </c>
    </row>
    <row r="2143" spans="1:10" x14ac:dyDescent="0.25">
      <c r="A2143" s="1">
        <f>'batch tool'!A2137</f>
        <v>0</v>
      </c>
      <c r="B2143" s="7">
        <f>SUMPRODUCT($C$2:$X$2,'batch tool'!$B2137:$W2137)+$Y$2</f>
        <v>-49.12272534143483</v>
      </c>
      <c r="C2143" s="7">
        <f>SUMPRODUCT($C$3:$X$3,'batch tool'!$B2137:$W2137)+$Y$3</f>
        <v>-36.514029388465531</v>
      </c>
      <c r="D2143" s="7">
        <f>SUMPRODUCT($C$4:$X$4,'batch tool'!$B2137:$W2137)+$Y$4</f>
        <v>-44.639843068043824</v>
      </c>
      <c r="E2143" s="7">
        <f>SUMPRODUCT($C$5:$X$5,'batch tool'!$B2137:$W2137)+$Y$5</f>
        <v>-51.578889182477603</v>
      </c>
      <c r="F2143" s="7">
        <f>SUMPRODUCT($C$6:$X$6,'batch tool'!$B2137:$W2137)+$Y$6</f>
        <v>-47.741473633885199</v>
      </c>
      <c r="G2143" s="7">
        <f>SUMPRODUCT($C$7:$X$7,'batch tool'!$B2137:$W2137)+$Y$7</f>
        <v>-19.739516238059196</v>
      </c>
      <c r="H2143" s="7">
        <f t="shared" si="68"/>
        <v>-19.739516238059196</v>
      </c>
      <c r="I2143">
        <f t="shared" si="69"/>
        <v>6</v>
      </c>
      <c r="J2143" t="str" cm="1">
        <f t="array" ref="J2143">INDEX($A$2:$A$7,I2143)</f>
        <v>Segment 6- Self-Conscious Male</v>
      </c>
    </row>
    <row r="2144" spans="1:10" x14ac:dyDescent="0.25">
      <c r="A2144" s="1">
        <f>'batch tool'!A2138</f>
        <v>0</v>
      </c>
      <c r="B2144" s="7">
        <f>SUMPRODUCT($C$2:$X$2,'batch tool'!$B2138:$W2138)+$Y$2</f>
        <v>-49.12272534143483</v>
      </c>
      <c r="C2144" s="7">
        <f>SUMPRODUCT($C$3:$X$3,'batch tool'!$B2138:$W2138)+$Y$3</f>
        <v>-36.514029388465531</v>
      </c>
      <c r="D2144" s="7">
        <f>SUMPRODUCT($C$4:$X$4,'batch tool'!$B2138:$W2138)+$Y$4</f>
        <v>-44.639843068043824</v>
      </c>
      <c r="E2144" s="7">
        <f>SUMPRODUCT($C$5:$X$5,'batch tool'!$B2138:$W2138)+$Y$5</f>
        <v>-51.578889182477603</v>
      </c>
      <c r="F2144" s="7">
        <f>SUMPRODUCT($C$6:$X$6,'batch tool'!$B2138:$W2138)+$Y$6</f>
        <v>-47.741473633885199</v>
      </c>
      <c r="G2144" s="7">
        <f>SUMPRODUCT($C$7:$X$7,'batch tool'!$B2138:$W2138)+$Y$7</f>
        <v>-19.739516238059196</v>
      </c>
      <c r="H2144" s="7">
        <f t="shared" si="68"/>
        <v>-19.739516238059196</v>
      </c>
      <c r="I2144">
        <f t="shared" si="69"/>
        <v>6</v>
      </c>
      <c r="J2144" t="str" cm="1">
        <f t="array" ref="J2144">INDEX($A$2:$A$7,I2144)</f>
        <v>Segment 6- Self-Conscious Male</v>
      </c>
    </row>
    <row r="2145" spans="1:10" x14ac:dyDescent="0.25">
      <c r="A2145" s="1">
        <f>'batch tool'!A2139</f>
        <v>0</v>
      </c>
      <c r="B2145" s="7">
        <f>SUMPRODUCT($C$2:$X$2,'batch tool'!$B2139:$W2139)+$Y$2</f>
        <v>-49.12272534143483</v>
      </c>
      <c r="C2145" s="7">
        <f>SUMPRODUCT($C$3:$X$3,'batch tool'!$B2139:$W2139)+$Y$3</f>
        <v>-36.514029388465531</v>
      </c>
      <c r="D2145" s="7">
        <f>SUMPRODUCT($C$4:$X$4,'batch tool'!$B2139:$W2139)+$Y$4</f>
        <v>-44.639843068043824</v>
      </c>
      <c r="E2145" s="7">
        <f>SUMPRODUCT($C$5:$X$5,'batch tool'!$B2139:$W2139)+$Y$5</f>
        <v>-51.578889182477603</v>
      </c>
      <c r="F2145" s="7">
        <f>SUMPRODUCT($C$6:$X$6,'batch tool'!$B2139:$W2139)+$Y$6</f>
        <v>-47.741473633885199</v>
      </c>
      <c r="G2145" s="7">
        <f>SUMPRODUCT($C$7:$X$7,'batch tool'!$B2139:$W2139)+$Y$7</f>
        <v>-19.739516238059196</v>
      </c>
      <c r="H2145" s="7">
        <f t="shared" si="68"/>
        <v>-19.739516238059196</v>
      </c>
      <c r="I2145">
        <f t="shared" si="69"/>
        <v>6</v>
      </c>
      <c r="J2145" t="str" cm="1">
        <f t="array" ref="J2145">INDEX($A$2:$A$7,I2145)</f>
        <v>Segment 6- Self-Conscious Male</v>
      </c>
    </row>
    <row r="2146" spans="1:10" x14ac:dyDescent="0.25">
      <c r="A2146" s="1">
        <f>'batch tool'!A2140</f>
        <v>0</v>
      </c>
      <c r="B2146" s="7">
        <f>SUMPRODUCT($C$2:$X$2,'batch tool'!$B2140:$W2140)+$Y$2</f>
        <v>-49.12272534143483</v>
      </c>
      <c r="C2146" s="7">
        <f>SUMPRODUCT($C$3:$X$3,'batch tool'!$B2140:$W2140)+$Y$3</f>
        <v>-36.514029388465531</v>
      </c>
      <c r="D2146" s="7">
        <f>SUMPRODUCT($C$4:$X$4,'batch tool'!$B2140:$W2140)+$Y$4</f>
        <v>-44.639843068043824</v>
      </c>
      <c r="E2146" s="7">
        <f>SUMPRODUCT($C$5:$X$5,'batch tool'!$B2140:$W2140)+$Y$5</f>
        <v>-51.578889182477603</v>
      </c>
      <c r="F2146" s="7">
        <f>SUMPRODUCT($C$6:$X$6,'batch tool'!$B2140:$W2140)+$Y$6</f>
        <v>-47.741473633885199</v>
      </c>
      <c r="G2146" s="7">
        <f>SUMPRODUCT($C$7:$X$7,'batch tool'!$B2140:$W2140)+$Y$7</f>
        <v>-19.739516238059196</v>
      </c>
      <c r="H2146" s="7">
        <f t="shared" si="68"/>
        <v>-19.739516238059196</v>
      </c>
      <c r="I2146">
        <f t="shared" si="69"/>
        <v>6</v>
      </c>
      <c r="J2146" t="str" cm="1">
        <f t="array" ref="J2146">INDEX($A$2:$A$7,I2146)</f>
        <v>Segment 6- Self-Conscious Male</v>
      </c>
    </row>
    <row r="2147" spans="1:10" x14ac:dyDescent="0.25">
      <c r="A2147" s="1">
        <f>'batch tool'!A2141</f>
        <v>0</v>
      </c>
      <c r="B2147" s="7">
        <f>SUMPRODUCT($C$2:$X$2,'batch tool'!$B2141:$W2141)+$Y$2</f>
        <v>-49.12272534143483</v>
      </c>
      <c r="C2147" s="7">
        <f>SUMPRODUCT($C$3:$X$3,'batch tool'!$B2141:$W2141)+$Y$3</f>
        <v>-36.514029388465531</v>
      </c>
      <c r="D2147" s="7">
        <f>SUMPRODUCT($C$4:$X$4,'batch tool'!$B2141:$W2141)+$Y$4</f>
        <v>-44.639843068043824</v>
      </c>
      <c r="E2147" s="7">
        <f>SUMPRODUCT($C$5:$X$5,'batch tool'!$B2141:$W2141)+$Y$5</f>
        <v>-51.578889182477603</v>
      </c>
      <c r="F2147" s="7">
        <f>SUMPRODUCT($C$6:$X$6,'batch tool'!$B2141:$W2141)+$Y$6</f>
        <v>-47.741473633885199</v>
      </c>
      <c r="G2147" s="7">
        <f>SUMPRODUCT($C$7:$X$7,'batch tool'!$B2141:$W2141)+$Y$7</f>
        <v>-19.739516238059196</v>
      </c>
      <c r="H2147" s="7">
        <f t="shared" si="68"/>
        <v>-19.739516238059196</v>
      </c>
      <c r="I2147">
        <f t="shared" si="69"/>
        <v>6</v>
      </c>
      <c r="J2147" t="str" cm="1">
        <f t="array" ref="J2147">INDEX($A$2:$A$7,I2147)</f>
        <v>Segment 6- Self-Conscious Male</v>
      </c>
    </row>
    <row r="2148" spans="1:10" x14ac:dyDescent="0.25">
      <c r="A2148" s="1">
        <f>'batch tool'!A2142</f>
        <v>0</v>
      </c>
      <c r="B2148" s="7">
        <f>SUMPRODUCT($C$2:$X$2,'batch tool'!$B2142:$W2142)+$Y$2</f>
        <v>-49.12272534143483</v>
      </c>
      <c r="C2148" s="7">
        <f>SUMPRODUCT($C$3:$X$3,'batch tool'!$B2142:$W2142)+$Y$3</f>
        <v>-36.514029388465531</v>
      </c>
      <c r="D2148" s="7">
        <f>SUMPRODUCT($C$4:$X$4,'batch tool'!$B2142:$W2142)+$Y$4</f>
        <v>-44.639843068043824</v>
      </c>
      <c r="E2148" s="7">
        <f>SUMPRODUCT($C$5:$X$5,'batch tool'!$B2142:$W2142)+$Y$5</f>
        <v>-51.578889182477603</v>
      </c>
      <c r="F2148" s="7">
        <f>SUMPRODUCT($C$6:$X$6,'batch tool'!$B2142:$W2142)+$Y$6</f>
        <v>-47.741473633885199</v>
      </c>
      <c r="G2148" s="7">
        <f>SUMPRODUCT($C$7:$X$7,'batch tool'!$B2142:$W2142)+$Y$7</f>
        <v>-19.739516238059196</v>
      </c>
      <c r="H2148" s="7">
        <f t="shared" si="68"/>
        <v>-19.739516238059196</v>
      </c>
      <c r="I2148">
        <f t="shared" si="69"/>
        <v>6</v>
      </c>
      <c r="J2148" t="str" cm="1">
        <f t="array" ref="J2148">INDEX($A$2:$A$7,I2148)</f>
        <v>Segment 6- Self-Conscious Male</v>
      </c>
    </row>
    <row r="2149" spans="1:10" x14ac:dyDescent="0.25">
      <c r="A2149" s="1">
        <f>'batch tool'!A2143</f>
        <v>0</v>
      </c>
      <c r="B2149" s="7">
        <f>SUMPRODUCT($C$2:$X$2,'batch tool'!$B2143:$W2143)+$Y$2</f>
        <v>-49.12272534143483</v>
      </c>
      <c r="C2149" s="7">
        <f>SUMPRODUCT($C$3:$X$3,'batch tool'!$B2143:$W2143)+$Y$3</f>
        <v>-36.514029388465531</v>
      </c>
      <c r="D2149" s="7">
        <f>SUMPRODUCT($C$4:$X$4,'batch tool'!$B2143:$W2143)+$Y$4</f>
        <v>-44.639843068043824</v>
      </c>
      <c r="E2149" s="7">
        <f>SUMPRODUCT($C$5:$X$5,'batch tool'!$B2143:$W2143)+$Y$5</f>
        <v>-51.578889182477603</v>
      </c>
      <c r="F2149" s="7">
        <f>SUMPRODUCT($C$6:$X$6,'batch tool'!$B2143:$W2143)+$Y$6</f>
        <v>-47.741473633885199</v>
      </c>
      <c r="G2149" s="7">
        <f>SUMPRODUCT($C$7:$X$7,'batch tool'!$B2143:$W2143)+$Y$7</f>
        <v>-19.739516238059196</v>
      </c>
      <c r="H2149" s="7">
        <f t="shared" si="68"/>
        <v>-19.739516238059196</v>
      </c>
      <c r="I2149">
        <f t="shared" si="69"/>
        <v>6</v>
      </c>
      <c r="J2149" t="str" cm="1">
        <f t="array" ref="J2149">INDEX($A$2:$A$7,I2149)</f>
        <v>Segment 6- Self-Conscious Male</v>
      </c>
    </row>
    <row r="2150" spans="1:10" x14ac:dyDescent="0.25">
      <c r="A2150" s="1">
        <f>'batch tool'!A2144</f>
        <v>0</v>
      </c>
      <c r="B2150" s="7">
        <f>SUMPRODUCT($C$2:$X$2,'batch tool'!$B2144:$W2144)+$Y$2</f>
        <v>-49.12272534143483</v>
      </c>
      <c r="C2150" s="7">
        <f>SUMPRODUCT($C$3:$X$3,'batch tool'!$B2144:$W2144)+$Y$3</f>
        <v>-36.514029388465531</v>
      </c>
      <c r="D2150" s="7">
        <f>SUMPRODUCT($C$4:$X$4,'batch tool'!$B2144:$W2144)+$Y$4</f>
        <v>-44.639843068043824</v>
      </c>
      <c r="E2150" s="7">
        <f>SUMPRODUCT($C$5:$X$5,'batch tool'!$B2144:$W2144)+$Y$5</f>
        <v>-51.578889182477603</v>
      </c>
      <c r="F2150" s="7">
        <f>SUMPRODUCT($C$6:$X$6,'batch tool'!$B2144:$W2144)+$Y$6</f>
        <v>-47.741473633885199</v>
      </c>
      <c r="G2150" s="7">
        <f>SUMPRODUCT($C$7:$X$7,'batch tool'!$B2144:$W2144)+$Y$7</f>
        <v>-19.739516238059196</v>
      </c>
      <c r="H2150" s="7">
        <f t="shared" si="68"/>
        <v>-19.739516238059196</v>
      </c>
      <c r="I2150">
        <f t="shared" si="69"/>
        <v>6</v>
      </c>
      <c r="J2150" t="str" cm="1">
        <f t="array" ref="J2150">INDEX($A$2:$A$7,I2150)</f>
        <v>Segment 6- Self-Conscious Male</v>
      </c>
    </row>
    <row r="2151" spans="1:10" x14ac:dyDescent="0.25">
      <c r="A2151" s="1">
        <f>'batch tool'!A2145</f>
        <v>0</v>
      </c>
      <c r="B2151" s="7">
        <f>SUMPRODUCT($C$2:$X$2,'batch tool'!$B2145:$W2145)+$Y$2</f>
        <v>-49.12272534143483</v>
      </c>
      <c r="C2151" s="7">
        <f>SUMPRODUCT($C$3:$X$3,'batch tool'!$B2145:$W2145)+$Y$3</f>
        <v>-36.514029388465531</v>
      </c>
      <c r="D2151" s="7">
        <f>SUMPRODUCT($C$4:$X$4,'batch tool'!$B2145:$W2145)+$Y$4</f>
        <v>-44.639843068043824</v>
      </c>
      <c r="E2151" s="7">
        <f>SUMPRODUCT($C$5:$X$5,'batch tool'!$B2145:$W2145)+$Y$5</f>
        <v>-51.578889182477603</v>
      </c>
      <c r="F2151" s="7">
        <f>SUMPRODUCT($C$6:$X$6,'batch tool'!$B2145:$W2145)+$Y$6</f>
        <v>-47.741473633885199</v>
      </c>
      <c r="G2151" s="7">
        <f>SUMPRODUCT($C$7:$X$7,'batch tool'!$B2145:$W2145)+$Y$7</f>
        <v>-19.739516238059196</v>
      </c>
      <c r="H2151" s="7">
        <f t="shared" si="68"/>
        <v>-19.739516238059196</v>
      </c>
      <c r="I2151">
        <f t="shared" si="69"/>
        <v>6</v>
      </c>
      <c r="J2151" t="str" cm="1">
        <f t="array" ref="J2151">INDEX($A$2:$A$7,I2151)</f>
        <v>Segment 6- Self-Conscious Male</v>
      </c>
    </row>
    <row r="2152" spans="1:10" x14ac:dyDescent="0.25">
      <c r="A2152" s="1">
        <f>'batch tool'!A2146</f>
        <v>0</v>
      </c>
      <c r="B2152" s="7">
        <f>SUMPRODUCT($C$2:$X$2,'batch tool'!$B2146:$W2146)+$Y$2</f>
        <v>-49.12272534143483</v>
      </c>
      <c r="C2152" s="7">
        <f>SUMPRODUCT($C$3:$X$3,'batch tool'!$B2146:$W2146)+$Y$3</f>
        <v>-36.514029388465531</v>
      </c>
      <c r="D2152" s="7">
        <f>SUMPRODUCT($C$4:$X$4,'batch tool'!$B2146:$W2146)+$Y$4</f>
        <v>-44.639843068043824</v>
      </c>
      <c r="E2152" s="7">
        <f>SUMPRODUCT($C$5:$X$5,'batch tool'!$B2146:$W2146)+$Y$5</f>
        <v>-51.578889182477603</v>
      </c>
      <c r="F2152" s="7">
        <f>SUMPRODUCT($C$6:$X$6,'batch tool'!$B2146:$W2146)+$Y$6</f>
        <v>-47.741473633885199</v>
      </c>
      <c r="G2152" s="7">
        <f>SUMPRODUCT($C$7:$X$7,'batch tool'!$B2146:$W2146)+$Y$7</f>
        <v>-19.739516238059196</v>
      </c>
      <c r="H2152" s="7">
        <f t="shared" si="68"/>
        <v>-19.739516238059196</v>
      </c>
      <c r="I2152">
        <f t="shared" si="69"/>
        <v>6</v>
      </c>
      <c r="J2152" t="str" cm="1">
        <f t="array" ref="J2152">INDEX($A$2:$A$7,I2152)</f>
        <v>Segment 6- Self-Conscious Male</v>
      </c>
    </row>
    <row r="2153" spans="1:10" x14ac:dyDescent="0.25">
      <c r="A2153" s="1">
        <f>'batch tool'!A2147</f>
        <v>0</v>
      </c>
      <c r="B2153" s="7">
        <f>SUMPRODUCT($C$2:$X$2,'batch tool'!$B2147:$W2147)+$Y$2</f>
        <v>-49.12272534143483</v>
      </c>
      <c r="C2153" s="7">
        <f>SUMPRODUCT($C$3:$X$3,'batch tool'!$B2147:$W2147)+$Y$3</f>
        <v>-36.514029388465531</v>
      </c>
      <c r="D2153" s="7">
        <f>SUMPRODUCT($C$4:$X$4,'batch tool'!$B2147:$W2147)+$Y$4</f>
        <v>-44.639843068043824</v>
      </c>
      <c r="E2153" s="7">
        <f>SUMPRODUCT($C$5:$X$5,'batch tool'!$B2147:$W2147)+$Y$5</f>
        <v>-51.578889182477603</v>
      </c>
      <c r="F2153" s="7">
        <f>SUMPRODUCT($C$6:$X$6,'batch tool'!$B2147:$W2147)+$Y$6</f>
        <v>-47.741473633885199</v>
      </c>
      <c r="G2153" s="7">
        <f>SUMPRODUCT($C$7:$X$7,'batch tool'!$B2147:$W2147)+$Y$7</f>
        <v>-19.739516238059196</v>
      </c>
      <c r="H2153" s="7">
        <f t="shared" si="68"/>
        <v>-19.739516238059196</v>
      </c>
      <c r="I2153">
        <f t="shared" si="69"/>
        <v>6</v>
      </c>
      <c r="J2153" t="str" cm="1">
        <f t="array" ref="J2153">INDEX($A$2:$A$7,I2153)</f>
        <v>Segment 6- Self-Conscious Male</v>
      </c>
    </row>
    <row r="2154" spans="1:10" x14ac:dyDescent="0.25">
      <c r="A2154" s="1">
        <f>'batch tool'!A2148</f>
        <v>0</v>
      </c>
      <c r="B2154" s="7">
        <f>SUMPRODUCT($C$2:$X$2,'batch tool'!$B2148:$W2148)+$Y$2</f>
        <v>-49.12272534143483</v>
      </c>
      <c r="C2154" s="7">
        <f>SUMPRODUCT($C$3:$X$3,'batch tool'!$B2148:$W2148)+$Y$3</f>
        <v>-36.514029388465531</v>
      </c>
      <c r="D2154" s="7">
        <f>SUMPRODUCT($C$4:$X$4,'batch tool'!$B2148:$W2148)+$Y$4</f>
        <v>-44.639843068043824</v>
      </c>
      <c r="E2154" s="7">
        <f>SUMPRODUCT($C$5:$X$5,'batch tool'!$B2148:$W2148)+$Y$5</f>
        <v>-51.578889182477603</v>
      </c>
      <c r="F2154" s="7">
        <f>SUMPRODUCT($C$6:$X$6,'batch tool'!$B2148:$W2148)+$Y$6</f>
        <v>-47.741473633885199</v>
      </c>
      <c r="G2154" s="7">
        <f>SUMPRODUCT($C$7:$X$7,'batch tool'!$B2148:$W2148)+$Y$7</f>
        <v>-19.739516238059196</v>
      </c>
      <c r="H2154" s="7">
        <f t="shared" si="68"/>
        <v>-19.739516238059196</v>
      </c>
      <c r="I2154">
        <f t="shared" si="69"/>
        <v>6</v>
      </c>
      <c r="J2154" t="str" cm="1">
        <f t="array" ref="J2154">INDEX($A$2:$A$7,I2154)</f>
        <v>Segment 6- Self-Conscious Male</v>
      </c>
    </row>
    <row r="2155" spans="1:10" x14ac:dyDescent="0.25">
      <c r="A2155" s="1">
        <f>'batch tool'!A2149</f>
        <v>0</v>
      </c>
      <c r="B2155" s="7">
        <f>SUMPRODUCT($C$2:$X$2,'batch tool'!$B2149:$W2149)+$Y$2</f>
        <v>-49.12272534143483</v>
      </c>
      <c r="C2155" s="7">
        <f>SUMPRODUCT($C$3:$X$3,'batch tool'!$B2149:$W2149)+$Y$3</f>
        <v>-36.514029388465531</v>
      </c>
      <c r="D2155" s="7">
        <f>SUMPRODUCT($C$4:$X$4,'batch tool'!$B2149:$W2149)+$Y$4</f>
        <v>-44.639843068043824</v>
      </c>
      <c r="E2155" s="7">
        <f>SUMPRODUCT($C$5:$X$5,'batch tool'!$B2149:$W2149)+$Y$5</f>
        <v>-51.578889182477603</v>
      </c>
      <c r="F2155" s="7">
        <f>SUMPRODUCT($C$6:$X$6,'batch tool'!$B2149:$W2149)+$Y$6</f>
        <v>-47.741473633885199</v>
      </c>
      <c r="G2155" s="7">
        <f>SUMPRODUCT($C$7:$X$7,'batch tool'!$B2149:$W2149)+$Y$7</f>
        <v>-19.739516238059196</v>
      </c>
      <c r="H2155" s="7">
        <f t="shared" si="68"/>
        <v>-19.739516238059196</v>
      </c>
      <c r="I2155">
        <f t="shared" si="69"/>
        <v>6</v>
      </c>
      <c r="J2155" t="str" cm="1">
        <f t="array" ref="J2155">INDEX($A$2:$A$7,I2155)</f>
        <v>Segment 6- Self-Conscious Male</v>
      </c>
    </row>
    <row r="2156" spans="1:10" x14ac:dyDescent="0.25">
      <c r="A2156" s="1">
        <f>'batch tool'!A2150</f>
        <v>0</v>
      </c>
      <c r="B2156" s="7">
        <f>SUMPRODUCT($C$2:$X$2,'batch tool'!$B2150:$W2150)+$Y$2</f>
        <v>-49.12272534143483</v>
      </c>
      <c r="C2156" s="7">
        <f>SUMPRODUCT($C$3:$X$3,'batch tool'!$B2150:$W2150)+$Y$3</f>
        <v>-36.514029388465531</v>
      </c>
      <c r="D2156" s="7">
        <f>SUMPRODUCT($C$4:$X$4,'batch tool'!$B2150:$W2150)+$Y$4</f>
        <v>-44.639843068043824</v>
      </c>
      <c r="E2156" s="7">
        <f>SUMPRODUCT($C$5:$X$5,'batch tool'!$B2150:$W2150)+$Y$5</f>
        <v>-51.578889182477603</v>
      </c>
      <c r="F2156" s="7">
        <f>SUMPRODUCT($C$6:$X$6,'batch tool'!$B2150:$W2150)+$Y$6</f>
        <v>-47.741473633885199</v>
      </c>
      <c r="G2156" s="7">
        <f>SUMPRODUCT($C$7:$X$7,'batch tool'!$B2150:$W2150)+$Y$7</f>
        <v>-19.739516238059196</v>
      </c>
      <c r="H2156" s="7">
        <f t="shared" si="68"/>
        <v>-19.739516238059196</v>
      </c>
      <c r="I2156">
        <f t="shared" si="69"/>
        <v>6</v>
      </c>
      <c r="J2156" t="str" cm="1">
        <f t="array" ref="J2156">INDEX($A$2:$A$7,I2156)</f>
        <v>Segment 6- Self-Conscious Male</v>
      </c>
    </row>
    <row r="2157" spans="1:10" x14ac:dyDescent="0.25">
      <c r="A2157" s="1">
        <f>'batch tool'!A2151</f>
        <v>0</v>
      </c>
      <c r="B2157" s="7">
        <f>SUMPRODUCT($C$2:$X$2,'batch tool'!$B2151:$W2151)+$Y$2</f>
        <v>-49.12272534143483</v>
      </c>
      <c r="C2157" s="7">
        <f>SUMPRODUCT($C$3:$X$3,'batch tool'!$B2151:$W2151)+$Y$3</f>
        <v>-36.514029388465531</v>
      </c>
      <c r="D2157" s="7">
        <f>SUMPRODUCT($C$4:$X$4,'batch tool'!$B2151:$W2151)+$Y$4</f>
        <v>-44.639843068043824</v>
      </c>
      <c r="E2157" s="7">
        <f>SUMPRODUCT($C$5:$X$5,'batch tool'!$B2151:$W2151)+$Y$5</f>
        <v>-51.578889182477603</v>
      </c>
      <c r="F2157" s="7">
        <f>SUMPRODUCT($C$6:$X$6,'batch tool'!$B2151:$W2151)+$Y$6</f>
        <v>-47.741473633885199</v>
      </c>
      <c r="G2157" s="7">
        <f>SUMPRODUCT($C$7:$X$7,'batch tool'!$B2151:$W2151)+$Y$7</f>
        <v>-19.739516238059196</v>
      </c>
      <c r="H2157" s="7">
        <f t="shared" si="68"/>
        <v>-19.739516238059196</v>
      </c>
      <c r="I2157">
        <f t="shared" si="69"/>
        <v>6</v>
      </c>
      <c r="J2157" t="str" cm="1">
        <f t="array" ref="J2157">INDEX($A$2:$A$7,I2157)</f>
        <v>Segment 6- Self-Conscious Male</v>
      </c>
    </row>
    <row r="2158" spans="1:10" x14ac:dyDescent="0.25">
      <c r="A2158" s="1">
        <f>'batch tool'!A2152</f>
        <v>0</v>
      </c>
      <c r="B2158" s="7">
        <f>SUMPRODUCT($C$2:$X$2,'batch tool'!$B2152:$W2152)+$Y$2</f>
        <v>-49.12272534143483</v>
      </c>
      <c r="C2158" s="7">
        <f>SUMPRODUCT($C$3:$X$3,'batch tool'!$B2152:$W2152)+$Y$3</f>
        <v>-36.514029388465531</v>
      </c>
      <c r="D2158" s="7">
        <f>SUMPRODUCT($C$4:$X$4,'batch tool'!$B2152:$W2152)+$Y$4</f>
        <v>-44.639843068043824</v>
      </c>
      <c r="E2158" s="7">
        <f>SUMPRODUCT($C$5:$X$5,'batch tool'!$B2152:$W2152)+$Y$5</f>
        <v>-51.578889182477603</v>
      </c>
      <c r="F2158" s="7">
        <f>SUMPRODUCT($C$6:$X$6,'batch tool'!$B2152:$W2152)+$Y$6</f>
        <v>-47.741473633885199</v>
      </c>
      <c r="G2158" s="7">
        <f>SUMPRODUCT($C$7:$X$7,'batch tool'!$B2152:$W2152)+$Y$7</f>
        <v>-19.739516238059196</v>
      </c>
      <c r="H2158" s="7">
        <f t="shared" si="68"/>
        <v>-19.739516238059196</v>
      </c>
      <c r="I2158">
        <f t="shared" si="69"/>
        <v>6</v>
      </c>
      <c r="J2158" t="str" cm="1">
        <f t="array" ref="J2158">INDEX($A$2:$A$7,I2158)</f>
        <v>Segment 6- Self-Conscious Male</v>
      </c>
    </row>
    <row r="2159" spans="1:10" x14ac:dyDescent="0.25">
      <c r="A2159" s="1">
        <f>'batch tool'!A2153</f>
        <v>0</v>
      </c>
      <c r="B2159" s="7">
        <f>SUMPRODUCT($C$2:$X$2,'batch tool'!$B2153:$W2153)+$Y$2</f>
        <v>-49.12272534143483</v>
      </c>
      <c r="C2159" s="7">
        <f>SUMPRODUCT($C$3:$X$3,'batch tool'!$B2153:$W2153)+$Y$3</f>
        <v>-36.514029388465531</v>
      </c>
      <c r="D2159" s="7">
        <f>SUMPRODUCT($C$4:$X$4,'batch tool'!$B2153:$W2153)+$Y$4</f>
        <v>-44.639843068043824</v>
      </c>
      <c r="E2159" s="7">
        <f>SUMPRODUCT($C$5:$X$5,'batch tool'!$B2153:$W2153)+$Y$5</f>
        <v>-51.578889182477603</v>
      </c>
      <c r="F2159" s="7">
        <f>SUMPRODUCT($C$6:$X$6,'batch tool'!$B2153:$W2153)+$Y$6</f>
        <v>-47.741473633885199</v>
      </c>
      <c r="G2159" s="7">
        <f>SUMPRODUCT($C$7:$X$7,'batch tool'!$B2153:$W2153)+$Y$7</f>
        <v>-19.739516238059196</v>
      </c>
      <c r="H2159" s="7">
        <f t="shared" si="68"/>
        <v>-19.739516238059196</v>
      </c>
      <c r="I2159">
        <f t="shared" si="69"/>
        <v>6</v>
      </c>
      <c r="J2159" t="str" cm="1">
        <f t="array" ref="J2159">INDEX($A$2:$A$7,I2159)</f>
        <v>Segment 6- Self-Conscious Male</v>
      </c>
    </row>
    <row r="2160" spans="1:10" x14ac:dyDescent="0.25">
      <c r="A2160" s="1">
        <f>'batch tool'!A2154</f>
        <v>0</v>
      </c>
      <c r="B2160" s="7">
        <f>SUMPRODUCT($C$2:$X$2,'batch tool'!$B2154:$W2154)+$Y$2</f>
        <v>-49.12272534143483</v>
      </c>
      <c r="C2160" s="7">
        <f>SUMPRODUCT($C$3:$X$3,'batch tool'!$B2154:$W2154)+$Y$3</f>
        <v>-36.514029388465531</v>
      </c>
      <c r="D2160" s="7">
        <f>SUMPRODUCT($C$4:$X$4,'batch tool'!$B2154:$W2154)+$Y$4</f>
        <v>-44.639843068043824</v>
      </c>
      <c r="E2160" s="7">
        <f>SUMPRODUCT($C$5:$X$5,'batch tool'!$B2154:$W2154)+$Y$5</f>
        <v>-51.578889182477603</v>
      </c>
      <c r="F2160" s="7">
        <f>SUMPRODUCT($C$6:$X$6,'batch tool'!$B2154:$W2154)+$Y$6</f>
        <v>-47.741473633885199</v>
      </c>
      <c r="G2160" s="7">
        <f>SUMPRODUCT($C$7:$X$7,'batch tool'!$B2154:$W2154)+$Y$7</f>
        <v>-19.739516238059196</v>
      </c>
      <c r="H2160" s="7">
        <f t="shared" si="68"/>
        <v>-19.739516238059196</v>
      </c>
      <c r="I2160">
        <f t="shared" si="69"/>
        <v>6</v>
      </c>
      <c r="J2160" t="str" cm="1">
        <f t="array" ref="J2160">INDEX($A$2:$A$7,I2160)</f>
        <v>Segment 6- Self-Conscious Male</v>
      </c>
    </row>
    <row r="2161" spans="1:10" x14ac:dyDescent="0.25">
      <c r="A2161" s="1">
        <f>'batch tool'!A2155</f>
        <v>0</v>
      </c>
      <c r="B2161" s="7">
        <f>SUMPRODUCT($C$2:$X$2,'batch tool'!$B2155:$W2155)+$Y$2</f>
        <v>-49.12272534143483</v>
      </c>
      <c r="C2161" s="7">
        <f>SUMPRODUCT($C$3:$X$3,'batch tool'!$B2155:$W2155)+$Y$3</f>
        <v>-36.514029388465531</v>
      </c>
      <c r="D2161" s="7">
        <f>SUMPRODUCT($C$4:$X$4,'batch tool'!$B2155:$W2155)+$Y$4</f>
        <v>-44.639843068043824</v>
      </c>
      <c r="E2161" s="7">
        <f>SUMPRODUCT($C$5:$X$5,'batch tool'!$B2155:$W2155)+$Y$5</f>
        <v>-51.578889182477603</v>
      </c>
      <c r="F2161" s="7">
        <f>SUMPRODUCT($C$6:$X$6,'batch tool'!$B2155:$W2155)+$Y$6</f>
        <v>-47.741473633885199</v>
      </c>
      <c r="G2161" s="7">
        <f>SUMPRODUCT($C$7:$X$7,'batch tool'!$B2155:$W2155)+$Y$7</f>
        <v>-19.739516238059196</v>
      </c>
      <c r="H2161" s="7">
        <f t="shared" si="68"/>
        <v>-19.739516238059196</v>
      </c>
      <c r="I2161">
        <f t="shared" si="69"/>
        <v>6</v>
      </c>
      <c r="J2161" t="str" cm="1">
        <f t="array" ref="J2161">INDEX($A$2:$A$7,I2161)</f>
        <v>Segment 6- Self-Conscious Male</v>
      </c>
    </row>
    <row r="2162" spans="1:10" x14ac:dyDescent="0.25">
      <c r="A2162" s="1">
        <f>'batch tool'!A2156</f>
        <v>0</v>
      </c>
      <c r="B2162" s="7">
        <f>SUMPRODUCT($C$2:$X$2,'batch tool'!$B2156:$W2156)+$Y$2</f>
        <v>-49.12272534143483</v>
      </c>
      <c r="C2162" s="7">
        <f>SUMPRODUCT($C$3:$X$3,'batch tool'!$B2156:$W2156)+$Y$3</f>
        <v>-36.514029388465531</v>
      </c>
      <c r="D2162" s="7">
        <f>SUMPRODUCT($C$4:$X$4,'batch tool'!$B2156:$W2156)+$Y$4</f>
        <v>-44.639843068043824</v>
      </c>
      <c r="E2162" s="7">
        <f>SUMPRODUCT($C$5:$X$5,'batch tool'!$B2156:$W2156)+$Y$5</f>
        <v>-51.578889182477603</v>
      </c>
      <c r="F2162" s="7">
        <f>SUMPRODUCT($C$6:$X$6,'batch tool'!$B2156:$W2156)+$Y$6</f>
        <v>-47.741473633885199</v>
      </c>
      <c r="G2162" s="7">
        <f>SUMPRODUCT($C$7:$X$7,'batch tool'!$B2156:$W2156)+$Y$7</f>
        <v>-19.739516238059196</v>
      </c>
      <c r="H2162" s="7">
        <f t="shared" si="68"/>
        <v>-19.739516238059196</v>
      </c>
      <c r="I2162">
        <f t="shared" si="69"/>
        <v>6</v>
      </c>
      <c r="J2162" t="str" cm="1">
        <f t="array" ref="J2162">INDEX($A$2:$A$7,I2162)</f>
        <v>Segment 6- Self-Conscious Male</v>
      </c>
    </row>
    <row r="2163" spans="1:10" x14ac:dyDescent="0.25">
      <c r="A2163" s="1">
        <f>'batch tool'!A2157</f>
        <v>0</v>
      </c>
      <c r="B2163" s="7">
        <f>SUMPRODUCT($C$2:$X$2,'batch tool'!$B2157:$W2157)+$Y$2</f>
        <v>-49.12272534143483</v>
      </c>
      <c r="C2163" s="7">
        <f>SUMPRODUCT($C$3:$X$3,'batch tool'!$B2157:$W2157)+$Y$3</f>
        <v>-36.514029388465531</v>
      </c>
      <c r="D2163" s="7">
        <f>SUMPRODUCT($C$4:$X$4,'batch tool'!$B2157:$W2157)+$Y$4</f>
        <v>-44.639843068043824</v>
      </c>
      <c r="E2163" s="7">
        <f>SUMPRODUCT($C$5:$X$5,'batch tool'!$B2157:$W2157)+$Y$5</f>
        <v>-51.578889182477603</v>
      </c>
      <c r="F2163" s="7">
        <f>SUMPRODUCT($C$6:$X$6,'batch tool'!$B2157:$W2157)+$Y$6</f>
        <v>-47.741473633885199</v>
      </c>
      <c r="G2163" s="7">
        <f>SUMPRODUCT($C$7:$X$7,'batch tool'!$B2157:$W2157)+$Y$7</f>
        <v>-19.739516238059196</v>
      </c>
      <c r="H2163" s="7">
        <f t="shared" si="68"/>
        <v>-19.739516238059196</v>
      </c>
      <c r="I2163">
        <f t="shared" si="69"/>
        <v>6</v>
      </c>
      <c r="J2163" t="str" cm="1">
        <f t="array" ref="J2163">INDEX($A$2:$A$7,I2163)</f>
        <v>Segment 6- Self-Conscious Male</v>
      </c>
    </row>
    <row r="2164" spans="1:10" x14ac:dyDescent="0.25">
      <c r="A2164" s="1">
        <f>'batch tool'!A2158</f>
        <v>0</v>
      </c>
      <c r="B2164" s="7">
        <f>SUMPRODUCT($C$2:$X$2,'batch tool'!$B2158:$W2158)+$Y$2</f>
        <v>-49.12272534143483</v>
      </c>
      <c r="C2164" s="7">
        <f>SUMPRODUCT($C$3:$X$3,'batch tool'!$B2158:$W2158)+$Y$3</f>
        <v>-36.514029388465531</v>
      </c>
      <c r="D2164" s="7">
        <f>SUMPRODUCT($C$4:$X$4,'batch tool'!$B2158:$W2158)+$Y$4</f>
        <v>-44.639843068043824</v>
      </c>
      <c r="E2164" s="7">
        <f>SUMPRODUCT($C$5:$X$5,'batch tool'!$B2158:$W2158)+$Y$5</f>
        <v>-51.578889182477603</v>
      </c>
      <c r="F2164" s="7">
        <f>SUMPRODUCT($C$6:$X$6,'batch tool'!$B2158:$W2158)+$Y$6</f>
        <v>-47.741473633885199</v>
      </c>
      <c r="G2164" s="7">
        <f>SUMPRODUCT($C$7:$X$7,'batch tool'!$B2158:$W2158)+$Y$7</f>
        <v>-19.739516238059196</v>
      </c>
      <c r="H2164" s="7">
        <f t="shared" si="68"/>
        <v>-19.739516238059196</v>
      </c>
      <c r="I2164">
        <f t="shared" si="69"/>
        <v>6</v>
      </c>
      <c r="J2164" t="str" cm="1">
        <f t="array" ref="J2164">INDEX($A$2:$A$7,I2164)</f>
        <v>Segment 6- Self-Conscious Male</v>
      </c>
    </row>
    <row r="2165" spans="1:10" x14ac:dyDescent="0.25">
      <c r="A2165" s="1">
        <f>'batch tool'!A2159</f>
        <v>0</v>
      </c>
      <c r="B2165" s="7">
        <f>SUMPRODUCT($C$2:$X$2,'batch tool'!$B2159:$W2159)+$Y$2</f>
        <v>-49.12272534143483</v>
      </c>
      <c r="C2165" s="7">
        <f>SUMPRODUCT($C$3:$X$3,'batch tool'!$B2159:$W2159)+$Y$3</f>
        <v>-36.514029388465531</v>
      </c>
      <c r="D2165" s="7">
        <f>SUMPRODUCT($C$4:$X$4,'batch tool'!$B2159:$W2159)+$Y$4</f>
        <v>-44.639843068043824</v>
      </c>
      <c r="E2165" s="7">
        <f>SUMPRODUCT($C$5:$X$5,'batch tool'!$B2159:$W2159)+$Y$5</f>
        <v>-51.578889182477603</v>
      </c>
      <c r="F2165" s="7">
        <f>SUMPRODUCT($C$6:$X$6,'batch tool'!$B2159:$W2159)+$Y$6</f>
        <v>-47.741473633885199</v>
      </c>
      <c r="G2165" s="7">
        <f>SUMPRODUCT($C$7:$X$7,'batch tool'!$B2159:$W2159)+$Y$7</f>
        <v>-19.739516238059196</v>
      </c>
      <c r="H2165" s="7">
        <f t="shared" si="68"/>
        <v>-19.739516238059196</v>
      </c>
      <c r="I2165">
        <f t="shared" si="69"/>
        <v>6</v>
      </c>
      <c r="J2165" t="str" cm="1">
        <f t="array" ref="J2165">INDEX($A$2:$A$7,I2165)</f>
        <v>Segment 6- Self-Conscious Male</v>
      </c>
    </row>
    <row r="2166" spans="1:10" x14ac:dyDescent="0.25">
      <c r="A2166" s="1">
        <f>'batch tool'!A2160</f>
        <v>0</v>
      </c>
      <c r="B2166" s="7">
        <f>SUMPRODUCT($C$2:$X$2,'batch tool'!$B2160:$W2160)+$Y$2</f>
        <v>-49.12272534143483</v>
      </c>
      <c r="C2166" s="7">
        <f>SUMPRODUCT($C$3:$X$3,'batch tool'!$B2160:$W2160)+$Y$3</f>
        <v>-36.514029388465531</v>
      </c>
      <c r="D2166" s="7">
        <f>SUMPRODUCT($C$4:$X$4,'batch tool'!$B2160:$W2160)+$Y$4</f>
        <v>-44.639843068043824</v>
      </c>
      <c r="E2166" s="7">
        <f>SUMPRODUCT($C$5:$X$5,'batch tool'!$B2160:$W2160)+$Y$5</f>
        <v>-51.578889182477603</v>
      </c>
      <c r="F2166" s="7">
        <f>SUMPRODUCT($C$6:$X$6,'batch tool'!$B2160:$W2160)+$Y$6</f>
        <v>-47.741473633885199</v>
      </c>
      <c r="G2166" s="7">
        <f>SUMPRODUCT($C$7:$X$7,'batch tool'!$B2160:$W2160)+$Y$7</f>
        <v>-19.739516238059196</v>
      </c>
      <c r="H2166" s="7">
        <f t="shared" si="68"/>
        <v>-19.739516238059196</v>
      </c>
      <c r="I2166">
        <f t="shared" si="69"/>
        <v>6</v>
      </c>
      <c r="J2166" t="str" cm="1">
        <f t="array" ref="J2166">INDEX($A$2:$A$7,I2166)</f>
        <v>Segment 6- Self-Conscious Male</v>
      </c>
    </row>
    <row r="2167" spans="1:10" x14ac:dyDescent="0.25">
      <c r="A2167" s="1">
        <f>'batch tool'!A2161</f>
        <v>0</v>
      </c>
      <c r="B2167" s="7">
        <f>SUMPRODUCT($C$2:$X$2,'batch tool'!$B2161:$W2161)+$Y$2</f>
        <v>-49.12272534143483</v>
      </c>
      <c r="C2167" s="7">
        <f>SUMPRODUCT($C$3:$X$3,'batch tool'!$B2161:$W2161)+$Y$3</f>
        <v>-36.514029388465531</v>
      </c>
      <c r="D2167" s="7">
        <f>SUMPRODUCT($C$4:$X$4,'batch tool'!$B2161:$W2161)+$Y$4</f>
        <v>-44.639843068043824</v>
      </c>
      <c r="E2167" s="7">
        <f>SUMPRODUCT($C$5:$X$5,'batch tool'!$B2161:$W2161)+$Y$5</f>
        <v>-51.578889182477603</v>
      </c>
      <c r="F2167" s="7">
        <f>SUMPRODUCT($C$6:$X$6,'batch tool'!$B2161:$W2161)+$Y$6</f>
        <v>-47.741473633885199</v>
      </c>
      <c r="G2167" s="7">
        <f>SUMPRODUCT($C$7:$X$7,'batch tool'!$B2161:$W2161)+$Y$7</f>
        <v>-19.739516238059196</v>
      </c>
      <c r="H2167" s="7">
        <f t="shared" si="68"/>
        <v>-19.739516238059196</v>
      </c>
      <c r="I2167">
        <f t="shared" si="69"/>
        <v>6</v>
      </c>
      <c r="J2167" t="str" cm="1">
        <f t="array" ref="J2167">INDEX($A$2:$A$7,I2167)</f>
        <v>Segment 6- Self-Conscious Male</v>
      </c>
    </row>
    <row r="2168" spans="1:10" x14ac:dyDescent="0.25">
      <c r="A2168" s="1">
        <f>'batch tool'!A2162</f>
        <v>0</v>
      </c>
      <c r="B2168" s="7">
        <f>SUMPRODUCT($C$2:$X$2,'batch tool'!$B2162:$W2162)+$Y$2</f>
        <v>-49.12272534143483</v>
      </c>
      <c r="C2168" s="7">
        <f>SUMPRODUCT($C$3:$X$3,'batch tool'!$B2162:$W2162)+$Y$3</f>
        <v>-36.514029388465531</v>
      </c>
      <c r="D2168" s="7">
        <f>SUMPRODUCT($C$4:$X$4,'batch tool'!$B2162:$W2162)+$Y$4</f>
        <v>-44.639843068043824</v>
      </c>
      <c r="E2168" s="7">
        <f>SUMPRODUCT($C$5:$X$5,'batch tool'!$B2162:$W2162)+$Y$5</f>
        <v>-51.578889182477603</v>
      </c>
      <c r="F2168" s="7">
        <f>SUMPRODUCT($C$6:$X$6,'batch tool'!$B2162:$W2162)+$Y$6</f>
        <v>-47.741473633885199</v>
      </c>
      <c r="G2168" s="7">
        <f>SUMPRODUCT($C$7:$X$7,'batch tool'!$B2162:$W2162)+$Y$7</f>
        <v>-19.739516238059196</v>
      </c>
      <c r="H2168" s="7">
        <f t="shared" si="68"/>
        <v>-19.739516238059196</v>
      </c>
      <c r="I2168">
        <f t="shared" si="69"/>
        <v>6</v>
      </c>
      <c r="J2168" t="str" cm="1">
        <f t="array" ref="J2168">INDEX($A$2:$A$7,I2168)</f>
        <v>Segment 6- Self-Conscious Male</v>
      </c>
    </row>
    <row r="2169" spans="1:10" x14ac:dyDescent="0.25">
      <c r="A2169" s="1">
        <f>'batch tool'!A2163</f>
        <v>0</v>
      </c>
      <c r="B2169" s="7">
        <f>SUMPRODUCT($C$2:$X$2,'batch tool'!$B2163:$W2163)+$Y$2</f>
        <v>-49.12272534143483</v>
      </c>
      <c r="C2169" s="7">
        <f>SUMPRODUCT($C$3:$X$3,'batch tool'!$B2163:$W2163)+$Y$3</f>
        <v>-36.514029388465531</v>
      </c>
      <c r="D2169" s="7">
        <f>SUMPRODUCT($C$4:$X$4,'batch tool'!$B2163:$W2163)+$Y$4</f>
        <v>-44.639843068043824</v>
      </c>
      <c r="E2169" s="7">
        <f>SUMPRODUCT($C$5:$X$5,'batch tool'!$B2163:$W2163)+$Y$5</f>
        <v>-51.578889182477603</v>
      </c>
      <c r="F2169" s="7">
        <f>SUMPRODUCT($C$6:$X$6,'batch tool'!$B2163:$W2163)+$Y$6</f>
        <v>-47.741473633885199</v>
      </c>
      <c r="G2169" s="7">
        <f>SUMPRODUCT($C$7:$X$7,'batch tool'!$B2163:$W2163)+$Y$7</f>
        <v>-19.739516238059196</v>
      </c>
      <c r="H2169" s="7">
        <f t="shared" si="68"/>
        <v>-19.739516238059196</v>
      </c>
      <c r="I2169">
        <f t="shared" si="69"/>
        <v>6</v>
      </c>
      <c r="J2169" t="str" cm="1">
        <f t="array" ref="J2169">INDEX($A$2:$A$7,I2169)</f>
        <v>Segment 6- Self-Conscious Male</v>
      </c>
    </row>
    <row r="2170" spans="1:10" x14ac:dyDescent="0.25">
      <c r="A2170" s="1">
        <f>'batch tool'!A2164</f>
        <v>0</v>
      </c>
      <c r="B2170" s="7">
        <f>SUMPRODUCT($C$2:$X$2,'batch tool'!$B2164:$W2164)+$Y$2</f>
        <v>-49.12272534143483</v>
      </c>
      <c r="C2170" s="7">
        <f>SUMPRODUCT($C$3:$X$3,'batch tool'!$B2164:$W2164)+$Y$3</f>
        <v>-36.514029388465531</v>
      </c>
      <c r="D2170" s="7">
        <f>SUMPRODUCT($C$4:$X$4,'batch tool'!$B2164:$W2164)+$Y$4</f>
        <v>-44.639843068043824</v>
      </c>
      <c r="E2170" s="7">
        <f>SUMPRODUCT($C$5:$X$5,'batch tool'!$B2164:$W2164)+$Y$5</f>
        <v>-51.578889182477603</v>
      </c>
      <c r="F2170" s="7">
        <f>SUMPRODUCT($C$6:$X$6,'batch tool'!$B2164:$W2164)+$Y$6</f>
        <v>-47.741473633885199</v>
      </c>
      <c r="G2170" s="7">
        <f>SUMPRODUCT($C$7:$X$7,'batch tool'!$B2164:$W2164)+$Y$7</f>
        <v>-19.739516238059196</v>
      </c>
      <c r="H2170" s="7">
        <f t="shared" si="68"/>
        <v>-19.739516238059196</v>
      </c>
      <c r="I2170">
        <f t="shared" si="69"/>
        <v>6</v>
      </c>
      <c r="J2170" t="str" cm="1">
        <f t="array" ref="J2170">INDEX($A$2:$A$7,I2170)</f>
        <v>Segment 6- Self-Conscious Male</v>
      </c>
    </row>
    <row r="2171" spans="1:10" x14ac:dyDescent="0.25">
      <c r="A2171" s="1">
        <f>'batch tool'!A2165</f>
        <v>0</v>
      </c>
      <c r="B2171" s="7">
        <f>SUMPRODUCT($C$2:$X$2,'batch tool'!$B2165:$W2165)+$Y$2</f>
        <v>-49.12272534143483</v>
      </c>
      <c r="C2171" s="7">
        <f>SUMPRODUCT($C$3:$X$3,'batch tool'!$B2165:$W2165)+$Y$3</f>
        <v>-36.514029388465531</v>
      </c>
      <c r="D2171" s="7">
        <f>SUMPRODUCT($C$4:$X$4,'batch tool'!$B2165:$W2165)+$Y$4</f>
        <v>-44.639843068043824</v>
      </c>
      <c r="E2171" s="7">
        <f>SUMPRODUCT($C$5:$X$5,'batch tool'!$B2165:$W2165)+$Y$5</f>
        <v>-51.578889182477603</v>
      </c>
      <c r="F2171" s="7">
        <f>SUMPRODUCT($C$6:$X$6,'batch tool'!$B2165:$W2165)+$Y$6</f>
        <v>-47.741473633885199</v>
      </c>
      <c r="G2171" s="7">
        <f>SUMPRODUCT($C$7:$X$7,'batch tool'!$B2165:$W2165)+$Y$7</f>
        <v>-19.739516238059196</v>
      </c>
      <c r="H2171" s="7">
        <f t="shared" si="68"/>
        <v>-19.739516238059196</v>
      </c>
      <c r="I2171">
        <f t="shared" si="69"/>
        <v>6</v>
      </c>
      <c r="J2171" t="str" cm="1">
        <f t="array" ref="J2171">INDEX($A$2:$A$7,I2171)</f>
        <v>Segment 6- Self-Conscious Male</v>
      </c>
    </row>
    <row r="2172" spans="1:10" x14ac:dyDescent="0.25">
      <c r="A2172" s="1">
        <f>'batch tool'!A2166</f>
        <v>0</v>
      </c>
      <c r="B2172" s="7">
        <f>SUMPRODUCT($C$2:$X$2,'batch tool'!$B2166:$W2166)+$Y$2</f>
        <v>-49.12272534143483</v>
      </c>
      <c r="C2172" s="7">
        <f>SUMPRODUCT($C$3:$X$3,'batch tool'!$B2166:$W2166)+$Y$3</f>
        <v>-36.514029388465531</v>
      </c>
      <c r="D2172" s="7">
        <f>SUMPRODUCT($C$4:$X$4,'batch tool'!$B2166:$W2166)+$Y$4</f>
        <v>-44.639843068043824</v>
      </c>
      <c r="E2172" s="7">
        <f>SUMPRODUCT($C$5:$X$5,'batch tool'!$B2166:$W2166)+$Y$5</f>
        <v>-51.578889182477603</v>
      </c>
      <c r="F2172" s="7">
        <f>SUMPRODUCT($C$6:$X$6,'batch tool'!$B2166:$W2166)+$Y$6</f>
        <v>-47.741473633885199</v>
      </c>
      <c r="G2172" s="7">
        <f>SUMPRODUCT($C$7:$X$7,'batch tool'!$B2166:$W2166)+$Y$7</f>
        <v>-19.739516238059196</v>
      </c>
      <c r="H2172" s="7">
        <f t="shared" si="68"/>
        <v>-19.739516238059196</v>
      </c>
      <c r="I2172">
        <f t="shared" si="69"/>
        <v>6</v>
      </c>
      <c r="J2172" t="str" cm="1">
        <f t="array" ref="J2172">INDEX($A$2:$A$7,I2172)</f>
        <v>Segment 6- Self-Conscious Male</v>
      </c>
    </row>
    <row r="2173" spans="1:10" x14ac:dyDescent="0.25">
      <c r="A2173" s="1">
        <f>'batch tool'!A2167</f>
        <v>0</v>
      </c>
      <c r="B2173" s="7">
        <f>SUMPRODUCT($C$2:$X$2,'batch tool'!$B2167:$W2167)+$Y$2</f>
        <v>-49.12272534143483</v>
      </c>
      <c r="C2173" s="7">
        <f>SUMPRODUCT($C$3:$X$3,'batch tool'!$B2167:$W2167)+$Y$3</f>
        <v>-36.514029388465531</v>
      </c>
      <c r="D2173" s="7">
        <f>SUMPRODUCT($C$4:$X$4,'batch tool'!$B2167:$W2167)+$Y$4</f>
        <v>-44.639843068043824</v>
      </c>
      <c r="E2173" s="7">
        <f>SUMPRODUCT($C$5:$X$5,'batch tool'!$B2167:$W2167)+$Y$5</f>
        <v>-51.578889182477603</v>
      </c>
      <c r="F2173" s="7">
        <f>SUMPRODUCT($C$6:$X$6,'batch tool'!$B2167:$W2167)+$Y$6</f>
        <v>-47.741473633885199</v>
      </c>
      <c r="G2173" s="7">
        <f>SUMPRODUCT($C$7:$X$7,'batch tool'!$B2167:$W2167)+$Y$7</f>
        <v>-19.739516238059196</v>
      </c>
      <c r="H2173" s="7">
        <f t="shared" si="68"/>
        <v>-19.739516238059196</v>
      </c>
      <c r="I2173">
        <f t="shared" si="69"/>
        <v>6</v>
      </c>
      <c r="J2173" t="str" cm="1">
        <f t="array" ref="J2173">INDEX($A$2:$A$7,I2173)</f>
        <v>Segment 6- Self-Conscious Male</v>
      </c>
    </row>
    <row r="2174" spans="1:10" x14ac:dyDescent="0.25">
      <c r="A2174" s="1">
        <f>'batch tool'!A2168</f>
        <v>0</v>
      </c>
      <c r="B2174" s="7">
        <f>SUMPRODUCT($C$2:$X$2,'batch tool'!$B2168:$W2168)+$Y$2</f>
        <v>-49.12272534143483</v>
      </c>
      <c r="C2174" s="7">
        <f>SUMPRODUCT($C$3:$X$3,'batch tool'!$B2168:$W2168)+$Y$3</f>
        <v>-36.514029388465531</v>
      </c>
      <c r="D2174" s="7">
        <f>SUMPRODUCT($C$4:$X$4,'batch tool'!$B2168:$W2168)+$Y$4</f>
        <v>-44.639843068043824</v>
      </c>
      <c r="E2174" s="7">
        <f>SUMPRODUCT($C$5:$X$5,'batch tool'!$B2168:$W2168)+$Y$5</f>
        <v>-51.578889182477603</v>
      </c>
      <c r="F2174" s="7">
        <f>SUMPRODUCT($C$6:$X$6,'batch tool'!$B2168:$W2168)+$Y$6</f>
        <v>-47.741473633885199</v>
      </c>
      <c r="G2174" s="7">
        <f>SUMPRODUCT($C$7:$X$7,'batch tool'!$B2168:$W2168)+$Y$7</f>
        <v>-19.739516238059196</v>
      </c>
      <c r="H2174" s="7">
        <f t="shared" si="68"/>
        <v>-19.739516238059196</v>
      </c>
      <c r="I2174">
        <f t="shared" si="69"/>
        <v>6</v>
      </c>
      <c r="J2174" t="str" cm="1">
        <f t="array" ref="J2174">INDEX($A$2:$A$7,I2174)</f>
        <v>Segment 6- Self-Conscious Male</v>
      </c>
    </row>
    <row r="2175" spans="1:10" x14ac:dyDescent="0.25">
      <c r="A2175" s="1">
        <f>'batch tool'!A2169</f>
        <v>0</v>
      </c>
      <c r="B2175" s="7">
        <f>SUMPRODUCT($C$2:$X$2,'batch tool'!$B2169:$W2169)+$Y$2</f>
        <v>-49.12272534143483</v>
      </c>
      <c r="C2175" s="7">
        <f>SUMPRODUCT($C$3:$X$3,'batch tool'!$B2169:$W2169)+$Y$3</f>
        <v>-36.514029388465531</v>
      </c>
      <c r="D2175" s="7">
        <f>SUMPRODUCT($C$4:$X$4,'batch tool'!$B2169:$W2169)+$Y$4</f>
        <v>-44.639843068043824</v>
      </c>
      <c r="E2175" s="7">
        <f>SUMPRODUCT($C$5:$X$5,'batch tool'!$B2169:$W2169)+$Y$5</f>
        <v>-51.578889182477603</v>
      </c>
      <c r="F2175" s="7">
        <f>SUMPRODUCT($C$6:$X$6,'batch tool'!$B2169:$W2169)+$Y$6</f>
        <v>-47.741473633885199</v>
      </c>
      <c r="G2175" s="7">
        <f>SUMPRODUCT($C$7:$X$7,'batch tool'!$B2169:$W2169)+$Y$7</f>
        <v>-19.739516238059196</v>
      </c>
      <c r="H2175" s="7">
        <f t="shared" si="68"/>
        <v>-19.739516238059196</v>
      </c>
      <c r="I2175">
        <f t="shared" si="69"/>
        <v>6</v>
      </c>
      <c r="J2175" t="str" cm="1">
        <f t="array" ref="J2175">INDEX($A$2:$A$7,I2175)</f>
        <v>Segment 6- Self-Conscious Male</v>
      </c>
    </row>
    <row r="2176" spans="1:10" x14ac:dyDescent="0.25">
      <c r="A2176" s="1">
        <f>'batch tool'!A2170</f>
        <v>0</v>
      </c>
      <c r="B2176" s="7">
        <f>SUMPRODUCT($C$2:$X$2,'batch tool'!$B2170:$W2170)+$Y$2</f>
        <v>-49.12272534143483</v>
      </c>
      <c r="C2176" s="7">
        <f>SUMPRODUCT($C$3:$X$3,'batch tool'!$B2170:$W2170)+$Y$3</f>
        <v>-36.514029388465531</v>
      </c>
      <c r="D2176" s="7">
        <f>SUMPRODUCT($C$4:$X$4,'batch tool'!$B2170:$W2170)+$Y$4</f>
        <v>-44.639843068043824</v>
      </c>
      <c r="E2176" s="7">
        <f>SUMPRODUCT($C$5:$X$5,'batch tool'!$B2170:$W2170)+$Y$5</f>
        <v>-51.578889182477603</v>
      </c>
      <c r="F2176" s="7">
        <f>SUMPRODUCT($C$6:$X$6,'batch tool'!$B2170:$W2170)+$Y$6</f>
        <v>-47.741473633885199</v>
      </c>
      <c r="G2176" s="7">
        <f>SUMPRODUCT($C$7:$X$7,'batch tool'!$B2170:$W2170)+$Y$7</f>
        <v>-19.739516238059196</v>
      </c>
      <c r="H2176" s="7">
        <f t="shared" si="68"/>
        <v>-19.739516238059196</v>
      </c>
      <c r="I2176">
        <f t="shared" si="69"/>
        <v>6</v>
      </c>
      <c r="J2176" t="str" cm="1">
        <f t="array" ref="J2176">INDEX($A$2:$A$7,I2176)</f>
        <v>Segment 6- Self-Conscious Male</v>
      </c>
    </row>
    <row r="2177" spans="1:10" x14ac:dyDescent="0.25">
      <c r="A2177" s="1">
        <f>'batch tool'!A2171</f>
        <v>0</v>
      </c>
      <c r="B2177" s="7">
        <f>SUMPRODUCT($C$2:$X$2,'batch tool'!$B2171:$W2171)+$Y$2</f>
        <v>-49.12272534143483</v>
      </c>
      <c r="C2177" s="7">
        <f>SUMPRODUCT($C$3:$X$3,'batch tool'!$B2171:$W2171)+$Y$3</f>
        <v>-36.514029388465531</v>
      </c>
      <c r="D2177" s="7">
        <f>SUMPRODUCT($C$4:$X$4,'batch tool'!$B2171:$W2171)+$Y$4</f>
        <v>-44.639843068043824</v>
      </c>
      <c r="E2177" s="7">
        <f>SUMPRODUCT($C$5:$X$5,'batch tool'!$B2171:$W2171)+$Y$5</f>
        <v>-51.578889182477603</v>
      </c>
      <c r="F2177" s="7">
        <f>SUMPRODUCT($C$6:$X$6,'batch tool'!$B2171:$W2171)+$Y$6</f>
        <v>-47.741473633885199</v>
      </c>
      <c r="G2177" s="7">
        <f>SUMPRODUCT($C$7:$X$7,'batch tool'!$B2171:$W2171)+$Y$7</f>
        <v>-19.739516238059196</v>
      </c>
      <c r="H2177" s="7">
        <f t="shared" si="68"/>
        <v>-19.739516238059196</v>
      </c>
      <c r="I2177">
        <f t="shared" si="69"/>
        <v>6</v>
      </c>
      <c r="J2177" t="str" cm="1">
        <f t="array" ref="J2177">INDEX($A$2:$A$7,I2177)</f>
        <v>Segment 6- Self-Conscious Male</v>
      </c>
    </row>
    <row r="2178" spans="1:10" x14ac:dyDescent="0.25">
      <c r="A2178" s="1">
        <f>'batch tool'!A2172</f>
        <v>0</v>
      </c>
      <c r="B2178" s="7">
        <f>SUMPRODUCT($C$2:$X$2,'batch tool'!$B2172:$W2172)+$Y$2</f>
        <v>-49.12272534143483</v>
      </c>
      <c r="C2178" s="7">
        <f>SUMPRODUCT($C$3:$X$3,'batch tool'!$B2172:$W2172)+$Y$3</f>
        <v>-36.514029388465531</v>
      </c>
      <c r="D2178" s="7">
        <f>SUMPRODUCT($C$4:$X$4,'batch tool'!$B2172:$W2172)+$Y$4</f>
        <v>-44.639843068043824</v>
      </c>
      <c r="E2178" s="7">
        <f>SUMPRODUCT($C$5:$X$5,'batch tool'!$B2172:$W2172)+$Y$5</f>
        <v>-51.578889182477603</v>
      </c>
      <c r="F2178" s="7">
        <f>SUMPRODUCT($C$6:$X$6,'batch tool'!$B2172:$W2172)+$Y$6</f>
        <v>-47.741473633885199</v>
      </c>
      <c r="G2178" s="7">
        <f>SUMPRODUCT($C$7:$X$7,'batch tool'!$B2172:$W2172)+$Y$7</f>
        <v>-19.739516238059196</v>
      </c>
      <c r="H2178" s="7">
        <f t="shared" si="68"/>
        <v>-19.739516238059196</v>
      </c>
      <c r="I2178">
        <f t="shared" si="69"/>
        <v>6</v>
      </c>
      <c r="J2178" t="str" cm="1">
        <f t="array" ref="J2178">INDEX($A$2:$A$7,I2178)</f>
        <v>Segment 6- Self-Conscious Male</v>
      </c>
    </row>
    <row r="2179" spans="1:10" x14ac:dyDescent="0.25">
      <c r="A2179" s="1">
        <f>'batch tool'!A2173</f>
        <v>0</v>
      </c>
      <c r="B2179" s="7">
        <f>SUMPRODUCT($C$2:$X$2,'batch tool'!$B2173:$W2173)+$Y$2</f>
        <v>-49.12272534143483</v>
      </c>
      <c r="C2179" s="7">
        <f>SUMPRODUCT($C$3:$X$3,'batch tool'!$B2173:$W2173)+$Y$3</f>
        <v>-36.514029388465531</v>
      </c>
      <c r="D2179" s="7">
        <f>SUMPRODUCT($C$4:$X$4,'batch tool'!$B2173:$W2173)+$Y$4</f>
        <v>-44.639843068043824</v>
      </c>
      <c r="E2179" s="7">
        <f>SUMPRODUCT($C$5:$X$5,'batch tool'!$B2173:$W2173)+$Y$5</f>
        <v>-51.578889182477603</v>
      </c>
      <c r="F2179" s="7">
        <f>SUMPRODUCT($C$6:$X$6,'batch tool'!$B2173:$W2173)+$Y$6</f>
        <v>-47.741473633885199</v>
      </c>
      <c r="G2179" s="7">
        <f>SUMPRODUCT($C$7:$X$7,'batch tool'!$B2173:$W2173)+$Y$7</f>
        <v>-19.739516238059196</v>
      </c>
      <c r="H2179" s="7">
        <f t="shared" si="68"/>
        <v>-19.739516238059196</v>
      </c>
      <c r="I2179">
        <f t="shared" si="69"/>
        <v>6</v>
      </c>
      <c r="J2179" t="str" cm="1">
        <f t="array" ref="J2179">INDEX($A$2:$A$7,I2179)</f>
        <v>Segment 6- Self-Conscious Male</v>
      </c>
    </row>
    <row r="2180" spans="1:10" x14ac:dyDescent="0.25">
      <c r="A2180" s="1">
        <f>'batch tool'!A2174</f>
        <v>0</v>
      </c>
      <c r="B2180" s="7">
        <f>SUMPRODUCT($C$2:$X$2,'batch tool'!$B2174:$W2174)+$Y$2</f>
        <v>-49.12272534143483</v>
      </c>
      <c r="C2180" s="7">
        <f>SUMPRODUCT($C$3:$X$3,'batch tool'!$B2174:$W2174)+$Y$3</f>
        <v>-36.514029388465531</v>
      </c>
      <c r="D2180" s="7">
        <f>SUMPRODUCT($C$4:$X$4,'batch tool'!$B2174:$W2174)+$Y$4</f>
        <v>-44.639843068043824</v>
      </c>
      <c r="E2180" s="7">
        <f>SUMPRODUCT($C$5:$X$5,'batch tool'!$B2174:$W2174)+$Y$5</f>
        <v>-51.578889182477603</v>
      </c>
      <c r="F2180" s="7">
        <f>SUMPRODUCT($C$6:$X$6,'batch tool'!$B2174:$W2174)+$Y$6</f>
        <v>-47.741473633885199</v>
      </c>
      <c r="G2180" s="7">
        <f>SUMPRODUCT($C$7:$X$7,'batch tool'!$B2174:$W2174)+$Y$7</f>
        <v>-19.739516238059196</v>
      </c>
      <c r="H2180" s="7">
        <f t="shared" si="68"/>
        <v>-19.739516238059196</v>
      </c>
      <c r="I2180">
        <f t="shared" si="69"/>
        <v>6</v>
      </c>
      <c r="J2180" t="str" cm="1">
        <f t="array" ref="J2180">INDEX($A$2:$A$7,I2180)</f>
        <v>Segment 6- Self-Conscious Male</v>
      </c>
    </row>
    <row r="2181" spans="1:10" x14ac:dyDescent="0.25">
      <c r="A2181" s="1">
        <f>'batch tool'!A2175</f>
        <v>0</v>
      </c>
      <c r="B2181" s="7">
        <f>SUMPRODUCT($C$2:$X$2,'batch tool'!$B2175:$W2175)+$Y$2</f>
        <v>-49.12272534143483</v>
      </c>
      <c r="C2181" s="7">
        <f>SUMPRODUCT($C$3:$X$3,'batch tool'!$B2175:$W2175)+$Y$3</f>
        <v>-36.514029388465531</v>
      </c>
      <c r="D2181" s="7">
        <f>SUMPRODUCT($C$4:$X$4,'batch tool'!$B2175:$W2175)+$Y$4</f>
        <v>-44.639843068043824</v>
      </c>
      <c r="E2181" s="7">
        <f>SUMPRODUCT($C$5:$X$5,'batch tool'!$B2175:$W2175)+$Y$5</f>
        <v>-51.578889182477603</v>
      </c>
      <c r="F2181" s="7">
        <f>SUMPRODUCT($C$6:$X$6,'batch tool'!$B2175:$W2175)+$Y$6</f>
        <v>-47.741473633885199</v>
      </c>
      <c r="G2181" s="7">
        <f>SUMPRODUCT($C$7:$X$7,'batch tool'!$B2175:$W2175)+$Y$7</f>
        <v>-19.739516238059196</v>
      </c>
      <c r="H2181" s="7">
        <f t="shared" si="68"/>
        <v>-19.739516238059196</v>
      </c>
      <c r="I2181">
        <f t="shared" si="69"/>
        <v>6</v>
      </c>
      <c r="J2181" t="str" cm="1">
        <f t="array" ref="J2181">INDEX($A$2:$A$7,I2181)</f>
        <v>Segment 6- Self-Conscious Male</v>
      </c>
    </row>
    <row r="2182" spans="1:10" x14ac:dyDescent="0.25">
      <c r="A2182" s="1">
        <f>'batch tool'!A2176</f>
        <v>0</v>
      </c>
      <c r="B2182" s="7">
        <f>SUMPRODUCT($C$2:$X$2,'batch tool'!$B2176:$W2176)+$Y$2</f>
        <v>-49.12272534143483</v>
      </c>
      <c r="C2182" s="7">
        <f>SUMPRODUCT($C$3:$X$3,'batch tool'!$B2176:$W2176)+$Y$3</f>
        <v>-36.514029388465531</v>
      </c>
      <c r="D2182" s="7">
        <f>SUMPRODUCT($C$4:$X$4,'batch tool'!$B2176:$W2176)+$Y$4</f>
        <v>-44.639843068043824</v>
      </c>
      <c r="E2182" s="7">
        <f>SUMPRODUCT($C$5:$X$5,'batch tool'!$B2176:$W2176)+$Y$5</f>
        <v>-51.578889182477603</v>
      </c>
      <c r="F2182" s="7">
        <f>SUMPRODUCT($C$6:$X$6,'batch tool'!$B2176:$W2176)+$Y$6</f>
        <v>-47.741473633885199</v>
      </c>
      <c r="G2182" s="7">
        <f>SUMPRODUCT($C$7:$X$7,'batch tool'!$B2176:$W2176)+$Y$7</f>
        <v>-19.739516238059196</v>
      </c>
      <c r="H2182" s="7">
        <f t="shared" si="68"/>
        <v>-19.739516238059196</v>
      </c>
      <c r="I2182">
        <f t="shared" si="69"/>
        <v>6</v>
      </c>
      <c r="J2182" t="str" cm="1">
        <f t="array" ref="J2182">INDEX($A$2:$A$7,I2182)</f>
        <v>Segment 6- Self-Conscious Male</v>
      </c>
    </row>
    <row r="2183" spans="1:10" x14ac:dyDescent="0.25">
      <c r="A2183" s="1">
        <f>'batch tool'!A2177</f>
        <v>0</v>
      </c>
      <c r="B2183" s="7">
        <f>SUMPRODUCT($C$2:$X$2,'batch tool'!$B2177:$W2177)+$Y$2</f>
        <v>-49.12272534143483</v>
      </c>
      <c r="C2183" s="7">
        <f>SUMPRODUCT($C$3:$X$3,'batch tool'!$B2177:$W2177)+$Y$3</f>
        <v>-36.514029388465531</v>
      </c>
      <c r="D2183" s="7">
        <f>SUMPRODUCT($C$4:$X$4,'batch tool'!$B2177:$W2177)+$Y$4</f>
        <v>-44.639843068043824</v>
      </c>
      <c r="E2183" s="7">
        <f>SUMPRODUCT($C$5:$X$5,'batch tool'!$B2177:$W2177)+$Y$5</f>
        <v>-51.578889182477603</v>
      </c>
      <c r="F2183" s="7">
        <f>SUMPRODUCT($C$6:$X$6,'batch tool'!$B2177:$W2177)+$Y$6</f>
        <v>-47.741473633885199</v>
      </c>
      <c r="G2183" s="7">
        <f>SUMPRODUCT($C$7:$X$7,'batch tool'!$B2177:$W2177)+$Y$7</f>
        <v>-19.739516238059196</v>
      </c>
      <c r="H2183" s="7">
        <f t="shared" si="68"/>
        <v>-19.739516238059196</v>
      </c>
      <c r="I2183">
        <f t="shared" si="69"/>
        <v>6</v>
      </c>
      <c r="J2183" t="str" cm="1">
        <f t="array" ref="J2183">INDEX($A$2:$A$7,I2183)</f>
        <v>Segment 6- Self-Conscious Male</v>
      </c>
    </row>
    <row r="2184" spans="1:10" x14ac:dyDescent="0.25">
      <c r="A2184" s="1">
        <f>'batch tool'!A2178</f>
        <v>0</v>
      </c>
      <c r="B2184" s="7">
        <f>SUMPRODUCT($C$2:$X$2,'batch tool'!$B2178:$W2178)+$Y$2</f>
        <v>-49.12272534143483</v>
      </c>
      <c r="C2184" s="7">
        <f>SUMPRODUCT($C$3:$X$3,'batch tool'!$B2178:$W2178)+$Y$3</f>
        <v>-36.514029388465531</v>
      </c>
      <c r="D2184" s="7">
        <f>SUMPRODUCT($C$4:$X$4,'batch tool'!$B2178:$W2178)+$Y$4</f>
        <v>-44.639843068043824</v>
      </c>
      <c r="E2184" s="7">
        <f>SUMPRODUCT($C$5:$X$5,'batch tool'!$B2178:$W2178)+$Y$5</f>
        <v>-51.578889182477603</v>
      </c>
      <c r="F2184" s="7">
        <f>SUMPRODUCT($C$6:$X$6,'batch tool'!$B2178:$W2178)+$Y$6</f>
        <v>-47.741473633885199</v>
      </c>
      <c r="G2184" s="7">
        <f>SUMPRODUCT($C$7:$X$7,'batch tool'!$B2178:$W2178)+$Y$7</f>
        <v>-19.739516238059196</v>
      </c>
      <c r="H2184" s="7">
        <f t="shared" si="68"/>
        <v>-19.739516238059196</v>
      </c>
      <c r="I2184">
        <f t="shared" si="69"/>
        <v>6</v>
      </c>
      <c r="J2184" t="str" cm="1">
        <f t="array" ref="J2184">INDEX($A$2:$A$7,I2184)</f>
        <v>Segment 6- Self-Conscious Male</v>
      </c>
    </row>
    <row r="2185" spans="1:10" x14ac:dyDescent="0.25">
      <c r="A2185" s="1">
        <f>'batch tool'!A2179</f>
        <v>0</v>
      </c>
      <c r="B2185" s="7">
        <f>SUMPRODUCT($C$2:$X$2,'batch tool'!$B2179:$W2179)+$Y$2</f>
        <v>-49.12272534143483</v>
      </c>
      <c r="C2185" s="7">
        <f>SUMPRODUCT($C$3:$X$3,'batch tool'!$B2179:$W2179)+$Y$3</f>
        <v>-36.514029388465531</v>
      </c>
      <c r="D2185" s="7">
        <f>SUMPRODUCT($C$4:$X$4,'batch tool'!$B2179:$W2179)+$Y$4</f>
        <v>-44.639843068043824</v>
      </c>
      <c r="E2185" s="7">
        <f>SUMPRODUCT($C$5:$X$5,'batch tool'!$B2179:$W2179)+$Y$5</f>
        <v>-51.578889182477603</v>
      </c>
      <c r="F2185" s="7">
        <f>SUMPRODUCT($C$6:$X$6,'batch tool'!$B2179:$W2179)+$Y$6</f>
        <v>-47.741473633885199</v>
      </c>
      <c r="G2185" s="7">
        <f>SUMPRODUCT($C$7:$X$7,'batch tool'!$B2179:$W2179)+$Y$7</f>
        <v>-19.739516238059196</v>
      </c>
      <c r="H2185" s="7">
        <f t="shared" si="68"/>
        <v>-19.739516238059196</v>
      </c>
      <c r="I2185">
        <f t="shared" si="69"/>
        <v>6</v>
      </c>
      <c r="J2185" t="str" cm="1">
        <f t="array" ref="J2185">INDEX($A$2:$A$7,I2185)</f>
        <v>Segment 6- Self-Conscious Male</v>
      </c>
    </row>
    <row r="2186" spans="1:10" x14ac:dyDescent="0.25">
      <c r="A2186" s="1">
        <f>'batch tool'!A2180</f>
        <v>0</v>
      </c>
      <c r="B2186" s="7">
        <f>SUMPRODUCT($C$2:$X$2,'batch tool'!$B2180:$W2180)+$Y$2</f>
        <v>-49.12272534143483</v>
      </c>
      <c r="C2186" s="7">
        <f>SUMPRODUCT($C$3:$X$3,'batch tool'!$B2180:$W2180)+$Y$3</f>
        <v>-36.514029388465531</v>
      </c>
      <c r="D2186" s="7">
        <f>SUMPRODUCT($C$4:$X$4,'batch tool'!$B2180:$W2180)+$Y$4</f>
        <v>-44.639843068043824</v>
      </c>
      <c r="E2186" s="7">
        <f>SUMPRODUCT($C$5:$X$5,'batch tool'!$B2180:$W2180)+$Y$5</f>
        <v>-51.578889182477603</v>
      </c>
      <c r="F2186" s="7">
        <f>SUMPRODUCT($C$6:$X$6,'batch tool'!$B2180:$W2180)+$Y$6</f>
        <v>-47.741473633885199</v>
      </c>
      <c r="G2186" s="7">
        <f>SUMPRODUCT($C$7:$X$7,'batch tool'!$B2180:$W2180)+$Y$7</f>
        <v>-19.739516238059196</v>
      </c>
      <c r="H2186" s="7">
        <f t="shared" si="68"/>
        <v>-19.739516238059196</v>
      </c>
      <c r="I2186">
        <f t="shared" si="69"/>
        <v>6</v>
      </c>
      <c r="J2186" t="str" cm="1">
        <f t="array" ref="J2186">INDEX($A$2:$A$7,I2186)</f>
        <v>Segment 6- Self-Conscious Male</v>
      </c>
    </row>
    <row r="2187" spans="1:10" x14ac:dyDescent="0.25">
      <c r="A2187" s="1">
        <f>'batch tool'!A2181</f>
        <v>0</v>
      </c>
      <c r="B2187" s="7">
        <f>SUMPRODUCT($C$2:$X$2,'batch tool'!$B2181:$W2181)+$Y$2</f>
        <v>-49.12272534143483</v>
      </c>
      <c r="C2187" s="7">
        <f>SUMPRODUCT($C$3:$X$3,'batch tool'!$B2181:$W2181)+$Y$3</f>
        <v>-36.514029388465531</v>
      </c>
      <c r="D2187" s="7">
        <f>SUMPRODUCT($C$4:$X$4,'batch tool'!$B2181:$W2181)+$Y$4</f>
        <v>-44.639843068043824</v>
      </c>
      <c r="E2187" s="7">
        <f>SUMPRODUCT($C$5:$X$5,'batch tool'!$B2181:$W2181)+$Y$5</f>
        <v>-51.578889182477603</v>
      </c>
      <c r="F2187" s="7">
        <f>SUMPRODUCT($C$6:$X$6,'batch tool'!$B2181:$W2181)+$Y$6</f>
        <v>-47.741473633885199</v>
      </c>
      <c r="G2187" s="7">
        <f>SUMPRODUCT($C$7:$X$7,'batch tool'!$B2181:$W2181)+$Y$7</f>
        <v>-19.739516238059196</v>
      </c>
      <c r="H2187" s="7">
        <f t="shared" si="68"/>
        <v>-19.739516238059196</v>
      </c>
      <c r="I2187">
        <f t="shared" si="69"/>
        <v>6</v>
      </c>
      <c r="J2187" t="str" cm="1">
        <f t="array" ref="J2187">INDEX($A$2:$A$7,I2187)</f>
        <v>Segment 6- Self-Conscious Male</v>
      </c>
    </row>
    <row r="2188" spans="1:10" x14ac:dyDescent="0.25">
      <c r="A2188" s="1">
        <f>'batch tool'!A2182</f>
        <v>0</v>
      </c>
      <c r="B2188" s="7">
        <f>SUMPRODUCT($C$2:$X$2,'batch tool'!$B2182:$W2182)+$Y$2</f>
        <v>-49.12272534143483</v>
      </c>
      <c r="C2188" s="7">
        <f>SUMPRODUCT($C$3:$X$3,'batch tool'!$B2182:$W2182)+$Y$3</f>
        <v>-36.514029388465531</v>
      </c>
      <c r="D2188" s="7">
        <f>SUMPRODUCT($C$4:$X$4,'batch tool'!$B2182:$W2182)+$Y$4</f>
        <v>-44.639843068043824</v>
      </c>
      <c r="E2188" s="7">
        <f>SUMPRODUCT($C$5:$X$5,'batch tool'!$B2182:$W2182)+$Y$5</f>
        <v>-51.578889182477603</v>
      </c>
      <c r="F2188" s="7">
        <f>SUMPRODUCT($C$6:$X$6,'batch tool'!$B2182:$W2182)+$Y$6</f>
        <v>-47.741473633885199</v>
      </c>
      <c r="G2188" s="7">
        <f>SUMPRODUCT($C$7:$X$7,'batch tool'!$B2182:$W2182)+$Y$7</f>
        <v>-19.739516238059196</v>
      </c>
      <c r="H2188" s="7">
        <f t="shared" si="68"/>
        <v>-19.739516238059196</v>
      </c>
      <c r="I2188">
        <f t="shared" si="69"/>
        <v>6</v>
      </c>
      <c r="J2188" t="str" cm="1">
        <f t="array" ref="J2188">INDEX($A$2:$A$7,I2188)</f>
        <v>Segment 6- Self-Conscious Male</v>
      </c>
    </row>
    <row r="2189" spans="1:10" x14ac:dyDescent="0.25">
      <c r="A2189" s="1">
        <f>'batch tool'!A2183</f>
        <v>0</v>
      </c>
      <c r="B2189" s="7">
        <f>SUMPRODUCT($C$2:$X$2,'batch tool'!$B2183:$W2183)+$Y$2</f>
        <v>-49.12272534143483</v>
      </c>
      <c r="C2189" s="7">
        <f>SUMPRODUCT($C$3:$X$3,'batch tool'!$B2183:$W2183)+$Y$3</f>
        <v>-36.514029388465531</v>
      </c>
      <c r="D2189" s="7">
        <f>SUMPRODUCT($C$4:$X$4,'batch tool'!$B2183:$W2183)+$Y$4</f>
        <v>-44.639843068043824</v>
      </c>
      <c r="E2189" s="7">
        <f>SUMPRODUCT($C$5:$X$5,'batch tool'!$B2183:$W2183)+$Y$5</f>
        <v>-51.578889182477603</v>
      </c>
      <c r="F2189" s="7">
        <f>SUMPRODUCT($C$6:$X$6,'batch tool'!$B2183:$W2183)+$Y$6</f>
        <v>-47.741473633885199</v>
      </c>
      <c r="G2189" s="7">
        <f>SUMPRODUCT($C$7:$X$7,'batch tool'!$B2183:$W2183)+$Y$7</f>
        <v>-19.739516238059196</v>
      </c>
      <c r="H2189" s="7">
        <f t="shared" si="68"/>
        <v>-19.739516238059196</v>
      </c>
      <c r="I2189">
        <f t="shared" si="69"/>
        <v>6</v>
      </c>
      <c r="J2189" t="str" cm="1">
        <f t="array" ref="J2189">INDEX($A$2:$A$7,I2189)</f>
        <v>Segment 6- Self-Conscious Male</v>
      </c>
    </row>
    <row r="2190" spans="1:10" x14ac:dyDescent="0.25">
      <c r="A2190" s="1">
        <f>'batch tool'!A2184</f>
        <v>0</v>
      </c>
      <c r="B2190" s="7">
        <f>SUMPRODUCT($C$2:$X$2,'batch tool'!$B2184:$W2184)+$Y$2</f>
        <v>-49.12272534143483</v>
      </c>
      <c r="C2190" s="7">
        <f>SUMPRODUCT($C$3:$X$3,'batch tool'!$B2184:$W2184)+$Y$3</f>
        <v>-36.514029388465531</v>
      </c>
      <c r="D2190" s="7">
        <f>SUMPRODUCT($C$4:$X$4,'batch tool'!$B2184:$W2184)+$Y$4</f>
        <v>-44.639843068043824</v>
      </c>
      <c r="E2190" s="7">
        <f>SUMPRODUCT($C$5:$X$5,'batch tool'!$B2184:$W2184)+$Y$5</f>
        <v>-51.578889182477603</v>
      </c>
      <c r="F2190" s="7">
        <f>SUMPRODUCT($C$6:$X$6,'batch tool'!$B2184:$W2184)+$Y$6</f>
        <v>-47.741473633885199</v>
      </c>
      <c r="G2190" s="7">
        <f>SUMPRODUCT($C$7:$X$7,'batch tool'!$B2184:$W2184)+$Y$7</f>
        <v>-19.739516238059196</v>
      </c>
      <c r="H2190" s="7">
        <f t="shared" si="68"/>
        <v>-19.739516238059196</v>
      </c>
      <c r="I2190">
        <f t="shared" si="69"/>
        <v>6</v>
      </c>
      <c r="J2190" t="str" cm="1">
        <f t="array" ref="J2190">INDEX($A$2:$A$7,I2190)</f>
        <v>Segment 6- Self-Conscious Male</v>
      </c>
    </row>
    <row r="2191" spans="1:10" x14ac:dyDescent="0.25">
      <c r="A2191" s="1">
        <f>'batch tool'!A2185</f>
        <v>0</v>
      </c>
      <c r="B2191" s="7">
        <f>SUMPRODUCT($C$2:$X$2,'batch tool'!$B2185:$W2185)+$Y$2</f>
        <v>-49.12272534143483</v>
      </c>
      <c r="C2191" s="7">
        <f>SUMPRODUCT($C$3:$X$3,'batch tool'!$B2185:$W2185)+$Y$3</f>
        <v>-36.514029388465531</v>
      </c>
      <c r="D2191" s="7">
        <f>SUMPRODUCT($C$4:$X$4,'batch tool'!$B2185:$W2185)+$Y$4</f>
        <v>-44.639843068043824</v>
      </c>
      <c r="E2191" s="7">
        <f>SUMPRODUCT($C$5:$X$5,'batch tool'!$B2185:$W2185)+$Y$5</f>
        <v>-51.578889182477603</v>
      </c>
      <c r="F2191" s="7">
        <f>SUMPRODUCT($C$6:$X$6,'batch tool'!$B2185:$W2185)+$Y$6</f>
        <v>-47.741473633885199</v>
      </c>
      <c r="G2191" s="7">
        <f>SUMPRODUCT($C$7:$X$7,'batch tool'!$B2185:$W2185)+$Y$7</f>
        <v>-19.739516238059196</v>
      </c>
      <c r="H2191" s="7">
        <f t="shared" si="68"/>
        <v>-19.739516238059196</v>
      </c>
      <c r="I2191">
        <f t="shared" si="69"/>
        <v>6</v>
      </c>
      <c r="J2191" t="str" cm="1">
        <f t="array" ref="J2191">INDEX($A$2:$A$7,I2191)</f>
        <v>Segment 6- Self-Conscious Male</v>
      </c>
    </row>
    <row r="2192" spans="1:10" x14ac:dyDescent="0.25">
      <c r="A2192" s="1">
        <f>'batch tool'!A2186</f>
        <v>0</v>
      </c>
      <c r="B2192" s="7">
        <f>SUMPRODUCT($C$2:$X$2,'batch tool'!$B2186:$W2186)+$Y$2</f>
        <v>-49.12272534143483</v>
      </c>
      <c r="C2192" s="7">
        <f>SUMPRODUCT($C$3:$X$3,'batch tool'!$B2186:$W2186)+$Y$3</f>
        <v>-36.514029388465531</v>
      </c>
      <c r="D2192" s="7">
        <f>SUMPRODUCT($C$4:$X$4,'batch tool'!$B2186:$W2186)+$Y$4</f>
        <v>-44.639843068043824</v>
      </c>
      <c r="E2192" s="7">
        <f>SUMPRODUCT($C$5:$X$5,'batch tool'!$B2186:$W2186)+$Y$5</f>
        <v>-51.578889182477603</v>
      </c>
      <c r="F2192" s="7">
        <f>SUMPRODUCT($C$6:$X$6,'batch tool'!$B2186:$W2186)+$Y$6</f>
        <v>-47.741473633885199</v>
      </c>
      <c r="G2192" s="7">
        <f>SUMPRODUCT($C$7:$X$7,'batch tool'!$B2186:$W2186)+$Y$7</f>
        <v>-19.739516238059196</v>
      </c>
      <c r="H2192" s="7">
        <f t="shared" si="68"/>
        <v>-19.739516238059196</v>
      </c>
      <c r="I2192">
        <f t="shared" si="69"/>
        <v>6</v>
      </c>
      <c r="J2192" t="str" cm="1">
        <f t="array" ref="J2192">INDEX($A$2:$A$7,I2192)</f>
        <v>Segment 6- Self-Conscious Male</v>
      </c>
    </row>
    <row r="2193" spans="1:10" x14ac:dyDescent="0.25">
      <c r="A2193" s="1">
        <f>'batch tool'!A2187</f>
        <v>0</v>
      </c>
      <c r="B2193" s="7">
        <f>SUMPRODUCT($C$2:$X$2,'batch tool'!$B2187:$W2187)+$Y$2</f>
        <v>-49.12272534143483</v>
      </c>
      <c r="C2193" s="7">
        <f>SUMPRODUCT($C$3:$X$3,'batch tool'!$B2187:$W2187)+$Y$3</f>
        <v>-36.514029388465531</v>
      </c>
      <c r="D2193" s="7">
        <f>SUMPRODUCT($C$4:$X$4,'batch tool'!$B2187:$W2187)+$Y$4</f>
        <v>-44.639843068043824</v>
      </c>
      <c r="E2193" s="7">
        <f>SUMPRODUCT($C$5:$X$5,'batch tool'!$B2187:$W2187)+$Y$5</f>
        <v>-51.578889182477603</v>
      </c>
      <c r="F2193" s="7">
        <f>SUMPRODUCT($C$6:$X$6,'batch tool'!$B2187:$W2187)+$Y$6</f>
        <v>-47.741473633885199</v>
      </c>
      <c r="G2193" s="7">
        <f>SUMPRODUCT($C$7:$X$7,'batch tool'!$B2187:$W2187)+$Y$7</f>
        <v>-19.739516238059196</v>
      </c>
      <c r="H2193" s="7">
        <f t="shared" si="68"/>
        <v>-19.739516238059196</v>
      </c>
      <c r="I2193">
        <f t="shared" si="69"/>
        <v>6</v>
      </c>
      <c r="J2193" t="str" cm="1">
        <f t="array" ref="J2193">INDEX($A$2:$A$7,I2193)</f>
        <v>Segment 6- Self-Conscious Male</v>
      </c>
    </row>
    <row r="2194" spans="1:10" x14ac:dyDescent="0.25">
      <c r="A2194" s="1">
        <f>'batch tool'!A2188</f>
        <v>0</v>
      </c>
      <c r="B2194" s="7">
        <f>SUMPRODUCT($C$2:$X$2,'batch tool'!$B2188:$W2188)+$Y$2</f>
        <v>-49.12272534143483</v>
      </c>
      <c r="C2194" s="7">
        <f>SUMPRODUCT($C$3:$X$3,'batch tool'!$B2188:$W2188)+$Y$3</f>
        <v>-36.514029388465531</v>
      </c>
      <c r="D2194" s="7">
        <f>SUMPRODUCT($C$4:$X$4,'batch tool'!$B2188:$W2188)+$Y$4</f>
        <v>-44.639843068043824</v>
      </c>
      <c r="E2194" s="7">
        <f>SUMPRODUCT($C$5:$X$5,'batch tool'!$B2188:$W2188)+$Y$5</f>
        <v>-51.578889182477603</v>
      </c>
      <c r="F2194" s="7">
        <f>SUMPRODUCT($C$6:$X$6,'batch tool'!$B2188:$W2188)+$Y$6</f>
        <v>-47.741473633885199</v>
      </c>
      <c r="G2194" s="7">
        <f>SUMPRODUCT($C$7:$X$7,'batch tool'!$B2188:$W2188)+$Y$7</f>
        <v>-19.739516238059196</v>
      </c>
      <c r="H2194" s="7">
        <f t="shared" si="68"/>
        <v>-19.739516238059196</v>
      </c>
      <c r="I2194">
        <f t="shared" si="69"/>
        <v>6</v>
      </c>
      <c r="J2194" t="str" cm="1">
        <f t="array" ref="J2194">INDEX($A$2:$A$7,I2194)</f>
        <v>Segment 6- Self-Conscious Male</v>
      </c>
    </row>
    <row r="2195" spans="1:10" x14ac:dyDescent="0.25">
      <c r="A2195" s="1">
        <f>'batch tool'!A2189</f>
        <v>0</v>
      </c>
      <c r="B2195" s="7">
        <f>SUMPRODUCT($C$2:$X$2,'batch tool'!$B2189:$W2189)+$Y$2</f>
        <v>-49.12272534143483</v>
      </c>
      <c r="C2195" s="7">
        <f>SUMPRODUCT($C$3:$X$3,'batch tool'!$B2189:$W2189)+$Y$3</f>
        <v>-36.514029388465531</v>
      </c>
      <c r="D2195" s="7">
        <f>SUMPRODUCT($C$4:$X$4,'batch tool'!$B2189:$W2189)+$Y$4</f>
        <v>-44.639843068043824</v>
      </c>
      <c r="E2195" s="7">
        <f>SUMPRODUCT($C$5:$X$5,'batch tool'!$B2189:$W2189)+$Y$5</f>
        <v>-51.578889182477603</v>
      </c>
      <c r="F2195" s="7">
        <f>SUMPRODUCT($C$6:$X$6,'batch tool'!$B2189:$W2189)+$Y$6</f>
        <v>-47.741473633885199</v>
      </c>
      <c r="G2195" s="7">
        <f>SUMPRODUCT($C$7:$X$7,'batch tool'!$B2189:$W2189)+$Y$7</f>
        <v>-19.739516238059196</v>
      </c>
      <c r="H2195" s="7">
        <f t="shared" si="68"/>
        <v>-19.739516238059196</v>
      </c>
      <c r="I2195">
        <f t="shared" si="69"/>
        <v>6</v>
      </c>
      <c r="J2195" t="str" cm="1">
        <f t="array" ref="J2195">INDEX($A$2:$A$7,I2195)</f>
        <v>Segment 6- Self-Conscious Male</v>
      </c>
    </row>
    <row r="2196" spans="1:10" x14ac:dyDescent="0.25">
      <c r="A2196" s="1">
        <f>'batch tool'!A2190</f>
        <v>0</v>
      </c>
      <c r="B2196" s="7">
        <f>SUMPRODUCT($C$2:$X$2,'batch tool'!$B2190:$W2190)+$Y$2</f>
        <v>-49.12272534143483</v>
      </c>
      <c r="C2196" s="7">
        <f>SUMPRODUCT($C$3:$X$3,'batch tool'!$B2190:$W2190)+$Y$3</f>
        <v>-36.514029388465531</v>
      </c>
      <c r="D2196" s="7">
        <f>SUMPRODUCT($C$4:$X$4,'batch tool'!$B2190:$W2190)+$Y$4</f>
        <v>-44.639843068043824</v>
      </c>
      <c r="E2196" s="7">
        <f>SUMPRODUCT($C$5:$X$5,'batch tool'!$B2190:$W2190)+$Y$5</f>
        <v>-51.578889182477603</v>
      </c>
      <c r="F2196" s="7">
        <f>SUMPRODUCT($C$6:$X$6,'batch tool'!$B2190:$W2190)+$Y$6</f>
        <v>-47.741473633885199</v>
      </c>
      <c r="G2196" s="7">
        <f>SUMPRODUCT($C$7:$X$7,'batch tool'!$B2190:$W2190)+$Y$7</f>
        <v>-19.739516238059196</v>
      </c>
      <c r="H2196" s="7">
        <f t="shared" si="68"/>
        <v>-19.739516238059196</v>
      </c>
      <c r="I2196">
        <f t="shared" si="69"/>
        <v>6</v>
      </c>
      <c r="J2196" t="str" cm="1">
        <f t="array" ref="J2196">INDEX($A$2:$A$7,I2196)</f>
        <v>Segment 6- Self-Conscious Male</v>
      </c>
    </row>
    <row r="2197" spans="1:10" x14ac:dyDescent="0.25">
      <c r="A2197" s="1">
        <f>'batch tool'!A2191</f>
        <v>0</v>
      </c>
      <c r="B2197" s="7">
        <f>SUMPRODUCT($C$2:$X$2,'batch tool'!$B2191:$W2191)+$Y$2</f>
        <v>-49.12272534143483</v>
      </c>
      <c r="C2197" s="7">
        <f>SUMPRODUCT($C$3:$X$3,'batch tool'!$B2191:$W2191)+$Y$3</f>
        <v>-36.514029388465531</v>
      </c>
      <c r="D2197" s="7">
        <f>SUMPRODUCT($C$4:$X$4,'batch tool'!$B2191:$W2191)+$Y$4</f>
        <v>-44.639843068043824</v>
      </c>
      <c r="E2197" s="7">
        <f>SUMPRODUCT($C$5:$X$5,'batch tool'!$B2191:$W2191)+$Y$5</f>
        <v>-51.578889182477603</v>
      </c>
      <c r="F2197" s="7">
        <f>SUMPRODUCT($C$6:$X$6,'batch tool'!$B2191:$W2191)+$Y$6</f>
        <v>-47.741473633885199</v>
      </c>
      <c r="G2197" s="7">
        <f>SUMPRODUCT($C$7:$X$7,'batch tool'!$B2191:$W2191)+$Y$7</f>
        <v>-19.739516238059196</v>
      </c>
      <c r="H2197" s="7">
        <f t="shared" si="68"/>
        <v>-19.739516238059196</v>
      </c>
      <c r="I2197">
        <f t="shared" si="69"/>
        <v>6</v>
      </c>
      <c r="J2197" t="str" cm="1">
        <f t="array" ref="J2197">INDEX($A$2:$A$7,I2197)</f>
        <v>Segment 6- Self-Conscious Male</v>
      </c>
    </row>
    <row r="2198" spans="1:10" x14ac:dyDescent="0.25">
      <c r="A2198" s="1">
        <f>'batch tool'!A2192</f>
        <v>0</v>
      </c>
      <c r="B2198" s="7">
        <f>SUMPRODUCT($C$2:$X$2,'batch tool'!$B2192:$W2192)+$Y$2</f>
        <v>-49.12272534143483</v>
      </c>
      <c r="C2198" s="7">
        <f>SUMPRODUCT($C$3:$X$3,'batch tool'!$B2192:$W2192)+$Y$3</f>
        <v>-36.514029388465531</v>
      </c>
      <c r="D2198" s="7">
        <f>SUMPRODUCT($C$4:$X$4,'batch tool'!$B2192:$W2192)+$Y$4</f>
        <v>-44.639843068043824</v>
      </c>
      <c r="E2198" s="7">
        <f>SUMPRODUCT($C$5:$X$5,'batch tool'!$B2192:$W2192)+$Y$5</f>
        <v>-51.578889182477603</v>
      </c>
      <c r="F2198" s="7">
        <f>SUMPRODUCT($C$6:$X$6,'batch tool'!$B2192:$W2192)+$Y$6</f>
        <v>-47.741473633885199</v>
      </c>
      <c r="G2198" s="7">
        <f>SUMPRODUCT($C$7:$X$7,'batch tool'!$B2192:$W2192)+$Y$7</f>
        <v>-19.739516238059196</v>
      </c>
      <c r="H2198" s="7">
        <f t="shared" si="68"/>
        <v>-19.739516238059196</v>
      </c>
      <c r="I2198">
        <f t="shared" si="69"/>
        <v>6</v>
      </c>
      <c r="J2198" t="str" cm="1">
        <f t="array" ref="J2198">INDEX($A$2:$A$7,I2198)</f>
        <v>Segment 6- Self-Conscious Male</v>
      </c>
    </row>
    <row r="2199" spans="1:10" x14ac:dyDescent="0.25">
      <c r="A2199" s="1">
        <f>'batch tool'!A2193</f>
        <v>0</v>
      </c>
      <c r="B2199" s="7">
        <f>SUMPRODUCT($C$2:$X$2,'batch tool'!$B2193:$W2193)+$Y$2</f>
        <v>-49.12272534143483</v>
      </c>
      <c r="C2199" s="7">
        <f>SUMPRODUCT($C$3:$X$3,'batch tool'!$B2193:$W2193)+$Y$3</f>
        <v>-36.514029388465531</v>
      </c>
      <c r="D2199" s="7">
        <f>SUMPRODUCT($C$4:$X$4,'batch tool'!$B2193:$W2193)+$Y$4</f>
        <v>-44.639843068043824</v>
      </c>
      <c r="E2199" s="7">
        <f>SUMPRODUCT($C$5:$X$5,'batch tool'!$B2193:$W2193)+$Y$5</f>
        <v>-51.578889182477603</v>
      </c>
      <c r="F2199" s="7">
        <f>SUMPRODUCT($C$6:$X$6,'batch tool'!$B2193:$W2193)+$Y$6</f>
        <v>-47.741473633885199</v>
      </c>
      <c r="G2199" s="7">
        <f>SUMPRODUCT($C$7:$X$7,'batch tool'!$B2193:$W2193)+$Y$7</f>
        <v>-19.739516238059196</v>
      </c>
      <c r="H2199" s="7">
        <f t="shared" si="68"/>
        <v>-19.739516238059196</v>
      </c>
      <c r="I2199">
        <f t="shared" si="69"/>
        <v>6</v>
      </c>
      <c r="J2199" t="str" cm="1">
        <f t="array" ref="J2199">INDEX($A$2:$A$7,I2199)</f>
        <v>Segment 6- Self-Conscious Male</v>
      </c>
    </row>
    <row r="2200" spans="1:10" x14ac:dyDescent="0.25">
      <c r="A2200" s="1">
        <f>'batch tool'!A2194</f>
        <v>0</v>
      </c>
      <c r="B2200" s="7">
        <f>SUMPRODUCT($C$2:$X$2,'batch tool'!$B2194:$W2194)+$Y$2</f>
        <v>-49.12272534143483</v>
      </c>
      <c r="C2200" s="7">
        <f>SUMPRODUCT($C$3:$X$3,'batch tool'!$B2194:$W2194)+$Y$3</f>
        <v>-36.514029388465531</v>
      </c>
      <c r="D2200" s="7">
        <f>SUMPRODUCT($C$4:$X$4,'batch tool'!$B2194:$W2194)+$Y$4</f>
        <v>-44.639843068043824</v>
      </c>
      <c r="E2200" s="7">
        <f>SUMPRODUCT($C$5:$X$5,'batch tool'!$B2194:$W2194)+$Y$5</f>
        <v>-51.578889182477603</v>
      </c>
      <c r="F2200" s="7">
        <f>SUMPRODUCT($C$6:$X$6,'batch tool'!$B2194:$W2194)+$Y$6</f>
        <v>-47.741473633885199</v>
      </c>
      <c r="G2200" s="7">
        <f>SUMPRODUCT($C$7:$X$7,'batch tool'!$B2194:$W2194)+$Y$7</f>
        <v>-19.739516238059196</v>
      </c>
      <c r="H2200" s="7">
        <f t="shared" si="68"/>
        <v>-19.739516238059196</v>
      </c>
      <c r="I2200">
        <f t="shared" si="69"/>
        <v>6</v>
      </c>
      <c r="J2200" t="str" cm="1">
        <f t="array" ref="J2200">INDEX($A$2:$A$7,I2200)</f>
        <v>Segment 6- Self-Conscious Male</v>
      </c>
    </row>
    <row r="2201" spans="1:10" x14ac:dyDescent="0.25">
      <c r="A2201" s="1">
        <f>'batch tool'!A2195</f>
        <v>0</v>
      </c>
      <c r="B2201" s="7">
        <f>SUMPRODUCT($C$2:$X$2,'batch tool'!$B2195:$W2195)+$Y$2</f>
        <v>-49.12272534143483</v>
      </c>
      <c r="C2201" s="7">
        <f>SUMPRODUCT($C$3:$X$3,'batch tool'!$B2195:$W2195)+$Y$3</f>
        <v>-36.514029388465531</v>
      </c>
      <c r="D2201" s="7">
        <f>SUMPRODUCT($C$4:$X$4,'batch tool'!$B2195:$W2195)+$Y$4</f>
        <v>-44.639843068043824</v>
      </c>
      <c r="E2201" s="7">
        <f>SUMPRODUCT($C$5:$X$5,'batch tool'!$B2195:$W2195)+$Y$5</f>
        <v>-51.578889182477603</v>
      </c>
      <c r="F2201" s="7">
        <f>SUMPRODUCT($C$6:$X$6,'batch tool'!$B2195:$W2195)+$Y$6</f>
        <v>-47.741473633885199</v>
      </c>
      <c r="G2201" s="7">
        <f>SUMPRODUCT($C$7:$X$7,'batch tool'!$B2195:$W2195)+$Y$7</f>
        <v>-19.739516238059196</v>
      </c>
      <c r="H2201" s="7">
        <f t="shared" si="68"/>
        <v>-19.739516238059196</v>
      </c>
      <c r="I2201">
        <f t="shared" si="69"/>
        <v>6</v>
      </c>
      <c r="J2201" t="str" cm="1">
        <f t="array" ref="J2201">INDEX($A$2:$A$7,I2201)</f>
        <v>Segment 6- Self-Conscious Male</v>
      </c>
    </row>
    <row r="2202" spans="1:10" x14ac:dyDescent="0.25">
      <c r="A2202" s="1">
        <f>'batch tool'!A2196</f>
        <v>0</v>
      </c>
      <c r="B2202" s="7">
        <f>SUMPRODUCT($C$2:$X$2,'batch tool'!$B2196:$W2196)+$Y$2</f>
        <v>-49.12272534143483</v>
      </c>
      <c r="C2202" s="7">
        <f>SUMPRODUCT($C$3:$X$3,'batch tool'!$B2196:$W2196)+$Y$3</f>
        <v>-36.514029388465531</v>
      </c>
      <c r="D2202" s="7">
        <f>SUMPRODUCT($C$4:$X$4,'batch tool'!$B2196:$W2196)+$Y$4</f>
        <v>-44.639843068043824</v>
      </c>
      <c r="E2202" s="7">
        <f>SUMPRODUCT($C$5:$X$5,'batch tool'!$B2196:$W2196)+$Y$5</f>
        <v>-51.578889182477603</v>
      </c>
      <c r="F2202" s="7">
        <f>SUMPRODUCT($C$6:$X$6,'batch tool'!$B2196:$W2196)+$Y$6</f>
        <v>-47.741473633885199</v>
      </c>
      <c r="G2202" s="7">
        <f>SUMPRODUCT($C$7:$X$7,'batch tool'!$B2196:$W2196)+$Y$7</f>
        <v>-19.739516238059196</v>
      </c>
      <c r="H2202" s="7">
        <f t="shared" si="68"/>
        <v>-19.739516238059196</v>
      </c>
      <c r="I2202">
        <f t="shared" si="69"/>
        <v>6</v>
      </c>
      <c r="J2202" t="str" cm="1">
        <f t="array" ref="J2202">INDEX($A$2:$A$7,I2202)</f>
        <v>Segment 6- Self-Conscious Male</v>
      </c>
    </row>
    <row r="2203" spans="1:10" x14ac:dyDescent="0.25">
      <c r="A2203" s="1">
        <f>'batch tool'!A2197</f>
        <v>0</v>
      </c>
      <c r="B2203" s="7">
        <f>SUMPRODUCT($C$2:$X$2,'batch tool'!$B2197:$W2197)+$Y$2</f>
        <v>-49.12272534143483</v>
      </c>
      <c r="C2203" s="7">
        <f>SUMPRODUCT($C$3:$X$3,'batch tool'!$B2197:$W2197)+$Y$3</f>
        <v>-36.514029388465531</v>
      </c>
      <c r="D2203" s="7">
        <f>SUMPRODUCT($C$4:$X$4,'batch tool'!$B2197:$W2197)+$Y$4</f>
        <v>-44.639843068043824</v>
      </c>
      <c r="E2203" s="7">
        <f>SUMPRODUCT($C$5:$X$5,'batch tool'!$B2197:$W2197)+$Y$5</f>
        <v>-51.578889182477603</v>
      </c>
      <c r="F2203" s="7">
        <f>SUMPRODUCT($C$6:$X$6,'batch tool'!$B2197:$W2197)+$Y$6</f>
        <v>-47.741473633885199</v>
      </c>
      <c r="G2203" s="7">
        <f>SUMPRODUCT($C$7:$X$7,'batch tool'!$B2197:$W2197)+$Y$7</f>
        <v>-19.739516238059196</v>
      </c>
      <c r="H2203" s="7">
        <f t="shared" ref="H2203:H2266" si="70">MAX(B2203:G2203)</f>
        <v>-19.739516238059196</v>
      </c>
      <c r="I2203">
        <f t="shared" ref="I2203:I2266" si="71">MATCH(H2203,B2203:G2203,0)</f>
        <v>6</v>
      </c>
      <c r="J2203" t="str" cm="1">
        <f t="array" ref="J2203">INDEX($A$2:$A$7,I2203)</f>
        <v>Segment 6- Self-Conscious Male</v>
      </c>
    </row>
    <row r="2204" spans="1:10" x14ac:dyDescent="0.25">
      <c r="A2204" s="1">
        <f>'batch tool'!A2198</f>
        <v>0</v>
      </c>
      <c r="B2204" s="7">
        <f>SUMPRODUCT($C$2:$X$2,'batch tool'!$B2198:$W2198)+$Y$2</f>
        <v>-49.12272534143483</v>
      </c>
      <c r="C2204" s="7">
        <f>SUMPRODUCT($C$3:$X$3,'batch tool'!$B2198:$W2198)+$Y$3</f>
        <v>-36.514029388465531</v>
      </c>
      <c r="D2204" s="7">
        <f>SUMPRODUCT($C$4:$X$4,'batch tool'!$B2198:$W2198)+$Y$4</f>
        <v>-44.639843068043824</v>
      </c>
      <c r="E2204" s="7">
        <f>SUMPRODUCT($C$5:$X$5,'batch tool'!$B2198:$W2198)+$Y$5</f>
        <v>-51.578889182477603</v>
      </c>
      <c r="F2204" s="7">
        <f>SUMPRODUCT($C$6:$X$6,'batch tool'!$B2198:$W2198)+$Y$6</f>
        <v>-47.741473633885199</v>
      </c>
      <c r="G2204" s="7">
        <f>SUMPRODUCT($C$7:$X$7,'batch tool'!$B2198:$W2198)+$Y$7</f>
        <v>-19.739516238059196</v>
      </c>
      <c r="H2204" s="7">
        <f t="shared" si="70"/>
        <v>-19.739516238059196</v>
      </c>
      <c r="I2204">
        <f t="shared" si="71"/>
        <v>6</v>
      </c>
      <c r="J2204" t="str" cm="1">
        <f t="array" ref="J2204">INDEX($A$2:$A$7,I2204)</f>
        <v>Segment 6- Self-Conscious Male</v>
      </c>
    </row>
    <row r="2205" spans="1:10" x14ac:dyDescent="0.25">
      <c r="A2205" s="1">
        <f>'batch tool'!A2199</f>
        <v>0</v>
      </c>
      <c r="B2205" s="7">
        <f>SUMPRODUCT($C$2:$X$2,'batch tool'!$B2199:$W2199)+$Y$2</f>
        <v>-49.12272534143483</v>
      </c>
      <c r="C2205" s="7">
        <f>SUMPRODUCT($C$3:$X$3,'batch tool'!$B2199:$W2199)+$Y$3</f>
        <v>-36.514029388465531</v>
      </c>
      <c r="D2205" s="7">
        <f>SUMPRODUCT($C$4:$X$4,'batch tool'!$B2199:$W2199)+$Y$4</f>
        <v>-44.639843068043824</v>
      </c>
      <c r="E2205" s="7">
        <f>SUMPRODUCT($C$5:$X$5,'batch tool'!$B2199:$W2199)+$Y$5</f>
        <v>-51.578889182477603</v>
      </c>
      <c r="F2205" s="7">
        <f>SUMPRODUCT($C$6:$X$6,'batch tool'!$B2199:$W2199)+$Y$6</f>
        <v>-47.741473633885199</v>
      </c>
      <c r="G2205" s="7">
        <f>SUMPRODUCT($C$7:$X$7,'batch tool'!$B2199:$W2199)+$Y$7</f>
        <v>-19.739516238059196</v>
      </c>
      <c r="H2205" s="7">
        <f t="shared" si="70"/>
        <v>-19.739516238059196</v>
      </c>
      <c r="I2205">
        <f t="shared" si="71"/>
        <v>6</v>
      </c>
      <c r="J2205" t="str" cm="1">
        <f t="array" ref="J2205">INDEX($A$2:$A$7,I2205)</f>
        <v>Segment 6- Self-Conscious Male</v>
      </c>
    </row>
    <row r="2206" spans="1:10" x14ac:dyDescent="0.25">
      <c r="A2206" s="1">
        <f>'batch tool'!A2200</f>
        <v>0</v>
      </c>
      <c r="B2206" s="7">
        <f>SUMPRODUCT($C$2:$X$2,'batch tool'!$B2200:$W2200)+$Y$2</f>
        <v>-49.12272534143483</v>
      </c>
      <c r="C2206" s="7">
        <f>SUMPRODUCT($C$3:$X$3,'batch tool'!$B2200:$W2200)+$Y$3</f>
        <v>-36.514029388465531</v>
      </c>
      <c r="D2206" s="7">
        <f>SUMPRODUCT($C$4:$X$4,'batch tool'!$B2200:$W2200)+$Y$4</f>
        <v>-44.639843068043824</v>
      </c>
      <c r="E2206" s="7">
        <f>SUMPRODUCT($C$5:$X$5,'batch tool'!$B2200:$W2200)+$Y$5</f>
        <v>-51.578889182477603</v>
      </c>
      <c r="F2206" s="7">
        <f>SUMPRODUCT($C$6:$X$6,'batch tool'!$B2200:$W2200)+$Y$6</f>
        <v>-47.741473633885199</v>
      </c>
      <c r="G2206" s="7">
        <f>SUMPRODUCT($C$7:$X$7,'batch tool'!$B2200:$W2200)+$Y$7</f>
        <v>-19.739516238059196</v>
      </c>
      <c r="H2206" s="7">
        <f t="shared" si="70"/>
        <v>-19.739516238059196</v>
      </c>
      <c r="I2206">
        <f t="shared" si="71"/>
        <v>6</v>
      </c>
      <c r="J2206" t="str" cm="1">
        <f t="array" ref="J2206">INDEX($A$2:$A$7,I2206)</f>
        <v>Segment 6- Self-Conscious Male</v>
      </c>
    </row>
    <row r="2207" spans="1:10" x14ac:dyDescent="0.25">
      <c r="A2207" s="1">
        <f>'batch tool'!A2201</f>
        <v>0</v>
      </c>
      <c r="B2207" s="7">
        <f>SUMPRODUCT($C$2:$X$2,'batch tool'!$B2201:$W2201)+$Y$2</f>
        <v>-49.12272534143483</v>
      </c>
      <c r="C2207" s="7">
        <f>SUMPRODUCT($C$3:$X$3,'batch tool'!$B2201:$W2201)+$Y$3</f>
        <v>-36.514029388465531</v>
      </c>
      <c r="D2207" s="7">
        <f>SUMPRODUCT($C$4:$X$4,'batch tool'!$B2201:$W2201)+$Y$4</f>
        <v>-44.639843068043824</v>
      </c>
      <c r="E2207" s="7">
        <f>SUMPRODUCT($C$5:$X$5,'batch tool'!$B2201:$W2201)+$Y$5</f>
        <v>-51.578889182477603</v>
      </c>
      <c r="F2207" s="7">
        <f>SUMPRODUCT($C$6:$X$6,'batch tool'!$B2201:$W2201)+$Y$6</f>
        <v>-47.741473633885199</v>
      </c>
      <c r="G2207" s="7">
        <f>SUMPRODUCT($C$7:$X$7,'batch tool'!$B2201:$W2201)+$Y$7</f>
        <v>-19.739516238059196</v>
      </c>
      <c r="H2207" s="7">
        <f t="shared" si="70"/>
        <v>-19.739516238059196</v>
      </c>
      <c r="I2207">
        <f t="shared" si="71"/>
        <v>6</v>
      </c>
      <c r="J2207" t="str" cm="1">
        <f t="array" ref="J2207">INDEX($A$2:$A$7,I2207)</f>
        <v>Segment 6- Self-Conscious Male</v>
      </c>
    </row>
    <row r="2208" spans="1:10" x14ac:dyDescent="0.25">
      <c r="A2208" s="1">
        <f>'batch tool'!A2202</f>
        <v>0</v>
      </c>
      <c r="B2208" s="7">
        <f>SUMPRODUCT($C$2:$X$2,'batch tool'!$B2202:$W2202)+$Y$2</f>
        <v>-49.12272534143483</v>
      </c>
      <c r="C2208" s="7">
        <f>SUMPRODUCT($C$3:$X$3,'batch tool'!$B2202:$W2202)+$Y$3</f>
        <v>-36.514029388465531</v>
      </c>
      <c r="D2208" s="7">
        <f>SUMPRODUCT($C$4:$X$4,'batch tool'!$B2202:$W2202)+$Y$4</f>
        <v>-44.639843068043824</v>
      </c>
      <c r="E2208" s="7">
        <f>SUMPRODUCT($C$5:$X$5,'batch tool'!$B2202:$W2202)+$Y$5</f>
        <v>-51.578889182477603</v>
      </c>
      <c r="F2208" s="7">
        <f>SUMPRODUCT($C$6:$X$6,'batch tool'!$B2202:$W2202)+$Y$6</f>
        <v>-47.741473633885199</v>
      </c>
      <c r="G2208" s="7">
        <f>SUMPRODUCT($C$7:$X$7,'batch tool'!$B2202:$W2202)+$Y$7</f>
        <v>-19.739516238059196</v>
      </c>
      <c r="H2208" s="7">
        <f t="shared" si="70"/>
        <v>-19.739516238059196</v>
      </c>
      <c r="I2208">
        <f t="shared" si="71"/>
        <v>6</v>
      </c>
      <c r="J2208" t="str" cm="1">
        <f t="array" ref="J2208">INDEX($A$2:$A$7,I2208)</f>
        <v>Segment 6- Self-Conscious Male</v>
      </c>
    </row>
    <row r="2209" spans="1:10" x14ac:dyDescent="0.25">
      <c r="A2209" s="1">
        <f>'batch tool'!A2203</f>
        <v>0</v>
      </c>
      <c r="B2209" s="7">
        <f>SUMPRODUCT($C$2:$X$2,'batch tool'!$B2203:$W2203)+$Y$2</f>
        <v>-49.12272534143483</v>
      </c>
      <c r="C2209" s="7">
        <f>SUMPRODUCT($C$3:$X$3,'batch tool'!$B2203:$W2203)+$Y$3</f>
        <v>-36.514029388465531</v>
      </c>
      <c r="D2209" s="7">
        <f>SUMPRODUCT($C$4:$X$4,'batch tool'!$B2203:$W2203)+$Y$4</f>
        <v>-44.639843068043824</v>
      </c>
      <c r="E2209" s="7">
        <f>SUMPRODUCT($C$5:$X$5,'batch tool'!$B2203:$W2203)+$Y$5</f>
        <v>-51.578889182477603</v>
      </c>
      <c r="F2209" s="7">
        <f>SUMPRODUCT($C$6:$X$6,'batch tool'!$B2203:$W2203)+$Y$6</f>
        <v>-47.741473633885199</v>
      </c>
      <c r="G2209" s="7">
        <f>SUMPRODUCT($C$7:$X$7,'batch tool'!$B2203:$W2203)+$Y$7</f>
        <v>-19.739516238059196</v>
      </c>
      <c r="H2209" s="7">
        <f t="shared" si="70"/>
        <v>-19.739516238059196</v>
      </c>
      <c r="I2209">
        <f t="shared" si="71"/>
        <v>6</v>
      </c>
      <c r="J2209" t="str" cm="1">
        <f t="array" ref="J2209">INDEX($A$2:$A$7,I2209)</f>
        <v>Segment 6- Self-Conscious Male</v>
      </c>
    </row>
    <row r="2210" spans="1:10" x14ac:dyDescent="0.25">
      <c r="A2210" s="1">
        <f>'batch tool'!A2204</f>
        <v>0</v>
      </c>
      <c r="B2210" s="7">
        <f>SUMPRODUCT($C$2:$X$2,'batch tool'!$B2204:$W2204)+$Y$2</f>
        <v>-49.12272534143483</v>
      </c>
      <c r="C2210" s="7">
        <f>SUMPRODUCT($C$3:$X$3,'batch tool'!$B2204:$W2204)+$Y$3</f>
        <v>-36.514029388465531</v>
      </c>
      <c r="D2210" s="7">
        <f>SUMPRODUCT($C$4:$X$4,'batch tool'!$B2204:$W2204)+$Y$4</f>
        <v>-44.639843068043824</v>
      </c>
      <c r="E2210" s="7">
        <f>SUMPRODUCT($C$5:$X$5,'batch tool'!$B2204:$W2204)+$Y$5</f>
        <v>-51.578889182477603</v>
      </c>
      <c r="F2210" s="7">
        <f>SUMPRODUCT($C$6:$X$6,'batch tool'!$B2204:$W2204)+$Y$6</f>
        <v>-47.741473633885199</v>
      </c>
      <c r="G2210" s="7">
        <f>SUMPRODUCT($C$7:$X$7,'batch tool'!$B2204:$W2204)+$Y$7</f>
        <v>-19.739516238059196</v>
      </c>
      <c r="H2210" s="7">
        <f t="shared" si="70"/>
        <v>-19.739516238059196</v>
      </c>
      <c r="I2210">
        <f t="shared" si="71"/>
        <v>6</v>
      </c>
      <c r="J2210" t="str" cm="1">
        <f t="array" ref="J2210">INDEX($A$2:$A$7,I2210)</f>
        <v>Segment 6- Self-Conscious Male</v>
      </c>
    </row>
    <row r="2211" spans="1:10" x14ac:dyDescent="0.25">
      <c r="A2211" s="1">
        <f>'batch tool'!A2205</f>
        <v>0</v>
      </c>
      <c r="B2211" s="7">
        <f>SUMPRODUCT($C$2:$X$2,'batch tool'!$B2205:$W2205)+$Y$2</f>
        <v>-49.12272534143483</v>
      </c>
      <c r="C2211" s="7">
        <f>SUMPRODUCT($C$3:$X$3,'batch tool'!$B2205:$W2205)+$Y$3</f>
        <v>-36.514029388465531</v>
      </c>
      <c r="D2211" s="7">
        <f>SUMPRODUCT($C$4:$X$4,'batch tool'!$B2205:$W2205)+$Y$4</f>
        <v>-44.639843068043824</v>
      </c>
      <c r="E2211" s="7">
        <f>SUMPRODUCT($C$5:$X$5,'batch tool'!$B2205:$W2205)+$Y$5</f>
        <v>-51.578889182477603</v>
      </c>
      <c r="F2211" s="7">
        <f>SUMPRODUCT($C$6:$X$6,'batch tool'!$B2205:$W2205)+$Y$6</f>
        <v>-47.741473633885199</v>
      </c>
      <c r="G2211" s="7">
        <f>SUMPRODUCT($C$7:$X$7,'batch tool'!$B2205:$W2205)+$Y$7</f>
        <v>-19.739516238059196</v>
      </c>
      <c r="H2211" s="7">
        <f t="shared" si="70"/>
        <v>-19.739516238059196</v>
      </c>
      <c r="I2211">
        <f t="shared" si="71"/>
        <v>6</v>
      </c>
      <c r="J2211" t="str" cm="1">
        <f t="array" ref="J2211">INDEX($A$2:$A$7,I2211)</f>
        <v>Segment 6- Self-Conscious Male</v>
      </c>
    </row>
    <row r="2212" spans="1:10" x14ac:dyDescent="0.25">
      <c r="A2212" s="1">
        <f>'batch tool'!A2206</f>
        <v>0</v>
      </c>
      <c r="B2212" s="7">
        <f>SUMPRODUCT($C$2:$X$2,'batch tool'!$B2206:$W2206)+$Y$2</f>
        <v>-49.12272534143483</v>
      </c>
      <c r="C2212" s="7">
        <f>SUMPRODUCT($C$3:$X$3,'batch tool'!$B2206:$W2206)+$Y$3</f>
        <v>-36.514029388465531</v>
      </c>
      <c r="D2212" s="7">
        <f>SUMPRODUCT($C$4:$X$4,'batch tool'!$B2206:$W2206)+$Y$4</f>
        <v>-44.639843068043824</v>
      </c>
      <c r="E2212" s="7">
        <f>SUMPRODUCT($C$5:$X$5,'batch tool'!$B2206:$W2206)+$Y$5</f>
        <v>-51.578889182477603</v>
      </c>
      <c r="F2212" s="7">
        <f>SUMPRODUCT($C$6:$X$6,'batch tool'!$B2206:$W2206)+$Y$6</f>
        <v>-47.741473633885199</v>
      </c>
      <c r="G2212" s="7">
        <f>SUMPRODUCT($C$7:$X$7,'batch tool'!$B2206:$W2206)+$Y$7</f>
        <v>-19.739516238059196</v>
      </c>
      <c r="H2212" s="7">
        <f t="shared" si="70"/>
        <v>-19.739516238059196</v>
      </c>
      <c r="I2212">
        <f t="shared" si="71"/>
        <v>6</v>
      </c>
      <c r="J2212" t="str" cm="1">
        <f t="array" ref="J2212">INDEX($A$2:$A$7,I2212)</f>
        <v>Segment 6- Self-Conscious Male</v>
      </c>
    </row>
    <row r="2213" spans="1:10" x14ac:dyDescent="0.25">
      <c r="A2213" s="1">
        <f>'batch tool'!A2207</f>
        <v>0</v>
      </c>
      <c r="B2213" s="7">
        <f>SUMPRODUCT($C$2:$X$2,'batch tool'!$B2207:$W2207)+$Y$2</f>
        <v>-49.12272534143483</v>
      </c>
      <c r="C2213" s="7">
        <f>SUMPRODUCT($C$3:$X$3,'batch tool'!$B2207:$W2207)+$Y$3</f>
        <v>-36.514029388465531</v>
      </c>
      <c r="D2213" s="7">
        <f>SUMPRODUCT($C$4:$X$4,'batch tool'!$B2207:$W2207)+$Y$4</f>
        <v>-44.639843068043824</v>
      </c>
      <c r="E2213" s="7">
        <f>SUMPRODUCT($C$5:$X$5,'batch tool'!$B2207:$W2207)+$Y$5</f>
        <v>-51.578889182477603</v>
      </c>
      <c r="F2213" s="7">
        <f>SUMPRODUCT($C$6:$X$6,'batch tool'!$B2207:$W2207)+$Y$6</f>
        <v>-47.741473633885199</v>
      </c>
      <c r="G2213" s="7">
        <f>SUMPRODUCT($C$7:$X$7,'batch tool'!$B2207:$W2207)+$Y$7</f>
        <v>-19.739516238059196</v>
      </c>
      <c r="H2213" s="7">
        <f t="shared" si="70"/>
        <v>-19.739516238059196</v>
      </c>
      <c r="I2213">
        <f t="shared" si="71"/>
        <v>6</v>
      </c>
      <c r="J2213" t="str" cm="1">
        <f t="array" ref="J2213">INDEX($A$2:$A$7,I2213)</f>
        <v>Segment 6- Self-Conscious Male</v>
      </c>
    </row>
    <row r="2214" spans="1:10" x14ac:dyDescent="0.25">
      <c r="A2214" s="1">
        <f>'batch tool'!A2208</f>
        <v>0</v>
      </c>
      <c r="B2214" s="7">
        <f>SUMPRODUCT($C$2:$X$2,'batch tool'!$B2208:$W2208)+$Y$2</f>
        <v>-49.12272534143483</v>
      </c>
      <c r="C2214" s="7">
        <f>SUMPRODUCT($C$3:$X$3,'batch tool'!$B2208:$W2208)+$Y$3</f>
        <v>-36.514029388465531</v>
      </c>
      <c r="D2214" s="7">
        <f>SUMPRODUCT($C$4:$X$4,'batch tool'!$B2208:$W2208)+$Y$4</f>
        <v>-44.639843068043824</v>
      </c>
      <c r="E2214" s="7">
        <f>SUMPRODUCT($C$5:$X$5,'batch tool'!$B2208:$W2208)+$Y$5</f>
        <v>-51.578889182477603</v>
      </c>
      <c r="F2214" s="7">
        <f>SUMPRODUCT($C$6:$X$6,'batch tool'!$B2208:$W2208)+$Y$6</f>
        <v>-47.741473633885199</v>
      </c>
      <c r="G2214" s="7">
        <f>SUMPRODUCT($C$7:$X$7,'batch tool'!$B2208:$W2208)+$Y$7</f>
        <v>-19.739516238059196</v>
      </c>
      <c r="H2214" s="7">
        <f t="shared" si="70"/>
        <v>-19.739516238059196</v>
      </c>
      <c r="I2214">
        <f t="shared" si="71"/>
        <v>6</v>
      </c>
      <c r="J2214" t="str" cm="1">
        <f t="array" ref="J2214">INDEX($A$2:$A$7,I2214)</f>
        <v>Segment 6- Self-Conscious Male</v>
      </c>
    </row>
    <row r="2215" spans="1:10" x14ac:dyDescent="0.25">
      <c r="A2215" s="1">
        <f>'batch tool'!A2209</f>
        <v>0</v>
      </c>
      <c r="B2215" s="7">
        <f>SUMPRODUCT($C$2:$X$2,'batch tool'!$B2209:$W2209)+$Y$2</f>
        <v>-49.12272534143483</v>
      </c>
      <c r="C2215" s="7">
        <f>SUMPRODUCT($C$3:$X$3,'batch tool'!$B2209:$W2209)+$Y$3</f>
        <v>-36.514029388465531</v>
      </c>
      <c r="D2215" s="7">
        <f>SUMPRODUCT($C$4:$X$4,'batch tool'!$B2209:$W2209)+$Y$4</f>
        <v>-44.639843068043824</v>
      </c>
      <c r="E2215" s="7">
        <f>SUMPRODUCT($C$5:$X$5,'batch tool'!$B2209:$W2209)+$Y$5</f>
        <v>-51.578889182477603</v>
      </c>
      <c r="F2215" s="7">
        <f>SUMPRODUCT($C$6:$X$6,'batch tool'!$B2209:$W2209)+$Y$6</f>
        <v>-47.741473633885199</v>
      </c>
      <c r="G2215" s="7">
        <f>SUMPRODUCT($C$7:$X$7,'batch tool'!$B2209:$W2209)+$Y$7</f>
        <v>-19.739516238059196</v>
      </c>
      <c r="H2215" s="7">
        <f t="shared" si="70"/>
        <v>-19.739516238059196</v>
      </c>
      <c r="I2215">
        <f t="shared" si="71"/>
        <v>6</v>
      </c>
      <c r="J2215" t="str" cm="1">
        <f t="array" ref="J2215">INDEX($A$2:$A$7,I2215)</f>
        <v>Segment 6- Self-Conscious Male</v>
      </c>
    </row>
    <row r="2216" spans="1:10" x14ac:dyDescent="0.25">
      <c r="A2216" s="1">
        <f>'batch tool'!A2210</f>
        <v>0</v>
      </c>
      <c r="B2216" s="7">
        <f>SUMPRODUCT($C$2:$X$2,'batch tool'!$B2210:$W2210)+$Y$2</f>
        <v>-49.12272534143483</v>
      </c>
      <c r="C2216" s="7">
        <f>SUMPRODUCT($C$3:$X$3,'batch tool'!$B2210:$W2210)+$Y$3</f>
        <v>-36.514029388465531</v>
      </c>
      <c r="D2216" s="7">
        <f>SUMPRODUCT($C$4:$X$4,'batch tool'!$B2210:$W2210)+$Y$4</f>
        <v>-44.639843068043824</v>
      </c>
      <c r="E2216" s="7">
        <f>SUMPRODUCT($C$5:$X$5,'batch tool'!$B2210:$W2210)+$Y$5</f>
        <v>-51.578889182477603</v>
      </c>
      <c r="F2216" s="7">
        <f>SUMPRODUCT($C$6:$X$6,'batch tool'!$B2210:$W2210)+$Y$6</f>
        <v>-47.741473633885199</v>
      </c>
      <c r="G2216" s="7">
        <f>SUMPRODUCT($C$7:$X$7,'batch tool'!$B2210:$W2210)+$Y$7</f>
        <v>-19.739516238059196</v>
      </c>
      <c r="H2216" s="7">
        <f t="shared" si="70"/>
        <v>-19.739516238059196</v>
      </c>
      <c r="I2216">
        <f t="shared" si="71"/>
        <v>6</v>
      </c>
      <c r="J2216" t="str" cm="1">
        <f t="array" ref="J2216">INDEX($A$2:$A$7,I2216)</f>
        <v>Segment 6- Self-Conscious Male</v>
      </c>
    </row>
    <row r="2217" spans="1:10" x14ac:dyDescent="0.25">
      <c r="A2217" s="1">
        <f>'batch tool'!A2211</f>
        <v>0</v>
      </c>
      <c r="B2217" s="7">
        <f>SUMPRODUCT($C$2:$X$2,'batch tool'!$B2211:$W2211)+$Y$2</f>
        <v>-49.12272534143483</v>
      </c>
      <c r="C2217" s="7">
        <f>SUMPRODUCT($C$3:$X$3,'batch tool'!$B2211:$W2211)+$Y$3</f>
        <v>-36.514029388465531</v>
      </c>
      <c r="D2217" s="7">
        <f>SUMPRODUCT($C$4:$X$4,'batch tool'!$B2211:$W2211)+$Y$4</f>
        <v>-44.639843068043824</v>
      </c>
      <c r="E2217" s="7">
        <f>SUMPRODUCT($C$5:$X$5,'batch tool'!$B2211:$W2211)+$Y$5</f>
        <v>-51.578889182477603</v>
      </c>
      <c r="F2217" s="7">
        <f>SUMPRODUCT($C$6:$X$6,'batch tool'!$B2211:$W2211)+$Y$6</f>
        <v>-47.741473633885199</v>
      </c>
      <c r="G2217" s="7">
        <f>SUMPRODUCT($C$7:$X$7,'batch tool'!$B2211:$W2211)+$Y$7</f>
        <v>-19.739516238059196</v>
      </c>
      <c r="H2217" s="7">
        <f t="shared" si="70"/>
        <v>-19.739516238059196</v>
      </c>
      <c r="I2217">
        <f t="shared" si="71"/>
        <v>6</v>
      </c>
      <c r="J2217" t="str" cm="1">
        <f t="array" ref="J2217">INDEX($A$2:$A$7,I2217)</f>
        <v>Segment 6- Self-Conscious Male</v>
      </c>
    </row>
    <row r="2218" spans="1:10" x14ac:dyDescent="0.25">
      <c r="A2218" s="1">
        <f>'batch tool'!A2212</f>
        <v>0</v>
      </c>
      <c r="B2218" s="7">
        <f>SUMPRODUCT($C$2:$X$2,'batch tool'!$B2212:$W2212)+$Y$2</f>
        <v>-49.12272534143483</v>
      </c>
      <c r="C2218" s="7">
        <f>SUMPRODUCT($C$3:$X$3,'batch tool'!$B2212:$W2212)+$Y$3</f>
        <v>-36.514029388465531</v>
      </c>
      <c r="D2218" s="7">
        <f>SUMPRODUCT($C$4:$X$4,'batch tool'!$B2212:$W2212)+$Y$4</f>
        <v>-44.639843068043824</v>
      </c>
      <c r="E2218" s="7">
        <f>SUMPRODUCT($C$5:$X$5,'batch tool'!$B2212:$W2212)+$Y$5</f>
        <v>-51.578889182477603</v>
      </c>
      <c r="F2218" s="7">
        <f>SUMPRODUCT($C$6:$X$6,'batch tool'!$B2212:$W2212)+$Y$6</f>
        <v>-47.741473633885199</v>
      </c>
      <c r="G2218" s="7">
        <f>SUMPRODUCT($C$7:$X$7,'batch tool'!$B2212:$W2212)+$Y$7</f>
        <v>-19.739516238059196</v>
      </c>
      <c r="H2218" s="7">
        <f t="shared" si="70"/>
        <v>-19.739516238059196</v>
      </c>
      <c r="I2218">
        <f t="shared" si="71"/>
        <v>6</v>
      </c>
      <c r="J2218" t="str" cm="1">
        <f t="array" ref="J2218">INDEX($A$2:$A$7,I2218)</f>
        <v>Segment 6- Self-Conscious Male</v>
      </c>
    </row>
    <row r="2219" spans="1:10" x14ac:dyDescent="0.25">
      <c r="A2219" s="1">
        <f>'batch tool'!A2213</f>
        <v>0</v>
      </c>
      <c r="B2219" s="7">
        <f>SUMPRODUCT($C$2:$X$2,'batch tool'!$B2213:$W2213)+$Y$2</f>
        <v>-49.12272534143483</v>
      </c>
      <c r="C2219" s="7">
        <f>SUMPRODUCT($C$3:$X$3,'batch tool'!$B2213:$W2213)+$Y$3</f>
        <v>-36.514029388465531</v>
      </c>
      <c r="D2219" s="7">
        <f>SUMPRODUCT($C$4:$X$4,'batch tool'!$B2213:$W2213)+$Y$4</f>
        <v>-44.639843068043824</v>
      </c>
      <c r="E2219" s="7">
        <f>SUMPRODUCT($C$5:$X$5,'batch tool'!$B2213:$W2213)+$Y$5</f>
        <v>-51.578889182477603</v>
      </c>
      <c r="F2219" s="7">
        <f>SUMPRODUCT($C$6:$X$6,'batch tool'!$B2213:$W2213)+$Y$6</f>
        <v>-47.741473633885199</v>
      </c>
      <c r="G2219" s="7">
        <f>SUMPRODUCT($C$7:$X$7,'batch tool'!$B2213:$W2213)+$Y$7</f>
        <v>-19.739516238059196</v>
      </c>
      <c r="H2219" s="7">
        <f t="shared" si="70"/>
        <v>-19.739516238059196</v>
      </c>
      <c r="I2219">
        <f t="shared" si="71"/>
        <v>6</v>
      </c>
      <c r="J2219" t="str" cm="1">
        <f t="array" ref="J2219">INDEX($A$2:$A$7,I2219)</f>
        <v>Segment 6- Self-Conscious Male</v>
      </c>
    </row>
    <row r="2220" spans="1:10" x14ac:dyDescent="0.25">
      <c r="A2220" s="1">
        <f>'batch tool'!A2214</f>
        <v>0</v>
      </c>
      <c r="B2220" s="7">
        <f>SUMPRODUCT($C$2:$X$2,'batch tool'!$B2214:$W2214)+$Y$2</f>
        <v>-49.12272534143483</v>
      </c>
      <c r="C2220" s="7">
        <f>SUMPRODUCT($C$3:$X$3,'batch tool'!$B2214:$W2214)+$Y$3</f>
        <v>-36.514029388465531</v>
      </c>
      <c r="D2220" s="7">
        <f>SUMPRODUCT($C$4:$X$4,'batch tool'!$B2214:$W2214)+$Y$4</f>
        <v>-44.639843068043824</v>
      </c>
      <c r="E2220" s="7">
        <f>SUMPRODUCT($C$5:$X$5,'batch tool'!$B2214:$W2214)+$Y$5</f>
        <v>-51.578889182477603</v>
      </c>
      <c r="F2220" s="7">
        <f>SUMPRODUCT($C$6:$X$6,'batch tool'!$B2214:$W2214)+$Y$6</f>
        <v>-47.741473633885199</v>
      </c>
      <c r="G2220" s="7">
        <f>SUMPRODUCT($C$7:$X$7,'batch tool'!$B2214:$W2214)+$Y$7</f>
        <v>-19.739516238059196</v>
      </c>
      <c r="H2220" s="7">
        <f t="shared" si="70"/>
        <v>-19.739516238059196</v>
      </c>
      <c r="I2220">
        <f t="shared" si="71"/>
        <v>6</v>
      </c>
      <c r="J2220" t="str" cm="1">
        <f t="array" ref="J2220">INDEX($A$2:$A$7,I2220)</f>
        <v>Segment 6- Self-Conscious Male</v>
      </c>
    </row>
    <row r="2221" spans="1:10" x14ac:dyDescent="0.25">
      <c r="A2221" s="1">
        <f>'batch tool'!A2215</f>
        <v>0</v>
      </c>
      <c r="B2221" s="7">
        <f>SUMPRODUCT($C$2:$X$2,'batch tool'!$B2215:$W2215)+$Y$2</f>
        <v>-49.12272534143483</v>
      </c>
      <c r="C2221" s="7">
        <f>SUMPRODUCT($C$3:$X$3,'batch tool'!$B2215:$W2215)+$Y$3</f>
        <v>-36.514029388465531</v>
      </c>
      <c r="D2221" s="7">
        <f>SUMPRODUCT($C$4:$X$4,'batch tool'!$B2215:$W2215)+$Y$4</f>
        <v>-44.639843068043824</v>
      </c>
      <c r="E2221" s="7">
        <f>SUMPRODUCT($C$5:$X$5,'batch tool'!$B2215:$W2215)+$Y$5</f>
        <v>-51.578889182477603</v>
      </c>
      <c r="F2221" s="7">
        <f>SUMPRODUCT($C$6:$X$6,'batch tool'!$B2215:$W2215)+$Y$6</f>
        <v>-47.741473633885199</v>
      </c>
      <c r="G2221" s="7">
        <f>SUMPRODUCT($C$7:$X$7,'batch tool'!$B2215:$W2215)+$Y$7</f>
        <v>-19.739516238059196</v>
      </c>
      <c r="H2221" s="7">
        <f t="shared" si="70"/>
        <v>-19.739516238059196</v>
      </c>
      <c r="I2221">
        <f t="shared" si="71"/>
        <v>6</v>
      </c>
      <c r="J2221" t="str" cm="1">
        <f t="array" ref="J2221">INDEX($A$2:$A$7,I2221)</f>
        <v>Segment 6- Self-Conscious Male</v>
      </c>
    </row>
    <row r="2222" spans="1:10" x14ac:dyDescent="0.25">
      <c r="A2222" s="1">
        <f>'batch tool'!A2216</f>
        <v>0</v>
      </c>
      <c r="B2222" s="7">
        <f>SUMPRODUCT($C$2:$X$2,'batch tool'!$B2216:$W2216)+$Y$2</f>
        <v>-49.12272534143483</v>
      </c>
      <c r="C2222" s="7">
        <f>SUMPRODUCT($C$3:$X$3,'batch tool'!$B2216:$W2216)+$Y$3</f>
        <v>-36.514029388465531</v>
      </c>
      <c r="D2222" s="7">
        <f>SUMPRODUCT($C$4:$X$4,'batch tool'!$B2216:$W2216)+$Y$4</f>
        <v>-44.639843068043824</v>
      </c>
      <c r="E2222" s="7">
        <f>SUMPRODUCT($C$5:$X$5,'batch tool'!$B2216:$W2216)+$Y$5</f>
        <v>-51.578889182477603</v>
      </c>
      <c r="F2222" s="7">
        <f>SUMPRODUCT($C$6:$X$6,'batch tool'!$B2216:$W2216)+$Y$6</f>
        <v>-47.741473633885199</v>
      </c>
      <c r="G2222" s="7">
        <f>SUMPRODUCT($C$7:$X$7,'batch tool'!$B2216:$W2216)+$Y$7</f>
        <v>-19.739516238059196</v>
      </c>
      <c r="H2222" s="7">
        <f t="shared" si="70"/>
        <v>-19.739516238059196</v>
      </c>
      <c r="I2222">
        <f t="shared" si="71"/>
        <v>6</v>
      </c>
      <c r="J2222" t="str" cm="1">
        <f t="array" ref="J2222">INDEX($A$2:$A$7,I2222)</f>
        <v>Segment 6- Self-Conscious Male</v>
      </c>
    </row>
    <row r="2223" spans="1:10" x14ac:dyDescent="0.25">
      <c r="A2223" s="1">
        <f>'batch tool'!A2217</f>
        <v>0</v>
      </c>
      <c r="B2223" s="7">
        <f>SUMPRODUCT($C$2:$X$2,'batch tool'!$B2217:$W2217)+$Y$2</f>
        <v>-49.12272534143483</v>
      </c>
      <c r="C2223" s="7">
        <f>SUMPRODUCT($C$3:$X$3,'batch tool'!$B2217:$W2217)+$Y$3</f>
        <v>-36.514029388465531</v>
      </c>
      <c r="D2223" s="7">
        <f>SUMPRODUCT($C$4:$X$4,'batch tool'!$B2217:$W2217)+$Y$4</f>
        <v>-44.639843068043824</v>
      </c>
      <c r="E2223" s="7">
        <f>SUMPRODUCT($C$5:$X$5,'batch tool'!$B2217:$W2217)+$Y$5</f>
        <v>-51.578889182477603</v>
      </c>
      <c r="F2223" s="7">
        <f>SUMPRODUCT($C$6:$X$6,'batch tool'!$B2217:$W2217)+$Y$6</f>
        <v>-47.741473633885199</v>
      </c>
      <c r="G2223" s="7">
        <f>SUMPRODUCT($C$7:$X$7,'batch tool'!$B2217:$W2217)+$Y$7</f>
        <v>-19.739516238059196</v>
      </c>
      <c r="H2223" s="7">
        <f t="shared" si="70"/>
        <v>-19.739516238059196</v>
      </c>
      <c r="I2223">
        <f t="shared" si="71"/>
        <v>6</v>
      </c>
      <c r="J2223" t="str" cm="1">
        <f t="array" ref="J2223">INDEX($A$2:$A$7,I2223)</f>
        <v>Segment 6- Self-Conscious Male</v>
      </c>
    </row>
    <row r="2224" spans="1:10" x14ac:dyDescent="0.25">
      <c r="A2224" s="1">
        <f>'batch tool'!A2218</f>
        <v>0</v>
      </c>
      <c r="B2224" s="7">
        <f>SUMPRODUCT($C$2:$X$2,'batch tool'!$B2218:$W2218)+$Y$2</f>
        <v>-49.12272534143483</v>
      </c>
      <c r="C2224" s="7">
        <f>SUMPRODUCT($C$3:$X$3,'batch tool'!$B2218:$W2218)+$Y$3</f>
        <v>-36.514029388465531</v>
      </c>
      <c r="D2224" s="7">
        <f>SUMPRODUCT($C$4:$X$4,'batch tool'!$B2218:$W2218)+$Y$4</f>
        <v>-44.639843068043824</v>
      </c>
      <c r="E2224" s="7">
        <f>SUMPRODUCT($C$5:$X$5,'batch tool'!$B2218:$W2218)+$Y$5</f>
        <v>-51.578889182477603</v>
      </c>
      <c r="F2224" s="7">
        <f>SUMPRODUCT($C$6:$X$6,'batch tool'!$B2218:$W2218)+$Y$6</f>
        <v>-47.741473633885199</v>
      </c>
      <c r="G2224" s="7">
        <f>SUMPRODUCT($C$7:$X$7,'batch tool'!$B2218:$W2218)+$Y$7</f>
        <v>-19.739516238059196</v>
      </c>
      <c r="H2224" s="7">
        <f t="shared" si="70"/>
        <v>-19.739516238059196</v>
      </c>
      <c r="I2224">
        <f t="shared" si="71"/>
        <v>6</v>
      </c>
      <c r="J2224" t="str" cm="1">
        <f t="array" ref="J2224">INDEX($A$2:$A$7,I2224)</f>
        <v>Segment 6- Self-Conscious Male</v>
      </c>
    </row>
    <row r="2225" spans="1:10" x14ac:dyDescent="0.25">
      <c r="A2225" s="1">
        <f>'batch tool'!A2219</f>
        <v>0</v>
      </c>
      <c r="B2225" s="7">
        <f>SUMPRODUCT($C$2:$X$2,'batch tool'!$B2219:$W2219)+$Y$2</f>
        <v>-49.12272534143483</v>
      </c>
      <c r="C2225" s="7">
        <f>SUMPRODUCT($C$3:$X$3,'batch tool'!$B2219:$W2219)+$Y$3</f>
        <v>-36.514029388465531</v>
      </c>
      <c r="D2225" s="7">
        <f>SUMPRODUCT($C$4:$X$4,'batch tool'!$B2219:$W2219)+$Y$4</f>
        <v>-44.639843068043824</v>
      </c>
      <c r="E2225" s="7">
        <f>SUMPRODUCT($C$5:$X$5,'batch tool'!$B2219:$W2219)+$Y$5</f>
        <v>-51.578889182477603</v>
      </c>
      <c r="F2225" s="7">
        <f>SUMPRODUCT($C$6:$X$6,'batch tool'!$B2219:$W2219)+$Y$6</f>
        <v>-47.741473633885199</v>
      </c>
      <c r="G2225" s="7">
        <f>SUMPRODUCT($C$7:$X$7,'batch tool'!$B2219:$W2219)+$Y$7</f>
        <v>-19.739516238059196</v>
      </c>
      <c r="H2225" s="7">
        <f t="shared" si="70"/>
        <v>-19.739516238059196</v>
      </c>
      <c r="I2225">
        <f t="shared" si="71"/>
        <v>6</v>
      </c>
      <c r="J2225" t="str" cm="1">
        <f t="array" ref="J2225">INDEX($A$2:$A$7,I2225)</f>
        <v>Segment 6- Self-Conscious Male</v>
      </c>
    </row>
    <row r="2226" spans="1:10" x14ac:dyDescent="0.25">
      <c r="A2226" s="1">
        <f>'batch tool'!A2220</f>
        <v>0</v>
      </c>
      <c r="B2226" s="7">
        <f>SUMPRODUCT($C$2:$X$2,'batch tool'!$B2220:$W2220)+$Y$2</f>
        <v>-49.12272534143483</v>
      </c>
      <c r="C2226" s="7">
        <f>SUMPRODUCT($C$3:$X$3,'batch tool'!$B2220:$W2220)+$Y$3</f>
        <v>-36.514029388465531</v>
      </c>
      <c r="D2226" s="7">
        <f>SUMPRODUCT($C$4:$X$4,'batch tool'!$B2220:$W2220)+$Y$4</f>
        <v>-44.639843068043824</v>
      </c>
      <c r="E2226" s="7">
        <f>SUMPRODUCT($C$5:$X$5,'batch tool'!$B2220:$W2220)+$Y$5</f>
        <v>-51.578889182477603</v>
      </c>
      <c r="F2226" s="7">
        <f>SUMPRODUCT($C$6:$X$6,'batch tool'!$B2220:$W2220)+$Y$6</f>
        <v>-47.741473633885199</v>
      </c>
      <c r="G2226" s="7">
        <f>SUMPRODUCT($C$7:$X$7,'batch tool'!$B2220:$W2220)+$Y$7</f>
        <v>-19.739516238059196</v>
      </c>
      <c r="H2226" s="7">
        <f t="shared" si="70"/>
        <v>-19.739516238059196</v>
      </c>
      <c r="I2226">
        <f t="shared" si="71"/>
        <v>6</v>
      </c>
      <c r="J2226" t="str" cm="1">
        <f t="array" ref="J2226">INDEX($A$2:$A$7,I2226)</f>
        <v>Segment 6- Self-Conscious Male</v>
      </c>
    </row>
    <row r="2227" spans="1:10" x14ac:dyDescent="0.25">
      <c r="A2227" s="1">
        <f>'batch tool'!A2221</f>
        <v>0</v>
      </c>
      <c r="B2227" s="7">
        <f>SUMPRODUCT($C$2:$X$2,'batch tool'!$B2221:$W2221)+$Y$2</f>
        <v>-49.12272534143483</v>
      </c>
      <c r="C2227" s="7">
        <f>SUMPRODUCT($C$3:$X$3,'batch tool'!$B2221:$W2221)+$Y$3</f>
        <v>-36.514029388465531</v>
      </c>
      <c r="D2227" s="7">
        <f>SUMPRODUCT($C$4:$X$4,'batch tool'!$B2221:$W2221)+$Y$4</f>
        <v>-44.639843068043824</v>
      </c>
      <c r="E2227" s="7">
        <f>SUMPRODUCT($C$5:$X$5,'batch tool'!$B2221:$W2221)+$Y$5</f>
        <v>-51.578889182477603</v>
      </c>
      <c r="F2227" s="7">
        <f>SUMPRODUCT($C$6:$X$6,'batch tool'!$B2221:$W2221)+$Y$6</f>
        <v>-47.741473633885199</v>
      </c>
      <c r="G2227" s="7">
        <f>SUMPRODUCT($C$7:$X$7,'batch tool'!$B2221:$W2221)+$Y$7</f>
        <v>-19.739516238059196</v>
      </c>
      <c r="H2227" s="7">
        <f t="shared" si="70"/>
        <v>-19.739516238059196</v>
      </c>
      <c r="I2227">
        <f t="shared" si="71"/>
        <v>6</v>
      </c>
      <c r="J2227" t="str" cm="1">
        <f t="array" ref="J2227">INDEX($A$2:$A$7,I2227)</f>
        <v>Segment 6- Self-Conscious Male</v>
      </c>
    </row>
    <row r="2228" spans="1:10" x14ac:dyDescent="0.25">
      <c r="A2228" s="1">
        <f>'batch tool'!A2222</f>
        <v>0</v>
      </c>
      <c r="B2228" s="7">
        <f>SUMPRODUCT($C$2:$X$2,'batch tool'!$B2222:$W2222)+$Y$2</f>
        <v>-49.12272534143483</v>
      </c>
      <c r="C2228" s="7">
        <f>SUMPRODUCT($C$3:$X$3,'batch tool'!$B2222:$W2222)+$Y$3</f>
        <v>-36.514029388465531</v>
      </c>
      <c r="D2228" s="7">
        <f>SUMPRODUCT($C$4:$X$4,'batch tool'!$B2222:$W2222)+$Y$4</f>
        <v>-44.639843068043824</v>
      </c>
      <c r="E2228" s="7">
        <f>SUMPRODUCT($C$5:$X$5,'batch tool'!$B2222:$W2222)+$Y$5</f>
        <v>-51.578889182477603</v>
      </c>
      <c r="F2228" s="7">
        <f>SUMPRODUCT($C$6:$X$6,'batch tool'!$B2222:$W2222)+$Y$6</f>
        <v>-47.741473633885199</v>
      </c>
      <c r="G2228" s="7">
        <f>SUMPRODUCT($C$7:$X$7,'batch tool'!$B2222:$W2222)+$Y$7</f>
        <v>-19.739516238059196</v>
      </c>
      <c r="H2228" s="7">
        <f t="shared" si="70"/>
        <v>-19.739516238059196</v>
      </c>
      <c r="I2228">
        <f t="shared" si="71"/>
        <v>6</v>
      </c>
      <c r="J2228" t="str" cm="1">
        <f t="array" ref="J2228">INDEX($A$2:$A$7,I2228)</f>
        <v>Segment 6- Self-Conscious Male</v>
      </c>
    </row>
    <row r="2229" spans="1:10" x14ac:dyDescent="0.25">
      <c r="A2229" s="1">
        <f>'batch tool'!A2223</f>
        <v>0</v>
      </c>
      <c r="B2229" s="7">
        <f>SUMPRODUCT($C$2:$X$2,'batch tool'!$B2223:$W2223)+$Y$2</f>
        <v>-49.12272534143483</v>
      </c>
      <c r="C2229" s="7">
        <f>SUMPRODUCT($C$3:$X$3,'batch tool'!$B2223:$W2223)+$Y$3</f>
        <v>-36.514029388465531</v>
      </c>
      <c r="D2229" s="7">
        <f>SUMPRODUCT($C$4:$X$4,'batch tool'!$B2223:$W2223)+$Y$4</f>
        <v>-44.639843068043824</v>
      </c>
      <c r="E2229" s="7">
        <f>SUMPRODUCT($C$5:$X$5,'batch tool'!$B2223:$W2223)+$Y$5</f>
        <v>-51.578889182477603</v>
      </c>
      <c r="F2229" s="7">
        <f>SUMPRODUCT($C$6:$X$6,'batch tool'!$B2223:$W2223)+$Y$6</f>
        <v>-47.741473633885199</v>
      </c>
      <c r="G2229" s="7">
        <f>SUMPRODUCT($C$7:$X$7,'batch tool'!$B2223:$W2223)+$Y$7</f>
        <v>-19.739516238059196</v>
      </c>
      <c r="H2229" s="7">
        <f t="shared" si="70"/>
        <v>-19.739516238059196</v>
      </c>
      <c r="I2229">
        <f t="shared" si="71"/>
        <v>6</v>
      </c>
      <c r="J2229" t="str" cm="1">
        <f t="array" ref="J2229">INDEX($A$2:$A$7,I2229)</f>
        <v>Segment 6- Self-Conscious Male</v>
      </c>
    </row>
    <row r="2230" spans="1:10" x14ac:dyDescent="0.25">
      <c r="A2230" s="1">
        <f>'batch tool'!A2224</f>
        <v>0</v>
      </c>
      <c r="B2230" s="7">
        <f>SUMPRODUCT($C$2:$X$2,'batch tool'!$B2224:$W2224)+$Y$2</f>
        <v>-49.12272534143483</v>
      </c>
      <c r="C2230" s="7">
        <f>SUMPRODUCT($C$3:$X$3,'batch tool'!$B2224:$W2224)+$Y$3</f>
        <v>-36.514029388465531</v>
      </c>
      <c r="D2230" s="7">
        <f>SUMPRODUCT($C$4:$X$4,'batch tool'!$B2224:$W2224)+$Y$4</f>
        <v>-44.639843068043824</v>
      </c>
      <c r="E2230" s="7">
        <f>SUMPRODUCT($C$5:$X$5,'batch tool'!$B2224:$W2224)+$Y$5</f>
        <v>-51.578889182477603</v>
      </c>
      <c r="F2230" s="7">
        <f>SUMPRODUCT($C$6:$X$6,'batch tool'!$B2224:$W2224)+$Y$6</f>
        <v>-47.741473633885199</v>
      </c>
      <c r="G2230" s="7">
        <f>SUMPRODUCT($C$7:$X$7,'batch tool'!$B2224:$W2224)+$Y$7</f>
        <v>-19.739516238059196</v>
      </c>
      <c r="H2230" s="7">
        <f t="shared" si="70"/>
        <v>-19.739516238059196</v>
      </c>
      <c r="I2230">
        <f t="shared" si="71"/>
        <v>6</v>
      </c>
      <c r="J2230" t="str" cm="1">
        <f t="array" ref="J2230">INDEX($A$2:$A$7,I2230)</f>
        <v>Segment 6- Self-Conscious Male</v>
      </c>
    </row>
    <row r="2231" spans="1:10" x14ac:dyDescent="0.25">
      <c r="A2231" s="1">
        <f>'batch tool'!A2225</f>
        <v>0</v>
      </c>
      <c r="B2231" s="7">
        <f>SUMPRODUCT($C$2:$X$2,'batch tool'!$B2225:$W2225)+$Y$2</f>
        <v>-49.12272534143483</v>
      </c>
      <c r="C2231" s="7">
        <f>SUMPRODUCT($C$3:$X$3,'batch tool'!$B2225:$W2225)+$Y$3</f>
        <v>-36.514029388465531</v>
      </c>
      <c r="D2231" s="7">
        <f>SUMPRODUCT($C$4:$X$4,'batch tool'!$B2225:$W2225)+$Y$4</f>
        <v>-44.639843068043824</v>
      </c>
      <c r="E2231" s="7">
        <f>SUMPRODUCT($C$5:$X$5,'batch tool'!$B2225:$W2225)+$Y$5</f>
        <v>-51.578889182477603</v>
      </c>
      <c r="F2231" s="7">
        <f>SUMPRODUCT($C$6:$X$6,'batch tool'!$B2225:$W2225)+$Y$6</f>
        <v>-47.741473633885199</v>
      </c>
      <c r="G2231" s="7">
        <f>SUMPRODUCT($C$7:$X$7,'batch tool'!$B2225:$W2225)+$Y$7</f>
        <v>-19.739516238059196</v>
      </c>
      <c r="H2231" s="7">
        <f t="shared" si="70"/>
        <v>-19.739516238059196</v>
      </c>
      <c r="I2231">
        <f t="shared" si="71"/>
        <v>6</v>
      </c>
      <c r="J2231" t="str" cm="1">
        <f t="array" ref="J2231">INDEX($A$2:$A$7,I2231)</f>
        <v>Segment 6- Self-Conscious Male</v>
      </c>
    </row>
    <row r="2232" spans="1:10" x14ac:dyDescent="0.25">
      <c r="A2232" s="1">
        <f>'batch tool'!A2226</f>
        <v>0</v>
      </c>
      <c r="B2232" s="7">
        <f>SUMPRODUCT($C$2:$X$2,'batch tool'!$B2226:$W2226)+$Y$2</f>
        <v>-49.12272534143483</v>
      </c>
      <c r="C2232" s="7">
        <f>SUMPRODUCT($C$3:$X$3,'batch tool'!$B2226:$W2226)+$Y$3</f>
        <v>-36.514029388465531</v>
      </c>
      <c r="D2232" s="7">
        <f>SUMPRODUCT($C$4:$X$4,'batch tool'!$B2226:$W2226)+$Y$4</f>
        <v>-44.639843068043824</v>
      </c>
      <c r="E2232" s="7">
        <f>SUMPRODUCT($C$5:$X$5,'batch tool'!$B2226:$W2226)+$Y$5</f>
        <v>-51.578889182477603</v>
      </c>
      <c r="F2232" s="7">
        <f>SUMPRODUCT($C$6:$X$6,'batch tool'!$B2226:$W2226)+$Y$6</f>
        <v>-47.741473633885199</v>
      </c>
      <c r="G2232" s="7">
        <f>SUMPRODUCT($C$7:$X$7,'batch tool'!$B2226:$W2226)+$Y$7</f>
        <v>-19.739516238059196</v>
      </c>
      <c r="H2232" s="7">
        <f t="shared" si="70"/>
        <v>-19.739516238059196</v>
      </c>
      <c r="I2232">
        <f t="shared" si="71"/>
        <v>6</v>
      </c>
      <c r="J2232" t="str" cm="1">
        <f t="array" ref="J2232">INDEX($A$2:$A$7,I2232)</f>
        <v>Segment 6- Self-Conscious Male</v>
      </c>
    </row>
    <row r="2233" spans="1:10" x14ac:dyDescent="0.25">
      <c r="A2233" s="1">
        <f>'batch tool'!A2227</f>
        <v>0</v>
      </c>
      <c r="B2233" s="7">
        <f>SUMPRODUCT($C$2:$X$2,'batch tool'!$B2227:$W2227)+$Y$2</f>
        <v>-49.12272534143483</v>
      </c>
      <c r="C2233" s="7">
        <f>SUMPRODUCT($C$3:$X$3,'batch tool'!$B2227:$W2227)+$Y$3</f>
        <v>-36.514029388465531</v>
      </c>
      <c r="D2233" s="7">
        <f>SUMPRODUCT($C$4:$X$4,'batch tool'!$B2227:$W2227)+$Y$4</f>
        <v>-44.639843068043824</v>
      </c>
      <c r="E2233" s="7">
        <f>SUMPRODUCT($C$5:$X$5,'batch tool'!$B2227:$W2227)+$Y$5</f>
        <v>-51.578889182477603</v>
      </c>
      <c r="F2233" s="7">
        <f>SUMPRODUCT($C$6:$X$6,'batch tool'!$B2227:$W2227)+$Y$6</f>
        <v>-47.741473633885199</v>
      </c>
      <c r="G2233" s="7">
        <f>SUMPRODUCT($C$7:$X$7,'batch tool'!$B2227:$W2227)+$Y$7</f>
        <v>-19.739516238059196</v>
      </c>
      <c r="H2233" s="7">
        <f t="shared" si="70"/>
        <v>-19.739516238059196</v>
      </c>
      <c r="I2233">
        <f t="shared" si="71"/>
        <v>6</v>
      </c>
      <c r="J2233" t="str" cm="1">
        <f t="array" ref="J2233">INDEX($A$2:$A$7,I2233)</f>
        <v>Segment 6- Self-Conscious Male</v>
      </c>
    </row>
    <row r="2234" spans="1:10" x14ac:dyDescent="0.25">
      <c r="A2234" s="1">
        <f>'batch tool'!A2228</f>
        <v>0</v>
      </c>
      <c r="B2234" s="7">
        <f>SUMPRODUCT($C$2:$X$2,'batch tool'!$B2228:$W2228)+$Y$2</f>
        <v>-49.12272534143483</v>
      </c>
      <c r="C2234" s="7">
        <f>SUMPRODUCT($C$3:$X$3,'batch tool'!$B2228:$W2228)+$Y$3</f>
        <v>-36.514029388465531</v>
      </c>
      <c r="D2234" s="7">
        <f>SUMPRODUCT($C$4:$X$4,'batch tool'!$B2228:$W2228)+$Y$4</f>
        <v>-44.639843068043824</v>
      </c>
      <c r="E2234" s="7">
        <f>SUMPRODUCT($C$5:$X$5,'batch tool'!$B2228:$W2228)+$Y$5</f>
        <v>-51.578889182477603</v>
      </c>
      <c r="F2234" s="7">
        <f>SUMPRODUCT($C$6:$X$6,'batch tool'!$B2228:$W2228)+$Y$6</f>
        <v>-47.741473633885199</v>
      </c>
      <c r="G2234" s="7">
        <f>SUMPRODUCT($C$7:$X$7,'batch tool'!$B2228:$W2228)+$Y$7</f>
        <v>-19.739516238059196</v>
      </c>
      <c r="H2234" s="7">
        <f t="shared" si="70"/>
        <v>-19.739516238059196</v>
      </c>
      <c r="I2234">
        <f t="shared" si="71"/>
        <v>6</v>
      </c>
      <c r="J2234" t="str" cm="1">
        <f t="array" ref="J2234">INDEX($A$2:$A$7,I2234)</f>
        <v>Segment 6- Self-Conscious Male</v>
      </c>
    </row>
    <row r="2235" spans="1:10" x14ac:dyDescent="0.25">
      <c r="A2235" s="1">
        <f>'batch tool'!A2229</f>
        <v>0</v>
      </c>
      <c r="B2235" s="7">
        <f>SUMPRODUCT($C$2:$X$2,'batch tool'!$B2229:$W2229)+$Y$2</f>
        <v>-49.12272534143483</v>
      </c>
      <c r="C2235" s="7">
        <f>SUMPRODUCT($C$3:$X$3,'batch tool'!$B2229:$W2229)+$Y$3</f>
        <v>-36.514029388465531</v>
      </c>
      <c r="D2235" s="7">
        <f>SUMPRODUCT($C$4:$X$4,'batch tool'!$B2229:$W2229)+$Y$4</f>
        <v>-44.639843068043824</v>
      </c>
      <c r="E2235" s="7">
        <f>SUMPRODUCT($C$5:$X$5,'batch tool'!$B2229:$W2229)+$Y$5</f>
        <v>-51.578889182477603</v>
      </c>
      <c r="F2235" s="7">
        <f>SUMPRODUCT($C$6:$X$6,'batch tool'!$B2229:$W2229)+$Y$6</f>
        <v>-47.741473633885199</v>
      </c>
      <c r="G2235" s="7">
        <f>SUMPRODUCT($C$7:$X$7,'batch tool'!$B2229:$W2229)+$Y$7</f>
        <v>-19.739516238059196</v>
      </c>
      <c r="H2235" s="7">
        <f t="shared" si="70"/>
        <v>-19.739516238059196</v>
      </c>
      <c r="I2235">
        <f t="shared" si="71"/>
        <v>6</v>
      </c>
      <c r="J2235" t="str" cm="1">
        <f t="array" ref="J2235">INDEX($A$2:$A$7,I2235)</f>
        <v>Segment 6- Self-Conscious Male</v>
      </c>
    </row>
    <row r="2236" spans="1:10" x14ac:dyDescent="0.25">
      <c r="A2236" s="1">
        <f>'batch tool'!A2230</f>
        <v>0</v>
      </c>
      <c r="B2236" s="7">
        <f>SUMPRODUCT($C$2:$X$2,'batch tool'!$B2230:$W2230)+$Y$2</f>
        <v>-49.12272534143483</v>
      </c>
      <c r="C2236" s="7">
        <f>SUMPRODUCT($C$3:$X$3,'batch tool'!$B2230:$W2230)+$Y$3</f>
        <v>-36.514029388465531</v>
      </c>
      <c r="D2236" s="7">
        <f>SUMPRODUCT($C$4:$X$4,'batch tool'!$B2230:$W2230)+$Y$4</f>
        <v>-44.639843068043824</v>
      </c>
      <c r="E2236" s="7">
        <f>SUMPRODUCT($C$5:$X$5,'batch tool'!$B2230:$W2230)+$Y$5</f>
        <v>-51.578889182477603</v>
      </c>
      <c r="F2236" s="7">
        <f>SUMPRODUCT($C$6:$X$6,'batch tool'!$B2230:$W2230)+$Y$6</f>
        <v>-47.741473633885199</v>
      </c>
      <c r="G2236" s="7">
        <f>SUMPRODUCT($C$7:$X$7,'batch tool'!$B2230:$W2230)+$Y$7</f>
        <v>-19.739516238059196</v>
      </c>
      <c r="H2236" s="7">
        <f t="shared" si="70"/>
        <v>-19.739516238059196</v>
      </c>
      <c r="I2236">
        <f t="shared" si="71"/>
        <v>6</v>
      </c>
      <c r="J2236" t="str" cm="1">
        <f t="array" ref="J2236">INDEX($A$2:$A$7,I2236)</f>
        <v>Segment 6- Self-Conscious Male</v>
      </c>
    </row>
    <row r="2237" spans="1:10" x14ac:dyDescent="0.25">
      <c r="A2237" s="1">
        <f>'batch tool'!A2231</f>
        <v>0</v>
      </c>
      <c r="B2237" s="7">
        <f>SUMPRODUCT($C$2:$X$2,'batch tool'!$B2231:$W2231)+$Y$2</f>
        <v>-49.12272534143483</v>
      </c>
      <c r="C2237" s="7">
        <f>SUMPRODUCT($C$3:$X$3,'batch tool'!$B2231:$W2231)+$Y$3</f>
        <v>-36.514029388465531</v>
      </c>
      <c r="D2237" s="7">
        <f>SUMPRODUCT($C$4:$X$4,'batch tool'!$B2231:$W2231)+$Y$4</f>
        <v>-44.639843068043824</v>
      </c>
      <c r="E2237" s="7">
        <f>SUMPRODUCT($C$5:$X$5,'batch tool'!$B2231:$W2231)+$Y$5</f>
        <v>-51.578889182477603</v>
      </c>
      <c r="F2237" s="7">
        <f>SUMPRODUCT($C$6:$X$6,'batch tool'!$B2231:$W2231)+$Y$6</f>
        <v>-47.741473633885199</v>
      </c>
      <c r="G2237" s="7">
        <f>SUMPRODUCT($C$7:$X$7,'batch tool'!$B2231:$W2231)+$Y$7</f>
        <v>-19.739516238059196</v>
      </c>
      <c r="H2237" s="7">
        <f t="shared" si="70"/>
        <v>-19.739516238059196</v>
      </c>
      <c r="I2237">
        <f t="shared" si="71"/>
        <v>6</v>
      </c>
      <c r="J2237" t="str" cm="1">
        <f t="array" ref="J2237">INDEX($A$2:$A$7,I2237)</f>
        <v>Segment 6- Self-Conscious Male</v>
      </c>
    </row>
    <row r="2238" spans="1:10" x14ac:dyDescent="0.25">
      <c r="A2238" s="1">
        <f>'batch tool'!A2232</f>
        <v>0</v>
      </c>
      <c r="B2238" s="7">
        <f>SUMPRODUCT($C$2:$X$2,'batch tool'!$B2232:$W2232)+$Y$2</f>
        <v>-49.12272534143483</v>
      </c>
      <c r="C2238" s="7">
        <f>SUMPRODUCT($C$3:$X$3,'batch tool'!$B2232:$W2232)+$Y$3</f>
        <v>-36.514029388465531</v>
      </c>
      <c r="D2238" s="7">
        <f>SUMPRODUCT($C$4:$X$4,'batch tool'!$B2232:$W2232)+$Y$4</f>
        <v>-44.639843068043824</v>
      </c>
      <c r="E2238" s="7">
        <f>SUMPRODUCT($C$5:$X$5,'batch tool'!$B2232:$W2232)+$Y$5</f>
        <v>-51.578889182477603</v>
      </c>
      <c r="F2238" s="7">
        <f>SUMPRODUCT($C$6:$X$6,'batch tool'!$B2232:$W2232)+$Y$6</f>
        <v>-47.741473633885199</v>
      </c>
      <c r="G2238" s="7">
        <f>SUMPRODUCT($C$7:$X$7,'batch tool'!$B2232:$W2232)+$Y$7</f>
        <v>-19.739516238059196</v>
      </c>
      <c r="H2238" s="7">
        <f t="shared" si="70"/>
        <v>-19.739516238059196</v>
      </c>
      <c r="I2238">
        <f t="shared" si="71"/>
        <v>6</v>
      </c>
      <c r="J2238" t="str" cm="1">
        <f t="array" ref="J2238">INDEX($A$2:$A$7,I2238)</f>
        <v>Segment 6- Self-Conscious Male</v>
      </c>
    </row>
    <row r="2239" spans="1:10" x14ac:dyDescent="0.25">
      <c r="A2239" s="1">
        <f>'batch tool'!A2233</f>
        <v>0</v>
      </c>
      <c r="B2239" s="7">
        <f>SUMPRODUCT($C$2:$X$2,'batch tool'!$B2233:$W2233)+$Y$2</f>
        <v>-49.12272534143483</v>
      </c>
      <c r="C2239" s="7">
        <f>SUMPRODUCT($C$3:$X$3,'batch tool'!$B2233:$W2233)+$Y$3</f>
        <v>-36.514029388465531</v>
      </c>
      <c r="D2239" s="7">
        <f>SUMPRODUCT($C$4:$X$4,'batch tool'!$B2233:$W2233)+$Y$4</f>
        <v>-44.639843068043824</v>
      </c>
      <c r="E2239" s="7">
        <f>SUMPRODUCT($C$5:$X$5,'batch tool'!$B2233:$W2233)+$Y$5</f>
        <v>-51.578889182477603</v>
      </c>
      <c r="F2239" s="7">
        <f>SUMPRODUCT($C$6:$X$6,'batch tool'!$B2233:$W2233)+$Y$6</f>
        <v>-47.741473633885199</v>
      </c>
      <c r="G2239" s="7">
        <f>SUMPRODUCT($C$7:$X$7,'batch tool'!$B2233:$W2233)+$Y$7</f>
        <v>-19.739516238059196</v>
      </c>
      <c r="H2239" s="7">
        <f t="shared" si="70"/>
        <v>-19.739516238059196</v>
      </c>
      <c r="I2239">
        <f t="shared" si="71"/>
        <v>6</v>
      </c>
      <c r="J2239" t="str" cm="1">
        <f t="array" ref="J2239">INDEX($A$2:$A$7,I2239)</f>
        <v>Segment 6- Self-Conscious Male</v>
      </c>
    </row>
    <row r="2240" spans="1:10" x14ac:dyDescent="0.25">
      <c r="A2240" s="1">
        <f>'batch tool'!A2234</f>
        <v>0</v>
      </c>
      <c r="B2240" s="7">
        <f>SUMPRODUCT($C$2:$X$2,'batch tool'!$B2234:$W2234)+$Y$2</f>
        <v>-49.12272534143483</v>
      </c>
      <c r="C2240" s="7">
        <f>SUMPRODUCT($C$3:$X$3,'batch tool'!$B2234:$W2234)+$Y$3</f>
        <v>-36.514029388465531</v>
      </c>
      <c r="D2240" s="7">
        <f>SUMPRODUCT($C$4:$X$4,'batch tool'!$B2234:$W2234)+$Y$4</f>
        <v>-44.639843068043824</v>
      </c>
      <c r="E2240" s="7">
        <f>SUMPRODUCT($C$5:$X$5,'batch tool'!$B2234:$W2234)+$Y$5</f>
        <v>-51.578889182477603</v>
      </c>
      <c r="F2240" s="7">
        <f>SUMPRODUCT($C$6:$X$6,'batch tool'!$B2234:$W2234)+$Y$6</f>
        <v>-47.741473633885199</v>
      </c>
      <c r="G2240" s="7">
        <f>SUMPRODUCT($C$7:$X$7,'batch tool'!$B2234:$W2234)+$Y$7</f>
        <v>-19.739516238059196</v>
      </c>
      <c r="H2240" s="7">
        <f t="shared" si="70"/>
        <v>-19.739516238059196</v>
      </c>
      <c r="I2240">
        <f t="shared" si="71"/>
        <v>6</v>
      </c>
      <c r="J2240" t="str" cm="1">
        <f t="array" ref="J2240">INDEX($A$2:$A$7,I2240)</f>
        <v>Segment 6- Self-Conscious Male</v>
      </c>
    </row>
    <row r="2241" spans="1:10" x14ac:dyDescent="0.25">
      <c r="A2241" s="1">
        <f>'batch tool'!A2235</f>
        <v>0</v>
      </c>
      <c r="B2241" s="7">
        <f>SUMPRODUCT($C$2:$X$2,'batch tool'!$B2235:$W2235)+$Y$2</f>
        <v>-49.12272534143483</v>
      </c>
      <c r="C2241" s="7">
        <f>SUMPRODUCT($C$3:$X$3,'batch tool'!$B2235:$W2235)+$Y$3</f>
        <v>-36.514029388465531</v>
      </c>
      <c r="D2241" s="7">
        <f>SUMPRODUCT($C$4:$X$4,'batch tool'!$B2235:$W2235)+$Y$4</f>
        <v>-44.639843068043824</v>
      </c>
      <c r="E2241" s="7">
        <f>SUMPRODUCT($C$5:$X$5,'batch tool'!$B2235:$W2235)+$Y$5</f>
        <v>-51.578889182477603</v>
      </c>
      <c r="F2241" s="7">
        <f>SUMPRODUCT($C$6:$X$6,'batch tool'!$B2235:$W2235)+$Y$6</f>
        <v>-47.741473633885199</v>
      </c>
      <c r="G2241" s="7">
        <f>SUMPRODUCT($C$7:$X$7,'batch tool'!$B2235:$W2235)+$Y$7</f>
        <v>-19.739516238059196</v>
      </c>
      <c r="H2241" s="7">
        <f t="shared" si="70"/>
        <v>-19.739516238059196</v>
      </c>
      <c r="I2241">
        <f t="shared" si="71"/>
        <v>6</v>
      </c>
      <c r="J2241" t="str" cm="1">
        <f t="array" ref="J2241">INDEX($A$2:$A$7,I2241)</f>
        <v>Segment 6- Self-Conscious Male</v>
      </c>
    </row>
    <row r="2242" spans="1:10" x14ac:dyDescent="0.25">
      <c r="A2242" s="1">
        <f>'batch tool'!A2236</f>
        <v>0</v>
      </c>
      <c r="B2242" s="7">
        <f>SUMPRODUCT($C$2:$X$2,'batch tool'!$B2236:$W2236)+$Y$2</f>
        <v>-49.12272534143483</v>
      </c>
      <c r="C2242" s="7">
        <f>SUMPRODUCT($C$3:$X$3,'batch tool'!$B2236:$W2236)+$Y$3</f>
        <v>-36.514029388465531</v>
      </c>
      <c r="D2242" s="7">
        <f>SUMPRODUCT($C$4:$X$4,'batch tool'!$B2236:$W2236)+$Y$4</f>
        <v>-44.639843068043824</v>
      </c>
      <c r="E2242" s="7">
        <f>SUMPRODUCT($C$5:$X$5,'batch tool'!$B2236:$W2236)+$Y$5</f>
        <v>-51.578889182477603</v>
      </c>
      <c r="F2242" s="7">
        <f>SUMPRODUCT($C$6:$X$6,'batch tool'!$B2236:$W2236)+$Y$6</f>
        <v>-47.741473633885199</v>
      </c>
      <c r="G2242" s="7">
        <f>SUMPRODUCT($C$7:$X$7,'batch tool'!$B2236:$W2236)+$Y$7</f>
        <v>-19.739516238059196</v>
      </c>
      <c r="H2242" s="7">
        <f t="shared" si="70"/>
        <v>-19.739516238059196</v>
      </c>
      <c r="I2242">
        <f t="shared" si="71"/>
        <v>6</v>
      </c>
      <c r="J2242" t="str" cm="1">
        <f t="array" ref="J2242">INDEX($A$2:$A$7,I2242)</f>
        <v>Segment 6- Self-Conscious Male</v>
      </c>
    </row>
    <row r="2243" spans="1:10" x14ac:dyDescent="0.25">
      <c r="A2243" s="1">
        <f>'batch tool'!A2237</f>
        <v>0</v>
      </c>
      <c r="B2243" s="7">
        <f>SUMPRODUCT($C$2:$X$2,'batch tool'!$B2237:$W2237)+$Y$2</f>
        <v>-49.12272534143483</v>
      </c>
      <c r="C2243" s="7">
        <f>SUMPRODUCT($C$3:$X$3,'batch tool'!$B2237:$W2237)+$Y$3</f>
        <v>-36.514029388465531</v>
      </c>
      <c r="D2243" s="7">
        <f>SUMPRODUCT($C$4:$X$4,'batch tool'!$B2237:$W2237)+$Y$4</f>
        <v>-44.639843068043824</v>
      </c>
      <c r="E2243" s="7">
        <f>SUMPRODUCT($C$5:$X$5,'batch tool'!$B2237:$W2237)+$Y$5</f>
        <v>-51.578889182477603</v>
      </c>
      <c r="F2243" s="7">
        <f>SUMPRODUCT($C$6:$X$6,'batch tool'!$B2237:$W2237)+$Y$6</f>
        <v>-47.741473633885199</v>
      </c>
      <c r="G2243" s="7">
        <f>SUMPRODUCT($C$7:$X$7,'batch tool'!$B2237:$W2237)+$Y$7</f>
        <v>-19.739516238059196</v>
      </c>
      <c r="H2243" s="7">
        <f t="shared" si="70"/>
        <v>-19.739516238059196</v>
      </c>
      <c r="I2243">
        <f t="shared" si="71"/>
        <v>6</v>
      </c>
      <c r="J2243" t="str" cm="1">
        <f t="array" ref="J2243">INDEX($A$2:$A$7,I2243)</f>
        <v>Segment 6- Self-Conscious Male</v>
      </c>
    </row>
    <row r="2244" spans="1:10" x14ac:dyDescent="0.25">
      <c r="A2244" s="1">
        <f>'batch tool'!A2238</f>
        <v>0</v>
      </c>
      <c r="B2244" s="7">
        <f>SUMPRODUCT($C$2:$X$2,'batch tool'!$B2238:$W2238)+$Y$2</f>
        <v>-49.12272534143483</v>
      </c>
      <c r="C2244" s="7">
        <f>SUMPRODUCT($C$3:$X$3,'batch tool'!$B2238:$W2238)+$Y$3</f>
        <v>-36.514029388465531</v>
      </c>
      <c r="D2244" s="7">
        <f>SUMPRODUCT($C$4:$X$4,'batch tool'!$B2238:$W2238)+$Y$4</f>
        <v>-44.639843068043824</v>
      </c>
      <c r="E2244" s="7">
        <f>SUMPRODUCT($C$5:$X$5,'batch tool'!$B2238:$W2238)+$Y$5</f>
        <v>-51.578889182477603</v>
      </c>
      <c r="F2244" s="7">
        <f>SUMPRODUCT($C$6:$X$6,'batch tool'!$B2238:$W2238)+$Y$6</f>
        <v>-47.741473633885199</v>
      </c>
      <c r="G2244" s="7">
        <f>SUMPRODUCT($C$7:$X$7,'batch tool'!$B2238:$W2238)+$Y$7</f>
        <v>-19.739516238059196</v>
      </c>
      <c r="H2244" s="7">
        <f t="shared" si="70"/>
        <v>-19.739516238059196</v>
      </c>
      <c r="I2244">
        <f t="shared" si="71"/>
        <v>6</v>
      </c>
      <c r="J2244" t="str" cm="1">
        <f t="array" ref="J2244">INDEX($A$2:$A$7,I2244)</f>
        <v>Segment 6- Self-Conscious Male</v>
      </c>
    </row>
    <row r="2245" spans="1:10" x14ac:dyDescent="0.25">
      <c r="A2245" s="1">
        <f>'batch tool'!A2239</f>
        <v>0</v>
      </c>
      <c r="B2245" s="7">
        <f>SUMPRODUCT($C$2:$X$2,'batch tool'!$B2239:$W2239)+$Y$2</f>
        <v>-49.12272534143483</v>
      </c>
      <c r="C2245" s="7">
        <f>SUMPRODUCT($C$3:$X$3,'batch tool'!$B2239:$W2239)+$Y$3</f>
        <v>-36.514029388465531</v>
      </c>
      <c r="D2245" s="7">
        <f>SUMPRODUCT($C$4:$X$4,'batch tool'!$B2239:$W2239)+$Y$4</f>
        <v>-44.639843068043824</v>
      </c>
      <c r="E2245" s="7">
        <f>SUMPRODUCT($C$5:$X$5,'batch tool'!$B2239:$W2239)+$Y$5</f>
        <v>-51.578889182477603</v>
      </c>
      <c r="F2245" s="7">
        <f>SUMPRODUCT($C$6:$X$6,'batch tool'!$B2239:$W2239)+$Y$6</f>
        <v>-47.741473633885199</v>
      </c>
      <c r="G2245" s="7">
        <f>SUMPRODUCT($C$7:$X$7,'batch tool'!$B2239:$W2239)+$Y$7</f>
        <v>-19.739516238059196</v>
      </c>
      <c r="H2245" s="7">
        <f t="shared" si="70"/>
        <v>-19.739516238059196</v>
      </c>
      <c r="I2245">
        <f t="shared" si="71"/>
        <v>6</v>
      </c>
      <c r="J2245" t="str" cm="1">
        <f t="array" ref="J2245">INDEX($A$2:$A$7,I2245)</f>
        <v>Segment 6- Self-Conscious Male</v>
      </c>
    </row>
    <row r="2246" spans="1:10" x14ac:dyDescent="0.25">
      <c r="A2246" s="1">
        <f>'batch tool'!A2240</f>
        <v>0</v>
      </c>
      <c r="B2246" s="7">
        <f>SUMPRODUCT($C$2:$X$2,'batch tool'!$B2240:$W2240)+$Y$2</f>
        <v>-49.12272534143483</v>
      </c>
      <c r="C2246" s="7">
        <f>SUMPRODUCT($C$3:$X$3,'batch tool'!$B2240:$W2240)+$Y$3</f>
        <v>-36.514029388465531</v>
      </c>
      <c r="D2246" s="7">
        <f>SUMPRODUCT($C$4:$X$4,'batch tool'!$B2240:$W2240)+$Y$4</f>
        <v>-44.639843068043824</v>
      </c>
      <c r="E2246" s="7">
        <f>SUMPRODUCT($C$5:$X$5,'batch tool'!$B2240:$W2240)+$Y$5</f>
        <v>-51.578889182477603</v>
      </c>
      <c r="F2246" s="7">
        <f>SUMPRODUCT($C$6:$X$6,'batch tool'!$B2240:$W2240)+$Y$6</f>
        <v>-47.741473633885199</v>
      </c>
      <c r="G2246" s="7">
        <f>SUMPRODUCT($C$7:$X$7,'batch tool'!$B2240:$W2240)+$Y$7</f>
        <v>-19.739516238059196</v>
      </c>
      <c r="H2246" s="7">
        <f t="shared" si="70"/>
        <v>-19.739516238059196</v>
      </c>
      <c r="I2246">
        <f t="shared" si="71"/>
        <v>6</v>
      </c>
      <c r="J2246" t="str" cm="1">
        <f t="array" ref="J2246">INDEX($A$2:$A$7,I2246)</f>
        <v>Segment 6- Self-Conscious Male</v>
      </c>
    </row>
    <row r="2247" spans="1:10" x14ac:dyDescent="0.25">
      <c r="A2247" s="1">
        <f>'batch tool'!A2241</f>
        <v>0</v>
      </c>
      <c r="B2247" s="7">
        <f>SUMPRODUCT($C$2:$X$2,'batch tool'!$B2241:$W2241)+$Y$2</f>
        <v>-49.12272534143483</v>
      </c>
      <c r="C2247" s="7">
        <f>SUMPRODUCT($C$3:$X$3,'batch tool'!$B2241:$W2241)+$Y$3</f>
        <v>-36.514029388465531</v>
      </c>
      <c r="D2247" s="7">
        <f>SUMPRODUCT($C$4:$X$4,'batch tool'!$B2241:$W2241)+$Y$4</f>
        <v>-44.639843068043824</v>
      </c>
      <c r="E2247" s="7">
        <f>SUMPRODUCT($C$5:$X$5,'batch tool'!$B2241:$W2241)+$Y$5</f>
        <v>-51.578889182477603</v>
      </c>
      <c r="F2247" s="7">
        <f>SUMPRODUCT($C$6:$X$6,'batch tool'!$B2241:$W2241)+$Y$6</f>
        <v>-47.741473633885199</v>
      </c>
      <c r="G2247" s="7">
        <f>SUMPRODUCT($C$7:$X$7,'batch tool'!$B2241:$W2241)+$Y$7</f>
        <v>-19.739516238059196</v>
      </c>
      <c r="H2247" s="7">
        <f t="shared" si="70"/>
        <v>-19.739516238059196</v>
      </c>
      <c r="I2247">
        <f t="shared" si="71"/>
        <v>6</v>
      </c>
      <c r="J2247" t="str" cm="1">
        <f t="array" ref="J2247">INDEX($A$2:$A$7,I2247)</f>
        <v>Segment 6- Self-Conscious Male</v>
      </c>
    </row>
    <row r="2248" spans="1:10" x14ac:dyDescent="0.25">
      <c r="A2248" s="1">
        <f>'batch tool'!A2242</f>
        <v>0</v>
      </c>
      <c r="B2248" s="7">
        <f>SUMPRODUCT($C$2:$X$2,'batch tool'!$B2242:$W2242)+$Y$2</f>
        <v>-49.12272534143483</v>
      </c>
      <c r="C2248" s="7">
        <f>SUMPRODUCT($C$3:$X$3,'batch tool'!$B2242:$W2242)+$Y$3</f>
        <v>-36.514029388465531</v>
      </c>
      <c r="D2248" s="7">
        <f>SUMPRODUCT($C$4:$X$4,'batch tool'!$B2242:$W2242)+$Y$4</f>
        <v>-44.639843068043824</v>
      </c>
      <c r="E2248" s="7">
        <f>SUMPRODUCT($C$5:$X$5,'batch tool'!$B2242:$W2242)+$Y$5</f>
        <v>-51.578889182477603</v>
      </c>
      <c r="F2248" s="7">
        <f>SUMPRODUCT($C$6:$X$6,'batch tool'!$B2242:$W2242)+$Y$6</f>
        <v>-47.741473633885199</v>
      </c>
      <c r="G2248" s="7">
        <f>SUMPRODUCT($C$7:$X$7,'batch tool'!$B2242:$W2242)+$Y$7</f>
        <v>-19.739516238059196</v>
      </c>
      <c r="H2248" s="7">
        <f t="shared" si="70"/>
        <v>-19.739516238059196</v>
      </c>
      <c r="I2248">
        <f t="shared" si="71"/>
        <v>6</v>
      </c>
      <c r="J2248" t="str" cm="1">
        <f t="array" ref="J2248">INDEX($A$2:$A$7,I2248)</f>
        <v>Segment 6- Self-Conscious Male</v>
      </c>
    </row>
    <row r="2249" spans="1:10" x14ac:dyDescent="0.25">
      <c r="A2249" s="1">
        <f>'batch tool'!A2243</f>
        <v>0</v>
      </c>
      <c r="B2249" s="7">
        <f>SUMPRODUCT($C$2:$X$2,'batch tool'!$B2243:$W2243)+$Y$2</f>
        <v>-49.12272534143483</v>
      </c>
      <c r="C2249" s="7">
        <f>SUMPRODUCT($C$3:$X$3,'batch tool'!$B2243:$W2243)+$Y$3</f>
        <v>-36.514029388465531</v>
      </c>
      <c r="D2249" s="7">
        <f>SUMPRODUCT($C$4:$X$4,'batch tool'!$B2243:$W2243)+$Y$4</f>
        <v>-44.639843068043824</v>
      </c>
      <c r="E2249" s="7">
        <f>SUMPRODUCT($C$5:$X$5,'batch tool'!$B2243:$W2243)+$Y$5</f>
        <v>-51.578889182477603</v>
      </c>
      <c r="F2249" s="7">
        <f>SUMPRODUCT($C$6:$X$6,'batch tool'!$B2243:$W2243)+$Y$6</f>
        <v>-47.741473633885199</v>
      </c>
      <c r="G2249" s="7">
        <f>SUMPRODUCT($C$7:$X$7,'batch tool'!$B2243:$W2243)+$Y$7</f>
        <v>-19.739516238059196</v>
      </c>
      <c r="H2249" s="7">
        <f t="shared" si="70"/>
        <v>-19.739516238059196</v>
      </c>
      <c r="I2249">
        <f t="shared" si="71"/>
        <v>6</v>
      </c>
      <c r="J2249" t="str" cm="1">
        <f t="array" ref="J2249">INDEX($A$2:$A$7,I2249)</f>
        <v>Segment 6- Self-Conscious Male</v>
      </c>
    </row>
    <row r="2250" spans="1:10" x14ac:dyDescent="0.25">
      <c r="A2250" s="1">
        <f>'batch tool'!A2244</f>
        <v>0</v>
      </c>
      <c r="B2250" s="7">
        <f>SUMPRODUCT($C$2:$X$2,'batch tool'!$B2244:$W2244)+$Y$2</f>
        <v>-49.12272534143483</v>
      </c>
      <c r="C2250" s="7">
        <f>SUMPRODUCT($C$3:$X$3,'batch tool'!$B2244:$W2244)+$Y$3</f>
        <v>-36.514029388465531</v>
      </c>
      <c r="D2250" s="7">
        <f>SUMPRODUCT($C$4:$X$4,'batch tool'!$B2244:$W2244)+$Y$4</f>
        <v>-44.639843068043824</v>
      </c>
      <c r="E2250" s="7">
        <f>SUMPRODUCT($C$5:$X$5,'batch tool'!$B2244:$W2244)+$Y$5</f>
        <v>-51.578889182477603</v>
      </c>
      <c r="F2250" s="7">
        <f>SUMPRODUCT($C$6:$X$6,'batch tool'!$B2244:$W2244)+$Y$6</f>
        <v>-47.741473633885199</v>
      </c>
      <c r="G2250" s="7">
        <f>SUMPRODUCT($C$7:$X$7,'batch tool'!$B2244:$W2244)+$Y$7</f>
        <v>-19.739516238059196</v>
      </c>
      <c r="H2250" s="7">
        <f t="shared" si="70"/>
        <v>-19.739516238059196</v>
      </c>
      <c r="I2250">
        <f t="shared" si="71"/>
        <v>6</v>
      </c>
      <c r="J2250" t="str" cm="1">
        <f t="array" ref="J2250">INDEX($A$2:$A$7,I2250)</f>
        <v>Segment 6- Self-Conscious Male</v>
      </c>
    </row>
    <row r="2251" spans="1:10" x14ac:dyDescent="0.25">
      <c r="A2251" s="1">
        <f>'batch tool'!A2245</f>
        <v>0</v>
      </c>
      <c r="B2251" s="7">
        <f>SUMPRODUCT($C$2:$X$2,'batch tool'!$B2245:$W2245)+$Y$2</f>
        <v>-49.12272534143483</v>
      </c>
      <c r="C2251" s="7">
        <f>SUMPRODUCT($C$3:$X$3,'batch tool'!$B2245:$W2245)+$Y$3</f>
        <v>-36.514029388465531</v>
      </c>
      <c r="D2251" s="7">
        <f>SUMPRODUCT($C$4:$X$4,'batch tool'!$B2245:$W2245)+$Y$4</f>
        <v>-44.639843068043824</v>
      </c>
      <c r="E2251" s="7">
        <f>SUMPRODUCT($C$5:$X$5,'batch tool'!$B2245:$W2245)+$Y$5</f>
        <v>-51.578889182477603</v>
      </c>
      <c r="F2251" s="7">
        <f>SUMPRODUCT($C$6:$X$6,'batch tool'!$B2245:$W2245)+$Y$6</f>
        <v>-47.741473633885199</v>
      </c>
      <c r="G2251" s="7">
        <f>SUMPRODUCT($C$7:$X$7,'batch tool'!$B2245:$W2245)+$Y$7</f>
        <v>-19.739516238059196</v>
      </c>
      <c r="H2251" s="7">
        <f t="shared" si="70"/>
        <v>-19.739516238059196</v>
      </c>
      <c r="I2251">
        <f t="shared" si="71"/>
        <v>6</v>
      </c>
      <c r="J2251" t="str" cm="1">
        <f t="array" ref="J2251">INDEX($A$2:$A$7,I2251)</f>
        <v>Segment 6- Self-Conscious Male</v>
      </c>
    </row>
    <row r="2252" spans="1:10" x14ac:dyDescent="0.25">
      <c r="A2252" s="1">
        <f>'batch tool'!A2246</f>
        <v>0</v>
      </c>
      <c r="B2252" s="7">
        <f>SUMPRODUCT($C$2:$X$2,'batch tool'!$B2246:$W2246)+$Y$2</f>
        <v>-49.12272534143483</v>
      </c>
      <c r="C2252" s="7">
        <f>SUMPRODUCT($C$3:$X$3,'batch tool'!$B2246:$W2246)+$Y$3</f>
        <v>-36.514029388465531</v>
      </c>
      <c r="D2252" s="7">
        <f>SUMPRODUCT($C$4:$X$4,'batch tool'!$B2246:$W2246)+$Y$4</f>
        <v>-44.639843068043824</v>
      </c>
      <c r="E2252" s="7">
        <f>SUMPRODUCT($C$5:$X$5,'batch tool'!$B2246:$W2246)+$Y$5</f>
        <v>-51.578889182477603</v>
      </c>
      <c r="F2252" s="7">
        <f>SUMPRODUCT($C$6:$X$6,'batch tool'!$B2246:$W2246)+$Y$6</f>
        <v>-47.741473633885199</v>
      </c>
      <c r="G2252" s="7">
        <f>SUMPRODUCT($C$7:$X$7,'batch tool'!$B2246:$W2246)+$Y$7</f>
        <v>-19.739516238059196</v>
      </c>
      <c r="H2252" s="7">
        <f t="shared" si="70"/>
        <v>-19.739516238059196</v>
      </c>
      <c r="I2252">
        <f t="shared" si="71"/>
        <v>6</v>
      </c>
      <c r="J2252" t="str" cm="1">
        <f t="array" ref="J2252">INDEX($A$2:$A$7,I2252)</f>
        <v>Segment 6- Self-Conscious Male</v>
      </c>
    </row>
    <row r="2253" spans="1:10" x14ac:dyDescent="0.25">
      <c r="A2253" s="1">
        <f>'batch tool'!A2247</f>
        <v>0</v>
      </c>
      <c r="B2253" s="7">
        <f>SUMPRODUCT($C$2:$X$2,'batch tool'!$B2247:$W2247)+$Y$2</f>
        <v>-49.12272534143483</v>
      </c>
      <c r="C2253" s="7">
        <f>SUMPRODUCT($C$3:$X$3,'batch tool'!$B2247:$W2247)+$Y$3</f>
        <v>-36.514029388465531</v>
      </c>
      <c r="D2253" s="7">
        <f>SUMPRODUCT($C$4:$X$4,'batch tool'!$B2247:$W2247)+$Y$4</f>
        <v>-44.639843068043824</v>
      </c>
      <c r="E2253" s="7">
        <f>SUMPRODUCT($C$5:$X$5,'batch tool'!$B2247:$W2247)+$Y$5</f>
        <v>-51.578889182477603</v>
      </c>
      <c r="F2253" s="7">
        <f>SUMPRODUCT($C$6:$X$6,'batch tool'!$B2247:$W2247)+$Y$6</f>
        <v>-47.741473633885199</v>
      </c>
      <c r="G2253" s="7">
        <f>SUMPRODUCT($C$7:$X$7,'batch tool'!$B2247:$W2247)+$Y$7</f>
        <v>-19.739516238059196</v>
      </c>
      <c r="H2253" s="7">
        <f t="shared" si="70"/>
        <v>-19.739516238059196</v>
      </c>
      <c r="I2253">
        <f t="shared" si="71"/>
        <v>6</v>
      </c>
      <c r="J2253" t="str" cm="1">
        <f t="array" ref="J2253">INDEX($A$2:$A$7,I2253)</f>
        <v>Segment 6- Self-Conscious Male</v>
      </c>
    </row>
    <row r="2254" spans="1:10" x14ac:dyDescent="0.25">
      <c r="A2254" s="1">
        <f>'batch tool'!A2248</f>
        <v>0</v>
      </c>
      <c r="B2254" s="7">
        <f>SUMPRODUCT($C$2:$X$2,'batch tool'!$B2248:$W2248)+$Y$2</f>
        <v>-49.12272534143483</v>
      </c>
      <c r="C2254" s="7">
        <f>SUMPRODUCT($C$3:$X$3,'batch tool'!$B2248:$W2248)+$Y$3</f>
        <v>-36.514029388465531</v>
      </c>
      <c r="D2254" s="7">
        <f>SUMPRODUCT($C$4:$X$4,'batch tool'!$B2248:$W2248)+$Y$4</f>
        <v>-44.639843068043824</v>
      </c>
      <c r="E2254" s="7">
        <f>SUMPRODUCT($C$5:$X$5,'batch tool'!$B2248:$W2248)+$Y$5</f>
        <v>-51.578889182477603</v>
      </c>
      <c r="F2254" s="7">
        <f>SUMPRODUCT($C$6:$X$6,'batch tool'!$B2248:$W2248)+$Y$6</f>
        <v>-47.741473633885199</v>
      </c>
      <c r="G2254" s="7">
        <f>SUMPRODUCT($C$7:$X$7,'batch tool'!$B2248:$W2248)+$Y$7</f>
        <v>-19.739516238059196</v>
      </c>
      <c r="H2254" s="7">
        <f t="shared" si="70"/>
        <v>-19.739516238059196</v>
      </c>
      <c r="I2254">
        <f t="shared" si="71"/>
        <v>6</v>
      </c>
      <c r="J2254" t="str" cm="1">
        <f t="array" ref="J2254">INDEX($A$2:$A$7,I2254)</f>
        <v>Segment 6- Self-Conscious Male</v>
      </c>
    </row>
    <row r="2255" spans="1:10" x14ac:dyDescent="0.25">
      <c r="A2255" s="1">
        <f>'batch tool'!A2249</f>
        <v>0</v>
      </c>
      <c r="B2255" s="7">
        <f>SUMPRODUCT($C$2:$X$2,'batch tool'!$B2249:$W2249)+$Y$2</f>
        <v>-49.12272534143483</v>
      </c>
      <c r="C2255" s="7">
        <f>SUMPRODUCT($C$3:$X$3,'batch tool'!$B2249:$W2249)+$Y$3</f>
        <v>-36.514029388465531</v>
      </c>
      <c r="D2255" s="7">
        <f>SUMPRODUCT($C$4:$X$4,'batch tool'!$B2249:$W2249)+$Y$4</f>
        <v>-44.639843068043824</v>
      </c>
      <c r="E2255" s="7">
        <f>SUMPRODUCT($C$5:$X$5,'batch tool'!$B2249:$W2249)+$Y$5</f>
        <v>-51.578889182477603</v>
      </c>
      <c r="F2255" s="7">
        <f>SUMPRODUCT($C$6:$X$6,'batch tool'!$B2249:$W2249)+$Y$6</f>
        <v>-47.741473633885199</v>
      </c>
      <c r="G2255" s="7">
        <f>SUMPRODUCT($C$7:$X$7,'batch tool'!$B2249:$W2249)+$Y$7</f>
        <v>-19.739516238059196</v>
      </c>
      <c r="H2255" s="7">
        <f t="shared" si="70"/>
        <v>-19.739516238059196</v>
      </c>
      <c r="I2255">
        <f t="shared" si="71"/>
        <v>6</v>
      </c>
      <c r="J2255" t="str" cm="1">
        <f t="array" ref="J2255">INDEX($A$2:$A$7,I2255)</f>
        <v>Segment 6- Self-Conscious Male</v>
      </c>
    </row>
    <row r="2256" spans="1:10" x14ac:dyDescent="0.25">
      <c r="A2256" s="1">
        <f>'batch tool'!A2250</f>
        <v>0</v>
      </c>
      <c r="B2256" s="7">
        <f>SUMPRODUCT($C$2:$X$2,'batch tool'!$B2250:$W2250)+$Y$2</f>
        <v>-49.12272534143483</v>
      </c>
      <c r="C2256" s="7">
        <f>SUMPRODUCT($C$3:$X$3,'batch tool'!$B2250:$W2250)+$Y$3</f>
        <v>-36.514029388465531</v>
      </c>
      <c r="D2256" s="7">
        <f>SUMPRODUCT($C$4:$X$4,'batch tool'!$B2250:$W2250)+$Y$4</f>
        <v>-44.639843068043824</v>
      </c>
      <c r="E2256" s="7">
        <f>SUMPRODUCT($C$5:$X$5,'batch tool'!$B2250:$W2250)+$Y$5</f>
        <v>-51.578889182477603</v>
      </c>
      <c r="F2256" s="7">
        <f>SUMPRODUCT($C$6:$X$6,'batch tool'!$B2250:$W2250)+$Y$6</f>
        <v>-47.741473633885199</v>
      </c>
      <c r="G2256" s="7">
        <f>SUMPRODUCT($C$7:$X$7,'batch tool'!$B2250:$W2250)+$Y$7</f>
        <v>-19.739516238059196</v>
      </c>
      <c r="H2256" s="7">
        <f t="shared" si="70"/>
        <v>-19.739516238059196</v>
      </c>
      <c r="I2256">
        <f t="shared" si="71"/>
        <v>6</v>
      </c>
      <c r="J2256" t="str" cm="1">
        <f t="array" ref="J2256">INDEX($A$2:$A$7,I2256)</f>
        <v>Segment 6- Self-Conscious Male</v>
      </c>
    </row>
    <row r="2257" spans="1:10" x14ac:dyDescent="0.25">
      <c r="A2257" s="1">
        <f>'batch tool'!A2251</f>
        <v>0</v>
      </c>
      <c r="B2257" s="7">
        <f>SUMPRODUCT($C$2:$X$2,'batch tool'!$B2251:$W2251)+$Y$2</f>
        <v>-49.12272534143483</v>
      </c>
      <c r="C2257" s="7">
        <f>SUMPRODUCT($C$3:$X$3,'batch tool'!$B2251:$W2251)+$Y$3</f>
        <v>-36.514029388465531</v>
      </c>
      <c r="D2257" s="7">
        <f>SUMPRODUCT($C$4:$X$4,'batch tool'!$B2251:$W2251)+$Y$4</f>
        <v>-44.639843068043824</v>
      </c>
      <c r="E2257" s="7">
        <f>SUMPRODUCT($C$5:$X$5,'batch tool'!$B2251:$W2251)+$Y$5</f>
        <v>-51.578889182477603</v>
      </c>
      <c r="F2257" s="7">
        <f>SUMPRODUCT($C$6:$X$6,'batch tool'!$B2251:$W2251)+$Y$6</f>
        <v>-47.741473633885199</v>
      </c>
      <c r="G2257" s="7">
        <f>SUMPRODUCT($C$7:$X$7,'batch tool'!$B2251:$W2251)+$Y$7</f>
        <v>-19.739516238059196</v>
      </c>
      <c r="H2257" s="7">
        <f t="shared" si="70"/>
        <v>-19.739516238059196</v>
      </c>
      <c r="I2257">
        <f t="shared" si="71"/>
        <v>6</v>
      </c>
      <c r="J2257" t="str" cm="1">
        <f t="array" ref="J2257">INDEX($A$2:$A$7,I2257)</f>
        <v>Segment 6- Self-Conscious Male</v>
      </c>
    </row>
    <row r="2258" spans="1:10" x14ac:dyDescent="0.25">
      <c r="A2258" s="1">
        <f>'batch tool'!A2252</f>
        <v>0</v>
      </c>
      <c r="B2258" s="7">
        <f>SUMPRODUCT($C$2:$X$2,'batch tool'!$B2252:$W2252)+$Y$2</f>
        <v>-49.12272534143483</v>
      </c>
      <c r="C2258" s="7">
        <f>SUMPRODUCT($C$3:$X$3,'batch tool'!$B2252:$W2252)+$Y$3</f>
        <v>-36.514029388465531</v>
      </c>
      <c r="D2258" s="7">
        <f>SUMPRODUCT($C$4:$X$4,'batch tool'!$B2252:$W2252)+$Y$4</f>
        <v>-44.639843068043824</v>
      </c>
      <c r="E2258" s="7">
        <f>SUMPRODUCT($C$5:$X$5,'batch tool'!$B2252:$W2252)+$Y$5</f>
        <v>-51.578889182477603</v>
      </c>
      <c r="F2258" s="7">
        <f>SUMPRODUCT($C$6:$X$6,'batch tool'!$B2252:$W2252)+$Y$6</f>
        <v>-47.741473633885199</v>
      </c>
      <c r="G2258" s="7">
        <f>SUMPRODUCT($C$7:$X$7,'batch tool'!$B2252:$W2252)+$Y$7</f>
        <v>-19.739516238059196</v>
      </c>
      <c r="H2258" s="7">
        <f t="shared" si="70"/>
        <v>-19.739516238059196</v>
      </c>
      <c r="I2258">
        <f t="shared" si="71"/>
        <v>6</v>
      </c>
      <c r="J2258" t="str" cm="1">
        <f t="array" ref="J2258">INDEX($A$2:$A$7,I2258)</f>
        <v>Segment 6- Self-Conscious Male</v>
      </c>
    </row>
    <row r="2259" spans="1:10" x14ac:dyDescent="0.25">
      <c r="A2259" s="1">
        <f>'batch tool'!A2253</f>
        <v>0</v>
      </c>
      <c r="B2259" s="7">
        <f>SUMPRODUCT($C$2:$X$2,'batch tool'!$B2253:$W2253)+$Y$2</f>
        <v>-49.12272534143483</v>
      </c>
      <c r="C2259" s="7">
        <f>SUMPRODUCT($C$3:$X$3,'batch tool'!$B2253:$W2253)+$Y$3</f>
        <v>-36.514029388465531</v>
      </c>
      <c r="D2259" s="7">
        <f>SUMPRODUCT($C$4:$X$4,'batch tool'!$B2253:$W2253)+$Y$4</f>
        <v>-44.639843068043824</v>
      </c>
      <c r="E2259" s="7">
        <f>SUMPRODUCT($C$5:$X$5,'batch tool'!$B2253:$W2253)+$Y$5</f>
        <v>-51.578889182477603</v>
      </c>
      <c r="F2259" s="7">
        <f>SUMPRODUCT($C$6:$X$6,'batch tool'!$B2253:$W2253)+$Y$6</f>
        <v>-47.741473633885199</v>
      </c>
      <c r="G2259" s="7">
        <f>SUMPRODUCT($C$7:$X$7,'batch tool'!$B2253:$W2253)+$Y$7</f>
        <v>-19.739516238059196</v>
      </c>
      <c r="H2259" s="7">
        <f t="shared" si="70"/>
        <v>-19.739516238059196</v>
      </c>
      <c r="I2259">
        <f t="shared" si="71"/>
        <v>6</v>
      </c>
      <c r="J2259" t="str" cm="1">
        <f t="array" ref="J2259">INDEX($A$2:$A$7,I2259)</f>
        <v>Segment 6- Self-Conscious Male</v>
      </c>
    </row>
    <row r="2260" spans="1:10" x14ac:dyDescent="0.25">
      <c r="A2260" s="1">
        <f>'batch tool'!A2254</f>
        <v>0</v>
      </c>
      <c r="B2260" s="7">
        <f>SUMPRODUCT($C$2:$X$2,'batch tool'!$B2254:$W2254)+$Y$2</f>
        <v>-49.12272534143483</v>
      </c>
      <c r="C2260" s="7">
        <f>SUMPRODUCT($C$3:$X$3,'batch tool'!$B2254:$W2254)+$Y$3</f>
        <v>-36.514029388465531</v>
      </c>
      <c r="D2260" s="7">
        <f>SUMPRODUCT($C$4:$X$4,'batch tool'!$B2254:$W2254)+$Y$4</f>
        <v>-44.639843068043824</v>
      </c>
      <c r="E2260" s="7">
        <f>SUMPRODUCT($C$5:$X$5,'batch tool'!$B2254:$W2254)+$Y$5</f>
        <v>-51.578889182477603</v>
      </c>
      <c r="F2260" s="7">
        <f>SUMPRODUCT($C$6:$X$6,'batch tool'!$B2254:$W2254)+$Y$6</f>
        <v>-47.741473633885199</v>
      </c>
      <c r="G2260" s="7">
        <f>SUMPRODUCT($C$7:$X$7,'batch tool'!$B2254:$W2254)+$Y$7</f>
        <v>-19.739516238059196</v>
      </c>
      <c r="H2260" s="7">
        <f t="shared" si="70"/>
        <v>-19.739516238059196</v>
      </c>
      <c r="I2260">
        <f t="shared" si="71"/>
        <v>6</v>
      </c>
      <c r="J2260" t="str" cm="1">
        <f t="array" ref="J2260">INDEX($A$2:$A$7,I2260)</f>
        <v>Segment 6- Self-Conscious Male</v>
      </c>
    </row>
    <row r="2261" spans="1:10" x14ac:dyDescent="0.25">
      <c r="A2261" s="1">
        <f>'batch tool'!A2255</f>
        <v>0</v>
      </c>
      <c r="B2261" s="7">
        <f>SUMPRODUCT($C$2:$X$2,'batch tool'!$B2255:$W2255)+$Y$2</f>
        <v>-49.12272534143483</v>
      </c>
      <c r="C2261" s="7">
        <f>SUMPRODUCT($C$3:$X$3,'batch tool'!$B2255:$W2255)+$Y$3</f>
        <v>-36.514029388465531</v>
      </c>
      <c r="D2261" s="7">
        <f>SUMPRODUCT($C$4:$X$4,'batch tool'!$B2255:$W2255)+$Y$4</f>
        <v>-44.639843068043824</v>
      </c>
      <c r="E2261" s="7">
        <f>SUMPRODUCT($C$5:$X$5,'batch tool'!$B2255:$W2255)+$Y$5</f>
        <v>-51.578889182477603</v>
      </c>
      <c r="F2261" s="7">
        <f>SUMPRODUCT($C$6:$X$6,'batch tool'!$B2255:$W2255)+$Y$6</f>
        <v>-47.741473633885199</v>
      </c>
      <c r="G2261" s="7">
        <f>SUMPRODUCT($C$7:$X$7,'batch tool'!$B2255:$W2255)+$Y$7</f>
        <v>-19.739516238059196</v>
      </c>
      <c r="H2261" s="7">
        <f t="shared" si="70"/>
        <v>-19.739516238059196</v>
      </c>
      <c r="I2261">
        <f t="shared" si="71"/>
        <v>6</v>
      </c>
      <c r="J2261" t="str" cm="1">
        <f t="array" ref="J2261">INDEX($A$2:$A$7,I2261)</f>
        <v>Segment 6- Self-Conscious Male</v>
      </c>
    </row>
    <row r="2262" spans="1:10" x14ac:dyDescent="0.25">
      <c r="A2262" s="1">
        <f>'batch tool'!A2256</f>
        <v>0</v>
      </c>
      <c r="B2262" s="7">
        <f>SUMPRODUCT($C$2:$X$2,'batch tool'!$B2256:$W2256)+$Y$2</f>
        <v>-49.12272534143483</v>
      </c>
      <c r="C2262" s="7">
        <f>SUMPRODUCT($C$3:$X$3,'batch tool'!$B2256:$W2256)+$Y$3</f>
        <v>-36.514029388465531</v>
      </c>
      <c r="D2262" s="7">
        <f>SUMPRODUCT($C$4:$X$4,'batch tool'!$B2256:$W2256)+$Y$4</f>
        <v>-44.639843068043824</v>
      </c>
      <c r="E2262" s="7">
        <f>SUMPRODUCT($C$5:$X$5,'batch tool'!$B2256:$W2256)+$Y$5</f>
        <v>-51.578889182477603</v>
      </c>
      <c r="F2262" s="7">
        <f>SUMPRODUCT($C$6:$X$6,'batch tool'!$B2256:$W2256)+$Y$6</f>
        <v>-47.741473633885199</v>
      </c>
      <c r="G2262" s="7">
        <f>SUMPRODUCT($C$7:$X$7,'batch tool'!$B2256:$W2256)+$Y$7</f>
        <v>-19.739516238059196</v>
      </c>
      <c r="H2262" s="7">
        <f t="shared" si="70"/>
        <v>-19.739516238059196</v>
      </c>
      <c r="I2262">
        <f t="shared" si="71"/>
        <v>6</v>
      </c>
      <c r="J2262" t="str" cm="1">
        <f t="array" ref="J2262">INDEX($A$2:$A$7,I2262)</f>
        <v>Segment 6- Self-Conscious Male</v>
      </c>
    </row>
    <row r="2263" spans="1:10" x14ac:dyDescent="0.25">
      <c r="A2263" s="1">
        <f>'batch tool'!A2257</f>
        <v>0</v>
      </c>
      <c r="B2263" s="7">
        <f>SUMPRODUCT($C$2:$X$2,'batch tool'!$B2257:$W2257)+$Y$2</f>
        <v>-49.12272534143483</v>
      </c>
      <c r="C2263" s="7">
        <f>SUMPRODUCT($C$3:$X$3,'batch tool'!$B2257:$W2257)+$Y$3</f>
        <v>-36.514029388465531</v>
      </c>
      <c r="D2263" s="7">
        <f>SUMPRODUCT($C$4:$X$4,'batch tool'!$B2257:$W2257)+$Y$4</f>
        <v>-44.639843068043824</v>
      </c>
      <c r="E2263" s="7">
        <f>SUMPRODUCT($C$5:$X$5,'batch tool'!$B2257:$W2257)+$Y$5</f>
        <v>-51.578889182477603</v>
      </c>
      <c r="F2263" s="7">
        <f>SUMPRODUCT($C$6:$X$6,'batch tool'!$B2257:$W2257)+$Y$6</f>
        <v>-47.741473633885199</v>
      </c>
      <c r="G2263" s="7">
        <f>SUMPRODUCT($C$7:$X$7,'batch tool'!$B2257:$W2257)+$Y$7</f>
        <v>-19.739516238059196</v>
      </c>
      <c r="H2263" s="7">
        <f t="shared" si="70"/>
        <v>-19.739516238059196</v>
      </c>
      <c r="I2263">
        <f t="shared" si="71"/>
        <v>6</v>
      </c>
      <c r="J2263" t="str" cm="1">
        <f t="array" ref="J2263">INDEX($A$2:$A$7,I2263)</f>
        <v>Segment 6- Self-Conscious Male</v>
      </c>
    </row>
    <row r="2264" spans="1:10" x14ac:dyDescent="0.25">
      <c r="A2264" s="1">
        <f>'batch tool'!A2258</f>
        <v>0</v>
      </c>
      <c r="B2264" s="7">
        <f>SUMPRODUCT($C$2:$X$2,'batch tool'!$B2258:$W2258)+$Y$2</f>
        <v>-49.12272534143483</v>
      </c>
      <c r="C2264" s="7">
        <f>SUMPRODUCT($C$3:$X$3,'batch tool'!$B2258:$W2258)+$Y$3</f>
        <v>-36.514029388465531</v>
      </c>
      <c r="D2264" s="7">
        <f>SUMPRODUCT($C$4:$X$4,'batch tool'!$B2258:$W2258)+$Y$4</f>
        <v>-44.639843068043824</v>
      </c>
      <c r="E2264" s="7">
        <f>SUMPRODUCT($C$5:$X$5,'batch tool'!$B2258:$W2258)+$Y$5</f>
        <v>-51.578889182477603</v>
      </c>
      <c r="F2264" s="7">
        <f>SUMPRODUCT($C$6:$X$6,'batch tool'!$B2258:$W2258)+$Y$6</f>
        <v>-47.741473633885199</v>
      </c>
      <c r="G2264" s="7">
        <f>SUMPRODUCT($C$7:$X$7,'batch tool'!$B2258:$W2258)+$Y$7</f>
        <v>-19.739516238059196</v>
      </c>
      <c r="H2264" s="7">
        <f t="shared" si="70"/>
        <v>-19.739516238059196</v>
      </c>
      <c r="I2264">
        <f t="shared" si="71"/>
        <v>6</v>
      </c>
      <c r="J2264" t="str" cm="1">
        <f t="array" ref="J2264">INDEX($A$2:$A$7,I2264)</f>
        <v>Segment 6- Self-Conscious Male</v>
      </c>
    </row>
    <row r="2265" spans="1:10" x14ac:dyDescent="0.25">
      <c r="A2265" s="1">
        <f>'batch tool'!A2259</f>
        <v>0</v>
      </c>
      <c r="B2265" s="7">
        <f>SUMPRODUCT($C$2:$X$2,'batch tool'!$B2259:$W2259)+$Y$2</f>
        <v>-49.12272534143483</v>
      </c>
      <c r="C2265" s="7">
        <f>SUMPRODUCT($C$3:$X$3,'batch tool'!$B2259:$W2259)+$Y$3</f>
        <v>-36.514029388465531</v>
      </c>
      <c r="D2265" s="7">
        <f>SUMPRODUCT($C$4:$X$4,'batch tool'!$B2259:$W2259)+$Y$4</f>
        <v>-44.639843068043824</v>
      </c>
      <c r="E2265" s="7">
        <f>SUMPRODUCT($C$5:$X$5,'batch tool'!$B2259:$W2259)+$Y$5</f>
        <v>-51.578889182477603</v>
      </c>
      <c r="F2265" s="7">
        <f>SUMPRODUCT($C$6:$X$6,'batch tool'!$B2259:$W2259)+$Y$6</f>
        <v>-47.741473633885199</v>
      </c>
      <c r="G2265" s="7">
        <f>SUMPRODUCT($C$7:$X$7,'batch tool'!$B2259:$W2259)+$Y$7</f>
        <v>-19.739516238059196</v>
      </c>
      <c r="H2265" s="7">
        <f t="shared" si="70"/>
        <v>-19.739516238059196</v>
      </c>
      <c r="I2265">
        <f t="shared" si="71"/>
        <v>6</v>
      </c>
      <c r="J2265" t="str" cm="1">
        <f t="array" ref="J2265">INDEX($A$2:$A$7,I2265)</f>
        <v>Segment 6- Self-Conscious Male</v>
      </c>
    </row>
    <row r="2266" spans="1:10" x14ac:dyDescent="0.25">
      <c r="A2266" s="1">
        <f>'batch tool'!A2260</f>
        <v>0</v>
      </c>
      <c r="B2266" s="7">
        <f>SUMPRODUCT($C$2:$X$2,'batch tool'!$B2260:$W2260)+$Y$2</f>
        <v>-49.12272534143483</v>
      </c>
      <c r="C2266" s="7">
        <f>SUMPRODUCT($C$3:$X$3,'batch tool'!$B2260:$W2260)+$Y$3</f>
        <v>-36.514029388465531</v>
      </c>
      <c r="D2266" s="7">
        <f>SUMPRODUCT($C$4:$X$4,'batch tool'!$B2260:$W2260)+$Y$4</f>
        <v>-44.639843068043824</v>
      </c>
      <c r="E2266" s="7">
        <f>SUMPRODUCT($C$5:$X$5,'batch tool'!$B2260:$W2260)+$Y$5</f>
        <v>-51.578889182477603</v>
      </c>
      <c r="F2266" s="7">
        <f>SUMPRODUCT($C$6:$X$6,'batch tool'!$B2260:$W2260)+$Y$6</f>
        <v>-47.741473633885199</v>
      </c>
      <c r="G2266" s="7">
        <f>SUMPRODUCT($C$7:$X$7,'batch tool'!$B2260:$W2260)+$Y$7</f>
        <v>-19.739516238059196</v>
      </c>
      <c r="H2266" s="7">
        <f t="shared" si="70"/>
        <v>-19.739516238059196</v>
      </c>
      <c r="I2266">
        <f t="shared" si="71"/>
        <v>6</v>
      </c>
      <c r="J2266" t="str" cm="1">
        <f t="array" ref="J2266">INDEX($A$2:$A$7,I2266)</f>
        <v>Segment 6- Self-Conscious Male</v>
      </c>
    </row>
    <row r="2267" spans="1:10" x14ac:dyDescent="0.25">
      <c r="A2267" s="1">
        <f>'batch tool'!A2261</f>
        <v>0</v>
      </c>
      <c r="B2267" s="7">
        <f>SUMPRODUCT($C$2:$X$2,'batch tool'!$B2261:$W2261)+$Y$2</f>
        <v>-49.12272534143483</v>
      </c>
      <c r="C2267" s="7">
        <f>SUMPRODUCT($C$3:$X$3,'batch tool'!$B2261:$W2261)+$Y$3</f>
        <v>-36.514029388465531</v>
      </c>
      <c r="D2267" s="7">
        <f>SUMPRODUCT($C$4:$X$4,'batch tool'!$B2261:$W2261)+$Y$4</f>
        <v>-44.639843068043824</v>
      </c>
      <c r="E2267" s="7">
        <f>SUMPRODUCT($C$5:$X$5,'batch tool'!$B2261:$W2261)+$Y$5</f>
        <v>-51.578889182477603</v>
      </c>
      <c r="F2267" s="7">
        <f>SUMPRODUCT($C$6:$X$6,'batch tool'!$B2261:$W2261)+$Y$6</f>
        <v>-47.741473633885199</v>
      </c>
      <c r="G2267" s="7">
        <f>SUMPRODUCT($C$7:$X$7,'batch tool'!$B2261:$W2261)+$Y$7</f>
        <v>-19.739516238059196</v>
      </c>
      <c r="H2267" s="7">
        <f t="shared" ref="H2267:H2330" si="72">MAX(B2267:G2267)</f>
        <v>-19.739516238059196</v>
      </c>
      <c r="I2267">
        <f t="shared" ref="I2267:I2330" si="73">MATCH(H2267,B2267:G2267,0)</f>
        <v>6</v>
      </c>
      <c r="J2267" t="str" cm="1">
        <f t="array" ref="J2267">INDEX($A$2:$A$7,I2267)</f>
        <v>Segment 6- Self-Conscious Male</v>
      </c>
    </row>
    <row r="2268" spans="1:10" x14ac:dyDescent="0.25">
      <c r="A2268" s="1">
        <f>'batch tool'!A2262</f>
        <v>0</v>
      </c>
      <c r="B2268" s="7">
        <f>SUMPRODUCT($C$2:$X$2,'batch tool'!$B2262:$W2262)+$Y$2</f>
        <v>-49.12272534143483</v>
      </c>
      <c r="C2268" s="7">
        <f>SUMPRODUCT($C$3:$X$3,'batch tool'!$B2262:$W2262)+$Y$3</f>
        <v>-36.514029388465531</v>
      </c>
      <c r="D2268" s="7">
        <f>SUMPRODUCT($C$4:$X$4,'batch tool'!$B2262:$W2262)+$Y$4</f>
        <v>-44.639843068043824</v>
      </c>
      <c r="E2268" s="7">
        <f>SUMPRODUCT($C$5:$X$5,'batch tool'!$B2262:$W2262)+$Y$5</f>
        <v>-51.578889182477603</v>
      </c>
      <c r="F2268" s="7">
        <f>SUMPRODUCT($C$6:$X$6,'batch tool'!$B2262:$W2262)+$Y$6</f>
        <v>-47.741473633885199</v>
      </c>
      <c r="G2268" s="7">
        <f>SUMPRODUCT($C$7:$X$7,'batch tool'!$B2262:$W2262)+$Y$7</f>
        <v>-19.739516238059196</v>
      </c>
      <c r="H2268" s="7">
        <f t="shared" si="72"/>
        <v>-19.739516238059196</v>
      </c>
      <c r="I2268">
        <f t="shared" si="73"/>
        <v>6</v>
      </c>
      <c r="J2268" t="str" cm="1">
        <f t="array" ref="J2268">INDEX($A$2:$A$7,I2268)</f>
        <v>Segment 6- Self-Conscious Male</v>
      </c>
    </row>
    <row r="2269" spans="1:10" x14ac:dyDescent="0.25">
      <c r="A2269" s="1">
        <f>'batch tool'!A2263</f>
        <v>0</v>
      </c>
      <c r="B2269" s="7">
        <f>SUMPRODUCT($C$2:$X$2,'batch tool'!$B2263:$W2263)+$Y$2</f>
        <v>-49.12272534143483</v>
      </c>
      <c r="C2269" s="7">
        <f>SUMPRODUCT($C$3:$X$3,'batch tool'!$B2263:$W2263)+$Y$3</f>
        <v>-36.514029388465531</v>
      </c>
      <c r="D2269" s="7">
        <f>SUMPRODUCT($C$4:$X$4,'batch tool'!$B2263:$W2263)+$Y$4</f>
        <v>-44.639843068043824</v>
      </c>
      <c r="E2269" s="7">
        <f>SUMPRODUCT($C$5:$X$5,'batch tool'!$B2263:$W2263)+$Y$5</f>
        <v>-51.578889182477603</v>
      </c>
      <c r="F2269" s="7">
        <f>SUMPRODUCT($C$6:$X$6,'batch tool'!$B2263:$W2263)+$Y$6</f>
        <v>-47.741473633885199</v>
      </c>
      <c r="G2269" s="7">
        <f>SUMPRODUCT($C$7:$X$7,'batch tool'!$B2263:$W2263)+$Y$7</f>
        <v>-19.739516238059196</v>
      </c>
      <c r="H2269" s="7">
        <f t="shared" si="72"/>
        <v>-19.739516238059196</v>
      </c>
      <c r="I2269">
        <f t="shared" si="73"/>
        <v>6</v>
      </c>
      <c r="J2269" t="str" cm="1">
        <f t="array" ref="J2269">INDEX($A$2:$A$7,I2269)</f>
        <v>Segment 6- Self-Conscious Male</v>
      </c>
    </row>
    <row r="2270" spans="1:10" x14ac:dyDescent="0.25">
      <c r="A2270" s="1">
        <f>'batch tool'!A2264</f>
        <v>0</v>
      </c>
      <c r="B2270" s="7">
        <f>SUMPRODUCT($C$2:$X$2,'batch tool'!$B2264:$W2264)+$Y$2</f>
        <v>-49.12272534143483</v>
      </c>
      <c r="C2270" s="7">
        <f>SUMPRODUCT($C$3:$X$3,'batch tool'!$B2264:$W2264)+$Y$3</f>
        <v>-36.514029388465531</v>
      </c>
      <c r="D2270" s="7">
        <f>SUMPRODUCT($C$4:$X$4,'batch tool'!$B2264:$W2264)+$Y$4</f>
        <v>-44.639843068043824</v>
      </c>
      <c r="E2270" s="7">
        <f>SUMPRODUCT($C$5:$X$5,'batch tool'!$B2264:$W2264)+$Y$5</f>
        <v>-51.578889182477603</v>
      </c>
      <c r="F2270" s="7">
        <f>SUMPRODUCT($C$6:$X$6,'batch tool'!$B2264:$W2264)+$Y$6</f>
        <v>-47.741473633885199</v>
      </c>
      <c r="G2270" s="7">
        <f>SUMPRODUCT($C$7:$X$7,'batch tool'!$B2264:$W2264)+$Y$7</f>
        <v>-19.739516238059196</v>
      </c>
      <c r="H2270" s="7">
        <f t="shared" si="72"/>
        <v>-19.739516238059196</v>
      </c>
      <c r="I2270">
        <f t="shared" si="73"/>
        <v>6</v>
      </c>
      <c r="J2270" t="str" cm="1">
        <f t="array" ref="J2270">INDEX($A$2:$A$7,I2270)</f>
        <v>Segment 6- Self-Conscious Male</v>
      </c>
    </row>
    <row r="2271" spans="1:10" x14ac:dyDescent="0.25">
      <c r="A2271" s="1">
        <f>'batch tool'!A2265</f>
        <v>0</v>
      </c>
      <c r="B2271" s="7">
        <f>SUMPRODUCT($C$2:$X$2,'batch tool'!$B2265:$W2265)+$Y$2</f>
        <v>-49.12272534143483</v>
      </c>
      <c r="C2271" s="7">
        <f>SUMPRODUCT($C$3:$X$3,'batch tool'!$B2265:$W2265)+$Y$3</f>
        <v>-36.514029388465531</v>
      </c>
      <c r="D2271" s="7">
        <f>SUMPRODUCT($C$4:$X$4,'batch tool'!$B2265:$W2265)+$Y$4</f>
        <v>-44.639843068043824</v>
      </c>
      <c r="E2271" s="7">
        <f>SUMPRODUCT($C$5:$X$5,'batch tool'!$B2265:$W2265)+$Y$5</f>
        <v>-51.578889182477603</v>
      </c>
      <c r="F2271" s="7">
        <f>SUMPRODUCT($C$6:$X$6,'batch tool'!$B2265:$W2265)+$Y$6</f>
        <v>-47.741473633885199</v>
      </c>
      <c r="G2271" s="7">
        <f>SUMPRODUCT($C$7:$X$7,'batch tool'!$B2265:$W2265)+$Y$7</f>
        <v>-19.739516238059196</v>
      </c>
      <c r="H2271" s="7">
        <f t="shared" si="72"/>
        <v>-19.739516238059196</v>
      </c>
      <c r="I2271">
        <f t="shared" si="73"/>
        <v>6</v>
      </c>
      <c r="J2271" t="str" cm="1">
        <f t="array" ref="J2271">INDEX($A$2:$A$7,I2271)</f>
        <v>Segment 6- Self-Conscious Male</v>
      </c>
    </row>
    <row r="2272" spans="1:10" x14ac:dyDescent="0.25">
      <c r="A2272" s="1">
        <f>'batch tool'!A2266</f>
        <v>0</v>
      </c>
      <c r="B2272" s="7">
        <f>SUMPRODUCT($C$2:$X$2,'batch tool'!$B2266:$W2266)+$Y$2</f>
        <v>-49.12272534143483</v>
      </c>
      <c r="C2272" s="7">
        <f>SUMPRODUCT($C$3:$X$3,'batch tool'!$B2266:$W2266)+$Y$3</f>
        <v>-36.514029388465531</v>
      </c>
      <c r="D2272" s="7">
        <f>SUMPRODUCT($C$4:$X$4,'batch tool'!$B2266:$W2266)+$Y$4</f>
        <v>-44.639843068043824</v>
      </c>
      <c r="E2272" s="7">
        <f>SUMPRODUCT($C$5:$X$5,'batch tool'!$B2266:$W2266)+$Y$5</f>
        <v>-51.578889182477603</v>
      </c>
      <c r="F2272" s="7">
        <f>SUMPRODUCT($C$6:$X$6,'batch tool'!$B2266:$W2266)+$Y$6</f>
        <v>-47.741473633885199</v>
      </c>
      <c r="G2272" s="7">
        <f>SUMPRODUCT($C$7:$X$7,'batch tool'!$B2266:$W2266)+$Y$7</f>
        <v>-19.739516238059196</v>
      </c>
      <c r="H2272" s="7">
        <f t="shared" si="72"/>
        <v>-19.739516238059196</v>
      </c>
      <c r="I2272">
        <f t="shared" si="73"/>
        <v>6</v>
      </c>
      <c r="J2272" t="str" cm="1">
        <f t="array" ref="J2272">INDEX($A$2:$A$7,I2272)</f>
        <v>Segment 6- Self-Conscious Male</v>
      </c>
    </row>
    <row r="2273" spans="1:10" x14ac:dyDescent="0.25">
      <c r="A2273" s="1">
        <f>'batch tool'!A2267</f>
        <v>0</v>
      </c>
      <c r="B2273" s="7">
        <f>SUMPRODUCT($C$2:$X$2,'batch tool'!$B2267:$W2267)+$Y$2</f>
        <v>-49.12272534143483</v>
      </c>
      <c r="C2273" s="7">
        <f>SUMPRODUCT($C$3:$X$3,'batch tool'!$B2267:$W2267)+$Y$3</f>
        <v>-36.514029388465531</v>
      </c>
      <c r="D2273" s="7">
        <f>SUMPRODUCT($C$4:$X$4,'batch tool'!$B2267:$W2267)+$Y$4</f>
        <v>-44.639843068043824</v>
      </c>
      <c r="E2273" s="7">
        <f>SUMPRODUCT($C$5:$X$5,'batch tool'!$B2267:$W2267)+$Y$5</f>
        <v>-51.578889182477603</v>
      </c>
      <c r="F2273" s="7">
        <f>SUMPRODUCT($C$6:$X$6,'batch tool'!$B2267:$W2267)+$Y$6</f>
        <v>-47.741473633885199</v>
      </c>
      <c r="G2273" s="7">
        <f>SUMPRODUCT($C$7:$X$7,'batch tool'!$B2267:$W2267)+$Y$7</f>
        <v>-19.739516238059196</v>
      </c>
      <c r="H2273" s="7">
        <f t="shared" si="72"/>
        <v>-19.739516238059196</v>
      </c>
      <c r="I2273">
        <f t="shared" si="73"/>
        <v>6</v>
      </c>
      <c r="J2273" t="str" cm="1">
        <f t="array" ref="J2273">INDEX($A$2:$A$7,I2273)</f>
        <v>Segment 6- Self-Conscious Male</v>
      </c>
    </row>
    <row r="2274" spans="1:10" x14ac:dyDescent="0.25">
      <c r="A2274" s="1">
        <f>'batch tool'!A2268</f>
        <v>0</v>
      </c>
      <c r="B2274" s="7">
        <f>SUMPRODUCT($C$2:$X$2,'batch tool'!$B2268:$W2268)+$Y$2</f>
        <v>-49.12272534143483</v>
      </c>
      <c r="C2274" s="7">
        <f>SUMPRODUCT($C$3:$X$3,'batch tool'!$B2268:$W2268)+$Y$3</f>
        <v>-36.514029388465531</v>
      </c>
      <c r="D2274" s="7">
        <f>SUMPRODUCT($C$4:$X$4,'batch tool'!$B2268:$W2268)+$Y$4</f>
        <v>-44.639843068043824</v>
      </c>
      <c r="E2274" s="7">
        <f>SUMPRODUCT($C$5:$X$5,'batch tool'!$B2268:$W2268)+$Y$5</f>
        <v>-51.578889182477603</v>
      </c>
      <c r="F2274" s="7">
        <f>SUMPRODUCT($C$6:$X$6,'batch tool'!$B2268:$W2268)+$Y$6</f>
        <v>-47.741473633885199</v>
      </c>
      <c r="G2274" s="7">
        <f>SUMPRODUCT($C$7:$X$7,'batch tool'!$B2268:$W2268)+$Y$7</f>
        <v>-19.739516238059196</v>
      </c>
      <c r="H2274" s="7">
        <f t="shared" si="72"/>
        <v>-19.739516238059196</v>
      </c>
      <c r="I2274">
        <f t="shared" si="73"/>
        <v>6</v>
      </c>
      <c r="J2274" t="str" cm="1">
        <f t="array" ref="J2274">INDEX($A$2:$A$7,I2274)</f>
        <v>Segment 6- Self-Conscious Male</v>
      </c>
    </row>
    <row r="2275" spans="1:10" x14ac:dyDescent="0.25">
      <c r="A2275" s="1">
        <f>'batch tool'!A2269</f>
        <v>0</v>
      </c>
      <c r="B2275" s="7">
        <f>SUMPRODUCT($C$2:$X$2,'batch tool'!$B2269:$W2269)+$Y$2</f>
        <v>-49.12272534143483</v>
      </c>
      <c r="C2275" s="7">
        <f>SUMPRODUCT($C$3:$X$3,'batch tool'!$B2269:$W2269)+$Y$3</f>
        <v>-36.514029388465531</v>
      </c>
      <c r="D2275" s="7">
        <f>SUMPRODUCT($C$4:$X$4,'batch tool'!$B2269:$W2269)+$Y$4</f>
        <v>-44.639843068043824</v>
      </c>
      <c r="E2275" s="7">
        <f>SUMPRODUCT($C$5:$X$5,'batch tool'!$B2269:$W2269)+$Y$5</f>
        <v>-51.578889182477603</v>
      </c>
      <c r="F2275" s="7">
        <f>SUMPRODUCT($C$6:$X$6,'batch tool'!$B2269:$W2269)+$Y$6</f>
        <v>-47.741473633885199</v>
      </c>
      <c r="G2275" s="7">
        <f>SUMPRODUCT($C$7:$X$7,'batch tool'!$B2269:$W2269)+$Y$7</f>
        <v>-19.739516238059196</v>
      </c>
      <c r="H2275" s="7">
        <f t="shared" si="72"/>
        <v>-19.739516238059196</v>
      </c>
      <c r="I2275">
        <f t="shared" si="73"/>
        <v>6</v>
      </c>
      <c r="J2275" t="str" cm="1">
        <f t="array" ref="J2275">INDEX($A$2:$A$7,I2275)</f>
        <v>Segment 6- Self-Conscious Male</v>
      </c>
    </row>
    <row r="2276" spans="1:10" x14ac:dyDescent="0.25">
      <c r="A2276" s="1">
        <f>'batch tool'!A2270</f>
        <v>0</v>
      </c>
      <c r="B2276" s="7">
        <f>SUMPRODUCT($C$2:$X$2,'batch tool'!$B2270:$W2270)+$Y$2</f>
        <v>-49.12272534143483</v>
      </c>
      <c r="C2276" s="7">
        <f>SUMPRODUCT($C$3:$X$3,'batch tool'!$B2270:$W2270)+$Y$3</f>
        <v>-36.514029388465531</v>
      </c>
      <c r="D2276" s="7">
        <f>SUMPRODUCT($C$4:$X$4,'batch tool'!$B2270:$W2270)+$Y$4</f>
        <v>-44.639843068043824</v>
      </c>
      <c r="E2276" s="7">
        <f>SUMPRODUCT($C$5:$X$5,'batch tool'!$B2270:$W2270)+$Y$5</f>
        <v>-51.578889182477603</v>
      </c>
      <c r="F2276" s="7">
        <f>SUMPRODUCT($C$6:$X$6,'batch tool'!$B2270:$W2270)+$Y$6</f>
        <v>-47.741473633885199</v>
      </c>
      <c r="G2276" s="7">
        <f>SUMPRODUCT($C$7:$X$7,'batch tool'!$B2270:$W2270)+$Y$7</f>
        <v>-19.739516238059196</v>
      </c>
      <c r="H2276" s="7">
        <f t="shared" si="72"/>
        <v>-19.739516238059196</v>
      </c>
      <c r="I2276">
        <f t="shared" si="73"/>
        <v>6</v>
      </c>
      <c r="J2276" t="str" cm="1">
        <f t="array" ref="J2276">INDEX($A$2:$A$7,I2276)</f>
        <v>Segment 6- Self-Conscious Male</v>
      </c>
    </row>
    <row r="2277" spans="1:10" x14ac:dyDescent="0.25">
      <c r="A2277" s="1">
        <f>'batch tool'!A2271</f>
        <v>0</v>
      </c>
      <c r="B2277" s="7">
        <f>SUMPRODUCT($C$2:$X$2,'batch tool'!$B2271:$W2271)+$Y$2</f>
        <v>-49.12272534143483</v>
      </c>
      <c r="C2277" s="7">
        <f>SUMPRODUCT($C$3:$X$3,'batch tool'!$B2271:$W2271)+$Y$3</f>
        <v>-36.514029388465531</v>
      </c>
      <c r="D2277" s="7">
        <f>SUMPRODUCT($C$4:$X$4,'batch tool'!$B2271:$W2271)+$Y$4</f>
        <v>-44.639843068043824</v>
      </c>
      <c r="E2277" s="7">
        <f>SUMPRODUCT($C$5:$X$5,'batch tool'!$B2271:$W2271)+$Y$5</f>
        <v>-51.578889182477603</v>
      </c>
      <c r="F2277" s="7">
        <f>SUMPRODUCT($C$6:$X$6,'batch tool'!$B2271:$W2271)+$Y$6</f>
        <v>-47.741473633885199</v>
      </c>
      <c r="G2277" s="7">
        <f>SUMPRODUCT($C$7:$X$7,'batch tool'!$B2271:$W2271)+$Y$7</f>
        <v>-19.739516238059196</v>
      </c>
      <c r="H2277" s="7">
        <f t="shared" si="72"/>
        <v>-19.739516238059196</v>
      </c>
      <c r="I2277">
        <f t="shared" si="73"/>
        <v>6</v>
      </c>
      <c r="J2277" t="str" cm="1">
        <f t="array" ref="J2277">INDEX($A$2:$A$7,I2277)</f>
        <v>Segment 6- Self-Conscious Male</v>
      </c>
    </row>
    <row r="2278" spans="1:10" x14ac:dyDescent="0.25">
      <c r="A2278" s="1">
        <f>'batch tool'!A2272</f>
        <v>0</v>
      </c>
      <c r="B2278" s="7">
        <f>SUMPRODUCT($C$2:$X$2,'batch tool'!$B2272:$W2272)+$Y$2</f>
        <v>-49.12272534143483</v>
      </c>
      <c r="C2278" s="7">
        <f>SUMPRODUCT($C$3:$X$3,'batch tool'!$B2272:$W2272)+$Y$3</f>
        <v>-36.514029388465531</v>
      </c>
      <c r="D2278" s="7">
        <f>SUMPRODUCT($C$4:$X$4,'batch tool'!$B2272:$W2272)+$Y$4</f>
        <v>-44.639843068043824</v>
      </c>
      <c r="E2278" s="7">
        <f>SUMPRODUCT($C$5:$X$5,'batch tool'!$B2272:$W2272)+$Y$5</f>
        <v>-51.578889182477603</v>
      </c>
      <c r="F2278" s="7">
        <f>SUMPRODUCT($C$6:$X$6,'batch tool'!$B2272:$W2272)+$Y$6</f>
        <v>-47.741473633885199</v>
      </c>
      <c r="G2278" s="7">
        <f>SUMPRODUCT($C$7:$X$7,'batch tool'!$B2272:$W2272)+$Y$7</f>
        <v>-19.739516238059196</v>
      </c>
      <c r="H2278" s="7">
        <f t="shared" si="72"/>
        <v>-19.739516238059196</v>
      </c>
      <c r="I2278">
        <f t="shared" si="73"/>
        <v>6</v>
      </c>
      <c r="J2278" t="str" cm="1">
        <f t="array" ref="J2278">INDEX($A$2:$A$7,I2278)</f>
        <v>Segment 6- Self-Conscious Male</v>
      </c>
    </row>
    <row r="2279" spans="1:10" x14ac:dyDescent="0.25">
      <c r="A2279" s="1">
        <f>'batch tool'!A2273</f>
        <v>0</v>
      </c>
      <c r="B2279" s="7">
        <f>SUMPRODUCT($C$2:$X$2,'batch tool'!$B2273:$W2273)+$Y$2</f>
        <v>-49.12272534143483</v>
      </c>
      <c r="C2279" s="7">
        <f>SUMPRODUCT($C$3:$X$3,'batch tool'!$B2273:$W2273)+$Y$3</f>
        <v>-36.514029388465531</v>
      </c>
      <c r="D2279" s="7">
        <f>SUMPRODUCT($C$4:$X$4,'batch tool'!$B2273:$W2273)+$Y$4</f>
        <v>-44.639843068043824</v>
      </c>
      <c r="E2279" s="7">
        <f>SUMPRODUCT($C$5:$X$5,'batch tool'!$B2273:$W2273)+$Y$5</f>
        <v>-51.578889182477603</v>
      </c>
      <c r="F2279" s="7">
        <f>SUMPRODUCT($C$6:$X$6,'batch tool'!$B2273:$W2273)+$Y$6</f>
        <v>-47.741473633885199</v>
      </c>
      <c r="G2279" s="7">
        <f>SUMPRODUCT($C$7:$X$7,'batch tool'!$B2273:$W2273)+$Y$7</f>
        <v>-19.739516238059196</v>
      </c>
      <c r="H2279" s="7">
        <f t="shared" si="72"/>
        <v>-19.739516238059196</v>
      </c>
      <c r="I2279">
        <f t="shared" si="73"/>
        <v>6</v>
      </c>
      <c r="J2279" t="str" cm="1">
        <f t="array" ref="J2279">INDEX($A$2:$A$7,I2279)</f>
        <v>Segment 6- Self-Conscious Male</v>
      </c>
    </row>
    <row r="2280" spans="1:10" x14ac:dyDescent="0.25">
      <c r="A2280" s="1">
        <f>'batch tool'!A2274</f>
        <v>0</v>
      </c>
      <c r="B2280" s="7">
        <f>SUMPRODUCT($C$2:$X$2,'batch tool'!$B2274:$W2274)+$Y$2</f>
        <v>-49.12272534143483</v>
      </c>
      <c r="C2280" s="7">
        <f>SUMPRODUCT($C$3:$X$3,'batch tool'!$B2274:$W2274)+$Y$3</f>
        <v>-36.514029388465531</v>
      </c>
      <c r="D2280" s="7">
        <f>SUMPRODUCT($C$4:$X$4,'batch tool'!$B2274:$W2274)+$Y$4</f>
        <v>-44.639843068043824</v>
      </c>
      <c r="E2280" s="7">
        <f>SUMPRODUCT($C$5:$X$5,'batch tool'!$B2274:$W2274)+$Y$5</f>
        <v>-51.578889182477603</v>
      </c>
      <c r="F2280" s="7">
        <f>SUMPRODUCT($C$6:$X$6,'batch tool'!$B2274:$W2274)+$Y$6</f>
        <v>-47.741473633885199</v>
      </c>
      <c r="G2280" s="7">
        <f>SUMPRODUCT($C$7:$X$7,'batch tool'!$B2274:$W2274)+$Y$7</f>
        <v>-19.739516238059196</v>
      </c>
      <c r="H2280" s="7">
        <f t="shared" si="72"/>
        <v>-19.739516238059196</v>
      </c>
      <c r="I2280">
        <f t="shared" si="73"/>
        <v>6</v>
      </c>
      <c r="J2280" t="str" cm="1">
        <f t="array" ref="J2280">INDEX($A$2:$A$7,I2280)</f>
        <v>Segment 6- Self-Conscious Male</v>
      </c>
    </row>
    <row r="2281" spans="1:10" x14ac:dyDescent="0.25">
      <c r="A2281" s="1">
        <f>'batch tool'!A2275</f>
        <v>0</v>
      </c>
      <c r="B2281" s="7">
        <f>SUMPRODUCT($C$2:$X$2,'batch tool'!$B2275:$W2275)+$Y$2</f>
        <v>-49.12272534143483</v>
      </c>
      <c r="C2281" s="7">
        <f>SUMPRODUCT($C$3:$X$3,'batch tool'!$B2275:$W2275)+$Y$3</f>
        <v>-36.514029388465531</v>
      </c>
      <c r="D2281" s="7">
        <f>SUMPRODUCT($C$4:$X$4,'batch tool'!$B2275:$W2275)+$Y$4</f>
        <v>-44.639843068043824</v>
      </c>
      <c r="E2281" s="7">
        <f>SUMPRODUCT($C$5:$X$5,'batch tool'!$B2275:$W2275)+$Y$5</f>
        <v>-51.578889182477603</v>
      </c>
      <c r="F2281" s="7">
        <f>SUMPRODUCT($C$6:$X$6,'batch tool'!$B2275:$W2275)+$Y$6</f>
        <v>-47.741473633885199</v>
      </c>
      <c r="G2281" s="7">
        <f>SUMPRODUCT($C$7:$X$7,'batch tool'!$B2275:$W2275)+$Y$7</f>
        <v>-19.739516238059196</v>
      </c>
      <c r="H2281" s="7">
        <f t="shared" si="72"/>
        <v>-19.739516238059196</v>
      </c>
      <c r="I2281">
        <f t="shared" si="73"/>
        <v>6</v>
      </c>
      <c r="J2281" t="str" cm="1">
        <f t="array" ref="J2281">INDEX($A$2:$A$7,I2281)</f>
        <v>Segment 6- Self-Conscious Male</v>
      </c>
    </row>
    <row r="2282" spans="1:10" x14ac:dyDescent="0.25">
      <c r="A2282" s="1">
        <f>'batch tool'!A2276</f>
        <v>0</v>
      </c>
      <c r="B2282" s="7">
        <f>SUMPRODUCT($C$2:$X$2,'batch tool'!$B2276:$W2276)+$Y$2</f>
        <v>-49.12272534143483</v>
      </c>
      <c r="C2282" s="7">
        <f>SUMPRODUCT($C$3:$X$3,'batch tool'!$B2276:$W2276)+$Y$3</f>
        <v>-36.514029388465531</v>
      </c>
      <c r="D2282" s="7">
        <f>SUMPRODUCT($C$4:$X$4,'batch tool'!$B2276:$W2276)+$Y$4</f>
        <v>-44.639843068043824</v>
      </c>
      <c r="E2282" s="7">
        <f>SUMPRODUCT($C$5:$X$5,'batch tool'!$B2276:$W2276)+$Y$5</f>
        <v>-51.578889182477603</v>
      </c>
      <c r="F2282" s="7">
        <f>SUMPRODUCT($C$6:$X$6,'batch tool'!$B2276:$W2276)+$Y$6</f>
        <v>-47.741473633885199</v>
      </c>
      <c r="G2282" s="7">
        <f>SUMPRODUCT($C$7:$X$7,'batch tool'!$B2276:$W2276)+$Y$7</f>
        <v>-19.739516238059196</v>
      </c>
      <c r="H2282" s="7">
        <f t="shared" si="72"/>
        <v>-19.739516238059196</v>
      </c>
      <c r="I2282">
        <f t="shared" si="73"/>
        <v>6</v>
      </c>
      <c r="J2282" t="str" cm="1">
        <f t="array" ref="J2282">INDEX($A$2:$A$7,I2282)</f>
        <v>Segment 6- Self-Conscious Male</v>
      </c>
    </row>
    <row r="2283" spans="1:10" x14ac:dyDescent="0.25">
      <c r="A2283" s="1">
        <f>'batch tool'!A2277</f>
        <v>0</v>
      </c>
      <c r="B2283" s="7">
        <f>SUMPRODUCT($C$2:$X$2,'batch tool'!$B2277:$W2277)+$Y$2</f>
        <v>-49.12272534143483</v>
      </c>
      <c r="C2283" s="7">
        <f>SUMPRODUCT($C$3:$X$3,'batch tool'!$B2277:$W2277)+$Y$3</f>
        <v>-36.514029388465531</v>
      </c>
      <c r="D2283" s="7">
        <f>SUMPRODUCT($C$4:$X$4,'batch tool'!$B2277:$W2277)+$Y$4</f>
        <v>-44.639843068043824</v>
      </c>
      <c r="E2283" s="7">
        <f>SUMPRODUCT($C$5:$X$5,'batch tool'!$B2277:$W2277)+$Y$5</f>
        <v>-51.578889182477603</v>
      </c>
      <c r="F2283" s="7">
        <f>SUMPRODUCT($C$6:$X$6,'batch tool'!$B2277:$W2277)+$Y$6</f>
        <v>-47.741473633885199</v>
      </c>
      <c r="G2283" s="7">
        <f>SUMPRODUCT($C$7:$X$7,'batch tool'!$B2277:$W2277)+$Y$7</f>
        <v>-19.739516238059196</v>
      </c>
      <c r="H2283" s="7">
        <f t="shared" si="72"/>
        <v>-19.739516238059196</v>
      </c>
      <c r="I2283">
        <f t="shared" si="73"/>
        <v>6</v>
      </c>
      <c r="J2283" t="str" cm="1">
        <f t="array" ref="J2283">INDEX($A$2:$A$7,I2283)</f>
        <v>Segment 6- Self-Conscious Male</v>
      </c>
    </row>
    <row r="2284" spans="1:10" x14ac:dyDescent="0.25">
      <c r="A2284" s="1">
        <f>'batch tool'!A2278</f>
        <v>0</v>
      </c>
      <c r="B2284" s="7">
        <f>SUMPRODUCT($C$2:$X$2,'batch tool'!$B2278:$W2278)+$Y$2</f>
        <v>-49.12272534143483</v>
      </c>
      <c r="C2284" s="7">
        <f>SUMPRODUCT($C$3:$X$3,'batch tool'!$B2278:$W2278)+$Y$3</f>
        <v>-36.514029388465531</v>
      </c>
      <c r="D2284" s="7">
        <f>SUMPRODUCT($C$4:$X$4,'batch tool'!$B2278:$W2278)+$Y$4</f>
        <v>-44.639843068043824</v>
      </c>
      <c r="E2284" s="7">
        <f>SUMPRODUCT($C$5:$X$5,'batch tool'!$B2278:$W2278)+$Y$5</f>
        <v>-51.578889182477603</v>
      </c>
      <c r="F2284" s="7">
        <f>SUMPRODUCT($C$6:$X$6,'batch tool'!$B2278:$W2278)+$Y$6</f>
        <v>-47.741473633885199</v>
      </c>
      <c r="G2284" s="7">
        <f>SUMPRODUCT($C$7:$X$7,'batch tool'!$B2278:$W2278)+$Y$7</f>
        <v>-19.739516238059196</v>
      </c>
      <c r="H2284" s="7">
        <f t="shared" si="72"/>
        <v>-19.739516238059196</v>
      </c>
      <c r="I2284">
        <f t="shared" si="73"/>
        <v>6</v>
      </c>
      <c r="J2284" t="str" cm="1">
        <f t="array" ref="J2284">INDEX($A$2:$A$7,I2284)</f>
        <v>Segment 6- Self-Conscious Male</v>
      </c>
    </row>
    <row r="2285" spans="1:10" x14ac:dyDescent="0.25">
      <c r="A2285" s="1">
        <f>'batch tool'!A2279</f>
        <v>0</v>
      </c>
      <c r="B2285" s="7">
        <f>SUMPRODUCT($C$2:$X$2,'batch tool'!$B2279:$W2279)+$Y$2</f>
        <v>-49.12272534143483</v>
      </c>
      <c r="C2285" s="7">
        <f>SUMPRODUCT($C$3:$X$3,'batch tool'!$B2279:$W2279)+$Y$3</f>
        <v>-36.514029388465531</v>
      </c>
      <c r="D2285" s="7">
        <f>SUMPRODUCT($C$4:$X$4,'batch tool'!$B2279:$W2279)+$Y$4</f>
        <v>-44.639843068043824</v>
      </c>
      <c r="E2285" s="7">
        <f>SUMPRODUCT($C$5:$X$5,'batch tool'!$B2279:$W2279)+$Y$5</f>
        <v>-51.578889182477603</v>
      </c>
      <c r="F2285" s="7">
        <f>SUMPRODUCT($C$6:$X$6,'batch tool'!$B2279:$W2279)+$Y$6</f>
        <v>-47.741473633885199</v>
      </c>
      <c r="G2285" s="7">
        <f>SUMPRODUCT($C$7:$X$7,'batch tool'!$B2279:$W2279)+$Y$7</f>
        <v>-19.739516238059196</v>
      </c>
      <c r="H2285" s="7">
        <f t="shared" si="72"/>
        <v>-19.739516238059196</v>
      </c>
      <c r="I2285">
        <f t="shared" si="73"/>
        <v>6</v>
      </c>
      <c r="J2285" t="str" cm="1">
        <f t="array" ref="J2285">INDEX($A$2:$A$7,I2285)</f>
        <v>Segment 6- Self-Conscious Male</v>
      </c>
    </row>
    <row r="2286" spans="1:10" x14ac:dyDescent="0.25">
      <c r="A2286" s="1">
        <f>'batch tool'!A2280</f>
        <v>0</v>
      </c>
      <c r="B2286" s="7">
        <f>SUMPRODUCT($C$2:$X$2,'batch tool'!$B2280:$W2280)+$Y$2</f>
        <v>-49.12272534143483</v>
      </c>
      <c r="C2286" s="7">
        <f>SUMPRODUCT($C$3:$X$3,'batch tool'!$B2280:$W2280)+$Y$3</f>
        <v>-36.514029388465531</v>
      </c>
      <c r="D2286" s="7">
        <f>SUMPRODUCT($C$4:$X$4,'batch tool'!$B2280:$W2280)+$Y$4</f>
        <v>-44.639843068043824</v>
      </c>
      <c r="E2286" s="7">
        <f>SUMPRODUCT($C$5:$X$5,'batch tool'!$B2280:$W2280)+$Y$5</f>
        <v>-51.578889182477603</v>
      </c>
      <c r="F2286" s="7">
        <f>SUMPRODUCT($C$6:$X$6,'batch tool'!$B2280:$W2280)+$Y$6</f>
        <v>-47.741473633885199</v>
      </c>
      <c r="G2286" s="7">
        <f>SUMPRODUCT($C$7:$X$7,'batch tool'!$B2280:$W2280)+$Y$7</f>
        <v>-19.739516238059196</v>
      </c>
      <c r="H2286" s="7">
        <f t="shared" si="72"/>
        <v>-19.739516238059196</v>
      </c>
      <c r="I2286">
        <f t="shared" si="73"/>
        <v>6</v>
      </c>
      <c r="J2286" t="str" cm="1">
        <f t="array" ref="J2286">INDEX($A$2:$A$7,I2286)</f>
        <v>Segment 6- Self-Conscious Male</v>
      </c>
    </row>
    <row r="2287" spans="1:10" x14ac:dyDescent="0.25">
      <c r="A2287" s="1">
        <f>'batch tool'!A2281</f>
        <v>0</v>
      </c>
      <c r="B2287" s="7">
        <f>SUMPRODUCT($C$2:$X$2,'batch tool'!$B2281:$W2281)+$Y$2</f>
        <v>-49.12272534143483</v>
      </c>
      <c r="C2287" s="7">
        <f>SUMPRODUCT($C$3:$X$3,'batch tool'!$B2281:$W2281)+$Y$3</f>
        <v>-36.514029388465531</v>
      </c>
      <c r="D2287" s="7">
        <f>SUMPRODUCT($C$4:$X$4,'batch tool'!$B2281:$W2281)+$Y$4</f>
        <v>-44.639843068043824</v>
      </c>
      <c r="E2287" s="7">
        <f>SUMPRODUCT($C$5:$X$5,'batch tool'!$B2281:$W2281)+$Y$5</f>
        <v>-51.578889182477603</v>
      </c>
      <c r="F2287" s="7">
        <f>SUMPRODUCT($C$6:$X$6,'batch tool'!$B2281:$W2281)+$Y$6</f>
        <v>-47.741473633885199</v>
      </c>
      <c r="G2287" s="7">
        <f>SUMPRODUCT($C$7:$X$7,'batch tool'!$B2281:$W2281)+$Y$7</f>
        <v>-19.739516238059196</v>
      </c>
      <c r="H2287" s="7">
        <f t="shared" si="72"/>
        <v>-19.739516238059196</v>
      </c>
      <c r="I2287">
        <f t="shared" si="73"/>
        <v>6</v>
      </c>
      <c r="J2287" t="str" cm="1">
        <f t="array" ref="J2287">INDEX($A$2:$A$7,I2287)</f>
        <v>Segment 6- Self-Conscious Male</v>
      </c>
    </row>
    <row r="2288" spans="1:10" x14ac:dyDescent="0.25">
      <c r="A2288" s="1">
        <f>'batch tool'!A2282</f>
        <v>0</v>
      </c>
      <c r="B2288" s="7">
        <f>SUMPRODUCT($C$2:$X$2,'batch tool'!$B2282:$W2282)+$Y$2</f>
        <v>-49.12272534143483</v>
      </c>
      <c r="C2288" s="7">
        <f>SUMPRODUCT($C$3:$X$3,'batch tool'!$B2282:$W2282)+$Y$3</f>
        <v>-36.514029388465531</v>
      </c>
      <c r="D2288" s="7">
        <f>SUMPRODUCT($C$4:$X$4,'batch tool'!$B2282:$W2282)+$Y$4</f>
        <v>-44.639843068043824</v>
      </c>
      <c r="E2288" s="7">
        <f>SUMPRODUCT($C$5:$X$5,'batch tool'!$B2282:$W2282)+$Y$5</f>
        <v>-51.578889182477603</v>
      </c>
      <c r="F2288" s="7">
        <f>SUMPRODUCT($C$6:$X$6,'batch tool'!$B2282:$W2282)+$Y$6</f>
        <v>-47.741473633885199</v>
      </c>
      <c r="G2288" s="7">
        <f>SUMPRODUCT($C$7:$X$7,'batch tool'!$B2282:$W2282)+$Y$7</f>
        <v>-19.739516238059196</v>
      </c>
      <c r="H2288" s="7">
        <f t="shared" si="72"/>
        <v>-19.739516238059196</v>
      </c>
      <c r="I2288">
        <f t="shared" si="73"/>
        <v>6</v>
      </c>
      <c r="J2288" t="str" cm="1">
        <f t="array" ref="J2288">INDEX($A$2:$A$7,I2288)</f>
        <v>Segment 6- Self-Conscious Male</v>
      </c>
    </row>
    <row r="2289" spans="1:10" x14ac:dyDescent="0.25">
      <c r="A2289" s="1">
        <f>'batch tool'!A2283</f>
        <v>0</v>
      </c>
      <c r="B2289" s="7">
        <f>SUMPRODUCT($C$2:$X$2,'batch tool'!$B2283:$W2283)+$Y$2</f>
        <v>-49.12272534143483</v>
      </c>
      <c r="C2289" s="7">
        <f>SUMPRODUCT($C$3:$X$3,'batch tool'!$B2283:$W2283)+$Y$3</f>
        <v>-36.514029388465531</v>
      </c>
      <c r="D2289" s="7">
        <f>SUMPRODUCT($C$4:$X$4,'batch tool'!$B2283:$W2283)+$Y$4</f>
        <v>-44.639843068043824</v>
      </c>
      <c r="E2289" s="7">
        <f>SUMPRODUCT($C$5:$X$5,'batch tool'!$B2283:$W2283)+$Y$5</f>
        <v>-51.578889182477603</v>
      </c>
      <c r="F2289" s="7">
        <f>SUMPRODUCT($C$6:$X$6,'batch tool'!$B2283:$W2283)+$Y$6</f>
        <v>-47.741473633885199</v>
      </c>
      <c r="G2289" s="7">
        <f>SUMPRODUCT($C$7:$X$7,'batch tool'!$B2283:$W2283)+$Y$7</f>
        <v>-19.739516238059196</v>
      </c>
      <c r="H2289" s="7">
        <f t="shared" si="72"/>
        <v>-19.739516238059196</v>
      </c>
      <c r="I2289">
        <f t="shared" si="73"/>
        <v>6</v>
      </c>
      <c r="J2289" t="str" cm="1">
        <f t="array" ref="J2289">INDEX($A$2:$A$7,I2289)</f>
        <v>Segment 6- Self-Conscious Male</v>
      </c>
    </row>
    <row r="2290" spans="1:10" x14ac:dyDescent="0.25">
      <c r="A2290" s="1">
        <f>'batch tool'!A2284</f>
        <v>0</v>
      </c>
      <c r="B2290" s="7">
        <f>SUMPRODUCT($C$2:$X$2,'batch tool'!$B2284:$W2284)+$Y$2</f>
        <v>-49.12272534143483</v>
      </c>
      <c r="C2290" s="7">
        <f>SUMPRODUCT($C$3:$X$3,'batch tool'!$B2284:$W2284)+$Y$3</f>
        <v>-36.514029388465531</v>
      </c>
      <c r="D2290" s="7">
        <f>SUMPRODUCT($C$4:$X$4,'batch tool'!$B2284:$W2284)+$Y$4</f>
        <v>-44.639843068043824</v>
      </c>
      <c r="E2290" s="7">
        <f>SUMPRODUCT($C$5:$X$5,'batch tool'!$B2284:$W2284)+$Y$5</f>
        <v>-51.578889182477603</v>
      </c>
      <c r="F2290" s="7">
        <f>SUMPRODUCT($C$6:$X$6,'batch tool'!$B2284:$W2284)+$Y$6</f>
        <v>-47.741473633885199</v>
      </c>
      <c r="G2290" s="7">
        <f>SUMPRODUCT($C$7:$X$7,'batch tool'!$B2284:$W2284)+$Y$7</f>
        <v>-19.739516238059196</v>
      </c>
      <c r="H2290" s="7">
        <f t="shared" si="72"/>
        <v>-19.739516238059196</v>
      </c>
      <c r="I2290">
        <f t="shared" si="73"/>
        <v>6</v>
      </c>
      <c r="J2290" t="str" cm="1">
        <f t="array" ref="J2290">INDEX($A$2:$A$7,I2290)</f>
        <v>Segment 6- Self-Conscious Male</v>
      </c>
    </row>
    <row r="2291" spans="1:10" x14ac:dyDescent="0.25">
      <c r="A2291" s="1">
        <f>'batch tool'!A2285</f>
        <v>0</v>
      </c>
      <c r="B2291" s="7">
        <f>SUMPRODUCT($C$2:$X$2,'batch tool'!$B2285:$W2285)+$Y$2</f>
        <v>-49.12272534143483</v>
      </c>
      <c r="C2291" s="7">
        <f>SUMPRODUCT($C$3:$X$3,'batch tool'!$B2285:$W2285)+$Y$3</f>
        <v>-36.514029388465531</v>
      </c>
      <c r="D2291" s="7">
        <f>SUMPRODUCT($C$4:$X$4,'batch tool'!$B2285:$W2285)+$Y$4</f>
        <v>-44.639843068043824</v>
      </c>
      <c r="E2291" s="7">
        <f>SUMPRODUCT($C$5:$X$5,'batch tool'!$B2285:$W2285)+$Y$5</f>
        <v>-51.578889182477603</v>
      </c>
      <c r="F2291" s="7">
        <f>SUMPRODUCT($C$6:$X$6,'batch tool'!$B2285:$W2285)+$Y$6</f>
        <v>-47.741473633885199</v>
      </c>
      <c r="G2291" s="7">
        <f>SUMPRODUCT($C$7:$X$7,'batch tool'!$B2285:$W2285)+$Y$7</f>
        <v>-19.739516238059196</v>
      </c>
      <c r="H2291" s="7">
        <f t="shared" si="72"/>
        <v>-19.739516238059196</v>
      </c>
      <c r="I2291">
        <f t="shared" si="73"/>
        <v>6</v>
      </c>
      <c r="J2291" t="str" cm="1">
        <f t="array" ref="J2291">INDEX($A$2:$A$7,I2291)</f>
        <v>Segment 6- Self-Conscious Male</v>
      </c>
    </row>
    <row r="2292" spans="1:10" x14ac:dyDescent="0.25">
      <c r="A2292" s="1">
        <f>'batch tool'!A2286</f>
        <v>0</v>
      </c>
      <c r="B2292" s="7">
        <f>SUMPRODUCT($C$2:$X$2,'batch tool'!$B2286:$W2286)+$Y$2</f>
        <v>-49.12272534143483</v>
      </c>
      <c r="C2292" s="7">
        <f>SUMPRODUCT($C$3:$X$3,'batch tool'!$B2286:$W2286)+$Y$3</f>
        <v>-36.514029388465531</v>
      </c>
      <c r="D2292" s="7">
        <f>SUMPRODUCT($C$4:$X$4,'batch tool'!$B2286:$W2286)+$Y$4</f>
        <v>-44.639843068043824</v>
      </c>
      <c r="E2292" s="7">
        <f>SUMPRODUCT($C$5:$X$5,'batch tool'!$B2286:$W2286)+$Y$5</f>
        <v>-51.578889182477603</v>
      </c>
      <c r="F2292" s="7">
        <f>SUMPRODUCT($C$6:$X$6,'batch tool'!$B2286:$W2286)+$Y$6</f>
        <v>-47.741473633885199</v>
      </c>
      <c r="G2292" s="7">
        <f>SUMPRODUCT($C$7:$X$7,'batch tool'!$B2286:$W2286)+$Y$7</f>
        <v>-19.739516238059196</v>
      </c>
      <c r="H2292" s="7">
        <f t="shared" si="72"/>
        <v>-19.739516238059196</v>
      </c>
      <c r="I2292">
        <f t="shared" si="73"/>
        <v>6</v>
      </c>
      <c r="J2292" t="str" cm="1">
        <f t="array" ref="J2292">INDEX($A$2:$A$7,I2292)</f>
        <v>Segment 6- Self-Conscious Male</v>
      </c>
    </row>
    <row r="2293" spans="1:10" x14ac:dyDescent="0.25">
      <c r="A2293" s="1">
        <f>'batch tool'!A2287</f>
        <v>0</v>
      </c>
      <c r="B2293" s="7">
        <f>SUMPRODUCT($C$2:$X$2,'batch tool'!$B2287:$W2287)+$Y$2</f>
        <v>-49.12272534143483</v>
      </c>
      <c r="C2293" s="7">
        <f>SUMPRODUCT($C$3:$X$3,'batch tool'!$B2287:$W2287)+$Y$3</f>
        <v>-36.514029388465531</v>
      </c>
      <c r="D2293" s="7">
        <f>SUMPRODUCT($C$4:$X$4,'batch tool'!$B2287:$W2287)+$Y$4</f>
        <v>-44.639843068043824</v>
      </c>
      <c r="E2293" s="7">
        <f>SUMPRODUCT($C$5:$X$5,'batch tool'!$B2287:$W2287)+$Y$5</f>
        <v>-51.578889182477603</v>
      </c>
      <c r="F2293" s="7">
        <f>SUMPRODUCT($C$6:$X$6,'batch tool'!$B2287:$W2287)+$Y$6</f>
        <v>-47.741473633885199</v>
      </c>
      <c r="G2293" s="7">
        <f>SUMPRODUCT($C$7:$X$7,'batch tool'!$B2287:$W2287)+$Y$7</f>
        <v>-19.739516238059196</v>
      </c>
      <c r="H2293" s="7">
        <f t="shared" si="72"/>
        <v>-19.739516238059196</v>
      </c>
      <c r="I2293">
        <f t="shared" si="73"/>
        <v>6</v>
      </c>
      <c r="J2293" t="str" cm="1">
        <f t="array" ref="J2293">INDEX($A$2:$A$7,I2293)</f>
        <v>Segment 6- Self-Conscious Male</v>
      </c>
    </row>
    <row r="2294" spans="1:10" x14ac:dyDescent="0.25">
      <c r="A2294" s="1">
        <f>'batch tool'!A2288</f>
        <v>0</v>
      </c>
      <c r="B2294" s="7">
        <f>SUMPRODUCT($C$2:$X$2,'batch tool'!$B2288:$W2288)+$Y$2</f>
        <v>-49.12272534143483</v>
      </c>
      <c r="C2294" s="7">
        <f>SUMPRODUCT($C$3:$X$3,'batch tool'!$B2288:$W2288)+$Y$3</f>
        <v>-36.514029388465531</v>
      </c>
      <c r="D2294" s="7">
        <f>SUMPRODUCT($C$4:$X$4,'batch tool'!$B2288:$W2288)+$Y$4</f>
        <v>-44.639843068043824</v>
      </c>
      <c r="E2294" s="7">
        <f>SUMPRODUCT($C$5:$X$5,'batch tool'!$B2288:$W2288)+$Y$5</f>
        <v>-51.578889182477603</v>
      </c>
      <c r="F2294" s="7">
        <f>SUMPRODUCT($C$6:$X$6,'batch tool'!$B2288:$W2288)+$Y$6</f>
        <v>-47.741473633885199</v>
      </c>
      <c r="G2294" s="7">
        <f>SUMPRODUCT($C$7:$X$7,'batch tool'!$B2288:$W2288)+$Y$7</f>
        <v>-19.739516238059196</v>
      </c>
      <c r="H2294" s="7">
        <f t="shared" si="72"/>
        <v>-19.739516238059196</v>
      </c>
      <c r="I2294">
        <f t="shared" si="73"/>
        <v>6</v>
      </c>
      <c r="J2294" t="str" cm="1">
        <f t="array" ref="J2294">INDEX($A$2:$A$7,I2294)</f>
        <v>Segment 6- Self-Conscious Male</v>
      </c>
    </row>
    <row r="2295" spans="1:10" x14ac:dyDescent="0.25">
      <c r="A2295" s="1">
        <f>'batch tool'!A2289</f>
        <v>0</v>
      </c>
      <c r="B2295" s="7">
        <f>SUMPRODUCT($C$2:$X$2,'batch tool'!$B2289:$W2289)+$Y$2</f>
        <v>-49.12272534143483</v>
      </c>
      <c r="C2295" s="7">
        <f>SUMPRODUCT($C$3:$X$3,'batch tool'!$B2289:$W2289)+$Y$3</f>
        <v>-36.514029388465531</v>
      </c>
      <c r="D2295" s="7">
        <f>SUMPRODUCT($C$4:$X$4,'batch tool'!$B2289:$W2289)+$Y$4</f>
        <v>-44.639843068043824</v>
      </c>
      <c r="E2295" s="7">
        <f>SUMPRODUCT($C$5:$X$5,'batch tool'!$B2289:$W2289)+$Y$5</f>
        <v>-51.578889182477603</v>
      </c>
      <c r="F2295" s="7">
        <f>SUMPRODUCT($C$6:$X$6,'batch tool'!$B2289:$W2289)+$Y$6</f>
        <v>-47.741473633885199</v>
      </c>
      <c r="G2295" s="7">
        <f>SUMPRODUCT($C$7:$X$7,'batch tool'!$B2289:$W2289)+$Y$7</f>
        <v>-19.739516238059196</v>
      </c>
      <c r="H2295" s="7">
        <f t="shared" si="72"/>
        <v>-19.739516238059196</v>
      </c>
      <c r="I2295">
        <f t="shared" si="73"/>
        <v>6</v>
      </c>
      <c r="J2295" t="str" cm="1">
        <f t="array" ref="J2295">INDEX($A$2:$A$7,I2295)</f>
        <v>Segment 6- Self-Conscious Male</v>
      </c>
    </row>
    <row r="2296" spans="1:10" x14ac:dyDescent="0.25">
      <c r="A2296" s="1">
        <f>'batch tool'!A2290</f>
        <v>0</v>
      </c>
      <c r="B2296" s="7">
        <f>SUMPRODUCT($C$2:$X$2,'batch tool'!$B2290:$W2290)+$Y$2</f>
        <v>-49.12272534143483</v>
      </c>
      <c r="C2296" s="7">
        <f>SUMPRODUCT($C$3:$X$3,'batch tool'!$B2290:$W2290)+$Y$3</f>
        <v>-36.514029388465531</v>
      </c>
      <c r="D2296" s="7">
        <f>SUMPRODUCT($C$4:$X$4,'batch tool'!$B2290:$W2290)+$Y$4</f>
        <v>-44.639843068043824</v>
      </c>
      <c r="E2296" s="7">
        <f>SUMPRODUCT($C$5:$X$5,'batch tool'!$B2290:$W2290)+$Y$5</f>
        <v>-51.578889182477603</v>
      </c>
      <c r="F2296" s="7">
        <f>SUMPRODUCT($C$6:$X$6,'batch tool'!$B2290:$W2290)+$Y$6</f>
        <v>-47.741473633885199</v>
      </c>
      <c r="G2296" s="7">
        <f>SUMPRODUCT($C$7:$X$7,'batch tool'!$B2290:$W2290)+$Y$7</f>
        <v>-19.739516238059196</v>
      </c>
      <c r="H2296" s="7">
        <f t="shared" si="72"/>
        <v>-19.739516238059196</v>
      </c>
      <c r="I2296">
        <f t="shared" si="73"/>
        <v>6</v>
      </c>
      <c r="J2296" t="str" cm="1">
        <f t="array" ref="J2296">INDEX($A$2:$A$7,I2296)</f>
        <v>Segment 6- Self-Conscious Male</v>
      </c>
    </row>
    <row r="2297" spans="1:10" x14ac:dyDescent="0.25">
      <c r="A2297" s="1">
        <f>'batch tool'!A2291</f>
        <v>0</v>
      </c>
      <c r="B2297" s="7">
        <f>SUMPRODUCT($C$2:$X$2,'batch tool'!$B2291:$W2291)+$Y$2</f>
        <v>-49.12272534143483</v>
      </c>
      <c r="C2297" s="7">
        <f>SUMPRODUCT($C$3:$X$3,'batch tool'!$B2291:$W2291)+$Y$3</f>
        <v>-36.514029388465531</v>
      </c>
      <c r="D2297" s="7">
        <f>SUMPRODUCT($C$4:$X$4,'batch tool'!$B2291:$W2291)+$Y$4</f>
        <v>-44.639843068043824</v>
      </c>
      <c r="E2297" s="7">
        <f>SUMPRODUCT($C$5:$X$5,'batch tool'!$B2291:$W2291)+$Y$5</f>
        <v>-51.578889182477603</v>
      </c>
      <c r="F2297" s="7">
        <f>SUMPRODUCT($C$6:$X$6,'batch tool'!$B2291:$W2291)+$Y$6</f>
        <v>-47.741473633885199</v>
      </c>
      <c r="G2297" s="7">
        <f>SUMPRODUCT($C$7:$X$7,'batch tool'!$B2291:$W2291)+$Y$7</f>
        <v>-19.739516238059196</v>
      </c>
      <c r="H2297" s="7">
        <f t="shared" si="72"/>
        <v>-19.739516238059196</v>
      </c>
      <c r="I2297">
        <f t="shared" si="73"/>
        <v>6</v>
      </c>
      <c r="J2297" t="str" cm="1">
        <f t="array" ref="J2297">INDEX($A$2:$A$7,I2297)</f>
        <v>Segment 6- Self-Conscious Male</v>
      </c>
    </row>
    <row r="2298" spans="1:10" x14ac:dyDescent="0.25">
      <c r="A2298" s="1">
        <f>'batch tool'!A2292</f>
        <v>0</v>
      </c>
      <c r="B2298" s="7">
        <f>SUMPRODUCT($C$2:$X$2,'batch tool'!$B2292:$W2292)+$Y$2</f>
        <v>-49.12272534143483</v>
      </c>
      <c r="C2298" s="7">
        <f>SUMPRODUCT($C$3:$X$3,'batch tool'!$B2292:$W2292)+$Y$3</f>
        <v>-36.514029388465531</v>
      </c>
      <c r="D2298" s="7">
        <f>SUMPRODUCT($C$4:$X$4,'batch tool'!$B2292:$W2292)+$Y$4</f>
        <v>-44.639843068043824</v>
      </c>
      <c r="E2298" s="7">
        <f>SUMPRODUCT($C$5:$X$5,'batch tool'!$B2292:$W2292)+$Y$5</f>
        <v>-51.578889182477603</v>
      </c>
      <c r="F2298" s="7">
        <f>SUMPRODUCT($C$6:$X$6,'batch tool'!$B2292:$W2292)+$Y$6</f>
        <v>-47.741473633885199</v>
      </c>
      <c r="G2298" s="7">
        <f>SUMPRODUCT($C$7:$X$7,'batch tool'!$B2292:$W2292)+$Y$7</f>
        <v>-19.739516238059196</v>
      </c>
      <c r="H2298" s="7">
        <f t="shared" si="72"/>
        <v>-19.739516238059196</v>
      </c>
      <c r="I2298">
        <f t="shared" si="73"/>
        <v>6</v>
      </c>
      <c r="J2298" t="str" cm="1">
        <f t="array" ref="J2298">INDEX($A$2:$A$7,I2298)</f>
        <v>Segment 6- Self-Conscious Male</v>
      </c>
    </row>
    <row r="2299" spans="1:10" x14ac:dyDescent="0.25">
      <c r="A2299" s="1">
        <f>'batch tool'!A2293</f>
        <v>0</v>
      </c>
      <c r="B2299" s="7">
        <f>SUMPRODUCT($C$2:$X$2,'batch tool'!$B2293:$W2293)+$Y$2</f>
        <v>-49.12272534143483</v>
      </c>
      <c r="C2299" s="7">
        <f>SUMPRODUCT($C$3:$X$3,'batch tool'!$B2293:$W2293)+$Y$3</f>
        <v>-36.514029388465531</v>
      </c>
      <c r="D2299" s="7">
        <f>SUMPRODUCT($C$4:$X$4,'batch tool'!$B2293:$W2293)+$Y$4</f>
        <v>-44.639843068043824</v>
      </c>
      <c r="E2299" s="7">
        <f>SUMPRODUCT($C$5:$X$5,'batch tool'!$B2293:$W2293)+$Y$5</f>
        <v>-51.578889182477603</v>
      </c>
      <c r="F2299" s="7">
        <f>SUMPRODUCT($C$6:$X$6,'batch tool'!$B2293:$W2293)+$Y$6</f>
        <v>-47.741473633885199</v>
      </c>
      <c r="G2299" s="7">
        <f>SUMPRODUCT($C$7:$X$7,'batch tool'!$B2293:$W2293)+$Y$7</f>
        <v>-19.739516238059196</v>
      </c>
      <c r="H2299" s="7">
        <f t="shared" si="72"/>
        <v>-19.739516238059196</v>
      </c>
      <c r="I2299">
        <f t="shared" si="73"/>
        <v>6</v>
      </c>
      <c r="J2299" t="str" cm="1">
        <f t="array" ref="J2299">INDEX($A$2:$A$7,I2299)</f>
        <v>Segment 6- Self-Conscious Male</v>
      </c>
    </row>
    <row r="2300" spans="1:10" x14ac:dyDescent="0.25">
      <c r="A2300" s="1">
        <f>'batch tool'!A2294</f>
        <v>0</v>
      </c>
      <c r="B2300" s="7">
        <f>SUMPRODUCT($C$2:$X$2,'batch tool'!$B2294:$W2294)+$Y$2</f>
        <v>-49.12272534143483</v>
      </c>
      <c r="C2300" s="7">
        <f>SUMPRODUCT($C$3:$X$3,'batch tool'!$B2294:$W2294)+$Y$3</f>
        <v>-36.514029388465531</v>
      </c>
      <c r="D2300" s="7">
        <f>SUMPRODUCT($C$4:$X$4,'batch tool'!$B2294:$W2294)+$Y$4</f>
        <v>-44.639843068043824</v>
      </c>
      <c r="E2300" s="7">
        <f>SUMPRODUCT($C$5:$X$5,'batch tool'!$B2294:$W2294)+$Y$5</f>
        <v>-51.578889182477603</v>
      </c>
      <c r="F2300" s="7">
        <f>SUMPRODUCT($C$6:$X$6,'batch tool'!$B2294:$W2294)+$Y$6</f>
        <v>-47.741473633885199</v>
      </c>
      <c r="G2300" s="7">
        <f>SUMPRODUCT($C$7:$X$7,'batch tool'!$B2294:$W2294)+$Y$7</f>
        <v>-19.739516238059196</v>
      </c>
      <c r="H2300" s="7">
        <f t="shared" si="72"/>
        <v>-19.739516238059196</v>
      </c>
      <c r="I2300">
        <f t="shared" si="73"/>
        <v>6</v>
      </c>
      <c r="J2300" t="str" cm="1">
        <f t="array" ref="J2300">INDEX($A$2:$A$7,I2300)</f>
        <v>Segment 6- Self-Conscious Male</v>
      </c>
    </row>
    <row r="2301" spans="1:10" x14ac:dyDescent="0.25">
      <c r="A2301" s="1">
        <f>'batch tool'!A2295</f>
        <v>0</v>
      </c>
      <c r="B2301" s="7">
        <f>SUMPRODUCT($C$2:$X$2,'batch tool'!$B2295:$W2295)+$Y$2</f>
        <v>-49.12272534143483</v>
      </c>
      <c r="C2301" s="7">
        <f>SUMPRODUCT($C$3:$X$3,'batch tool'!$B2295:$W2295)+$Y$3</f>
        <v>-36.514029388465531</v>
      </c>
      <c r="D2301" s="7">
        <f>SUMPRODUCT($C$4:$X$4,'batch tool'!$B2295:$W2295)+$Y$4</f>
        <v>-44.639843068043824</v>
      </c>
      <c r="E2301" s="7">
        <f>SUMPRODUCT($C$5:$X$5,'batch tool'!$B2295:$W2295)+$Y$5</f>
        <v>-51.578889182477603</v>
      </c>
      <c r="F2301" s="7">
        <f>SUMPRODUCT($C$6:$X$6,'batch tool'!$B2295:$W2295)+$Y$6</f>
        <v>-47.741473633885199</v>
      </c>
      <c r="G2301" s="7">
        <f>SUMPRODUCT($C$7:$X$7,'batch tool'!$B2295:$W2295)+$Y$7</f>
        <v>-19.739516238059196</v>
      </c>
      <c r="H2301" s="7">
        <f t="shared" si="72"/>
        <v>-19.739516238059196</v>
      </c>
      <c r="I2301">
        <f t="shared" si="73"/>
        <v>6</v>
      </c>
      <c r="J2301" t="str" cm="1">
        <f t="array" ref="J2301">INDEX($A$2:$A$7,I2301)</f>
        <v>Segment 6- Self-Conscious Male</v>
      </c>
    </row>
    <row r="2302" spans="1:10" x14ac:dyDescent="0.25">
      <c r="A2302" s="1">
        <f>'batch tool'!A2296</f>
        <v>0</v>
      </c>
      <c r="B2302" s="7">
        <f>SUMPRODUCT($C$2:$X$2,'batch tool'!$B2296:$W2296)+$Y$2</f>
        <v>-49.12272534143483</v>
      </c>
      <c r="C2302" s="7">
        <f>SUMPRODUCT($C$3:$X$3,'batch tool'!$B2296:$W2296)+$Y$3</f>
        <v>-36.514029388465531</v>
      </c>
      <c r="D2302" s="7">
        <f>SUMPRODUCT($C$4:$X$4,'batch tool'!$B2296:$W2296)+$Y$4</f>
        <v>-44.639843068043824</v>
      </c>
      <c r="E2302" s="7">
        <f>SUMPRODUCT($C$5:$X$5,'batch tool'!$B2296:$W2296)+$Y$5</f>
        <v>-51.578889182477603</v>
      </c>
      <c r="F2302" s="7">
        <f>SUMPRODUCT($C$6:$X$6,'batch tool'!$B2296:$W2296)+$Y$6</f>
        <v>-47.741473633885199</v>
      </c>
      <c r="G2302" s="7">
        <f>SUMPRODUCT($C$7:$X$7,'batch tool'!$B2296:$W2296)+$Y$7</f>
        <v>-19.739516238059196</v>
      </c>
      <c r="H2302" s="7">
        <f t="shared" si="72"/>
        <v>-19.739516238059196</v>
      </c>
      <c r="I2302">
        <f t="shared" si="73"/>
        <v>6</v>
      </c>
      <c r="J2302" t="str" cm="1">
        <f t="array" ref="J2302">INDEX($A$2:$A$7,I2302)</f>
        <v>Segment 6- Self-Conscious Male</v>
      </c>
    </row>
    <row r="2303" spans="1:10" x14ac:dyDescent="0.25">
      <c r="A2303" s="1">
        <f>'batch tool'!A2297</f>
        <v>0</v>
      </c>
      <c r="B2303" s="7">
        <f>SUMPRODUCT($C$2:$X$2,'batch tool'!$B2297:$W2297)+$Y$2</f>
        <v>-49.12272534143483</v>
      </c>
      <c r="C2303" s="7">
        <f>SUMPRODUCT($C$3:$X$3,'batch tool'!$B2297:$W2297)+$Y$3</f>
        <v>-36.514029388465531</v>
      </c>
      <c r="D2303" s="7">
        <f>SUMPRODUCT($C$4:$X$4,'batch tool'!$B2297:$W2297)+$Y$4</f>
        <v>-44.639843068043824</v>
      </c>
      <c r="E2303" s="7">
        <f>SUMPRODUCT($C$5:$X$5,'batch tool'!$B2297:$W2297)+$Y$5</f>
        <v>-51.578889182477603</v>
      </c>
      <c r="F2303" s="7">
        <f>SUMPRODUCT($C$6:$X$6,'batch tool'!$B2297:$W2297)+$Y$6</f>
        <v>-47.741473633885199</v>
      </c>
      <c r="G2303" s="7">
        <f>SUMPRODUCT($C$7:$X$7,'batch tool'!$B2297:$W2297)+$Y$7</f>
        <v>-19.739516238059196</v>
      </c>
      <c r="H2303" s="7">
        <f t="shared" si="72"/>
        <v>-19.739516238059196</v>
      </c>
      <c r="I2303">
        <f t="shared" si="73"/>
        <v>6</v>
      </c>
      <c r="J2303" t="str" cm="1">
        <f t="array" ref="J2303">INDEX($A$2:$A$7,I2303)</f>
        <v>Segment 6- Self-Conscious Male</v>
      </c>
    </row>
    <row r="2304" spans="1:10" x14ac:dyDescent="0.25">
      <c r="A2304" s="1">
        <f>'batch tool'!A2298</f>
        <v>0</v>
      </c>
      <c r="B2304" s="7">
        <f>SUMPRODUCT($C$2:$X$2,'batch tool'!$B2298:$W2298)+$Y$2</f>
        <v>-49.12272534143483</v>
      </c>
      <c r="C2304" s="7">
        <f>SUMPRODUCT($C$3:$X$3,'batch tool'!$B2298:$W2298)+$Y$3</f>
        <v>-36.514029388465531</v>
      </c>
      <c r="D2304" s="7">
        <f>SUMPRODUCT($C$4:$X$4,'batch tool'!$B2298:$W2298)+$Y$4</f>
        <v>-44.639843068043824</v>
      </c>
      <c r="E2304" s="7">
        <f>SUMPRODUCT($C$5:$X$5,'batch tool'!$B2298:$W2298)+$Y$5</f>
        <v>-51.578889182477603</v>
      </c>
      <c r="F2304" s="7">
        <f>SUMPRODUCT($C$6:$X$6,'batch tool'!$B2298:$W2298)+$Y$6</f>
        <v>-47.741473633885199</v>
      </c>
      <c r="G2304" s="7">
        <f>SUMPRODUCT($C$7:$X$7,'batch tool'!$B2298:$W2298)+$Y$7</f>
        <v>-19.739516238059196</v>
      </c>
      <c r="H2304" s="7">
        <f t="shared" si="72"/>
        <v>-19.739516238059196</v>
      </c>
      <c r="I2304">
        <f t="shared" si="73"/>
        <v>6</v>
      </c>
      <c r="J2304" t="str" cm="1">
        <f t="array" ref="J2304">INDEX($A$2:$A$7,I2304)</f>
        <v>Segment 6- Self-Conscious Male</v>
      </c>
    </row>
    <row r="2305" spans="1:10" x14ac:dyDescent="0.25">
      <c r="A2305" s="1">
        <f>'batch tool'!A2299</f>
        <v>0</v>
      </c>
      <c r="B2305" s="7">
        <f>SUMPRODUCT($C$2:$X$2,'batch tool'!$B2299:$W2299)+$Y$2</f>
        <v>-49.12272534143483</v>
      </c>
      <c r="C2305" s="7">
        <f>SUMPRODUCT($C$3:$X$3,'batch tool'!$B2299:$W2299)+$Y$3</f>
        <v>-36.514029388465531</v>
      </c>
      <c r="D2305" s="7">
        <f>SUMPRODUCT($C$4:$X$4,'batch tool'!$B2299:$W2299)+$Y$4</f>
        <v>-44.639843068043824</v>
      </c>
      <c r="E2305" s="7">
        <f>SUMPRODUCT($C$5:$X$5,'batch tool'!$B2299:$W2299)+$Y$5</f>
        <v>-51.578889182477603</v>
      </c>
      <c r="F2305" s="7">
        <f>SUMPRODUCT($C$6:$X$6,'batch tool'!$B2299:$W2299)+$Y$6</f>
        <v>-47.741473633885199</v>
      </c>
      <c r="G2305" s="7">
        <f>SUMPRODUCT($C$7:$X$7,'batch tool'!$B2299:$W2299)+$Y$7</f>
        <v>-19.739516238059196</v>
      </c>
      <c r="H2305" s="7">
        <f t="shared" si="72"/>
        <v>-19.739516238059196</v>
      </c>
      <c r="I2305">
        <f t="shared" si="73"/>
        <v>6</v>
      </c>
      <c r="J2305" t="str" cm="1">
        <f t="array" ref="J2305">INDEX($A$2:$A$7,I2305)</f>
        <v>Segment 6- Self-Conscious Male</v>
      </c>
    </row>
    <row r="2306" spans="1:10" x14ac:dyDescent="0.25">
      <c r="A2306" s="1">
        <f>'batch tool'!A2300</f>
        <v>0</v>
      </c>
      <c r="B2306" s="7">
        <f>SUMPRODUCT($C$2:$X$2,'batch tool'!$B2300:$W2300)+$Y$2</f>
        <v>-49.12272534143483</v>
      </c>
      <c r="C2306" s="7">
        <f>SUMPRODUCT($C$3:$X$3,'batch tool'!$B2300:$W2300)+$Y$3</f>
        <v>-36.514029388465531</v>
      </c>
      <c r="D2306" s="7">
        <f>SUMPRODUCT($C$4:$X$4,'batch tool'!$B2300:$W2300)+$Y$4</f>
        <v>-44.639843068043824</v>
      </c>
      <c r="E2306" s="7">
        <f>SUMPRODUCT($C$5:$X$5,'batch tool'!$B2300:$W2300)+$Y$5</f>
        <v>-51.578889182477603</v>
      </c>
      <c r="F2306" s="7">
        <f>SUMPRODUCT($C$6:$X$6,'batch tool'!$B2300:$W2300)+$Y$6</f>
        <v>-47.741473633885199</v>
      </c>
      <c r="G2306" s="7">
        <f>SUMPRODUCT($C$7:$X$7,'batch tool'!$B2300:$W2300)+$Y$7</f>
        <v>-19.739516238059196</v>
      </c>
      <c r="H2306" s="7">
        <f t="shared" si="72"/>
        <v>-19.739516238059196</v>
      </c>
      <c r="I2306">
        <f t="shared" si="73"/>
        <v>6</v>
      </c>
      <c r="J2306" t="str" cm="1">
        <f t="array" ref="J2306">INDEX($A$2:$A$7,I2306)</f>
        <v>Segment 6- Self-Conscious Male</v>
      </c>
    </row>
    <row r="2307" spans="1:10" x14ac:dyDescent="0.25">
      <c r="A2307" s="1">
        <f>'batch tool'!A2301</f>
        <v>0</v>
      </c>
      <c r="B2307" s="7">
        <f>SUMPRODUCT($C$2:$X$2,'batch tool'!$B2301:$W2301)+$Y$2</f>
        <v>-49.12272534143483</v>
      </c>
      <c r="C2307" s="7">
        <f>SUMPRODUCT($C$3:$X$3,'batch tool'!$B2301:$W2301)+$Y$3</f>
        <v>-36.514029388465531</v>
      </c>
      <c r="D2307" s="7">
        <f>SUMPRODUCT($C$4:$X$4,'batch tool'!$B2301:$W2301)+$Y$4</f>
        <v>-44.639843068043824</v>
      </c>
      <c r="E2307" s="7">
        <f>SUMPRODUCT($C$5:$X$5,'batch tool'!$B2301:$W2301)+$Y$5</f>
        <v>-51.578889182477603</v>
      </c>
      <c r="F2307" s="7">
        <f>SUMPRODUCT($C$6:$X$6,'batch tool'!$B2301:$W2301)+$Y$6</f>
        <v>-47.741473633885199</v>
      </c>
      <c r="G2307" s="7">
        <f>SUMPRODUCT($C$7:$X$7,'batch tool'!$B2301:$W2301)+$Y$7</f>
        <v>-19.739516238059196</v>
      </c>
      <c r="H2307" s="7">
        <f t="shared" si="72"/>
        <v>-19.739516238059196</v>
      </c>
      <c r="I2307">
        <f t="shared" si="73"/>
        <v>6</v>
      </c>
      <c r="J2307" t="str" cm="1">
        <f t="array" ref="J2307">INDEX($A$2:$A$7,I2307)</f>
        <v>Segment 6- Self-Conscious Male</v>
      </c>
    </row>
    <row r="2308" spans="1:10" x14ac:dyDescent="0.25">
      <c r="A2308" s="1">
        <f>'batch tool'!A2302</f>
        <v>0</v>
      </c>
      <c r="B2308" s="7">
        <f>SUMPRODUCT($C$2:$X$2,'batch tool'!$B2302:$W2302)+$Y$2</f>
        <v>-49.12272534143483</v>
      </c>
      <c r="C2308" s="7">
        <f>SUMPRODUCT($C$3:$X$3,'batch tool'!$B2302:$W2302)+$Y$3</f>
        <v>-36.514029388465531</v>
      </c>
      <c r="D2308" s="7">
        <f>SUMPRODUCT($C$4:$X$4,'batch tool'!$B2302:$W2302)+$Y$4</f>
        <v>-44.639843068043824</v>
      </c>
      <c r="E2308" s="7">
        <f>SUMPRODUCT($C$5:$X$5,'batch tool'!$B2302:$W2302)+$Y$5</f>
        <v>-51.578889182477603</v>
      </c>
      <c r="F2308" s="7">
        <f>SUMPRODUCT($C$6:$X$6,'batch tool'!$B2302:$W2302)+$Y$6</f>
        <v>-47.741473633885199</v>
      </c>
      <c r="G2308" s="7">
        <f>SUMPRODUCT($C$7:$X$7,'batch tool'!$B2302:$W2302)+$Y$7</f>
        <v>-19.739516238059196</v>
      </c>
      <c r="H2308" s="7">
        <f t="shared" si="72"/>
        <v>-19.739516238059196</v>
      </c>
      <c r="I2308">
        <f t="shared" si="73"/>
        <v>6</v>
      </c>
      <c r="J2308" t="str" cm="1">
        <f t="array" ref="J2308">INDEX($A$2:$A$7,I2308)</f>
        <v>Segment 6- Self-Conscious Male</v>
      </c>
    </row>
    <row r="2309" spans="1:10" x14ac:dyDescent="0.25">
      <c r="A2309" s="1">
        <f>'batch tool'!A2303</f>
        <v>0</v>
      </c>
      <c r="B2309" s="7">
        <f>SUMPRODUCT($C$2:$X$2,'batch tool'!$B2303:$W2303)+$Y$2</f>
        <v>-49.12272534143483</v>
      </c>
      <c r="C2309" s="7">
        <f>SUMPRODUCT($C$3:$X$3,'batch tool'!$B2303:$W2303)+$Y$3</f>
        <v>-36.514029388465531</v>
      </c>
      <c r="D2309" s="7">
        <f>SUMPRODUCT($C$4:$X$4,'batch tool'!$B2303:$W2303)+$Y$4</f>
        <v>-44.639843068043824</v>
      </c>
      <c r="E2309" s="7">
        <f>SUMPRODUCT($C$5:$X$5,'batch tool'!$B2303:$W2303)+$Y$5</f>
        <v>-51.578889182477603</v>
      </c>
      <c r="F2309" s="7">
        <f>SUMPRODUCT($C$6:$X$6,'batch tool'!$B2303:$W2303)+$Y$6</f>
        <v>-47.741473633885199</v>
      </c>
      <c r="G2309" s="7">
        <f>SUMPRODUCT($C$7:$X$7,'batch tool'!$B2303:$W2303)+$Y$7</f>
        <v>-19.739516238059196</v>
      </c>
      <c r="H2309" s="7">
        <f t="shared" si="72"/>
        <v>-19.739516238059196</v>
      </c>
      <c r="I2309">
        <f t="shared" si="73"/>
        <v>6</v>
      </c>
      <c r="J2309" t="str" cm="1">
        <f t="array" ref="J2309">INDEX($A$2:$A$7,I2309)</f>
        <v>Segment 6- Self-Conscious Male</v>
      </c>
    </row>
    <row r="2310" spans="1:10" x14ac:dyDescent="0.25">
      <c r="A2310" s="1">
        <f>'batch tool'!A2304</f>
        <v>0</v>
      </c>
      <c r="B2310" s="7">
        <f>SUMPRODUCT($C$2:$X$2,'batch tool'!$B2304:$W2304)+$Y$2</f>
        <v>-49.12272534143483</v>
      </c>
      <c r="C2310" s="7">
        <f>SUMPRODUCT($C$3:$X$3,'batch tool'!$B2304:$W2304)+$Y$3</f>
        <v>-36.514029388465531</v>
      </c>
      <c r="D2310" s="7">
        <f>SUMPRODUCT($C$4:$X$4,'batch tool'!$B2304:$W2304)+$Y$4</f>
        <v>-44.639843068043824</v>
      </c>
      <c r="E2310" s="7">
        <f>SUMPRODUCT($C$5:$X$5,'batch tool'!$B2304:$W2304)+$Y$5</f>
        <v>-51.578889182477603</v>
      </c>
      <c r="F2310" s="7">
        <f>SUMPRODUCT($C$6:$X$6,'batch tool'!$B2304:$W2304)+$Y$6</f>
        <v>-47.741473633885199</v>
      </c>
      <c r="G2310" s="7">
        <f>SUMPRODUCT($C$7:$X$7,'batch tool'!$B2304:$W2304)+$Y$7</f>
        <v>-19.739516238059196</v>
      </c>
      <c r="H2310" s="7">
        <f t="shared" si="72"/>
        <v>-19.739516238059196</v>
      </c>
      <c r="I2310">
        <f t="shared" si="73"/>
        <v>6</v>
      </c>
      <c r="J2310" t="str" cm="1">
        <f t="array" ref="J2310">INDEX($A$2:$A$7,I2310)</f>
        <v>Segment 6- Self-Conscious Male</v>
      </c>
    </row>
    <row r="2311" spans="1:10" x14ac:dyDescent="0.25">
      <c r="A2311" s="1">
        <f>'batch tool'!A2305</f>
        <v>0</v>
      </c>
      <c r="B2311" s="7">
        <f>SUMPRODUCT($C$2:$X$2,'batch tool'!$B2305:$W2305)+$Y$2</f>
        <v>-49.12272534143483</v>
      </c>
      <c r="C2311" s="7">
        <f>SUMPRODUCT($C$3:$X$3,'batch tool'!$B2305:$W2305)+$Y$3</f>
        <v>-36.514029388465531</v>
      </c>
      <c r="D2311" s="7">
        <f>SUMPRODUCT($C$4:$X$4,'batch tool'!$B2305:$W2305)+$Y$4</f>
        <v>-44.639843068043824</v>
      </c>
      <c r="E2311" s="7">
        <f>SUMPRODUCT($C$5:$X$5,'batch tool'!$B2305:$W2305)+$Y$5</f>
        <v>-51.578889182477603</v>
      </c>
      <c r="F2311" s="7">
        <f>SUMPRODUCT($C$6:$X$6,'batch tool'!$B2305:$W2305)+$Y$6</f>
        <v>-47.741473633885199</v>
      </c>
      <c r="G2311" s="7">
        <f>SUMPRODUCT($C$7:$X$7,'batch tool'!$B2305:$W2305)+$Y$7</f>
        <v>-19.739516238059196</v>
      </c>
      <c r="H2311" s="7">
        <f t="shared" si="72"/>
        <v>-19.739516238059196</v>
      </c>
      <c r="I2311">
        <f t="shared" si="73"/>
        <v>6</v>
      </c>
      <c r="J2311" t="str" cm="1">
        <f t="array" ref="J2311">INDEX($A$2:$A$7,I2311)</f>
        <v>Segment 6- Self-Conscious Male</v>
      </c>
    </row>
    <row r="2312" spans="1:10" x14ac:dyDescent="0.25">
      <c r="A2312" s="1">
        <f>'batch tool'!A2306</f>
        <v>0</v>
      </c>
      <c r="B2312" s="7">
        <f>SUMPRODUCT($C$2:$X$2,'batch tool'!$B2306:$W2306)+$Y$2</f>
        <v>-49.12272534143483</v>
      </c>
      <c r="C2312" s="7">
        <f>SUMPRODUCT($C$3:$X$3,'batch tool'!$B2306:$W2306)+$Y$3</f>
        <v>-36.514029388465531</v>
      </c>
      <c r="D2312" s="7">
        <f>SUMPRODUCT($C$4:$X$4,'batch tool'!$B2306:$W2306)+$Y$4</f>
        <v>-44.639843068043824</v>
      </c>
      <c r="E2312" s="7">
        <f>SUMPRODUCT($C$5:$X$5,'batch tool'!$B2306:$W2306)+$Y$5</f>
        <v>-51.578889182477603</v>
      </c>
      <c r="F2312" s="7">
        <f>SUMPRODUCT($C$6:$X$6,'batch tool'!$B2306:$W2306)+$Y$6</f>
        <v>-47.741473633885199</v>
      </c>
      <c r="G2312" s="7">
        <f>SUMPRODUCT($C$7:$X$7,'batch tool'!$B2306:$W2306)+$Y$7</f>
        <v>-19.739516238059196</v>
      </c>
      <c r="H2312" s="7">
        <f t="shared" si="72"/>
        <v>-19.739516238059196</v>
      </c>
      <c r="I2312">
        <f t="shared" si="73"/>
        <v>6</v>
      </c>
      <c r="J2312" t="str" cm="1">
        <f t="array" ref="J2312">INDEX($A$2:$A$7,I2312)</f>
        <v>Segment 6- Self-Conscious Male</v>
      </c>
    </row>
    <row r="2313" spans="1:10" x14ac:dyDescent="0.25">
      <c r="A2313" s="1">
        <f>'batch tool'!A2307</f>
        <v>0</v>
      </c>
      <c r="B2313" s="7">
        <f>SUMPRODUCT($C$2:$X$2,'batch tool'!$B2307:$W2307)+$Y$2</f>
        <v>-49.12272534143483</v>
      </c>
      <c r="C2313" s="7">
        <f>SUMPRODUCT($C$3:$X$3,'batch tool'!$B2307:$W2307)+$Y$3</f>
        <v>-36.514029388465531</v>
      </c>
      <c r="D2313" s="7">
        <f>SUMPRODUCT($C$4:$X$4,'batch tool'!$B2307:$W2307)+$Y$4</f>
        <v>-44.639843068043824</v>
      </c>
      <c r="E2313" s="7">
        <f>SUMPRODUCT($C$5:$X$5,'batch tool'!$B2307:$W2307)+$Y$5</f>
        <v>-51.578889182477603</v>
      </c>
      <c r="F2313" s="7">
        <f>SUMPRODUCT($C$6:$X$6,'batch tool'!$B2307:$W2307)+$Y$6</f>
        <v>-47.741473633885199</v>
      </c>
      <c r="G2313" s="7">
        <f>SUMPRODUCT($C$7:$X$7,'batch tool'!$B2307:$W2307)+$Y$7</f>
        <v>-19.739516238059196</v>
      </c>
      <c r="H2313" s="7">
        <f t="shared" si="72"/>
        <v>-19.739516238059196</v>
      </c>
      <c r="I2313">
        <f t="shared" si="73"/>
        <v>6</v>
      </c>
      <c r="J2313" t="str" cm="1">
        <f t="array" ref="J2313">INDEX($A$2:$A$7,I2313)</f>
        <v>Segment 6- Self-Conscious Male</v>
      </c>
    </row>
    <row r="2314" spans="1:10" x14ac:dyDescent="0.25">
      <c r="A2314" s="1">
        <f>'batch tool'!A2308</f>
        <v>0</v>
      </c>
      <c r="B2314" s="7">
        <f>SUMPRODUCT($C$2:$X$2,'batch tool'!$B2308:$W2308)+$Y$2</f>
        <v>-49.12272534143483</v>
      </c>
      <c r="C2314" s="7">
        <f>SUMPRODUCT($C$3:$X$3,'batch tool'!$B2308:$W2308)+$Y$3</f>
        <v>-36.514029388465531</v>
      </c>
      <c r="D2314" s="7">
        <f>SUMPRODUCT($C$4:$X$4,'batch tool'!$B2308:$W2308)+$Y$4</f>
        <v>-44.639843068043824</v>
      </c>
      <c r="E2314" s="7">
        <f>SUMPRODUCT($C$5:$X$5,'batch tool'!$B2308:$W2308)+$Y$5</f>
        <v>-51.578889182477603</v>
      </c>
      <c r="F2314" s="7">
        <f>SUMPRODUCT($C$6:$X$6,'batch tool'!$B2308:$W2308)+$Y$6</f>
        <v>-47.741473633885199</v>
      </c>
      <c r="G2314" s="7">
        <f>SUMPRODUCT($C$7:$X$7,'batch tool'!$B2308:$W2308)+$Y$7</f>
        <v>-19.739516238059196</v>
      </c>
      <c r="H2314" s="7">
        <f t="shared" si="72"/>
        <v>-19.739516238059196</v>
      </c>
      <c r="I2314">
        <f t="shared" si="73"/>
        <v>6</v>
      </c>
      <c r="J2314" t="str" cm="1">
        <f t="array" ref="J2314">INDEX($A$2:$A$7,I2314)</f>
        <v>Segment 6- Self-Conscious Male</v>
      </c>
    </row>
    <row r="2315" spans="1:10" x14ac:dyDescent="0.25">
      <c r="A2315" s="1">
        <f>'batch tool'!A2309</f>
        <v>0</v>
      </c>
      <c r="B2315" s="7">
        <f>SUMPRODUCT($C$2:$X$2,'batch tool'!$B2309:$W2309)+$Y$2</f>
        <v>-49.12272534143483</v>
      </c>
      <c r="C2315" s="7">
        <f>SUMPRODUCT($C$3:$X$3,'batch tool'!$B2309:$W2309)+$Y$3</f>
        <v>-36.514029388465531</v>
      </c>
      <c r="D2315" s="7">
        <f>SUMPRODUCT($C$4:$X$4,'batch tool'!$B2309:$W2309)+$Y$4</f>
        <v>-44.639843068043824</v>
      </c>
      <c r="E2315" s="7">
        <f>SUMPRODUCT($C$5:$X$5,'batch tool'!$B2309:$W2309)+$Y$5</f>
        <v>-51.578889182477603</v>
      </c>
      <c r="F2315" s="7">
        <f>SUMPRODUCT($C$6:$X$6,'batch tool'!$B2309:$W2309)+$Y$6</f>
        <v>-47.741473633885199</v>
      </c>
      <c r="G2315" s="7">
        <f>SUMPRODUCT($C$7:$X$7,'batch tool'!$B2309:$W2309)+$Y$7</f>
        <v>-19.739516238059196</v>
      </c>
      <c r="H2315" s="7">
        <f t="shared" si="72"/>
        <v>-19.739516238059196</v>
      </c>
      <c r="I2315">
        <f t="shared" si="73"/>
        <v>6</v>
      </c>
      <c r="J2315" t="str" cm="1">
        <f t="array" ref="J2315">INDEX($A$2:$A$7,I2315)</f>
        <v>Segment 6- Self-Conscious Male</v>
      </c>
    </row>
    <row r="2316" spans="1:10" x14ac:dyDescent="0.25">
      <c r="A2316" s="1">
        <f>'batch tool'!A2310</f>
        <v>0</v>
      </c>
      <c r="B2316" s="7">
        <f>SUMPRODUCT($C$2:$X$2,'batch tool'!$B2310:$W2310)+$Y$2</f>
        <v>-49.12272534143483</v>
      </c>
      <c r="C2316" s="7">
        <f>SUMPRODUCT($C$3:$X$3,'batch tool'!$B2310:$W2310)+$Y$3</f>
        <v>-36.514029388465531</v>
      </c>
      <c r="D2316" s="7">
        <f>SUMPRODUCT($C$4:$X$4,'batch tool'!$B2310:$W2310)+$Y$4</f>
        <v>-44.639843068043824</v>
      </c>
      <c r="E2316" s="7">
        <f>SUMPRODUCT($C$5:$X$5,'batch tool'!$B2310:$W2310)+$Y$5</f>
        <v>-51.578889182477603</v>
      </c>
      <c r="F2316" s="7">
        <f>SUMPRODUCT($C$6:$X$6,'batch tool'!$B2310:$W2310)+$Y$6</f>
        <v>-47.741473633885199</v>
      </c>
      <c r="G2316" s="7">
        <f>SUMPRODUCT($C$7:$X$7,'batch tool'!$B2310:$W2310)+$Y$7</f>
        <v>-19.739516238059196</v>
      </c>
      <c r="H2316" s="7">
        <f t="shared" si="72"/>
        <v>-19.739516238059196</v>
      </c>
      <c r="I2316">
        <f t="shared" si="73"/>
        <v>6</v>
      </c>
      <c r="J2316" t="str" cm="1">
        <f t="array" ref="J2316">INDEX($A$2:$A$7,I2316)</f>
        <v>Segment 6- Self-Conscious Male</v>
      </c>
    </row>
    <row r="2317" spans="1:10" x14ac:dyDescent="0.25">
      <c r="A2317" s="1">
        <f>'batch tool'!A2311</f>
        <v>0</v>
      </c>
      <c r="B2317" s="7">
        <f>SUMPRODUCT($C$2:$X$2,'batch tool'!$B2311:$W2311)+$Y$2</f>
        <v>-49.12272534143483</v>
      </c>
      <c r="C2317" s="7">
        <f>SUMPRODUCT($C$3:$X$3,'batch tool'!$B2311:$W2311)+$Y$3</f>
        <v>-36.514029388465531</v>
      </c>
      <c r="D2317" s="7">
        <f>SUMPRODUCT($C$4:$X$4,'batch tool'!$B2311:$W2311)+$Y$4</f>
        <v>-44.639843068043824</v>
      </c>
      <c r="E2317" s="7">
        <f>SUMPRODUCT($C$5:$X$5,'batch tool'!$B2311:$W2311)+$Y$5</f>
        <v>-51.578889182477603</v>
      </c>
      <c r="F2317" s="7">
        <f>SUMPRODUCT($C$6:$X$6,'batch tool'!$B2311:$W2311)+$Y$6</f>
        <v>-47.741473633885199</v>
      </c>
      <c r="G2317" s="7">
        <f>SUMPRODUCT($C$7:$X$7,'batch tool'!$B2311:$W2311)+$Y$7</f>
        <v>-19.739516238059196</v>
      </c>
      <c r="H2317" s="7">
        <f t="shared" si="72"/>
        <v>-19.739516238059196</v>
      </c>
      <c r="I2317">
        <f t="shared" si="73"/>
        <v>6</v>
      </c>
      <c r="J2317" t="str" cm="1">
        <f t="array" ref="J2317">INDEX($A$2:$A$7,I2317)</f>
        <v>Segment 6- Self-Conscious Male</v>
      </c>
    </row>
    <row r="2318" spans="1:10" x14ac:dyDescent="0.25">
      <c r="A2318" s="1">
        <f>'batch tool'!A2312</f>
        <v>0</v>
      </c>
      <c r="B2318" s="7">
        <f>SUMPRODUCT($C$2:$X$2,'batch tool'!$B2312:$W2312)+$Y$2</f>
        <v>-49.12272534143483</v>
      </c>
      <c r="C2318" s="7">
        <f>SUMPRODUCT($C$3:$X$3,'batch tool'!$B2312:$W2312)+$Y$3</f>
        <v>-36.514029388465531</v>
      </c>
      <c r="D2318" s="7">
        <f>SUMPRODUCT($C$4:$X$4,'batch tool'!$B2312:$W2312)+$Y$4</f>
        <v>-44.639843068043824</v>
      </c>
      <c r="E2318" s="7">
        <f>SUMPRODUCT($C$5:$X$5,'batch tool'!$B2312:$W2312)+$Y$5</f>
        <v>-51.578889182477603</v>
      </c>
      <c r="F2318" s="7">
        <f>SUMPRODUCT($C$6:$X$6,'batch tool'!$B2312:$W2312)+$Y$6</f>
        <v>-47.741473633885199</v>
      </c>
      <c r="G2318" s="7">
        <f>SUMPRODUCT($C$7:$X$7,'batch tool'!$B2312:$W2312)+$Y$7</f>
        <v>-19.739516238059196</v>
      </c>
      <c r="H2318" s="7">
        <f t="shared" si="72"/>
        <v>-19.739516238059196</v>
      </c>
      <c r="I2318">
        <f t="shared" si="73"/>
        <v>6</v>
      </c>
      <c r="J2318" t="str" cm="1">
        <f t="array" ref="J2318">INDEX($A$2:$A$7,I2318)</f>
        <v>Segment 6- Self-Conscious Male</v>
      </c>
    </row>
    <row r="2319" spans="1:10" x14ac:dyDescent="0.25">
      <c r="A2319" s="1">
        <f>'batch tool'!A2313</f>
        <v>0</v>
      </c>
      <c r="B2319" s="7">
        <f>SUMPRODUCT($C$2:$X$2,'batch tool'!$B2313:$W2313)+$Y$2</f>
        <v>-49.12272534143483</v>
      </c>
      <c r="C2319" s="7">
        <f>SUMPRODUCT($C$3:$X$3,'batch tool'!$B2313:$W2313)+$Y$3</f>
        <v>-36.514029388465531</v>
      </c>
      <c r="D2319" s="7">
        <f>SUMPRODUCT($C$4:$X$4,'batch tool'!$B2313:$W2313)+$Y$4</f>
        <v>-44.639843068043824</v>
      </c>
      <c r="E2319" s="7">
        <f>SUMPRODUCT($C$5:$X$5,'batch tool'!$B2313:$W2313)+$Y$5</f>
        <v>-51.578889182477603</v>
      </c>
      <c r="F2319" s="7">
        <f>SUMPRODUCT($C$6:$X$6,'batch tool'!$B2313:$W2313)+$Y$6</f>
        <v>-47.741473633885199</v>
      </c>
      <c r="G2319" s="7">
        <f>SUMPRODUCT($C$7:$X$7,'batch tool'!$B2313:$W2313)+$Y$7</f>
        <v>-19.739516238059196</v>
      </c>
      <c r="H2319" s="7">
        <f t="shared" si="72"/>
        <v>-19.739516238059196</v>
      </c>
      <c r="I2319">
        <f t="shared" si="73"/>
        <v>6</v>
      </c>
      <c r="J2319" t="str" cm="1">
        <f t="array" ref="J2319">INDEX($A$2:$A$7,I2319)</f>
        <v>Segment 6- Self-Conscious Male</v>
      </c>
    </row>
    <row r="2320" spans="1:10" x14ac:dyDescent="0.25">
      <c r="A2320" s="1">
        <f>'batch tool'!A2314</f>
        <v>0</v>
      </c>
      <c r="B2320" s="7">
        <f>SUMPRODUCT($C$2:$X$2,'batch tool'!$B2314:$W2314)+$Y$2</f>
        <v>-49.12272534143483</v>
      </c>
      <c r="C2320" s="7">
        <f>SUMPRODUCT($C$3:$X$3,'batch tool'!$B2314:$W2314)+$Y$3</f>
        <v>-36.514029388465531</v>
      </c>
      <c r="D2320" s="7">
        <f>SUMPRODUCT($C$4:$X$4,'batch tool'!$B2314:$W2314)+$Y$4</f>
        <v>-44.639843068043824</v>
      </c>
      <c r="E2320" s="7">
        <f>SUMPRODUCT($C$5:$X$5,'batch tool'!$B2314:$W2314)+$Y$5</f>
        <v>-51.578889182477603</v>
      </c>
      <c r="F2320" s="7">
        <f>SUMPRODUCT($C$6:$X$6,'batch tool'!$B2314:$W2314)+$Y$6</f>
        <v>-47.741473633885199</v>
      </c>
      <c r="G2320" s="7">
        <f>SUMPRODUCT($C$7:$X$7,'batch tool'!$B2314:$W2314)+$Y$7</f>
        <v>-19.739516238059196</v>
      </c>
      <c r="H2320" s="7">
        <f t="shared" si="72"/>
        <v>-19.739516238059196</v>
      </c>
      <c r="I2320">
        <f t="shared" si="73"/>
        <v>6</v>
      </c>
      <c r="J2320" t="str" cm="1">
        <f t="array" ref="J2320">INDEX($A$2:$A$7,I2320)</f>
        <v>Segment 6- Self-Conscious Male</v>
      </c>
    </row>
    <row r="2321" spans="1:10" x14ac:dyDescent="0.25">
      <c r="A2321" s="1">
        <f>'batch tool'!A2315</f>
        <v>0</v>
      </c>
      <c r="B2321" s="7">
        <f>SUMPRODUCT($C$2:$X$2,'batch tool'!$B2315:$W2315)+$Y$2</f>
        <v>-49.12272534143483</v>
      </c>
      <c r="C2321" s="7">
        <f>SUMPRODUCT($C$3:$X$3,'batch tool'!$B2315:$W2315)+$Y$3</f>
        <v>-36.514029388465531</v>
      </c>
      <c r="D2321" s="7">
        <f>SUMPRODUCT($C$4:$X$4,'batch tool'!$B2315:$W2315)+$Y$4</f>
        <v>-44.639843068043824</v>
      </c>
      <c r="E2321" s="7">
        <f>SUMPRODUCT($C$5:$X$5,'batch tool'!$B2315:$W2315)+$Y$5</f>
        <v>-51.578889182477603</v>
      </c>
      <c r="F2321" s="7">
        <f>SUMPRODUCT($C$6:$X$6,'batch tool'!$B2315:$W2315)+$Y$6</f>
        <v>-47.741473633885199</v>
      </c>
      <c r="G2321" s="7">
        <f>SUMPRODUCT($C$7:$X$7,'batch tool'!$B2315:$W2315)+$Y$7</f>
        <v>-19.739516238059196</v>
      </c>
      <c r="H2321" s="7">
        <f t="shared" si="72"/>
        <v>-19.739516238059196</v>
      </c>
      <c r="I2321">
        <f t="shared" si="73"/>
        <v>6</v>
      </c>
      <c r="J2321" t="str" cm="1">
        <f t="array" ref="J2321">INDEX($A$2:$A$7,I2321)</f>
        <v>Segment 6- Self-Conscious Male</v>
      </c>
    </row>
    <row r="2322" spans="1:10" x14ac:dyDescent="0.25">
      <c r="A2322" s="1">
        <f>'batch tool'!A2316</f>
        <v>0</v>
      </c>
      <c r="B2322" s="7">
        <f>SUMPRODUCT($C$2:$X$2,'batch tool'!$B2316:$W2316)+$Y$2</f>
        <v>-49.12272534143483</v>
      </c>
      <c r="C2322" s="7">
        <f>SUMPRODUCT($C$3:$X$3,'batch tool'!$B2316:$W2316)+$Y$3</f>
        <v>-36.514029388465531</v>
      </c>
      <c r="D2322" s="7">
        <f>SUMPRODUCT($C$4:$X$4,'batch tool'!$B2316:$W2316)+$Y$4</f>
        <v>-44.639843068043824</v>
      </c>
      <c r="E2322" s="7">
        <f>SUMPRODUCT($C$5:$X$5,'batch tool'!$B2316:$W2316)+$Y$5</f>
        <v>-51.578889182477603</v>
      </c>
      <c r="F2322" s="7">
        <f>SUMPRODUCT($C$6:$X$6,'batch tool'!$B2316:$W2316)+$Y$6</f>
        <v>-47.741473633885199</v>
      </c>
      <c r="G2322" s="7">
        <f>SUMPRODUCT($C$7:$X$7,'batch tool'!$B2316:$W2316)+$Y$7</f>
        <v>-19.739516238059196</v>
      </c>
      <c r="H2322" s="7">
        <f t="shared" si="72"/>
        <v>-19.739516238059196</v>
      </c>
      <c r="I2322">
        <f t="shared" si="73"/>
        <v>6</v>
      </c>
      <c r="J2322" t="str" cm="1">
        <f t="array" ref="J2322">INDEX($A$2:$A$7,I2322)</f>
        <v>Segment 6- Self-Conscious Male</v>
      </c>
    </row>
    <row r="2323" spans="1:10" x14ac:dyDescent="0.25">
      <c r="A2323" s="1">
        <f>'batch tool'!A2317</f>
        <v>0</v>
      </c>
      <c r="B2323" s="7">
        <f>SUMPRODUCT($C$2:$X$2,'batch tool'!$B2317:$W2317)+$Y$2</f>
        <v>-49.12272534143483</v>
      </c>
      <c r="C2323" s="7">
        <f>SUMPRODUCT($C$3:$X$3,'batch tool'!$B2317:$W2317)+$Y$3</f>
        <v>-36.514029388465531</v>
      </c>
      <c r="D2323" s="7">
        <f>SUMPRODUCT($C$4:$X$4,'batch tool'!$B2317:$W2317)+$Y$4</f>
        <v>-44.639843068043824</v>
      </c>
      <c r="E2323" s="7">
        <f>SUMPRODUCT($C$5:$X$5,'batch tool'!$B2317:$W2317)+$Y$5</f>
        <v>-51.578889182477603</v>
      </c>
      <c r="F2323" s="7">
        <f>SUMPRODUCT($C$6:$X$6,'batch tool'!$B2317:$W2317)+$Y$6</f>
        <v>-47.741473633885199</v>
      </c>
      <c r="G2323" s="7">
        <f>SUMPRODUCT($C$7:$X$7,'batch tool'!$B2317:$W2317)+$Y$7</f>
        <v>-19.739516238059196</v>
      </c>
      <c r="H2323" s="7">
        <f t="shared" si="72"/>
        <v>-19.739516238059196</v>
      </c>
      <c r="I2323">
        <f t="shared" si="73"/>
        <v>6</v>
      </c>
      <c r="J2323" t="str" cm="1">
        <f t="array" ref="J2323">INDEX($A$2:$A$7,I2323)</f>
        <v>Segment 6- Self-Conscious Male</v>
      </c>
    </row>
    <row r="2324" spans="1:10" x14ac:dyDescent="0.25">
      <c r="A2324" s="1">
        <f>'batch tool'!A2318</f>
        <v>0</v>
      </c>
      <c r="B2324" s="7">
        <f>SUMPRODUCT($C$2:$X$2,'batch tool'!$B2318:$W2318)+$Y$2</f>
        <v>-49.12272534143483</v>
      </c>
      <c r="C2324" s="7">
        <f>SUMPRODUCT($C$3:$X$3,'batch tool'!$B2318:$W2318)+$Y$3</f>
        <v>-36.514029388465531</v>
      </c>
      <c r="D2324" s="7">
        <f>SUMPRODUCT($C$4:$X$4,'batch tool'!$B2318:$W2318)+$Y$4</f>
        <v>-44.639843068043824</v>
      </c>
      <c r="E2324" s="7">
        <f>SUMPRODUCT($C$5:$X$5,'batch tool'!$B2318:$W2318)+$Y$5</f>
        <v>-51.578889182477603</v>
      </c>
      <c r="F2324" s="7">
        <f>SUMPRODUCT($C$6:$X$6,'batch tool'!$B2318:$W2318)+$Y$6</f>
        <v>-47.741473633885199</v>
      </c>
      <c r="G2324" s="7">
        <f>SUMPRODUCT($C$7:$X$7,'batch tool'!$B2318:$W2318)+$Y$7</f>
        <v>-19.739516238059196</v>
      </c>
      <c r="H2324" s="7">
        <f t="shared" si="72"/>
        <v>-19.739516238059196</v>
      </c>
      <c r="I2324">
        <f t="shared" si="73"/>
        <v>6</v>
      </c>
      <c r="J2324" t="str" cm="1">
        <f t="array" ref="J2324">INDEX($A$2:$A$7,I2324)</f>
        <v>Segment 6- Self-Conscious Male</v>
      </c>
    </row>
    <row r="2325" spans="1:10" x14ac:dyDescent="0.25">
      <c r="A2325" s="1">
        <f>'batch tool'!A2319</f>
        <v>0</v>
      </c>
      <c r="B2325" s="7">
        <f>SUMPRODUCT($C$2:$X$2,'batch tool'!$B2319:$W2319)+$Y$2</f>
        <v>-49.12272534143483</v>
      </c>
      <c r="C2325" s="7">
        <f>SUMPRODUCT($C$3:$X$3,'batch tool'!$B2319:$W2319)+$Y$3</f>
        <v>-36.514029388465531</v>
      </c>
      <c r="D2325" s="7">
        <f>SUMPRODUCT($C$4:$X$4,'batch tool'!$B2319:$W2319)+$Y$4</f>
        <v>-44.639843068043824</v>
      </c>
      <c r="E2325" s="7">
        <f>SUMPRODUCT($C$5:$X$5,'batch tool'!$B2319:$W2319)+$Y$5</f>
        <v>-51.578889182477603</v>
      </c>
      <c r="F2325" s="7">
        <f>SUMPRODUCT($C$6:$X$6,'batch tool'!$B2319:$W2319)+$Y$6</f>
        <v>-47.741473633885199</v>
      </c>
      <c r="G2325" s="7">
        <f>SUMPRODUCT($C$7:$X$7,'batch tool'!$B2319:$W2319)+$Y$7</f>
        <v>-19.739516238059196</v>
      </c>
      <c r="H2325" s="7">
        <f t="shared" si="72"/>
        <v>-19.739516238059196</v>
      </c>
      <c r="I2325">
        <f t="shared" si="73"/>
        <v>6</v>
      </c>
      <c r="J2325" t="str" cm="1">
        <f t="array" ref="J2325">INDEX($A$2:$A$7,I2325)</f>
        <v>Segment 6- Self-Conscious Male</v>
      </c>
    </row>
    <row r="2326" spans="1:10" x14ac:dyDescent="0.25">
      <c r="A2326" s="1">
        <f>'batch tool'!A2320</f>
        <v>0</v>
      </c>
      <c r="B2326" s="7">
        <f>SUMPRODUCT($C$2:$X$2,'batch tool'!$B2320:$W2320)+$Y$2</f>
        <v>-49.12272534143483</v>
      </c>
      <c r="C2326" s="7">
        <f>SUMPRODUCT($C$3:$X$3,'batch tool'!$B2320:$W2320)+$Y$3</f>
        <v>-36.514029388465531</v>
      </c>
      <c r="D2326" s="7">
        <f>SUMPRODUCT($C$4:$X$4,'batch tool'!$B2320:$W2320)+$Y$4</f>
        <v>-44.639843068043824</v>
      </c>
      <c r="E2326" s="7">
        <f>SUMPRODUCT($C$5:$X$5,'batch tool'!$B2320:$W2320)+$Y$5</f>
        <v>-51.578889182477603</v>
      </c>
      <c r="F2326" s="7">
        <f>SUMPRODUCT($C$6:$X$6,'batch tool'!$B2320:$W2320)+$Y$6</f>
        <v>-47.741473633885199</v>
      </c>
      <c r="G2326" s="7">
        <f>SUMPRODUCT($C$7:$X$7,'batch tool'!$B2320:$W2320)+$Y$7</f>
        <v>-19.739516238059196</v>
      </c>
      <c r="H2326" s="7">
        <f t="shared" si="72"/>
        <v>-19.739516238059196</v>
      </c>
      <c r="I2326">
        <f t="shared" si="73"/>
        <v>6</v>
      </c>
      <c r="J2326" t="str" cm="1">
        <f t="array" ref="J2326">INDEX($A$2:$A$7,I2326)</f>
        <v>Segment 6- Self-Conscious Male</v>
      </c>
    </row>
    <row r="2327" spans="1:10" x14ac:dyDescent="0.25">
      <c r="A2327" s="1">
        <f>'batch tool'!A2321</f>
        <v>0</v>
      </c>
      <c r="B2327" s="7">
        <f>SUMPRODUCT($C$2:$X$2,'batch tool'!$B2321:$W2321)+$Y$2</f>
        <v>-49.12272534143483</v>
      </c>
      <c r="C2327" s="7">
        <f>SUMPRODUCT($C$3:$X$3,'batch tool'!$B2321:$W2321)+$Y$3</f>
        <v>-36.514029388465531</v>
      </c>
      <c r="D2327" s="7">
        <f>SUMPRODUCT($C$4:$X$4,'batch tool'!$B2321:$W2321)+$Y$4</f>
        <v>-44.639843068043824</v>
      </c>
      <c r="E2327" s="7">
        <f>SUMPRODUCT($C$5:$X$5,'batch tool'!$B2321:$W2321)+$Y$5</f>
        <v>-51.578889182477603</v>
      </c>
      <c r="F2327" s="7">
        <f>SUMPRODUCT($C$6:$X$6,'batch tool'!$B2321:$W2321)+$Y$6</f>
        <v>-47.741473633885199</v>
      </c>
      <c r="G2327" s="7">
        <f>SUMPRODUCT($C$7:$X$7,'batch tool'!$B2321:$W2321)+$Y$7</f>
        <v>-19.739516238059196</v>
      </c>
      <c r="H2327" s="7">
        <f t="shared" si="72"/>
        <v>-19.739516238059196</v>
      </c>
      <c r="I2327">
        <f t="shared" si="73"/>
        <v>6</v>
      </c>
      <c r="J2327" t="str" cm="1">
        <f t="array" ref="J2327">INDEX($A$2:$A$7,I2327)</f>
        <v>Segment 6- Self-Conscious Male</v>
      </c>
    </row>
    <row r="2328" spans="1:10" x14ac:dyDescent="0.25">
      <c r="A2328" s="1">
        <f>'batch tool'!A2322</f>
        <v>0</v>
      </c>
      <c r="B2328" s="7">
        <f>SUMPRODUCT($C$2:$X$2,'batch tool'!$B2322:$W2322)+$Y$2</f>
        <v>-49.12272534143483</v>
      </c>
      <c r="C2328" s="7">
        <f>SUMPRODUCT($C$3:$X$3,'batch tool'!$B2322:$W2322)+$Y$3</f>
        <v>-36.514029388465531</v>
      </c>
      <c r="D2328" s="7">
        <f>SUMPRODUCT($C$4:$X$4,'batch tool'!$B2322:$W2322)+$Y$4</f>
        <v>-44.639843068043824</v>
      </c>
      <c r="E2328" s="7">
        <f>SUMPRODUCT($C$5:$X$5,'batch tool'!$B2322:$W2322)+$Y$5</f>
        <v>-51.578889182477603</v>
      </c>
      <c r="F2328" s="7">
        <f>SUMPRODUCT($C$6:$X$6,'batch tool'!$B2322:$W2322)+$Y$6</f>
        <v>-47.741473633885199</v>
      </c>
      <c r="G2328" s="7">
        <f>SUMPRODUCT($C$7:$X$7,'batch tool'!$B2322:$W2322)+$Y$7</f>
        <v>-19.739516238059196</v>
      </c>
      <c r="H2328" s="7">
        <f t="shared" si="72"/>
        <v>-19.739516238059196</v>
      </c>
      <c r="I2328">
        <f t="shared" si="73"/>
        <v>6</v>
      </c>
      <c r="J2328" t="str" cm="1">
        <f t="array" ref="J2328">INDEX($A$2:$A$7,I2328)</f>
        <v>Segment 6- Self-Conscious Male</v>
      </c>
    </row>
    <row r="2329" spans="1:10" x14ac:dyDescent="0.25">
      <c r="A2329" s="1">
        <f>'batch tool'!A2323</f>
        <v>0</v>
      </c>
      <c r="B2329" s="7">
        <f>SUMPRODUCT($C$2:$X$2,'batch tool'!$B2323:$W2323)+$Y$2</f>
        <v>-49.12272534143483</v>
      </c>
      <c r="C2329" s="7">
        <f>SUMPRODUCT($C$3:$X$3,'batch tool'!$B2323:$W2323)+$Y$3</f>
        <v>-36.514029388465531</v>
      </c>
      <c r="D2329" s="7">
        <f>SUMPRODUCT($C$4:$X$4,'batch tool'!$B2323:$W2323)+$Y$4</f>
        <v>-44.639843068043824</v>
      </c>
      <c r="E2329" s="7">
        <f>SUMPRODUCT($C$5:$X$5,'batch tool'!$B2323:$W2323)+$Y$5</f>
        <v>-51.578889182477603</v>
      </c>
      <c r="F2329" s="7">
        <f>SUMPRODUCT($C$6:$X$6,'batch tool'!$B2323:$W2323)+$Y$6</f>
        <v>-47.741473633885199</v>
      </c>
      <c r="G2329" s="7">
        <f>SUMPRODUCT($C$7:$X$7,'batch tool'!$B2323:$W2323)+$Y$7</f>
        <v>-19.739516238059196</v>
      </c>
      <c r="H2329" s="7">
        <f t="shared" si="72"/>
        <v>-19.739516238059196</v>
      </c>
      <c r="I2329">
        <f t="shared" si="73"/>
        <v>6</v>
      </c>
      <c r="J2329" t="str" cm="1">
        <f t="array" ref="J2329">INDEX($A$2:$A$7,I2329)</f>
        <v>Segment 6- Self-Conscious Male</v>
      </c>
    </row>
    <row r="2330" spans="1:10" x14ac:dyDescent="0.25">
      <c r="A2330" s="1">
        <f>'batch tool'!A2324</f>
        <v>0</v>
      </c>
      <c r="B2330" s="7">
        <f>SUMPRODUCT($C$2:$X$2,'batch tool'!$B2324:$W2324)+$Y$2</f>
        <v>-49.12272534143483</v>
      </c>
      <c r="C2330" s="7">
        <f>SUMPRODUCT($C$3:$X$3,'batch tool'!$B2324:$W2324)+$Y$3</f>
        <v>-36.514029388465531</v>
      </c>
      <c r="D2330" s="7">
        <f>SUMPRODUCT($C$4:$X$4,'batch tool'!$B2324:$W2324)+$Y$4</f>
        <v>-44.639843068043824</v>
      </c>
      <c r="E2330" s="7">
        <f>SUMPRODUCT($C$5:$X$5,'batch tool'!$B2324:$W2324)+$Y$5</f>
        <v>-51.578889182477603</v>
      </c>
      <c r="F2330" s="7">
        <f>SUMPRODUCT($C$6:$X$6,'batch tool'!$B2324:$W2324)+$Y$6</f>
        <v>-47.741473633885199</v>
      </c>
      <c r="G2330" s="7">
        <f>SUMPRODUCT($C$7:$X$7,'batch tool'!$B2324:$W2324)+$Y$7</f>
        <v>-19.739516238059196</v>
      </c>
      <c r="H2330" s="7">
        <f t="shared" si="72"/>
        <v>-19.739516238059196</v>
      </c>
      <c r="I2330">
        <f t="shared" si="73"/>
        <v>6</v>
      </c>
      <c r="J2330" t="str" cm="1">
        <f t="array" ref="J2330">INDEX($A$2:$A$7,I2330)</f>
        <v>Segment 6- Self-Conscious Male</v>
      </c>
    </row>
    <row r="2331" spans="1:10" x14ac:dyDescent="0.25">
      <c r="A2331" s="1">
        <f>'batch tool'!A2325</f>
        <v>0</v>
      </c>
      <c r="B2331" s="7">
        <f>SUMPRODUCT($C$2:$X$2,'batch tool'!$B2325:$W2325)+$Y$2</f>
        <v>-49.12272534143483</v>
      </c>
      <c r="C2331" s="7">
        <f>SUMPRODUCT($C$3:$X$3,'batch tool'!$B2325:$W2325)+$Y$3</f>
        <v>-36.514029388465531</v>
      </c>
      <c r="D2331" s="7">
        <f>SUMPRODUCT($C$4:$X$4,'batch tool'!$B2325:$W2325)+$Y$4</f>
        <v>-44.639843068043824</v>
      </c>
      <c r="E2331" s="7">
        <f>SUMPRODUCT($C$5:$X$5,'batch tool'!$B2325:$W2325)+$Y$5</f>
        <v>-51.578889182477603</v>
      </c>
      <c r="F2331" s="7">
        <f>SUMPRODUCT($C$6:$X$6,'batch tool'!$B2325:$W2325)+$Y$6</f>
        <v>-47.741473633885199</v>
      </c>
      <c r="G2331" s="7">
        <f>SUMPRODUCT($C$7:$X$7,'batch tool'!$B2325:$W2325)+$Y$7</f>
        <v>-19.739516238059196</v>
      </c>
      <c r="H2331" s="7">
        <f t="shared" ref="H2331:H2394" si="74">MAX(B2331:G2331)</f>
        <v>-19.739516238059196</v>
      </c>
      <c r="I2331">
        <f t="shared" ref="I2331:I2394" si="75">MATCH(H2331,B2331:G2331,0)</f>
        <v>6</v>
      </c>
      <c r="J2331" t="str" cm="1">
        <f t="array" ref="J2331">INDEX($A$2:$A$7,I2331)</f>
        <v>Segment 6- Self-Conscious Male</v>
      </c>
    </row>
    <row r="2332" spans="1:10" x14ac:dyDescent="0.25">
      <c r="A2332" s="1">
        <f>'batch tool'!A2326</f>
        <v>0</v>
      </c>
      <c r="B2332" s="7">
        <f>SUMPRODUCT($C$2:$X$2,'batch tool'!$B2326:$W2326)+$Y$2</f>
        <v>-49.12272534143483</v>
      </c>
      <c r="C2332" s="7">
        <f>SUMPRODUCT($C$3:$X$3,'batch tool'!$B2326:$W2326)+$Y$3</f>
        <v>-36.514029388465531</v>
      </c>
      <c r="D2332" s="7">
        <f>SUMPRODUCT($C$4:$X$4,'batch tool'!$B2326:$W2326)+$Y$4</f>
        <v>-44.639843068043824</v>
      </c>
      <c r="E2332" s="7">
        <f>SUMPRODUCT($C$5:$X$5,'batch tool'!$B2326:$W2326)+$Y$5</f>
        <v>-51.578889182477603</v>
      </c>
      <c r="F2332" s="7">
        <f>SUMPRODUCT($C$6:$X$6,'batch tool'!$B2326:$W2326)+$Y$6</f>
        <v>-47.741473633885199</v>
      </c>
      <c r="G2332" s="7">
        <f>SUMPRODUCT($C$7:$X$7,'batch tool'!$B2326:$W2326)+$Y$7</f>
        <v>-19.739516238059196</v>
      </c>
      <c r="H2332" s="7">
        <f t="shared" si="74"/>
        <v>-19.739516238059196</v>
      </c>
      <c r="I2332">
        <f t="shared" si="75"/>
        <v>6</v>
      </c>
      <c r="J2332" t="str" cm="1">
        <f t="array" ref="J2332">INDEX($A$2:$A$7,I2332)</f>
        <v>Segment 6- Self-Conscious Male</v>
      </c>
    </row>
    <row r="2333" spans="1:10" x14ac:dyDescent="0.25">
      <c r="A2333" s="1">
        <f>'batch tool'!A2327</f>
        <v>0</v>
      </c>
      <c r="B2333" s="7">
        <f>SUMPRODUCT($C$2:$X$2,'batch tool'!$B2327:$W2327)+$Y$2</f>
        <v>-49.12272534143483</v>
      </c>
      <c r="C2333" s="7">
        <f>SUMPRODUCT($C$3:$X$3,'batch tool'!$B2327:$W2327)+$Y$3</f>
        <v>-36.514029388465531</v>
      </c>
      <c r="D2333" s="7">
        <f>SUMPRODUCT($C$4:$X$4,'batch tool'!$B2327:$W2327)+$Y$4</f>
        <v>-44.639843068043824</v>
      </c>
      <c r="E2333" s="7">
        <f>SUMPRODUCT($C$5:$X$5,'batch tool'!$B2327:$W2327)+$Y$5</f>
        <v>-51.578889182477603</v>
      </c>
      <c r="F2333" s="7">
        <f>SUMPRODUCT($C$6:$X$6,'batch tool'!$B2327:$W2327)+$Y$6</f>
        <v>-47.741473633885199</v>
      </c>
      <c r="G2333" s="7">
        <f>SUMPRODUCT($C$7:$X$7,'batch tool'!$B2327:$W2327)+$Y$7</f>
        <v>-19.739516238059196</v>
      </c>
      <c r="H2333" s="7">
        <f t="shared" si="74"/>
        <v>-19.739516238059196</v>
      </c>
      <c r="I2333">
        <f t="shared" si="75"/>
        <v>6</v>
      </c>
      <c r="J2333" t="str" cm="1">
        <f t="array" ref="J2333">INDEX($A$2:$A$7,I2333)</f>
        <v>Segment 6- Self-Conscious Male</v>
      </c>
    </row>
    <row r="2334" spans="1:10" x14ac:dyDescent="0.25">
      <c r="A2334" s="1">
        <f>'batch tool'!A2328</f>
        <v>0</v>
      </c>
      <c r="B2334" s="7">
        <f>SUMPRODUCT($C$2:$X$2,'batch tool'!$B2328:$W2328)+$Y$2</f>
        <v>-49.12272534143483</v>
      </c>
      <c r="C2334" s="7">
        <f>SUMPRODUCT($C$3:$X$3,'batch tool'!$B2328:$W2328)+$Y$3</f>
        <v>-36.514029388465531</v>
      </c>
      <c r="D2334" s="7">
        <f>SUMPRODUCT($C$4:$X$4,'batch tool'!$B2328:$W2328)+$Y$4</f>
        <v>-44.639843068043824</v>
      </c>
      <c r="E2334" s="7">
        <f>SUMPRODUCT($C$5:$X$5,'batch tool'!$B2328:$W2328)+$Y$5</f>
        <v>-51.578889182477603</v>
      </c>
      <c r="F2334" s="7">
        <f>SUMPRODUCT($C$6:$X$6,'batch tool'!$B2328:$W2328)+$Y$6</f>
        <v>-47.741473633885199</v>
      </c>
      <c r="G2334" s="7">
        <f>SUMPRODUCT($C$7:$X$7,'batch tool'!$B2328:$W2328)+$Y$7</f>
        <v>-19.739516238059196</v>
      </c>
      <c r="H2334" s="7">
        <f t="shared" si="74"/>
        <v>-19.739516238059196</v>
      </c>
      <c r="I2334">
        <f t="shared" si="75"/>
        <v>6</v>
      </c>
      <c r="J2334" t="str" cm="1">
        <f t="array" ref="J2334">INDEX($A$2:$A$7,I2334)</f>
        <v>Segment 6- Self-Conscious Male</v>
      </c>
    </row>
    <row r="2335" spans="1:10" x14ac:dyDescent="0.25">
      <c r="A2335" s="1">
        <f>'batch tool'!A2329</f>
        <v>0</v>
      </c>
      <c r="B2335" s="7">
        <f>SUMPRODUCT($C$2:$X$2,'batch tool'!$B2329:$W2329)+$Y$2</f>
        <v>-49.12272534143483</v>
      </c>
      <c r="C2335" s="7">
        <f>SUMPRODUCT($C$3:$X$3,'batch tool'!$B2329:$W2329)+$Y$3</f>
        <v>-36.514029388465531</v>
      </c>
      <c r="D2335" s="7">
        <f>SUMPRODUCT($C$4:$X$4,'batch tool'!$B2329:$W2329)+$Y$4</f>
        <v>-44.639843068043824</v>
      </c>
      <c r="E2335" s="7">
        <f>SUMPRODUCT($C$5:$X$5,'batch tool'!$B2329:$W2329)+$Y$5</f>
        <v>-51.578889182477603</v>
      </c>
      <c r="F2335" s="7">
        <f>SUMPRODUCT($C$6:$X$6,'batch tool'!$B2329:$W2329)+$Y$6</f>
        <v>-47.741473633885199</v>
      </c>
      <c r="G2335" s="7">
        <f>SUMPRODUCT($C$7:$X$7,'batch tool'!$B2329:$W2329)+$Y$7</f>
        <v>-19.739516238059196</v>
      </c>
      <c r="H2335" s="7">
        <f t="shared" si="74"/>
        <v>-19.739516238059196</v>
      </c>
      <c r="I2335">
        <f t="shared" si="75"/>
        <v>6</v>
      </c>
      <c r="J2335" t="str" cm="1">
        <f t="array" ref="J2335">INDEX($A$2:$A$7,I2335)</f>
        <v>Segment 6- Self-Conscious Male</v>
      </c>
    </row>
    <row r="2336" spans="1:10" x14ac:dyDescent="0.25">
      <c r="A2336" s="1">
        <f>'batch tool'!A2330</f>
        <v>0</v>
      </c>
      <c r="B2336" s="7">
        <f>SUMPRODUCT($C$2:$X$2,'batch tool'!$B2330:$W2330)+$Y$2</f>
        <v>-49.12272534143483</v>
      </c>
      <c r="C2336" s="7">
        <f>SUMPRODUCT($C$3:$X$3,'batch tool'!$B2330:$W2330)+$Y$3</f>
        <v>-36.514029388465531</v>
      </c>
      <c r="D2336" s="7">
        <f>SUMPRODUCT($C$4:$X$4,'batch tool'!$B2330:$W2330)+$Y$4</f>
        <v>-44.639843068043824</v>
      </c>
      <c r="E2336" s="7">
        <f>SUMPRODUCT($C$5:$X$5,'batch tool'!$B2330:$W2330)+$Y$5</f>
        <v>-51.578889182477603</v>
      </c>
      <c r="F2336" s="7">
        <f>SUMPRODUCT($C$6:$X$6,'batch tool'!$B2330:$W2330)+$Y$6</f>
        <v>-47.741473633885199</v>
      </c>
      <c r="G2336" s="7">
        <f>SUMPRODUCT($C$7:$X$7,'batch tool'!$B2330:$W2330)+$Y$7</f>
        <v>-19.739516238059196</v>
      </c>
      <c r="H2336" s="7">
        <f t="shared" si="74"/>
        <v>-19.739516238059196</v>
      </c>
      <c r="I2336">
        <f t="shared" si="75"/>
        <v>6</v>
      </c>
      <c r="J2336" t="str" cm="1">
        <f t="array" ref="J2336">INDEX($A$2:$A$7,I2336)</f>
        <v>Segment 6- Self-Conscious Male</v>
      </c>
    </row>
    <row r="2337" spans="1:10" x14ac:dyDescent="0.25">
      <c r="A2337" s="1">
        <f>'batch tool'!A2331</f>
        <v>0</v>
      </c>
      <c r="B2337" s="7">
        <f>SUMPRODUCT($C$2:$X$2,'batch tool'!$B2331:$W2331)+$Y$2</f>
        <v>-49.12272534143483</v>
      </c>
      <c r="C2337" s="7">
        <f>SUMPRODUCT($C$3:$X$3,'batch tool'!$B2331:$W2331)+$Y$3</f>
        <v>-36.514029388465531</v>
      </c>
      <c r="D2337" s="7">
        <f>SUMPRODUCT($C$4:$X$4,'batch tool'!$B2331:$W2331)+$Y$4</f>
        <v>-44.639843068043824</v>
      </c>
      <c r="E2337" s="7">
        <f>SUMPRODUCT($C$5:$X$5,'batch tool'!$B2331:$W2331)+$Y$5</f>
        <v>-51.578889182477603</v>
      </c>
      <c r="F2337" s="7">
        <f>SUMPRODUCT($C$6:$X$6,'batch tool'!$B2331:$W2331)+$Y$6</f>
        <v>-47.741473633885199</v>
      </c>
      <c r="G2337" s="7">
        <f>SUMPRODUCT($C$7:$X$7,'batch tool'!$B2331:$W2331)+$Y$7</f>
        <v>-19.739516238059196</v>
      </c>
      <c r="H2337" s="7">
        <f t="shared" si="74"/>
        <v>-19.739516238059196</v>
      </c>
      <c r="I2337">
        <f t="shared" si="75"/>
        <v>6</v>
      </c>
      <c r="J2337" t="str" cm="1">
        <f t="array" ref="J2337">INDEX($A$2:$A$7,I2337)</f>
        <v>Segment 6- Self-Conscious Male</v>
      </c>
    </row>
    <row r="2338" spans="1:10" x14ac:dyDescent="0.25">
      <c r="A2338" s="1">
        <f>'batch tool'!A2332</f>
        <v>0</v>
      </c>
      <c r="B2338" s="7">
        <f>SUMPRODUCT($C$2:$X$2,'batch tool'!$B2332:$W2332)+$Y$2</f>
        <v>-49.12272534143483</v>
      </c>
      <c r="C2338" s="7">
        <f>SUMPRODUCT($C$3:$X$3,'batch tool'!$B2332:$W2332)+$Y$3</f>
        <v>-36.514029388465531</v>
      </c>
      <c r="D2338" s="7">
        <f>SUMPRODUCT($C$4:$X$4,'batch tool'!$B2332:$W2332)+$Y$4</f>
        <v>-44.639843068043824</v>
      </c>
      <c r="E2338" s="7">
        <f>SUMPRODUCT($C$5:$X$5,'batch tool'!$B2332:$W2332)+$Y$5</f>
        <v>-51.578889182477603</v>
      </c>
      <c r="F2338" s="7">
        <f>SUMPRODUCT($C$6:$X$6,'batch tool'!$B2332:$W2332)+$Y$6</f>
        <v>-47.741473633885199</v>
      </c>
      <c r="G2338" s="7">
        <f>SUMPRODUCT($C$7:$X$7,'batch tool'!$B2332:$W2332)+$Y$7</f>
        <v>-19.739516238059196</v>
      </c>
      <c r="H2338" s="7">
        <f t="shared" si="74"/>
        <v>-19.739516238059196</v>
      </c>
      <c r="I2338">
        <f t="shared" si="75"/>
        <v>6</v>
      </c>
      <c r="J2338" t="str" cm="1">
        <f t="array" ref="J2338">INDEX($A$2:$A$7,I2338)</f>
        <v>Segment 6- Self-Conscious Male</v>
      </c>
    </row>
    <row r="2339" spans="1:10" x14ac:dyDescent="0.25">
      <c r="A2339" s="1">
        <f>'batch tool'!A2333</f>
        <v>0</v>
      </c>
      <c r="B2339" s="7">
        <f>SUMPRODUCT($C$2:$X$2,'batch tool'!$B2333:$W2333)+$Y$2</f>
        <v>-49.12272534143483</v>
      </c>
      <c r="C2339" s="7">
        <f>SUMPRODUCT($C$3:$X$3,'batch tool'!$B2333:$W2333)+$Y$3</f>
        <v>-36.514029388465531</v>
      </c>
      <c r="D2339" s="7">
        <f>SUMPRODUCT($C$4:$X$4,'batch tool'!$B2333:$W2333)+$Y$4</f>
        <v>-44.639843068043824</v>
      </c>
      <c r="E2339" s="7">
        <f>SUMPRODUCT($C$5:$X$5,'batch tool'!$B2333:$W2333)+$Y$5</f>
        <v>-51.578889182477603</v>
      </c>
      <c r="F2339" s="7">
        <f>SUMPRODUCT($C$6:$X$6,'batch tool'!$B2333:$W2333)+$Y$6</f>
        <v>-47.741473633885199</v>
      </c>
      <c r="G2339" s="7">
        <f>SUMPRODUCT($C$7:$X$7,'batch tool'!$B2333:$W2333)+$Y$7</f>
        <v>-19.739516238059196</v>
      </c>
      <c r="H2339" s="7">
        <f t="shared" si="74"/>
        <v>-19.739516238059196</v>
      </c>
      <c r="I2339">
        <f t="shared" si="75"/>
        <v>6</v>
      </c>
      <c r="J2339" t="str" cm="1">
        <f t="array" ref="J2339">INDEX($A$2:$A$7,I2339)</f>
        <v>Segment 6- Self-Conscious Male</v>
      </c>
    </row>
    <row r="2340" spans="1:10" x14ac:dyDescent="0.25">
      <c r="A2340" s="1">
        <f>'batch tool'!A2334</f>
        <v>0</v>
      </c>
      <c r="B2340" s="7">
        <f>SUMPRODUCT($C$2:$X$2,'batch tool'!$B2334:$W2334)+$Y$2</f>
        <v>-49.12272534143483</v>
      </c>
      <c r="C2340" s="7">
        <f>SUMPRODUCT($C$3:$X$3,'batch tool'!$B2334:$W2334)+$Y$3</f>
        <v>-36.514029388465531</v>
      </c>
      <c r="D2340" s="7">
        <f>SUMPRODUCT($C$4:$X$4,'batch tool'!$B2334:$W2334)+$Y$4</f>
        <v>-44.639843068043824</v>
      </c>
      <c r="E2340" s="7">
        <f>SUMPRODUCT($C$5:$X$5,'batch tool'!$B2334:$W2334)+$Y$5</f>
        <v>-51.578889182477603</v>
      </c>
      <c r="F2340" s="7">
        <f>SUMPRODUCT($C$6:$X$6,'batch tool'!$B2334:$W2334)+$Y$6</f>
        <v>-47.741473633885199</v>
      </c>
      <c r="G2340" s="7">
        <f>SUMPRODUCT($C$7:$X$7,'batch tool'!$B2334:$W2334)+$Y$7</f>
        <v>-19.739516238059196</v>
      </c>
      <c r="H2340" s="7">
        <f t="shared" si="74"/>
        <v>-19.739516238059196</v>
      </c>
      <c r="I2340">
        <f t="shared" si="75"/>
        <v>6</v>
      </c>
      <c r="J2340" t="str" cm="1">
        <f t="array" ref="J2340">INDEX($A$2:$A$7,I2340)</f>
        <v>Segment 6- Self-Conscious Male</v>
      </c>
    </row>
    <row r="2341" spans="1:10" x14ac:dyDescent="0.25">
      <c r="A2341" s="1">
        <f>'batch tool'!A2335</f>
        <v>0</v>
      </c>
      <c r="B2341" s="7">
        <f>SUMPRODUCT($C$2:$X$2,'batch tool'!$B2335:$W2335)+$Y$2</f>
        <v>-49.12272534143483</v>
      </c>
      <c r="C2341" s="7">
        <f>SUMPRODUCT($C$3:$X$3,'batch tool'!$B2335:$W2335)+$Y$3</f>
        <v>-36.514029388465531</v>
      </c>
      <c r="D2341" s="7">
        <f>SUMPRODUCT($C$4:$X$4,'batch tool'!$B2335:$W2335)+$Y$4</f>
        <v>-44.639843068043824</v>
      </c>
      <c r="E2341" s="7">
        <f>SUMPRODUCT($C$5:$X$5,'batch tool'!$B2335:$W2335)+$Y$5</f>
        <v>-51.578889182477603</v>
      </c>
      <c r="F2341" s="7">
        <f>SUMPRODUCT($C$6:$X$6,'batch tool'!$B2335:$W2335)+$Y$6</f>
        <v>-47.741473633885199</v>
      </c>
      <c r="G2341" s="7">
        <f>SUMPRODUCT($C$7:$X$7,'batch tool'!$B2335:$W2335)+$Y$7</f>
        <v>-19.739516238059196</v>
      </c>
      <c r="H2341" s="7">
        <f t="shared" si="74"/>
        <v>-19.739516238059196</v>
      </c>
      <c r="I2341">
        <f t="shared" si="75"/>
        <v>6</v>
      </c>
      <c r="J2341" t="str" cm="1">
        <f t="array" ref="J2341">INDEX($A$2:$A$7,I2341)</f>
        <v>Segment 6- Self-Conscious Male</v>
      </c>
    </row>
    <row r="2342" spans="1:10" x14ac:dyDescent="0.25">
      <c r="A2342" s="1">
        <f>'batch tool'!A2336</f>
        <v>0</v>
      </c>
      <c r="B2342" s="7">
        <f>SUMPRODUCT($C$2:$X$2,'batch tool'!$B2336:$W2336)+$Y$2</f>
        <v>-49.12272534143483</v>
      </c>
      <c r="C2342" s="7">
        <f>SUMPRODUCT($C$3:$X$3,'batch tool'!$B2336:$W2336)+$Y$3</f>
        <v>-36.514029388465531</v>
      </c>
      <c r="D2342" s="7">
        <f>SUMPRODUCT($C$4:$X$4,'batch tool'!$B2336:$W2336)+$Y$4</f>
        <v>-44.639843068043824</v>
      </c>
      <c r="E2342" s="7">
        <f>SUMPRODUCT($C$5:$X$5,'batch tool'!$B2336:$W2336)+$Y$5</f>
        <v>-51.578889182477603</v>
      </c>
      <c r="F2342" s="7">
        <f>SUMPRODUCT($C$6:$X$6,'batch tool'!$B2336:$W2336)+$Y$6</f>
        <v>-47.741473633885199</v>
      </c>
      <c r="G2342" s="7">
        <f>SUMPRODUCT($C$7:$X$7,'batch tool'!$B2336:$W2336)+$Y$7</f>
        <v>-19.739516238059196</v>
      </c>
      <c r="H2342" s="7">
        <f t="shared" si="74"/>
        <v>-19.739516238059196</v>
      </c>
      <c r="I2342">
        <f t="shared" si="75"/>
        <v>6</v>
      </c>
      <c r="J2342" t="str" cm="1">
        <f t="array" ref="J2342">INDEX($A$2:$A$7,I2342)</f>
        <v>Segment 6- Self-Conscious Male</v>
      </c>
    </row>
    <row r="2343" spans="1:10" x14ac:dyDescent="0.25">
      <c r="A2343" s="1">
        <f>'batch tool'!A2337</f>
        <v>0</v>
      </c>
      <c r="B2343" s="7">
        <f>SUMPRODUCT($C$2:$X$2,'batch tool'!$B2337:$W2337)+$Y$2</f>
        <v>-49.12272534143483</v>
      </c>
      <c r="C2343" s="7">
        <f>SUMPRODUCT($C$3:$X$3,'batch tool'!$B2337:$W2337)+$Y$3</f>
        <v>-36.514029388465531</v>
      </c>
      <c r="D2343" s="7">
        <f>SUMPRODUCT($C$4:$X$4,'batch tool'!$B2337:$W2337)+$Y$4</f>
        <v>-44.639843068043824</v>
      </c>
      <c r="E2343" s="7">
        <f>SUMPRODUCT($C$5:$X$5,'batch tool'!$B2337:$W2337)+$Y$5</f>
        <v>-51.578889182477603</v>
      </c>
      <c r="F2343" s="7">
        <f>SUMPRODUCT($C$6:$X$6,'batch tool'!$B2337:$W2337)+$Y$6</f>
        <v>-47.741473633885199</v>
      </c>
      <c r="G2343" s="7">
        <f>SUMPRODUCT($C$7:$X$7,'batch tool'!$B2337:$W2337)+$Y$7</f>
        <v>-19.739516238059196</v>
      </c>
      <c r="H2343" s="7">
        <f t="shared" si="74"/>
        <v>-19.739516238059196</v>
      </c>
      <c r="I2343">
        <f t="shared" si="75"/>
        <v>6</v>
      </c>
      <c r="J2343" t="str" cm="1">
        <f t="array" ref="J2343">INDEX($A$2:$A$7,I2343)</f>
        <v>Segment 6- Self-Conscious Male</v>
      </c>
    </row>
    <row r="2344" spans="1:10" x14ac:dyDescent="0.25">
      <c r="A2344" s="1">
        <f>'batch tool'!A2338</f>
        <v>0</v>
      </c>
      <c r="B2344" s="7">
        <f>SUMPRODUCT($C$2:$X$2,'batch tool'!$B2338:$W2338)+$Y$2</f>
        <v>-49.12272534143483</v>
      </c>
      <c r="C2344" s="7">
        <f>SUMPRODUCT($C$3:$X$3,'batch tool'!$B2338:$W2338)+$Y$3</f>
        <v>-36.514029388465531</v>
      </c>
      <c r="D2344" s="7">
        <f>SUMPRODUCT($C$4:$X$4,'batch tool'!$B2338:$W2338)+$Y$4</f>
        <v>-44.639843068043824</v>
      </c>
      <c r="E2344" s="7">
        <f>SUMPRODUCT($C$5:$X$5,'batch tool'!$B2338:$W2338)+$Y$5</f>
        <v>-51.578889182477603</v>
      </c>
      <c r="F2344" s="7">
        <f>SUMPRODUCT($C$6:$X$6,'batch tool'!$B2338:$W2338)+$Y$6</f>
        <v>-47.741473633885199</v>
      </c>
      <c r="G2344" s="7">
        <f>SUMPRODUCT($C$7:$X$7,'batch tool'!$B2338:$W2338)+$Y$7</f>
        <v>-19.739516238059196</v>
      </c>
      <c r="H2344" s="7">
        <f t="shared" si="74"/>
        <v>-19.739516238059196</v>
      </c>
      <c r="I2344">
        <f t="shared" si="75"/>
        <v>6</v>
      </c>
      <c r="J2344" t="str" cm="1">
        <f t="array" ref="J2344">INDEX($A$2:$A$7,I2344)</f>
        <v>Segment 6- Self-Conscious Male</v>
      </c>
    </row>
    <row r="2345" spans="1:10" x14ac:dyDescent="0.25">
      <c r="A2345" s="1">
        <f>'batch tool'!A2339</f>
        <v>0</v>
      </c>
      <c r="B2345" s="7">
        <f>SUMPRODUCT($C$2:$X$2,'batch tool'!$B2339:$W2339)+$Y$2</f>
        <v>-49.12272534143483</v>
      </c>
      <c r="C2345" s="7">
        <f>SUMPRODUCT($C$3:$X$3,'batch tool'!$B2339:$W2339)+$Y$3</f>
        <v>-36.514029388465531</v>
      </c>
      <c r="D2345" s="7">
        <f>SUMPRODUCT($C$4:$X$4,'batch tool'!$B2339:$W2339)+$Y$4</f>
        <v>-44.639843068043824</v>
      </c>
      <c r="E2345" s="7">
        <f>SUMPRODUCT($C$5:$X$5,'batch tool'!$B2339:$W2339)+$Y$5</f>
        <v>-51.578889182477603</v>
      </c>
      <c r="F2345" s="7">
        <f>SUMPRODUCT($C$6:$X$6,'batch tool'!$B2339:$W2339)+$Y$6</f>
        <v>-47.741473633885199</v>
      </c>
      <c r="G2345" s="7">
        <f>SUMPRODUCT($C$7:$X$7,'batch tool'!$B2339:$W2339)+$Y$7</f>
        <v>-19.739516238059196</v>
      </c>
      <c r="H2345" s="7">
        <f t="shared" si="74"/>
        <v>-19.739516238059196</v>
      </c>
      <c r="I2345">
        <f t="shared" si="75"/>
        <v>6</v>
      </c>
      <c r="J2345" t="str" cm="1">
        <f t="array" ref="J2345">INDEX($A$2:$A$7,I2345)</f>
        <v>Segment 6- Self-Conscious Male</v>
      </c>
    </row>
    <row r="2346" spans="1:10" x14ac:dyDescent="0.25">
      <c r="A2346" s="1">
        <f>'batch tool'!A2340</f>
        <v>0</v>
      </c>
      <c r="B2346" s="7">
        <f>SUMPRODUCT($C$2:$X$2,'batch tool'!$B2340:$W2340)+$Y$2</f>
        <v>-49.12272534143483</v>
      </c>
      <c r="C2346" s="7">
        <f>SUMPRODUCT($C$3:$X$3,'batch tool'!$B2340:$W2340)+$Y$3</f>
        <v>-36.514029388465531</v>
      </c>
      <c r="D2346" s="7">
        <f>SUMPRODUCT($C$4:$X$4,'batch tool'!$B2340:$W2340)+$Y$4</f>
        <v>-44.639843068043824</v>
      </c>
      <c r="E2346" s="7">
        <f>SUMPRODUCT($C$5:$X$5,'batch tool'!$B2340:$W2340)+$Y$5</f>
        <v>-51.578889182477603</v>
      </c>
      <c r="F2346" s="7">
        <f>SUMPRODUCT($C$6:$X$6,'batch tool'!$B2340:$W2340)+$Y$6</f>
        <v>-47.741473633885199</v>
      </c>
      <c r="G2346" s="7">
        <f>SUMPRODUCT($C$7:$X$7,'batch tool'!$B2340:$W2340)+$Y$7</f>
        <v>-19.739516238059196</v>
      </c>
      <c r="H2346" s="7">
        <f t="shared" si="74"/>
        <v>-19.739516238059196</v>
      </c>
      <c r="I2346">
        <f t="shared" si="75"/>
        <v>6</v>
      </c>
      <c r="J2346" t="str" cm="1">
        <f t="array" ref="J2346">INDEX($A$2:$A$7,I2346)</f>
        <v>Segment 6- Self-Conscious Male</v>
      </c>
    </row>
    <row r="2347" spans="1:10" x14ac:dyDescent="0.25">
      <c r="A2347" s="1">
        <f>'batch tool'!A2341</f>
        <v>0</v>
      </c>
      <c r="B2347" s="7">
        <f>SUMPRODUCT($C$2:$X$2,'batch tool'!$B2341:$W2341)+$Y$2</f>
        <v>-49.12272534143483</v>
      </c>
      <c r="C2347" s="7">
        <f>SUMPRODUCT($C$3:$X$3,'batch tool'!$B2341:$W2341)+$Y$3</f>
        <v>-36.514029388465531</v>
      </c>
      <c r="D2347" s="7">
        <f>SUMPRODUCT($C$4:$X$4,'batch tool'!$B2341:$W2341)+$Y$4</f>
        <v>-44.639843068043824</v>
      </c>
      <c r="E2347" s="7">
        <f>SUMPRODUCT($C$5:$X$5,'batch tool'!$B2341:$W2341)+$Y$5</f>
        <v>-51.578889182477603</v>
      </c>
      <c r="F2347" s="7">
        <f>SUMPRODUCT($C$6:$X$6,'batch tool'!$B2341:$W2341)+$Y$6</f>
        <v>-47.741473633885199</v>
      </c>
      <c r="G2347" s="7">
        <f>SUMPRODUCT($C$7:$X$7,'batch tool'!$B2341:$W2341)+$Y$7</f>
        <v>-19.739516238059196</v>
      </c>
      <c r="H2347" s="7">
        <f t="shared" si="74"/>
        <v>-19.739516238059196</v>
      </c>
      <c r="I2347">
        <f t="shared" si="75"/>
        <v>6</v>
      </c>
      <c r="J2347" t="str" cm="1">
        <f t="array" ref="J2347">INDEX($A$2:$A$7,I2347)</f>
        <v>Segment 6- Self-Conscious Male</v>
      </c>
    </row>
    <row r="2348" spans="1:10" x14ac:dyDescent="0.25">
      <c r="A2348" s="1">
        <f>'batch tool'!A2342</f>
        <v>0</v>
      </c>
      <c r="B2348" s="7">
        <f>SUMPRODUCT($C$2:$X$2,'batch tool'!$B2342:$W2342)+$Y$2</f>
        <v>-49.12272534143483</v>
      </c>
      <c r="C2348" s="7">
        <f>SUMPRODUCT($C$3:$X$3,'batch tool'!$B2342:$W2342)+$Y$3</f>
        <v>-36.514029388465531</v>
      </c>
      <c r="D2348" s="7">
        <f>SUMPRODUCT($C$4:$X$4,'batch tool'!$B2342:$W2342)+$Y$4</f>
        <v>-44.639843068043824</v>
      </c>
      <c r="E2348" s="7">
        <f>SUMPRODUCT($C$5:$X$5,'batch tool'!$B2342:$W2342)+$Y$5</f>
        <v>-51.578889182477603</v>
      </c>
      <c r="F2348" s="7">
        <f>SUMPRODUCT($C$6:$X$6,'batch tool'!$B2342:$W2342)+$Y$6</f>
        <v>-47.741473633885199</v>
      </c>
      <c r="G2348" s="7">
        <f>SUMPRODUCT($C$7:$X$7,'batch tool'!$B2342:$W2342)+$Y$7</f>
        <v>-19.739516238059196</v>
      </c>
      <c r="H2348" s="7">
        <f t="shared" si="74"/>
        <v>-19.739516238059196</v>
      </c>
      <c r="I2348">
        <f t="shared" si="75"/>
        <v>6</v>
      </c>
      <c r="J2348" t="str" cm="1">
        <f t="array" ref="J2348">INDEX($A$2:$A$7,I2348)</f>
        <v>Segment 6- Self-Conscious Male</v>
      </c>
    </row>
    <row r="2349" spans="1:10" x14ac:dyDescent="0.25">
      <c r="A2349" s="1">
        <f>'batch tool'!A2343</f>
        <v>0</v>
      </c>
      <c r="B2349" s="7">
        <f>SUMPRODUCT($C$2:$X$2,'batch tool'!$B2343:$W2343)+$Y$2</f>
        <v>-49.12272534143483</v>
      </c>
      <c r="C2349" s="7">
        <f>SUMPRODUCT($C$3:$X$3,'batch tool'!$B2343:$W2343)+$Y$3</f>
        <v>-36.514029388465531</v>
      </c>
      <c r="D2349" s="7">
        <f>SUMPRODUCT($C$4:$X$4,'batch tool'!$B2343:$W2343)+$Y$4</f>
        <v>-44.639843068043824</v>
      </c>
      <c r="E2349" s="7">
        <f>SUMPRODUCT($C$5:$X$5,'batch tool'!$B2343:$W2343)+$Y$5</f>
        <v>-51.578889182477603</v>
      </c>
      <c r="F2349" s="7">
        <f>SUMPRODUCT($C$6:$X$6,'batch tool'!$B2343:$W2343)+$Y$6</f>
        <v>-47.741473633885199</v>
      </c>
      <c r="G2349" s="7">
        <f>SUMPRODUCT($C$7:$X$7,'batch tool'!$B2343:$W2343)+$Y$7</f>
        <v>-19.739516238059196</v>
      </c>
      <c r="H2349" s="7">
        <f t="shared" si="74"/>
        <v>-19.739516238059196</v>
      </c>
      <c r="I2349">
        <f t="shared" si="75"/>
        <v>6</v>
      </c>
      <c r="J2349" t="str" cm="1">
        <f t="array" ref="J2349">INDEX($A$2:$A$7,I2349)</f>
        <v>Segment 6- Self-Conscious Male</v>
      </c>
    </row>
    <row r="2350" spans="1:10" x14ac:dyDescent="0.25">
      <c r="A2350" s="1">
        <f>'batch tool'!A2344</f>
        <v>0</v>
      </c>
      <c r="B2350" s="7">
        <f>SUMPRODUCT($C$2:$X$2,'batch tool'!$B2344:$W2344)+$Y$2</f>
        <v>-49.12272534143483</v>
      </c>
      <c r="C2350" s="7">
        <f>SUMPRODUCT($C$3:$X$3,'batch tool'!$B2344:$W2344)+$Y$3</f>
        <v>-36.514029388465531</v>
      </c>
      <c r="D2350" s="7">
        <f>SUMPRODUCT($C$4:$X$4,'batch tool'!$B2344:$W2344)+$Y$4</f>
        <v>-44.639843068043824</v>
      </c>
      <c r="E2350" s="7">
        <f>SUMPRODUCT($C$5:$X$5,'batch tool'!$B2344:$W2344)+$Y$5</f>
        <v>-51.578889182477603</v>
      </c>
      <c r="F2350" s="7">
        <f>SUMPRODUCT($C$6:$X$6,'batch tool'!$B2344:$W2344)+$Y$6</f>
        <v>-47.741473633885199</v>
      </c>
      <c r="G2350" s="7">
        <f>SUMPRODUCT($C$7:$X$7,'batch tool'!$B2344:$W2344)+$Y$7</f>
        <v>-19.739516238059196</v>
      </c>
      <c r="H2350" s="7">
        <f t="shared" si="74"/>
        <v>-19.739516238059196</v>
      </c>
      <c r="I2350">
        <f t="shared" si="75"/>
        <v>6</v>
      </c>
      <c r="J2350" t="str" cm="1">
        <f t="array" ref="J2350">INDEX($A$2:$A$7,I2350)</f>
        <v>Segment 6- Self-Conscious Male</v>
      </c>
    </row>
    <row r="2351" spans="1:10" x14ac:dyDescent="0.25">
      <c r="A2351" s="1">
        <f>'batch tool'!A2345</f>
        <v>0</v>
      </c>
      <c r="B2351" s="7">
        <f>SUMPRODUCT($C$2:$X$2,'batch tool'!$B2345:$W2345)+$Y$2</f>
        <v>-49.12272534143483</v>
      </c>
      <c r="C2351" s="7">
        <f>SUMPRODUCT($C$3:$X$3,'batch tool'!$B2345:$W2345)+$Y$3</f>
        <v>-36.514029388465531</v>
      </c>
      <c r="D2351" s="7">
        <f>SUMPRODUCT($C$4:$X$4,'batch tool'!$B2345:$W2345)+$Y$4</f>
        <v>-44.639843068043824</v>
      </c>
      <c r="E2351" s="7">
        <f>SUMPRODUCT($C$5:$X$5,'batch tool'!$B2345:$W2345)+$Y$5</f>
        <v>-51.578889182477603</v>
      </c>
      <c r="F2351" s="7">
        <f>SUMPRODUCT($C$6:$X$6,'batch tool'!$B2345:$W2345)+$Y$6</f>
        <v>-47.741473633885199</v>
      </c>
      <c r="G2351" s="7">
        <f>SUMPRODUCT($C$7:$X$7,'batch tool'!$B2345:$W2345)+$Y$7</f>
        <v>-19.739516238059196</v>
      </c>
      <c r="H2351" s="7">
        <f t="shared" si="74"/>
        <v>-19.739516238059196</v>
      </c>
      <c r="I2351">
        <f t="shared" si="75"/>
        <v>6</v>
      </c>
      <c r="J2351" t="str" cm="1">
        <f t="array" ref="J2351">INDEX($A$2:$A$7,I2351)</f>
        <v>Segment 6- Self-Conscious Male</v>
      </c>
    </row>
    <row r="2352" spans="1:10" x14ac:dyDescent="0.25">
      <c r="A2352" s="1">
        <f>'batch tool'!A2346</f>
        <v>0</v>
      </c>
      <c r="B2352" s="7">
        <f>SUMPRODUCT($C$2:$X$2,'batch tool'!$B2346:$W2346)+$Y$2</f>
        <v>-49.12272534143483</v>
      </c>
      <c r="C2352" s="7">
        <f>SUMPRODUCT($C$3:$X$3,'batch tool'!$B2346:$W2346)+$Y$3</f>
        <v>-36.514029388465531</v>
      </c>
      <c r="D2352" s="7">
        <f>SUMPRODUCT($C$4:$X$4,'batch tool'!$B2346:$W2346)+$Y$4</f>
        <v>-44.639843068043824</v>
      </c>
      <c r="E2352" s="7">
        <f>SUMPRODUCT($C$5:$X$5,'batch tool'!$B2346:$W2346)+$Y$5</f>
        <v>-51.578889182477603</v>
      </c>
      <c r="F2352" s="7">
        <f>SUMPRODUCT($C$6:$X$6,'batch tool'!$B2346:$W2346)+$Y$6</f>
        <v>-47.741473633885199</v>
      </c>
      <c r="G2352" s="7">
        <f>SUMPRODUCT($C$7:$X$7,'batch tool'!$B2346:$W2346)+$Y$7</f>
        <v>-19.739516238059196</v>
      </c>
      <c r="H2352" s="7">
        <f t="shared" si="74"/>
        <v>-19.739516238059196</v>
      </c>
      <c r="I2352">
        <f t="shared" si="75"/>
        <v>6</v>
      </c>
      <c r="J2352" t="str" cm="1">
        <f t="array" ref="J2352">INDEX($A$2:$A$7,I2352)</f>
        <v>Segment 6- Self-Conscious Male</v>
      </c>
    </row>
    <row r="2353" spans="1:10" x14ac:dyDescent="0.25">
      <c r="A2353" s="1">
        <f>'batch tool'!A2347</f>
        <v>0</v>
      </c>
      <c r="B2353" s="7">
        <f>SUMPRODUCT($C$2:$X$2,'batch tool'!$B2347:$W2347)+$Y$2</f>
        <v>-49.12272534143483</v>
      </c>
      <c r="C2353" s="7">
        <f>SUMPRODUCT($C$3:$X$3,'batch tool'!$B2347:$W2347)+$Y$3</f>
        <v>-36.514029388465531</v>
      </c>
      <c r="D2353" s="7">
        <f>SUMPRODUCT($C$4:$X$4,'batch tool'!$B2347:$W2347)+$Y$4</f>
        <v>-44.639843068043824</v>
      </c>
      <c r="E2353" s="7">
        <f>SUMPRODUCT($C$5:$X$5,'batch tool'!$B2347:$W2347)+$Y$5</f>
        <v>-51.578889182477603</v>
      </c>
      <c r="F2353" s="7">
        <f>SUMPRODUCT($C$6:$X$6,'batch tool'!$B2347:$W2347)+$Y$6</f>
        <v>-47.741473633885199</v>
      </c>
      <c r="G2353" s="7">
        <f>SUMPRODUCT($C$7:$X$7,'batch tool'!$B2347:$W2347)+$Y$7</f>
        <v>-19.739516238059196</v>
      </c>
      <c r="H2353" s="7">
        <f t="shared" si="74"/>
        <v>-19.739516238059196</v>
      </c>
      <c r="I2353">
        <f t="shared" si="75"/>
        <v>6</v>
      </c>
      <c r="J2353" t="str" cm="1">
        <f t="array" ref="J2353">INDEX($A$2:$A$7,I2353)</f>
        <v>Segment 6- Self-Conscious Male</v>
      </c>
    </row>
    <row r="2354" spans="1:10" x14ac:dyDescent="0.25">
      <c r="A2354" s="1">
        <f>'batch tool'!A2348</f>
        <v>0</v>
      </c>
      <c r="B2354" s="7">
        <f>SUMPRODUCT($C$2:$X$2,'batch tool'!$B2348:$W2348)+$Y$2</f>
        <v>-49.12272534143483</v>
      </c>
      <c r="C2354" s="7">
        <f>SUMPRODUCT($C$3:$X$3,'batch tool'!$B2348:$W2348)+$Y$3</f>
        <v>-36.514029388465531</v>
      </c>
      <c r="D2354" s="7">
        <f>SUMPRODUCT($C$4:$X$4,'batch tool'!$B2348:$W2348)+$Y$4</f>
        <v>-44.639843068043824</v>
      </c>
      <c r="E2354" s="7">
        <f>SUMPRODUCT($C$5:$X$5,'batch tool'!$B2348:$W2348)+$Y$5</f>
        <v>-51.578889182477603</v>
      </c>
      <c r="F2354" s="7">
        <f>SUMPRODUCT($C$6:$X$6,'batch tool'!$B2348:$W2348)+$Y$6</f>
        <v>-47.741473633885199</v>
      </c>
      <c r="G2354" s="7">
        <f>SUMPRODUCT($C$7:$X$7,'batch tool'!$B2348:$W2348)+$Y$7</f>
        <v>-19.739516238059196</v>
      </c>
      <c r="H2354" s="7">
        <f t="shared" si="74"/>
        <v>-19.739516238059196</v>
      </c>
      <c r="I2354">
        <f t="shared" si="75"/>
        <v>6</v>
      </c>
      <c r="J2354" t="str" cm="1">
        <f t="array" ref="J2354">INDEX($A$2:$A$7,I2354)</f>
        <v>Segment 6- Self-Conscious Male</v>
      </c>
    </row>
    <row r="2355" spans="1:10" x14ac:dyDescent="0.25">
      <c r="A2355" s="1">
        <f>'batch tool'!A2349</f>
        <v>0</v>
      </c>
      <c r="B2355" s="7">
        <f>SUMPRODUCT($C$2:$X$2,'batch tool'!$B2349:$W2349)+$Y$2</f>
        <v>-49.12272534143483</v>
      </c>
      <c r="C2355" s="7">
        <f>SUMPRODUCT($C$3:$X$3,'batch tool'!$B2349:$W2349)+$Y$3</f>
        <v>-36.514029388465531</v>
      </c>
      <c r="D2355" s="7">
        <f>SUMPRODUCT($C$4:$X$4,'batch tool'!$B2349:$W2349)+$Y$4</f>
        <v>-44.639843068043824</v>
      </c>
      <c r="E2355" s="7">
        <f>SUMPRODUCT($C$5:$X$5,'batch tool'!$B2349:$W2349)+$Y$5</f>
        <v>-51.578889182477603</v>
      </c>
      <c r="F2355" s="7">
        <f>SUMPRODUCT($C$6:$X$6,'batch tool'!$B2349:$W2349)+$Y$6</f>
        <v>-47.741473633885199</v>
      </c>
      <c r="G2355" s="7">
        <f>SUMPRODUCT($C$7:$X$7,'batch tool'!$B2349:$W2349)+$Y$7</f>
        <v>-19.739516238059196</v>
      </c>
      <c r="H2355" s="7">
        <f t="shared" si="74"/>
        <v>-19.739516238059196</v>
      </c>
      <c r="I2355">
        <f t="shared" si="75"/>
        <v>6</v>
      </c>
      <c r="J2355" t="str" cm="1">
        <f t="array" ref="J2355">INDEX($A$2:$A$7,I2355)</f>
        <v>Segment 6- Self-Conscious Male</v>
      </c>
    </row>
    <row r="2356" spans="1:10" x14ac:dyDescent="0.25">
      <c r="A2356" s="1">
        <f>'batch tool'!A2350</f>
        <v>0</v>
      </c>
      <c r="B2356" s="7">
        <f>SUMPRODUCT($C$2:$X$2,'batch tool'!$B2350:$W2350)+$Y$2</f>
        <v>-49.12272534143483</v>
      </c>
      <c r="C2356" s="7">
        <f>SUMPRODUCT($C$3:$X$3,'batch tool'!$B2350:$W2350)+$Y$3</f>
        <v>-36.514029388465531</v>
      </c>
      <c r="D2356" s="7">
        <f>SUMPRODUCT($C$4:$X$4,'batch tool'!$B2350:$W2350)+$Y$4</f>
        <v>-44.639843068043824</v>
      </c>
      <c r="E2356" s="7">
        <f>SUMPRODUCT($C$5:$X$5,'batch tool'!$B2350:$W2350)+$Y$5</f>
        <v>-51.578889182477603</v>
      </c>
      <c r="F2356" s="7">
        <f>SUMPRODUCT($C$6:$X$6,'batch tool'!$B2350:$W2350)+$Y$6</f>
        <v>-47.741473633885199</v>
      </c>
      <c r="G2356" s="7">
        <f>SUMPRODUCT($C$7:$X$7,'batch tool'!$B2350:$W2350)+$Y$7</f>
        <v>-19.739516238059196</v>
      </c>
      <c r="H2356" s="7">
        <f t="shared" si="74"/>
        <v>-19.739516238059196</v>
      </c>
      <c r="I2356">
        <f t="shared" si="75"/>
        <v>6</v>
      </c>
      <c r="J2356" t="str" cm="1">
        <f t="array" ref="J2356">INDEX($A$2:$A$7,I2356)</f>
        <v>Segment 6- Self-Conscious Male</v>
      </c>
    </row>
    <row r="2357" spans="1:10" x14ac:dyDescent="0.25">
      <c r="A2357" s="1">
        <f>'batch tool'!A2351</f>
        <v>0</v>
      </c>
      <c r="B2357" s="7">
        <f>SUMPRODUCT($C$2:$X$2,'batch tool'!$B2351:$W2351)+$Y$2</f>
        <v>-49.12272534143483</v>
      </c>
      <c r="C2357" s="7">
        <f>SUMPRODUCT($C$3:$X$3,'batch tool'!$B2351:$W2351)+$Y$3</f>
        <v>-36.514029388465531</v>
      </c>
      <c r="D2357" s="7">
        <f>SUMPRODUCT($C$4:$X$4,'batch tool'!$B2351:$W2351)+$Y$4</f>
        <v>-44.639843068043824</v>
      </c>
      <c r="E2357" s="7">
        <f>SUMPRODUCT($C$5:$X$5,'batch tool'!$B2351:$W2351)+$Y$5</f>
        <v>-51.578889182477603</v>
      </c>
      <c r="F2357" s="7">
        <f>SUMPRODUCT($C$6:$X$6,'batch tool'!$B2351:$W2351)+$Y$6</f>
        <v>-47.741473633885199</v>
      </c>
      <c r="G2357" s="7">
        <f>SUMPRODUCT($C$7:$X$7,'batch tool'!$B2351:$W2351)+$Y$7</f>
        <v>-19.739516238059196</v>
      </c>
      <c r="H2357" s="7">
        <f t="shared" si="74"/>
        <v>-19.739516238059196</v>
      </c>
      <c r="I2357">
        <f t="shared" si="75"/>
        <v>6</v>
      </c>
      <c r="J2357" t="str" cm="1">
        <f t="array" ref="J2357">INDEX($A$2:$A$7,I2357)</f>
        <v>Segment 6- Self-Conscious Male</v>
      </c>
    </row>
    <row r="2358" spans="1:10" x14ac:dyDescent="0.25">
      <c r="A2358" s="1">
        <f>'batch tool'!A2352</f>
        <v>0</v>
      </c>
      <c r="B2358" s="7">
        <f>SUMPRODUCT($C$2:$X$2,'batch tool'!$B2352:$W2352)+$Y$2</f>
        <v>-49.12272534143483</v>
      </c>
      <c r="C2358" s="7">
        <f>SUMPRODUCT($C$3:$X$3,'batch tool'!$B2352:$W2352)+$Y$3</f>
        <v>-36.514029388465531</v>
      </c>
      <c r="D2358" s="7">
        <f>SUMPRODUCT($C$4:$X$4,'batch tool'!$B2352:$W2352)+$Y$4</f>
        <v>-44.639843068043824</v>
      </c>
      <c r="E2358" s="7">
        <f>SUMPRODUCT($C$5:$X$5,'batch tool'!$B2352:$W2352)+$Y$5</f>
        <v>-51.578889182477603</v>
      </c>
      <c r="F2358" s="7">
        <f>SUMPRODUCT($C$6:$X$6,'batch tool'!$B2352:$W2352)+$Y$6</f>
        <v>-47.741473633885199</v>
      </c>
      <c r="G2358" s="7">
        <f>SUMPRODUCT($C$7:$X$7,'batch tool'!$B2352:$W2352)+$Y$7</f>
        <v>-19.739516238059196</v>
      </c>
      <c r="H2358" s="7">
        <f t="shared" si="74"/>
        <v>-19.739516238059196</v>
      </c>
      <c r="I2358">
        <f t="shared" si="75"/>
        <v>6</v>
      </c>
      <c r="J2358" t="str" cm="1">
        <f t="array" ref="J2358">INDEX($A$2:$A$7,I2358)</f>
        <v>Segment 6- Self-Conscious Male</v>
      </c>
    </row>
    <row r="2359" spans="1:10" x14ac:dyDescent="0.25">
      <c r="A2359" s="1">
        <f>'batch tool'!A2353</f>
        <v>0</v>
      </c>
      <c r="B2359" s="7">
        <f>SUMPRODUCT($C$2:$X$2,'batch tool'!$B2353:$W2353)+$Y$2</f>
        <v>-49.12272534143483</v>
      </c>
      <c r="C2359" s="7">
        <f>SUMPRODUCT($C$3:$X$3,'batch tool'!$B2353:$W2353)+$Y$3</f>
        <v>-36.514029388465531</v>
      </c>
      <c r="D2359" s="7">
        <f>SUMPRODUCT($C$4:$X$4,'batch tool'!$B2353:$W2353)+$Y$4</f>
        <v>-44.639843068043824</v>
      </c>
      <c r="E2359" s="7">
        <f>SUMPRODUCT($C$5:$X$5,'batch tool'!$B2353:$W2353)+$Y$5</f>
        <v>-51.578889182477603</v>
      </c>
      <c r="F2359" s="7">
        <f>SUMPRODUCT($C$6:$X$6,'batch tool'!$B2353:$W2353)+$Y$6</f>
        <v>-47.741473633885199</v>
      </c>
      <c r="G2359" s="7">
        <f>SUMPRODUCT($C$7:$X$7,'batch tool'!$B2353:$W2353)+$Y$7</f>
        <v>-19.739516238059196</v>
      </c>
      <c r="H2359" s="7">
        <f t="shared" si="74"/>
        <v>-19.739516238059196</v>
      </c>
      <c r="I2359">
        <f t="shared" si="75"/>
        <v>6</v>
      </c>
      <c r="J2359" t="str" cm="1">
        <f t="array" ref="J2359">INDEX($A$2:$A$7,I2359)</f>
        <v>Segment 6- Self-Conscious Male</v>
      </c>
    </row>
    <row r="2360" spans="1:10" x14ac:dyDescent="0.25">
      <c r="A2360" s="1">
        <f>'batch tool'!A2354</f>
        <v>0</v>
      </c>
      <c r="B2360" s="7">
        <f>SUMPRODUCT($C$2:$X$2,'batch tool'!$B2354:$W2354)+$Y$2</f>
        <v>-49.12272534143483</v>
      </c>
      <c r="C2360" s="7">
        <f>SUMPRODUCT($C$3:$X$3,'batch tool'!$B2354:$W2354)+$Y$3</f>
        <v>-36.514029388465531</v>
      </c>
      <c r="D2360" s="7">
        <f>SUMPRODUCT($C$4:$X$4,'batch tool'!$B2354:$W2354)+$Y$4</f>
        <v>-44.639843068043824</v>
      </c>
      <c r="E2360" s="7">
        <f>SUMPRODUCT($C$5:$X$5,'batch tool'!$B2354:$W2354)+$Y$5</f>
        <v>-51.578889182477603</v>
      </c>
      <c r="F2360" s="7">
        <f>SUMPRODUCT($C$6:$X$6,'batch tool'!$B2354:$W2354)+$Y$6</f>
        <v>-47.741473633885199</v>
      </c>
      <c r="G2360" s="7">
        <f>SUMPRODUCT($C$7:$X$7,'batch tool'!$B2354:$W2354)+$Y$7</f>
        <v>-19.739516238059196</v>
      </c>
      <c r="H2360" s="7">
        <f t="shared" si="74"/>
        <v>-19.739516238059196</v>
      </c>
      <c r="I2360">
        <f t="shared" si="75"/>
        <v>6</v>
      </c>
      <c r="J2360" t="str" cm="1">
        <f t="array" ref="J2360">INDEX($A$2:$A$7,I2360)</f>
        <v>Segment 6- Self-Conscious Male</v>
      </c>
    </row>
    <row r="2361" spans="1:10" x14ac:dyDescent="0.25">
      <c r="A2361" s="1">
        <f>'batch tool'!A2355</f>
        <v>0</v>
      </c>
      <c r="B2361" s="7">
        <f>SUMPRODUCT($C$2:$X$2,'batch tool'!$B2355:$W2355)+$Y$2</f>
        <v>-49.12272534143483</v>
      </c>
      <c r="C2361" s="7">
        <f>SUMPRODUCT($C$3:$X$3,'batch tool'!$B2355:$W2355)+$Y$3</f>
        <v>-36.514029388465531</v>
      </c>
      <c r="D2361" s="7">
        <f>SUMPRODUCT($C$4:$X$4,'batch tool'!$B2355:$W2355)+$Y$4</f>
        <v>-44.639843068043824</v>
      </c>
      <c r="E2361" s="7">
        <f>SUMPRODUCT($C$5:$X$5,'batch tool'!$B2355:$W2355)+$Y$5</f>
        <v>-51.578889182477603</v>
      </c>
      <c r="F2361" s="7">
        <f>SUMPRODUCT($C$6:$X$6,'batch tool'!$B2355:$W2355)+$Y$6</f>
        <v>-47.741473633885199</v>
      </c>
      <c r="G2361" s="7">
        <f>SUMPRODUCT($C$7:$X$7,'batch tool'!$B2355:$W2355)+$Y$7</f>
        <v>-19.739516238059196</v>
      </c>
      <c r="H2361" s="7">
        <f t="shared" si="74"/>
        <v>-19.739516238059196</v>
      </c>
      <c r="I2361">
        <f t="shared" si="75"/>
        <v>6</v>
      </c>
      <c r="J2361" t="str" cm="1">
        <f t="array" ref="J2361">INDEX($A$2:$A$7,I2361)</f>
        <v>Segment 6- Self-Conscious Male</v>
      </c>
    </row>
    <row r="2362" spans="1:10" x14ac:dyDescent="0.25">
      <c r="A2362" s="1">
        <f>'batch tool'!A2356</f>
        <v>0</v>
      </c>
      <c r="B2362" s="7">
        <f>SUMPRODUCT($C$2:$X$2,'batch tool'!$B2356:$W2356)+$Y$2</f>
        <v>-49.12272534143483</v>
      </c>
      <c r="C2362" s="7">
        <f>SUMPRODUCT($C$3:$X$3,'batch tool'!$B2356:$W2356)+$Y$3</f>
        <v>-36.514029388465531</v>
      </c>
      <c r="D2362" s="7">
        <f>SUMPRODUCT($C$4:$X$4,'batch tool'!$B2356:$W2356)+$Y$4</f>
        <v>-44.639843068043824</v>
      </c>
      <c r="E2362" s="7">
        <f>SUMPRODUCT($C$5:$X$5,'batch tool'!$B2356:$W2356)+$Y$5</f>
        <v>-51.578889182477603</v>
      </c>
      <c r="F2362" s="7">
        <f>SUMPRODUCT($C$6:$X$6,'batch tool'!$B2356:$W2356)+$Y$6</f>
        <v>-47.741473633885199</v>
      </c>
      <c r="G2362" s="7">
        <f>SUMPRODUCT($C$7:$X$7,'batch tool'!$B2356:$W2356)+$Y$7</f>
        <v>-19.739516238059196</v>
      </c>
      <c r="H2362" s="7">
        <f t="shared" si="74"/>
        <v>-19.739516238059196</v>
      </c>
      <c r="I2362">
        <f t="shared" si="75"/>
        <v>6</v>
      </c>
      <c r="J2362" t="str" cm="1">
        <f t="array" ref="J2362">INDEX($A$2:$A$7,I2362)</f>
        <v>Segment 6- Self-Conscious Male</v>
      </c>
    </row>
    <row r="2363" spans="1:10" x14ac:dyDescent="0.25">
      <c r="A2363" s="1">
        <f>'batch tool'!A2357</f>
        <v>0</v>
      </c>
      <c r="B2363" s="7">
        <f>SUMPRODUCT($C$2:$X$2,'batch tool'!$B2357:$W2357)+$Y$2</f>
        <v>-49.12272534143483</v>
      </c>
      <c r="C2363" s="7">
        <f>SUMPRODUCT($C$3:$X$3,'batch tool'!$B2357:$W2357)+$Y$3</f>
        <v>-36.514029388465531</v>
      </c>
      <c r="D2363" s="7">
        <f>SUMPRODUCT($C$4:$X$4,'batch tool'!$B2357:$W2357)+$Y$4</f>
        <v>-44.639843068043824</v>
      </c>
      <c r="E2363" s="7">
        <f>SUMPRODUCT($C$5:$X$5,'batch tool'!$B2357:$W2357)+$Y$5</f>
        <v>-51.578889182477603</v>
      </c>
      <c r="F2363" s="7">
        <f>SUMPRODUCT($C$6:$X$6,'batch tool'!$B2357:$W2357)+$Y$6</f>
        <v>-47.741473633885199</v>
      </c>
      <c r="G2363" s="7">
        <f>SUMPRODUCT($C$7:$X$7,'batch tool'!$B2357:$W2357)+$Y$7</f>
        <v>-19.739516238059196</v>
      </c>
      <c r="H2363" s="7">
        <f t="shared" si="74"/>
        <v>-19.739516238059196</v>
      </c>
      <c r="I2363">
        <f t="shared" si="75"/>
        <v>6</v>
      </c>
      <c r="J2363" t="str" cm="1">
        <f t="array" ref="J2363">INDEX($A$2:$A$7,I2363)</f>
        <v>Segment 6- Self-Conscious Male</v>
      </c>
    </row>
    <row r="2364" spans="1:10" x14ac:dyDescent="0.25">
      <c r="A2364" s="1">
        <f>'batch tool'!A2358</f>
        <v>0</v>
      </c>
      <c r="B2364" s="7">
        <f>SUMPRODUCT($C$2:$X$2,'batch tool'!$B2358:$W2358)+$Y$2</f>
        <v>-49.12272534143483</v>
      </c>
      <c r="C2364" s="7">
        <f>SUMPRODUCT($C$3:$X$3,'batch tool'!$B2358:$W2358)+$Y$3</f>
        <v>-36.514029388465531</v>
      </c>
      <c r="D2364" s="7">
        <f>SUMPRODUCT($C$4:$X$4,'batch tool'!$B2358:$W2358)+$Y$4</f>
        <v>-44.639843068043824</v>
      </c>
      <c r="E2364" s="7">
        <f>SUMPRODUCT($C$5:$X$5,'batch tool'!$B2358:$W2358)+$Y$5</f>
        <v>-51.578889182477603</v>
      </c>
      <c r="F2364" s="7">
        <f>SUMPRODUCT($C$6:$X$6,'batch tool'!$B2358:$W2358)+$Y$6</f>
        <v>-47.741473633885199</v>
      </c>
      <c r="G2364" s="7">
        <f>SUMPRODUCT($C$7:$X$7,'batch tool'!$B2358:$W2358)+$Y$7</f>
        <v>-19.739516238059196</v>
      </c>
      <c r="H2364" s="7">
        <f t="shared" si="74"/>
        <v>-19.739516238059196</v>
      </c>
      <c r="I2364">
        <f t="shared" si="75"/>
        <v>6</v>
      </c>
      <c r="J2364" t="str" cm="1">
        <f t="array" ref="J2364">INDEX($A$2:$A$7,I2364)</f>
        <v>Segment 6- Self-Conscious Male</v>
      </c>
    </row>
    <row r="2365" spans="1:10" x14ac:dyDescent="0.25">
      <c r="A2365" s="1">
        <f>'batch tool'!A2359</f>
        <v>0</v>
      </c>
      <c r="B2365" s="7">
        <f>SUMPRODUCT($C$2:$X$2,'batch tool'!$B2359:$W2359)+$Y$2</f>
        <v>-49.12272534143483</v>
      </c>
      <c r="C2365" s="7">
        <f>SUMPRODUCT($C$3:$X$3,'batch tool'!$B2359:$W2359)+$Y$3</f>
        <v>-36.514029388465531</v>
      </c>
      <c r="D2365" s="7">
        <f>SUMPRODUCT($C$4:$X$4,'batch tool'!$B2359:$W2359)+$Y$4</f>
        <v>-44.639843068043824</v>
      </c>
      <c r="E2365" s="7">
        <f>SUMPRODUCT($C$5:$X$5,'batch tool'!$B2359:$W2359)+$Y$5</f>
        <v>-51.578889182477603</v>
      </c>
      <c r="F2365" s="7">
        <f>SUMPRODUCT($C$6:$X$6,'batch tool'!$B2359:$W2359)+$Y$6</f>
        <v>-47.741473633885199</v>
      </c>
      <c r="G2365" s="7">
        <f>SUMPRODUCT($C$7:$X$7,'batch tool'!$B2359:$W2359)+$Y$7</f>
        <v>-19.739516238059196</v>
      </c>
      <c r="H2365" s="7">
        <f t="shared" si="74"/>
        <v>-19.739516238059196</v>
      </c>
      <c r="I2365">
        <f t="shared" si="75"/>
        <v>6</v>
      </c>
      <c r="J2365" t="str" cm="1">
        <f t="array" ref="J2365">INDEX($A$2:$A$7,I2365)</f>
        <v>Segment 6- Self-Conscious Male</v>
      </c>
    </row>
    <row r="2366" spans="1:10" x14ac:dyDescent="0.25">
      <c r="A2366" s="1">
        <f>'batch tool'!A2360</f>
        <v>0</v>
      </c>
      <c r="B2366" s="7">
        <f>SUMPRODUCT($C$2:$X$2,'batch tool'!$B2360:$W2360)+$Y$2</f>
        <v>-49.12272534143483</v>
      </c>
      <c r="C2366" s="7">
        <f>SUMPRODUCT($C$3:$X$3,'batch tool'!$B2360:$W2360)+$Y$3</f>
        <v>-36.514029388465531</v>
      </c>
      <c r="D2366" s="7">
        <f>SUMPRODUCT($C$4:$X$4,'batch tool'!$B2360:$W2360)+$Y$4</f>
        <v>-44.639843068043824</v>
      </c>
      <c r="E2366" s="7">
        <f>SUMPRODUCT($C$5:$X$5,'batch tool'!$B2360:$W2360)+$Y$5</f>
        <v>-51.578889182477603</v>
      </c>
      <c r="F2366" s="7">
        <f>SUMPRODUCT($C$6:$X$6,'batch tool'!$B2360:$W2360)+$Y$6</f>
        <v>-47.741473633885199</v>
      </c>
      <c r="G2366" s="7">
        <f>SUMPRODUCT($C$7:$X$7,'batch tool'!$B2360:$W2360)+$Y$7</f>
        <v>-19.739516238059196</v>
      </c>
      <c r="H2366" s="7">
        <f t="shared" si="74"/>
        <v>-19.739516238059196</v>
      </c>
      <c r="I2366">
        <f t="shared" si="75"/>
        <v>6</v>
      </c>
      <c r="J2366" t="str" cm="1">
        <f t="array" ref="J2366">INDEX($A$2:$A$7,I2366)</f>
        <v>Segment 6- Self-Conscious Male</v>
      </c>
    </row>
    <row r="2367" spans="1:10" x14ac:dyDescent="0.25">
      <c r="A2367" s="1">
        <f>'batch tool'!A2361</f>
        <v>0</v>
      </c>
      <c r="B2367" s="7">
        <f>SUMPRODUCT($C$2:$X$2,'batch tool'!$B2361:$W2361)+$Y$2</f>
        <v>-49.12272534143483</v>
      </c>
      <c r="C2367" s="7">
        <f>SUMPRODUCT($C$3:$X$3,'batch tool'!$B2361:$W2361)+$Y$3</f>
        <v>-36.514029388465531</v>
      </c>
      <c r="D2367" s="7">
        <f>SUMPRODUCT($C$4:$X$4,'batch tool'!$B2361:$W2361)+$Y$4</f>
        <v>-44.639843068043824</v>
      </c>
      <c r="E2367" s="7">
        <f>SUMPRODUCT($C$5:$X$5,'batch tool'!$B2361:$W2361)+$Y$5</f>
        <v>-51.578889182477603</v>
      </c>
      <c r="F2367" s="7">
        <f>SUMPRODUCT($C$6:$X$6,'batch tool'!$B2361:$W2361)+$Y$6</f>
        <v>-47.741473633885199</v>
      </c>
      <c r="G2367" s="7">
        <f>SUMPRODUCT($C$7:$X$7,'batch tool'!$B2361:$W2361)+$Y$7</f>
        <v>-19.739516238059196</v>
      </c>
      <c r="H2367" s="7">
        <f t="shared" si="74"/>
        <v>-19.739516238059196</v>
      </c>
      <c r="I2367">
        <f t="shared" si="75"/>
        <v>6</v>
      </c>
      <c r="J2367" t="str" cm="1">
        <f t="array" ref="J2367">INDEX($A$2:$A$7,I2367)</f>
        <v>Segment 6- Self-Conscious Male</v>
      </c>
    </row>
    <row r="2368" spans="1:10" x14ac:dyDescent="0.25">
      <c r="A2368" s="1">
        <f>'batch tool'!A2362</f>
        <v>0</v>
      </c>
      <c r="B2368" s="7">
        <f>SUMPRODUCT($C$2:$X$2,'batch tool'!$B2362:$W2362)+$Y$2</f>
        <v>-49.12272534143483</v>
      </c>
      <c r="C2368" s="7">
        <f>SUMPRODUCT($C$3:$X$3,'batch tool'!$B2362:$W2362)+$Y$3</f>
        <v>-36.514029388465531</v>
      </c>
      <c r="D2368" s="7">
        <f>SUMPRODUCT($C$4:$X$4,'batch tool'!$B2362:$W2362)+$Y$4</f>
        <v>-44.639843068043824</v>
      </c>
      <c r="E2368" s="7">
        <f>SUMPRODUCT($C$5:$X$5,'batch tool'!$B2362:$W2362)+$Y$5</f>
        <v>-51.578889182477603</v>
      </c>
      <c r="F2368" s="7">
        <f>SUMPRODUCT($C$6:$X$6,'batch tool'!$B2362:$W2362)+$Y$6</f>
        <v>-47.741473633885199</v>
      </c>
      <c r="G2368" s="7">
        <f>SUMPRODUCT($C$7:$X$7,'batch tool'!$B2362:$W2362)+$Y$7</f>
        <v>-19.739516238059196</v>
      </c>
      <c r="H2368" s="7">
        <f t="shared" si="74"/>
        <v>-19.739516238059196</v>
      </c>
      <c r="I2368">
        <f t="shared" si="75"/>
        <v>6</v>
      </c>
      <c r="J2368" t="str" cm="1">
        <f t="array" ref="J2368">INDEX($A$2:$A$7,I2368)</f>
        <v>Segment 6- Self-Conscious Male</v>
      </c>
    </row>
    <row r="2369" spans="1:10" x14ac:dyDescent="0.25">
      <c r="A2369" s="1">
        <f>'batch tool'!A2363</f>
        <v>0</v>
      </c>
      <c r="B2369" s="7">
        <f>SUMPRODUCT($C$2:$X$2,'batch tool'!$B2363:$W2363)+$Y$2</f>
        <v>-49.12272534143483</v>
      </c>
      <c r="C2369" s="7">
        <f>SUMPRODUCT($C$3:$X$3,'batch tool'!$B2363:$W2363)+$Y$3</f>
        <v>-36.514029388465531</v>
      </c>
      <c r="D2369" s="7">
        <f>SUMPRODUCT($C$4:$X$4,'batch tool'!$B2363:$W2363)+$Y$4</f>
        <v>-44.639843068043824</v>
      </c>
      <c r="E2369" s="7">
        <f>SUMPRODUCT($C$5:$X$5,'batch tool'!$B2363:$W2363)+$Y$5</f>
        <v>-51.578889182477603</v>
      </c>
      <c r="F2369" s="7">
        <f>SUMPRODUCT($C$6:$X$6,'batch tool'!$B2363:$W2363)+$Y$6</f>
        <v>-47.741473633885199</v>
      </c>
      <c r="G2369" s="7">
        <f>SUMPRODUCT($C$7:$X$7,'batch tool'!$B2363:$W2363)+$Y$7</f>
        <v>-19.739516238059196</v>
      </c>
      <c r="H2369" s="7">
        <f t="shared" si="74"/>
        <v>-19.739516238059196</v>
      </c>
      <c r="I2369">
        <f t="shared" si="75"/>
        <v>6</v>
      </c>
      <c r="J2369" t="str" cm="1">
        <f t="array" ref="J2369">INDEX($A$2:$A$7,I2369)</f>
        <v>Segment 6- Self-Conscious Male</v>
      </c>
    </row>
    <row r="2370" spans="1:10" x14ac:dyDescent="0.25">
      <c r="A2370" s="1">
        <f>'batch tool'!A2364</f>
        <v>0</v>
      </c>
      <c r="B2370" s="7">
        <f>SUMPRODUCT($C$2:$X$2,'batch tool'!$B2364:$W2364)+$Y$2</f>
        <v>-49.12272534143483</v>
      </c>
      <c r="C2370" s="7">
        <f>SUMPRODUCT($C$3:$X$3,'batch tool'!$B2364:$W2364)+$Y$3</f>
        <v>-36.514029388465531</v>
      </c>
      <c r="D2370" s="7">
        <f>SUMPRODUCT($C$4:$X$4,'batch tool'!$B2364:$W2364)+$Y$4</f>
        <v>-44.639843068043824</v>
      </c>
      <c r="E2370" s="7">
        <f>SUMPRODUCT($C$5:$X$5,'batch tool'!$B2364:$W2364)+$Y$5</f>
        <v>-51.578889182477603</v>
      </c>
      <c r="F2370" s="7">
        <f>SUMPRODUCT($C$6:$X$6,'batch tool'!$B2364:$W2364)+$Y$6</f>
        <v>-47.741473633885199</v>
      </c>
      <c r="G2370" s="7">
        <f>SUMPRODUCT($C$7:$X$7,'batch tool'!$B2364:$W2364)+$Y$7</f>
        <v>-19.739516238059196</v>
      </c>
      <c r="H2370" s="7">
        <f t="shared" si="74"/>
        <v>-19.739516238059196</v>
      </c>
      <c r="I2370">
        <f t="shared" si="75"/>
        <v>6</v>
      </c>
      <c r="J2370" t="str" cm="1">
        <f t="array" ref="J2370">INDEX($A$2:$A$7,I2370)</f>
        <v>Segment 6- Self-Conscious Male</v>
      </c>
    </row>
    <row r="2371" spans="1:10" x14ac:dyDescent="0.25">
      <c r="A2371" s="1">
        <f>'batch tool'!A2365</f>
        <v>0</v>
      </c>
      <c r="B2371" s="7">
        <f>SUMPRODUCT($C$2:$X$2,'batch tool'!$B2365:$W2365)+$Y$2</f>
        <v>-49.12272534143483</v>
      </c>
      <c r="C2371" s="7">
        <f>SUMPRODUCT($C$3:$X$3,'batch tool'!$B2365:$W2365)+$Y$3</f>
        <v>-36.514029388465531</v>
      </c>
      <c r="D2371" s="7">
        <f>SUMPRODUCT($C$4:$X$4,'batch tool'!$B2365:$W2365)+$Y$4</f>
        <v>-44.639843068043824</v>
      </c>
      <c r="E2371" s="7">
        <f>SUMPRODUCT($C$5:$X$5,'batch tool'!$B2365:$W2365)+$Y$5</f>
        <v>-51.578889182477603</v>
      </c>
      <c r="F2371" s="7">
        <f>SUMPRODUCT($C$6:$X$6,'batch tool'!$B2365:$W2365)+$Y$6</f>
        <v>-47.741473633885199</v>
      </c>
      <c r="G2371" s="7">
        <f>SUMPRODUCT($C$7:$X$7,'batch tool'!$B2365:$W2365)+$Y$7</f>
        <v>-19.739516238059196</v>
      </c>
      <c r="H2371" s="7">
        <f t="shared" si="74"/>
        <v>-19.739516238059196</v>
      </c>
      <c r="I2371">
        <f t="shared" si="75"/>
        <v>6</v>
      </c>
      <c r="J2371" t="str" cm="1">
        <f t="array" ref="J2371">INDEX($A$2:$A$7,I2371)</f>
        <v>Segment 6- Self-Conscious Male</v>
      </c>
    </row>
    <row r="2372" spans="1:10" x14ac:dyDescent="0.25">
      <c r="A2372" s="1">
        <f>'batch tool'!A2366</f>
        <v>0</v>
      </c>
      <c r="B2372" s="7">
        <f>SUMPRODUCT($C$2:$X$2,'batch tool'!$B2366:$W2366)+$Y$2</f>
        <v>-49.12272534143483</v>
      </c>
      <c r="C2372" s="7">
        <f>SUMPRODUCT($C$3:$X$3,'batch tool'!$B2366:$W2366)+$Y$3</f>
        <v>-36.514029388465531</v>
      </c>
      <c r="D2372" s="7">
        <f>SUMPRODUCT($C$4:$X$4,'batch tool'!$B2366:$W2366)+$Y$4</f>
        <v>-44.639843068043824</v>
      </c>
      <c r="E2372" s="7">
        <f>SUMPRODUCT($C$5:$X$5,'batch tool'!$B2366:$W2366)+$Y$5</f>
        <v>-51.578889182477603</v>
      </c>
      <c r="F2372" s="7">
        <f>SUMPRODUCT($C$6:$X$6,'batch tool'!$B2366:$W2366)+$Y$6</f>
        <v>-47.741473633885199</v>
      </c>
      <c r="G2372" s="7">
        <f>SUMPRODUCT($C$7:$X$7,'batch tool'!$B2366:$W2366)+$Y$7</f>
        <v>-19.739516238059196</v>
      </c>
      <c r="H2372" s="7">
        <f t="shared" si="74"/>
        <v>-19.739516238059196</v>
      </c>
      <c r="I2372">
        <f t="shared" si="75"/>
        <v>6</v>
      </c>
      <c r="J2372" t="str" cm="1">
        <f t="array" ref="J2372">INDEX($A$2:$A$7,I2372)</f>
        <v>Segment 6- Self-Conscious Male</v>
      </c>
    </row>
    <row r="2373" spans="1:10" x14ac:dyDescent="0.25">
      <c r="A2373" s="1">
        <f>'batch tool'!A2367</f>
        <v>0</v>
      </c>
      <c r="B2373" s="7">
        <f>SUMPRODUCT($C$2:$X$2,'batch tool'!$B2367:$W2367)+$Y$2</f>
        <v>-49.12272534143483</v>
      </c>
      <c r="C2373" s="7">
        <f>SUMPRODUCT($C$3:$X$3,'batch tool'!$B2367:$W2367)+$Y$3</f>
        <v>-36.514029388465531</v>
      </c>
      <c r="D2373" s="7">
        <f>SUMPRODUCT($C$4:$X$4,'batch tool'!$B2367:$W2367)+$Y$4</f>
        <v>-44.639843068043824</v>
      </c>
      <c r="E2373" s="7">
        <f>SUMPRODUCT($C$5:$X$5,'batch tool'!$B2367:$W2367)+$Y$5</f>
        <v>-51.578889182477603</v>
      </c>
      <c r="F2373" s="7">
        <f>SUMPRODUCT($C$6:$X$6,'batch tool'!$B2367:$W2367)+$Y$6</f>
        <v>-47.741473633885199</v>
      </c>
      <c r="G2373" s="7">
        <f>SUMPRODUCT($C$7:$X$7,'batch tool'!$B2367:$W2367)+$Y$7</f>
        <v>-19.739516238059196</v>
      </c>
      <c r="H2373" s="7">
        <f t="shared" si="74"/>
        <v>-19.739516238059196</v>
      </c>
      <c r="I2373">
        <f t="shared" si="75"/>
        <v>6</v>
      </c>
      <c r="J2373" t="str" cm="1">
        <f t="array" ref="J2373">INDEX($A$2:$A$7,I2373)</f>
        <v>Segment 6- Self-Conscious Male</v>
      </c>
    </row>
    <row r="2374" spans="1:10" x14ac:dyDescent="0.25">
      <c r="A2374" s="1">
        <f>'batch tool'!A2368</f>
        <v>0</v>
      </c>
      <c r="B2374" s="7">
        <f>SUMPRODUCT($C$2:$X$2,'batch tool'!$B2368:$W2368)+$Y$2</f>
        <v>-49.12272534143483</v>
      </c>
      <c r="C2374" s="7">
        <f>SUMPRODUCT($C$3:$X$3,'batch tool'!$B2368:$W2368)+$Y$3</f>
        <v>-36.514029388465531</v>
      </c>
      <c r="D2374" s="7">
        <f>SUMPRODUCT($C$4:$X$4,'batch tool'!$B2368:$W2368)+$Y$4</f>
        <v>-44.639843068043824</v>
      </c>
      <c r="E2374" s="7">
        <f>SUMPRODUCT($C$5:$X$5,'batch tool'!$B2368:$W2368)+$Y$5</f>
        <v>-51.578889182477603</v>
      </c>
      <c r="F2374" s="7">
        <f>SUMPRODUCT($C$6:$X$6,'batch tool'!$B2368:$W2368)+$Y$6</f>
        <v>-47.741473633885199</v>
      </c>
      <c r="G2374" s="7">
        <f>SUMPRODUCT($C$7:$X$7,'batch tool'!$B2368:$W2368)+$Y$7</f>
        <v>-19.739516238059196</v>
      </c>
      <c r="H2374" s="7">
        <f t="shared" si="74"/>
        <v>-19.739516238059196</v>
      </c>
      <c r="I2374">
        <f t="shared" si="75"/>
        <v>6</v>
      </c>
      <c r="J2374" t="str" cm="1">
        <f t="array" ref="J2374">INDEX($A$2:$A$7,I2374)</f>
        <v>Segment 6- Self-Conscious Male</v>
      </c>
    </row>
    <row r="2375" spans="1:10" x14ac:dyDescent="0.25">
      <c r="A2375" s="1">
        <f>'batch tool'!A2369</f>
        <v>0</v>
      </c>
      <c r="B2375" s="7">
        <f>SUMPRODUCT($C$2:$X$2,'batch tool'!$B2369:$W2369)+$Y$2</f>
        <v>-49.12272534143483</v>
      </c>
      <c r="C2375" s="7">
        <f>SUMPRODUCT($C$3:$X$3,'batch tool'!$B2369:$W2369)+$Y$3</f>
        <v>-36.514029388465531</v>
      </c>
      <c r="D2375" s="7">
        <f>SUMPRODUCT($C$4:$X$4,'batch tool'!$B2369:$W2369)+$Y$4</f>
        <v>-44.639843068043824</v>
      </c>
      <c r="E2375" s="7">
        <f>SUMPRODUCT($C$5:$X$5,'batch tool'!$B2369:$W2369)+$Y$5</f>
        <v>-51.578889182477603</v>
      </c>
      <c r="F2375" s="7">
        <f>SUMPRODUCT($C$6:$X$6,'batch tool'!$B2369:$W2369)+$Y$6</f>
        <v>-47.741473633885199</v>
      </c>
      <c r="G2375" s="7">
        <f>SUMPRODUCT($C$7:$X$7,'batch tool'!$B2369:$W2369)+$Y$7</f>
        <v>-19.739516238059196</v>
      </c>
      <c r="H2375" s="7">
        <f t="shared" si="74"/>
        <v>-19.739516238059196</v>
      </c>
      <c r="I2375">
        <f t="shared" si="75"/>
        <v>6</v>
      </c>
      <c r="J2375" t="str" cm="1">
        <f t="array" ref="J2375">INDEX($A$2:$A$7,I2375)</f>
        <v>Segment 6- Self-Conscious Male</v>
      </c>
    </row>
    <row r="2376" spans="1:10" x14ac:dyDescent="0.25">
      <c r="A2376" s="1">
        <f>'batch tool'!A2370</f>
        <v>0</v>
      </c>
      <c r="B2376" s="7">
        <f>SUMPRODUCT($C$2:$X$2,'batch tool'!$B2370:$W2370)+$Y$2</f>
        <v>-49.12272534143483</v>
      </c>
      <c r="C2376" s="7">
        <f>SUMPRODUCT($C$3:$X$3,'batch tool'!$B2370:$W2370)+$Y$3</f>
        <v>-36.514029388465531</v>
      </c>
      <c r="D2376" s="7">
        <f>SUMPRODUCT($C$4:$X$4,'batch tool'!$B2370:$W2370)+$Y$4</f>
        <v>-44.639843068043824</v>
      </c>
      <c r="E2376" s="7">
        <f>SUMPRODUCT($C$5:$X$5,'batch tool'!$B2370:$W2370)+$Y$5</f>
        <v>-51.578889182477603</v>
      </c>
      <c r="F2376" s="7">
        <f>SUMPRODUCT($C$6:$X$6,'batch tool'!$B2370:$W2370)+$Y$6</f>
        <v>-47.741473633885199</v>
      </c>
      <c r="G2376" s="7">
        <f>SUMPRODUCT($C$7:$X$7,'batch tool'!$B2370:$W2370)+$Y$7</f>
        <v>-19.739516238059196</v>
      </c>
      <c r="H2376" s="7">
        <f t="shared" si="74"/>
        <v>-19.739516238059196</v>
      </c>
      <c r="I2376">
        <f t="shared" si="75"/>
        <v>6</v>
      </c>
      <c r="J2376" t="str" cm="1">
        <f t="array" ref="J2376">INDEX($A$2:$A$7,I2376)</f>
        <v>Segment 6- Self-Conscious Male</v>
      </c>
    </row>
    <row r="2377" spans="1:10" x14ac:dyDescent="0.25">
      <c r="A2377" s="1">
        <f>'batch tool'!A2371</f>
        <v>0</v>
      </c>
      <c r="B2377" s="7">
        <f>SUMPRODUCT($C$2:$X$2,'batch tool'!$B2371:$W2371)+$Y$2</f>
        <v>-49.12272534143483</v>
      </c>
      <c r="C2377" s="7">
        <f>SUMPRODUCT($C$3:$X$3,'batch tool'!$B2371:$W2371)+$Y$3</f>
        <v>-36.514029388465531</v>
      </c>
      <c r="D2377" s="7">
        <f>SUMPRODUCT($C$4:$X$4,'batch tool'!$B2371:$W2371)+$Y$4</f>
        <v>-44.639843068043824</v>
      </c>
      <c r="E2377" s="7">
        <f>SUMPRODUCT($C$5:$X$5,'batch tool'!$B2371:$W2371)+$Y$5</f>
        <v>-51.578889182477603</v>
      </c>
      <c r="F2377" s="7">
        <f>SUMPRODUCT($C$6:$X$6,'batch tool'!$B2371:$W2371)+$Y$6</f>
        <v>-47.741473633885199</v>
      </c>
      <c r="G2377" s="7">
        <f>SUMPRODUCT($C$7:$X$7,'batch tool'!$B2371:$W2371)+$Y$7</f>
        <v>-19.739516238059196</v>
      </c>
      <c r="H2377" s="7">
        <f t="shared" si="74"/>
        <v>-19.739516238059196</v>
      </c>
      <c r="I2377">
        <f t="shared" si="75"/>
        <v>6</v>
      </c>
      <c r="J2377" t="str" cm="1">
        <f t="array" ref="J2377">INDEX($A$2:$A$7,I2377)</f>
        <v>Segment 6- Self-Conscious Male</v>
      </c>
    </row>
    <row r="2378" spans="1:10" x14ac:dyDescent="0.25">
      <c r="A2378" s="1">
        <f>'batch tool'!A2372</f>
        <v>0</v>
      </c>
      <c r="B2378" s="7">
        <f>SUMPRODUCT($C$2:$X$2,'batch tool'!$B2372:$W2372)+$Y$2</f>
        <v>-49.12272534143483</v>
      </c>
      <c r="C2378" s="7">
        <f>SUMPRODUCT($C$3:$X$3,'batch tool'!$B2372:$W2372)+$Y$3</f>
        <v>-36.514029388465531</v>
      </c>
      <c r="D2378" s="7">
        <f>SUMPRODUCT($C$4:$X$4,'batch tool'!$B2372:$W2372)+$Y$4</f>
        <v>-44.639843068043824</v>
      </c>
      <c r="E2378" s="7">
        <f>SUMPRODUCT($C$5:$X$5,'batch tool'!$B2372:$W2372)+$Y$5</f>
        <v>-51.578889182477603</v>
      </c>
      <c r="F2378" s="7">
        <f>SUMPRODUCT($C$6:$X$6,'batch tool'!$B2372:$W2372)+$Y$6</f>
        <v>-47.741473633885199</v>
      </c>
      <c r="G2378" s="7">
        <f>SUMPRODUCT($C$7:$X$7,'batch tool'!$B2372:$W2372)+$Y$7</f>
        <v>-19.739516238059196</v>
      </c>
      <c r="H2378" s="7">
        <f t="shared" si="74"/>
        <v>-19.739516238059196</v>
      </c>
      <c r="I2378">
        <f t="shared" si="75"/>
        <v>6</v>
      </c>
      <c r="J2378" t="str" cm="1">
        <f t="array" ref="J2378">INDEX($A$2:$A$7,I2378)</f>
        <v>Segment 6- Self-Conscious Male</v>
      </c>
    </row>
    <row r="2379" spans="1:10" x14ac:dyDescent="0.25">
      <c r="A2379" s="1">
        <f>'batch tool'!A2373</f>
        <v>0</v>
      </c>
      <c r="B2379" s="7">
        <f>SUMPRODUCT($C$2:$X$2,'batch tool'!$B2373:$W2373)+$Y$2</f>
        <v>-49.12272534143483</v>
      </c>
      <c r="C2379" s="7">
        <f>SUMPRODUCT($C$3:$X$3,'batch tool'!$B2373:$W2373)+$Y$3</f>
        <v>-36.514029388465531</v>
      </c>
      <c r="D2379" s="7">
        <f>SUMPRODUCT($C$4:$X$4,'batch tool'!$B2373:$W2373)+$Y$4</f>
        <v>-44.639843068043824</v>
      </c>
      <c r="E2379" s="7">
        <f>SUMPRODUCT($C$5:$X$5,'batch tool'!$B2373:$W2373)+$Y$5</f>
        <v>-51.578889182477603</v>
      </c>
      <c r="F2379" s="7">
        <f>SUMPRODUCT($C$6:$X$6,'batch tool'!$B2373:$W2373)+$Y$6</f>
        <v>-47.741473633885199</v>
      </c>
      <c r="G2379" s="7">
        <f>SUMPRODUCT($C$7:$X$7,'batch tool'!$B2373:$W2373)+$Y$7</f>
        <v>-19.739516238059196</v>
      </c>
      <c r="H2379" s="7">
        <f t="shared" si="74"/>
        <v>-19.739516238059196</v>
      </c>
      <c r="I2379">
        <f t="shared" si="75"/>
        <v>6</v>
      </c>
      <c r="J2379" t="str" cm="1">
        <f t="array" ref="J2379">INDEX($A$2:$A$7,I2379)</f>
        <v>Segment 6- Self-Conscious Male</v>
      </c>
    </row>
    <row r="2380" spans="1:10" x14ac:dyDescent="0.25">
      <c r="A2380" s="1">
        <f>'batch tool'!A2374</f>
        <v>0</v>
      </c>
      <c r="B2380" s="7">
        <f>SUMPRODUCT($C$2:$X$2,'batch tool'!$B2374:$W2374)+$Y$2</f>
        <v>-49.12272534143483</v>
      </c>
      <c r="C2380" s="7">
        <f>SUMPRODUCT($C$3:$X$3,'batch tool'!$B2374:$W2374)+$Y$3</f>
        <v>-36.514029388465531</v>
      </c>
      <c r="D2380" s="7">
        <f>SUMPRODUCT($C$4:$X$4,'batch tool'!$B2374:$W2374)+$Y$4</f>
        <v>-44.639843068043824</v>
      </c>
      <c r="E2380" s="7">
        <f>SUMPRODUCT($C$5:$X$5,'batch tool'!$B2374:$W2374)+$Y$5</f>
        <v>-51.578889182477603</v>
      </c>
      <c r="F2380" s="7">
        <f>SUMPRODUCT($C$6:$X$6,'batch tool'!$B2374:$W2374)+$Y$6</f>
        <v>-47.741473633885199</v>
      </c>
      <c r="G2380" s="7">
        <f>SUMPRODUCT($C$7:$X$7,'batch tool'!$B2374:$W2374)+$Y$7</f>
        <v>-19.739516238059196</v>
      </c>
      <c r="H2380" s="7">
        <f t="shared" si="74"/>
        <v>-19.739516238059196</v>
      </c>
      <c r="I2380">
        <f t="shared" si="75"/>
        <v>6</v>
      </c>
      <c r="J2380" t="str" cm="1">
        <f t="array" ref="J2380">INDEX($A$2:$A$7,I2380)</f>
        <v>Segment 6- Self-Conscious Male</v>
      </c>
    </row>
    <row r="2381" spans="1:10" x14ac:dyDescent="0.25">
      <c r="A2381" s="1">
        <f>'batch tool'!A2375</f>
        <v>0</v>
      </c>
      <c r="B2381" s="7">
        <f>SUMPRODUCT($C$2:$X$2,'batch tool'!$B2375:$W2375)+$Y$2</f>
        <v>-49.12272534143483</v>
      </c>
      <c r="C2381" s="7">
        <f>SUMPRODUCT($C$3:$X$3,'batch tool'!$B2375:$W2375)+$Y$3</f>
        <v>-36.514029388465531</v>
      </c>
      <c r="D2381" s="7">
        <f>SUMPRODUCT($C$4:$X$4,'batch tool'!$B2375:$W2375)+$Y$4</f>
        <v>-44.639843068043824</v>
      </c>
      <c r="E2381" s="7">
        <f>SUMPRODUCT($C$5:$X$5,'batch tool'!$B2375:$W2375)+$Y$5</f>
        <v>-51.578889182477603</v>
      </c>
      <c r="F2381" s="7">
        <f>SUMPRODUCT($C$6:$X$6,'batch tool'!$B2375:$W2375)+$Y$6</f>
        <v>-47.741473633885199</v>
      </c>
      <c r="G2381" s="7">
        <f>SUMPRODUCT($C$7:$X$7,'batch tool'!$B2375:$W2375)+$Y$7</f>
        <v>-19.739516238059196</v>
      </c>
      <c r="H2381" s="7">
        <f t="shared" si="74"/>
        <v>-19.739516238059196</v>
      </c>
      <c r="I2381">
        <f t="shared" si="75"/>
        <v>6</v>
      </c>
      <c r="J2381" t="str" cm="1">
        <f t="array" ref="J2381">INDEX($A$2:$A$7,I2381)</f>
        <v>Segment 6- Self-Conscious Male</v>
      </c>
    </row>
    <row r="2382" spans="1:10" x14ac:dyDescent="0.25">
      <c r="A2382" s="1">
        <f>'batch tool'!A2376</f>
        <v>0</v>
      </c>
      <c r="B2382" s="7">
        <f>SUMPRODUCT($C$2:$X$2,'batch tool'!$B2376:$W2376)+$Y$2</f>
        <v>-49.12272534143483</v>
      </c>
      <c r="C2382" s="7">
        <f>SUMPRODUCT($C$3:$X$3,'batch tool'!$B2376:$W2376)+$Y$3</f>
        <v>-36.514029388465531</v>
      </c>
      <c r="D2382" s="7">
        <f>SUMPRODUCT($C$4:$X$4,'batch tool'!$B2376:$W2376)+$Y$4</f>
        <v>-44.639843068043824</v>
      </c>
      <c r="E2382" s="7">
        <f>SUMPRODUCT($C$5:$X$5,'batch tool'!$B2376:$W2376)+$Y$5</f>
        <v>-51.578889182477603</v>
      </c>
      <c r="F2382" s="7">
        <f>SUMPRODUCT($C$6:$X$6,'batch tool'!$B2376:$W2376)+$Y$6</f>
        <v>-47.741473633885199</v>
      </c>
      <c r="G2382" s="7">
        <f>SUMPRODUCT($C$7:$X$7,'batch tool'!$B2376:$W2376)+$Y$7</f>
        <v>-19.739516238059196</v>
      </c>
      <c r="H2382" s="7">
        <f t="shared" si="74"/>
        <v>-19.739516238059196</v>
      </c>
      <c r="I2382">
        <f t="shared" si="75"/>
        <v>6</v>
      </c>
      <c r="J2382" t="str" cm="1">
        <f t="array" ref="J2382">INDEX($A$2:$A$7,I2382)</f>
        <v>Segment 6- Self-Conscious Male</v>
      </c>
    </row>
    <row r="2383" spans="1:10" x14ac:dyDescent="0.25">
      <c r="A2383" s="1">
        <f>'batch tool'!A2377</f>
        <v>0</v>
      </c>
      <c r="B2383" s="7">
        <f>SUMPRODUCT($C$2:$X$2,'batch tool'!$B2377:$W2377)+$Y$2</f>
        <v>-49.12272534143483</v>
      </c>
      <c r="C2383" s="7">
        <f>SUMPRODUCT($C$3:$X$3,'batch tool'!$B2377:$W2377)+$Y$3</f>
        <v>-36.514029388465531</v>
      </c>
      <c r="D2383" s="7">
        <f>SUMPRODUCT($C$4:$X$4,'batch tool'!$B2377:$W2377)+$Y$4</f>
        <v>-44.639843068043824</v>
      </c>
      <c r="E2383" s="7">
        <f>SUMPRODUCT($C$5:$X$5,'batch tool'!$B2377:$W2377)+$Y$5</f>
        <v>-51.578889182477603</v>
      </c>
      <c r="F2383" s="7">
        <f>SUMPRODUCT($C$6:$X$6,'batch tool'!$B2377:$W2377)+$Y$6</f>
        <v>-47.741473633885199</v>
      </c>
      <c r="G2383" s="7">
        <f>SUMPRODUCT($C$7:$X$7,'batch tool'!$B2377:$W2377)+$Y$7</f>
        <v>-19.739516238059196</v>
      </c>
      <c r="H2383" s="7">
        <f t="shared" si="74"/>
        <v>-19.739516238059196</v>
      </c>
      <c r="I2383">
        <f t="shared" si="75"/>
        <v>6</v>
      </c>
      <c r="J2383" t="str" cm="1">
        <f t="array" ref="J2383">INDEX($A$2:$A$7,I2383)</f>
        <v>Segment 6- Self-Conscious Male</v>
      </c>
    </row>
    <row r="2384" spans="1:10" x14ac:dyDescent="0.25">
      <c r="A2384" s="1">
        <f>'batch tool'!A2378</f>
        <v>0</v>
      </c>
      <c r="B2384" s="7">
        <f>SUMPRODUCT($C$2:$X$2,'batch tool'!$B2378:$W2378)+$Y$2</f>
        <v>-49.12272534143483</v>
      </c>
      <c r="C2384" s="7">
        <f>SUMPRODUCT($C$3:$X$3,'batch tool'!$B2378:$W2378)+$Y$3</f>
        <v>-36.514029388465531</v>
      </c>
      <c r="D2384" s="7">
        <f>SUMPRODUCT($C$4:$X$4,'batch tool'!$B2378:$W2378)+$Y$4</f>
        <v>-44.639843068043824</v>
      </c>
      <c r="E2384" s="7">
        <f>SUMPRODUCT($C$5:$X$5,'batch tool'!$B2378:$W2378)+$Y$5</f>
        <v>-51.578889182477603</v>
      </c>
      <c r="F2384" s="7">
        <f>SUMPRODUCT($C$6:$X$6,'batch tool'!$B2378:$W2378)+$Y$6</f>
        <v>-47.741473633885199</v>
      </c>
      <c r="G2384" s="7">
        <f>SUMPRODUCT($C$7:$X$7,'batch tool'!$B2378:$W2378)+$Y$7</f>
        <v>-19.739516238059196</v>
      </c>
      <c r="H2384" s="7">
        <f t="shared" si="74"/>
        <v>-19.739516238059196</v>
      </c>
      <c r="I2384">
        <f t="shared" si="75"/>
        <v>6</v>
      </c>
      <c r="J2384" t="str" cm="1">
        <f t="array" ref="J2384">INDEX($A$2:$A$7,I2384)</f>
        <v>Segment 6- Self-Conscious Male</v>
      </c>
    </row>
    <row r="2385" spans="1:10" x14ac:dyDescent="0.25">
      <c r="A2385" s="1">
        <f>'batch tool'!A2379</f>
        <v>0</v>
      </c>
      <c r="B2385" s="7">
        <f>SUMPRODUCT($C$2:$X$2,'batch tool'!$B2379:$W2379)+$Y$2</f>
        <v>-49.12272534143483</v>
      </c>
      <c r="C2385" s="7">
        <f>SUMPRODUCT($C$3:$X$3,'batch tool'!$B2379:$W2379)+$Y$3</f>
        <v>-36.514029388465531</v>
      </c>
      <c r="D2385" s="7">
        <f>SUMPRODUCT($C$4:$X$4,'batch tool'!$B2379:$W2379)+$Y$4</f>
        <v>-44.639843068043824</v>
      </c>
      <c r="E2385" s="7">
        <f>SUMPRODUCT($C$5:$X$5,'batch tool'!$B2379:$W2379)+$Y$5</f>
        <v>-51.578889182477603</v>
      </c>
      <c r="F2385" s="7">
        <f>SUMPRODUCT($C$6:$X$6,'batch tool'!$B2379:$W2379)+$Y$6</f>
        <v>-47.741473633885199</v>
      </c>
      <c r="G2385" s="7">
        <f>SUMPRODUCT($C$7:$X$7,'batch tool'!$B2379:$W2379)+$Y$7</f>
        <v>-19.739516238059196</v>
      </c>
      <c r="H2385" s="7">
        <f t="shared" si="74"/>
        <v>-19.739516238059196</v>
      </c>
      <c r="I2385">
        <f t="shared" si="75"/>
        <v>6</v>
      </c>
      <c r="J2385" t="str" cm="1">
        <f t="array" ref="J2385">INDEX($A$2:$A$7,I2385)</f>
        <v>Segment 6- Self-Conscious Male</v>
      </c>
    </row>
    <row r="2386" spans="1:10" x14ac:dyDescent="0.25">
      <c r="A2386" s="1">
        <f>'batch tool'!A2380</f>
        <v>0</v>
      </c>
      <c r="B2386" s="7">
        <f>SUMPRODUCT($C$2:$X$2,'batch tool'!$B2380:$W2380)+$Y$2</f>
        <v>-49.12272534143483</v>
      </c>
      <c r="C2386" s="7">
        <f>SUMPRODUCT($C$3:$X$3,'batch tool'!$B2380:$W2380)+$Y$3</f>
        <v>-36.514029388465531</v>
      </c>
      <c r="D2386" s="7">
        <f>SUMPRODUCT($C$4:$X$4,'batch tool'!$B2380:$W2380)+$Y$4</f>
        <v>-44.639843068043824</v>
      </c>
      <c r="E2386" s="7">
        <f>SUMPRODUCT($C$5:$X$5,'batch tool'!$B2380:$W2380)+$Y$5</f>
        <v>-51.578889182477603</v>
      </c>
      <c r="F2386" s="7">
        <f>SUMPRODUCT($C$6:$X$6,'batch tool'!$B2380:$W2380)+$Y$6</f>
        <v>-47.741473633885199</v>
      </c>
      <c r="G2386" s="7">
        <f>SUMPRODUCT($C$7:$X$7,'batch tool'!$B2380:$W2380)+$Y$7</f>
        <v>-19.739516238059196</v>
      </c>
      <c r="H2386" s="7">
        <f t="shared" si="74"/>
        <v>-19.739516238059196</v>
      </c>
      <c r="I2386">
        <f t="shared" si="75"/>
        <v>6</v>
      </c>
      <c r="J2386" t="str" cm="1">
        <f t="array" ref="J2386">INDEX($A$2:$A$7,I2386)</f>
        <v>Segment 6- Self-Conscious Male</v>
      </c>
    </row>
    <row r="2387" spans="1:10" x14ac:dyDescent="0.25">
      <c r="A2387" s="1">
        <f>'batch tool'!A2381</f>
        <v>0</v>
      </c>
      <c r="B2387" s="7">
        <f>SUMPRODUCT($C$2:$X$2,'batch tool'!$B2381:$W2381)+$Y$2</f>
        <v>-49.12272534143483</v>
      </c>
      <c r="C2387" s="7">
        <f>SUMPRODUCT($C$3:$X$3,'batch tool'!$B2381:$W2381)+$Y$3</f>
        <v>-36.514029388465531</v>
      </c>
      <c r="D2387" s="7">
        <f>SUMPRODUCT($C$4:$X$4,'batch tool'!$B2381:$W2381)+$Y$4</f>
        <v>-44.639843068043824</v>
      </c>
      <c r="E2387" s="7">
        <f>SUMPRODUCT($C$5:$X$5,'batch tool'!$B2381:$W2381)+$Y$5</f>
        <v>-51.578889182477603</v>
      </c>
      <c r="F2387" s="7">
        <f>SUMPRODUCT($C$6:$X$6,'batch tool'!$B2381:$W2381)+$Y$6</f>
        <v>-47.741473633885199</v>
      </c>
      <c r="G2387" s="7">
        <f>SUMPRODUCT($C$7:$X$7,'batch tool'!$B2381:$W2381)+$Y$7</f>
        <v>-19.739516238059196</v>
      </c>
      <c r="H2387" s="7">
        <f t="shared" si="74"/>
        <v>-19.739516238059196</v>
      </c>
      <c r="I2387">
        <f t="shared" si="75"/>
        <v>6</v>
      </c>
      <c r="J2387" t="str" cm="1">
        <f t="array" ref="J2387">INDEX($A$2:$A$7,I2387)</f>
        <v>Segment 6- Self-Conscious Male</v>
      </c>
    </row>
    <row r="2388" spans="1:10" x14ac:dyDescent="0.25">
      <c r="A2388" s="1">
        <f>'batch tool'!A2382</f>
        <v>0</v>
      </c>
      <c r="B2388" s="7">
        <f>SUMPRODUCT($C$2:$X$2,'batch tool'!$B2382:$W2382)+$Y$2</f>
        <v>-49.12272534143483</v>
      </c>
      <c r="C2388" s="7">
        <f>SUMPRODUCT($C$3:$X$3,'batch tool'!$B2382:$W2382)+$Y$3</f>
        <v>-36.514029388465531</v>
      </c>
      <c r="D2388" s="7">
        <f>SUMPRODUCT($C$4:$X$4,'batch tool'!$B2382:$W2382)+$Y$4</f>
        <v>-44.639843068043824</v>
      </c>
      <c r="E2388" s="7">
        <f>SUMPRODUCT($C$5:$X$5,'batch tool'!$B2382:$W2382)+$Y$5</f>
        <v>-51.578889182477603</v>
      </c>
      <c r="F2388" s="7">
        <f>SUMPRODUCT($C$6:$X$6,'batch tool'!$B2382:$W2382)+$Y$6</f>
        <v>-47.741473633885199</v>
      </c>
      <c r="G2388" s="7">
        <f>SUMPRODUCT($C$7:$X$7,'batch tool'!$B2382:$W2382)+$Y$7</f>
        <v>-19.739516238059196</v>
      </c>
      <c r="H2388" s="7">
        <f t="shared" si="74"/>
        <v>-19.739516238059196</v>
      </c>
      <c r="I2388">
        <f t="shared" si="75"/>
        <v>6</v>
      </c>
      <c r="J2388" t="str" cm="1">
        <f t="array" ref="J2388">INDEX($A$2:$A$7,I2388)</f>
        <v>Segment 6- Self-Conscious Male</v>
      </c>
    </row>
    <row r="2389" spans="1:10" x14ac:dyDescent="0.25">
      <c r="A2389" s="1">
        <f>'batch tool'!A2383</f>
        <v>0</v>
      </c>
      <c r="B2389" s="7">
        <f>SUMPRODUCT($C$2:$X$2,'batch tool'!$B2383:$W2383)+$Y$2</f>
        <v>-49.12272534143483</v>
      </c>
      <c r="C2389" s="7">
        <f>SUMPRODUCT($C$3:$X$3,'batch tool'!$B2383:$W2383)+$Y$3</f>
        <v>-36.514029388465531</v>
      </c>
      <c r="D2389" s="7">
        <f>SUMPRODUCT($C$4:$X$4,'batch tool'!$B2383:$W2383)+$Y$4</f>
        <v>-44.639843068043824</v>
      </c>
      <c r="E2389" s="7">
        <f>SUMPRODUCT($C$5:$X$5,'batch tool'!$B2383:$W2383)+$Y$5</f>
        <v>-51.578889182477603</v>
      </c>
      <c r="F2389" s="7">
        <f>SUMPRODUCT($C$6:$X$6,'batch tool'!$B2383:$W2383)+$Y$6</f>
        <v>-47.741473633885199</v>
      </c>
      <c r="G2389" s="7">
        <f>SUMPRODUCT($C$7:$X$7,'batch tool'!$B2383:$W2383)+$Y$7</f>
        <v>-19.739516238059196</v>
      </c>
      <c r="H2389" s="7">
        <f t="shared" si="74"/>
        <v>-19.739516238059196</v>
      </c>
      <c r="I2389">
        <f t="shared" si="75"/>
        <v>6</v>
      </c>
      <c r="J2389" t="str" cm="1">
        <f t="array" ref="J2389">INDEX($A$2:$A$7,I2389)</f>
        <v>Segment 6- Self-Conscious Male</v>
      </c>
    </row>
    <row r="2390" spans="1:10" x14ac:dyDescent="0.25">
      <c r="A2390" s="1">
        <f>'batch tool'!A2384</f>
        <v>0</v>
      </c>
      <c r="B2390" s="7">
        <f>SUMPRODUCT($C$2:$X$2,'batch tool'!$B2384:$W2384)+$Y$2</f>
        <v>-49.12272534143483</v>
      </c>
      <c r="C2390" s="7">
        <f>SUMPRODUCT($C$3:$X$3,'batch tool'!$B2384:$W2384)+$Y$3</f>
        <v>-36.514029388465531</v>
      </c>
      <c r="D2390" s="7">
        <f>SUMPRODUCT($C$4:$X$4,'batch tool'!$B2384:$W2384)+$Y$4</f>
        <v>-44.639843068043824</v>
      </c>
      <c r="E2390" s="7">
        <f>SUMPRODUCT($C$5:$X$5,'batch tool'!$B2384:$W2384)+$Y$5</f>
        <v>-51.578889182477603</v>
      </c>
      <c r="F2390" s="7">
        <f>SUMPRODUCT($C$6:$X$6,'batch tool'!$B2384:$W2384)+$Y$6</f>
        <v>-47.741473633885199</v>
      </c>
      <c r="G2390" s="7">
        <f>SUMPRODUCT($C$7:$X$7,'batch tool'!$B2384:$W2384)+$Y$7</f>
        <v>-19.739516238059196</v>
      </c>
      <c r="H2390" s="7">
        <f t="shared" si="74"/>
        <v>-19.739516238059196</v>
      </c>
      <c r="I2390">
        <f t="shared" si="75"/>
        <v>6</v>
      </c>
      <c r="J2390" t="str" cm="1">
        <f t="array" ref="J2390">INDEX($A$2:$A$7,I2390)</f>
        <v>Segment 6- Self-Conscious Male</v>
      </c>
    </row>
    <row r="2391" spans="1:10" x14ac:dyDescent="0.25">
      <c r="A2391" s="1">
        <f>'batch tool'!A2385</f>
        <v>0</v>
      </c>
      <c r="B2391" s="7">
        <f>SUMPRODUCT($C$2:$X$2,'batch tool'!$B2385:$W2385)+$Y$2</f>
        <v>-49.12272534143483</v>
      </c>
      <c r="C2391" s="7">
        <f>SUMPRODUCT($C$3:$X$3,'batch tool'!$B2385:$W2385)+$Y$3</f>
        <v>-36.514029388465531</v>
      </c>
      <c r="D2391" s="7">
        <f>SUMPRODUCT($C$4:$X$4,'batch tool'!$B2385:$W2385)+$Y$4</f>
        <v>-44.639843068043824</v>
      </c>
      <c r="E2391" s="7">
        <f>SUMPRODUCT($C$5:$X$5,'batch tool'!$B2385:$W2385)+$Y$5</f>
        <v>-51.578889182477603</v>
      </c>
      <c r="F2391" s="7">
        <f>SUMPRODUCT($C$6:$X$6,'batch tool'!$B2385:$W2385)+$Y$6</f>
        <v>-47.741473633885199</v>
      </c>
      <c r="G2391" s="7">
        <f>SUMPRODUCT($C$7:$X$7,'batch tool'!$B2385:$W2385)+$Y$7</f>
        <v>-19.739516238059196</v>
      </c>
      <c r="H2391" s="7">
        <f t="shared" si="74"/>
        <v>-19.739516238059196</v>
      </c>
      <c r="I2391">
        <f t="shared" si="75"/>
        <v>6</v>
      </c>
      <c r="J2391" t="str" cm="1">
        <f t="array" ref="J2391">INDEX($A$2:$A$7,I2391)</f>
        <v>Segment 6- Self-Conscious Male</v>
      </c>
    </row>
    <row r="2392" spans="1:10" x14ac:dyDescent="0.25">
      <c r="A2392" s="1">
        <f>'batch tool'!A2386</f>
        <v>0</v>
      </c>
      <c r="B2392" s="7">
        <f>SUMPRODUCT($C$2:$X$2,'batch tool'!$B2386:$W2386)+$Y$2</f>
        <v>-49.12272534143483</v>
      </c>
      <c r="C2392" s="7">
        <f>SUMPRODUCT($C$3:$X$3,'batch tool'!$B2386:$W2386)+$Y$3</f>
        <v>-36.514029388465531</v>
      </c>
      <c r="D2392" s="7">
        <f>SUMPRODUCT($C$4:$X$4,'batch tool'!$B2386:$W2386)+$Y$4</f>
        <v>-44.639843068043824</v>
      </c>
      <c r="E2392" s="7">
        <f>SUMPRODUCT($C$5:$X$5,'batch tool'!$B2386:$W2386)+$Y$5</f>
        <v>-51.578889182477603</v>
      </c>
      <c r="F2392" s="7">
        <f>SUMPRODUCT($C$6:$X$6,'batch tool'!$B2386:$W2386)+$Y$6</f>
        <v>-47.741473633885199</v>
      </c>
      <c r="G2392" s="7">
        <f>SUMPRODUCT($C$7:$X$7,'batch tool'!$B2386:$W2386)+$Y$7</f>
        <v>-19.739516238059196</v>
      </c>
      <c r="H2392" s="7">
        <f t="shared" si="74"/>
        <v>-19.739516238059196</v>
      </c>
      <c r="I2392">
        <f t="shared" si="75"/>
        <v>6</v>
      </c>
      <c r="J2392" t="str" cm="1">
        <f t="array" ref="J2392">INDEX($A$2:$A$7,I2392)</f>
        <v>Segment 6- Self-Conscious Male</v>
      </c>
    </row>
    <row r="2393" spans="1:10" x14ac:dyDescent="0.25">
      <c r="A2393" s="1">
        <f>'batch tool'!A2387</f>
        <v>0</v>
      </c>
      <c r="B2393" s="7">
        <f>SUMPRODUCT($C$2:$X$2,'batch tool'!$B2387:$W2387)+$Y$2</f>
        <v>-49.12272534143483</v>
      </c>
      <c r="C2393" s="7">
        <f>SUMPRODUCT($C$3:$X$3,'batch tool'!$B2387:$W2387)+$Y$3</f>
        <v>-36.514029388465531</v>
      </c>
      <c r="D2393" s="7">
        <f>SUMPRODUCT($C$4:$X$4,'batch tool'!$B2387:$W2387)+$Y$4</f>
        <v>-44.639843068043824</v>
      </c>
      <c r="E2393" s="7">
        <f>SUMPRODUCT($C$5:$X$5,'batch tool'!$B2387:$W2387)+$Y$5</f>
        <v>-51.578889182477603</v>
      </c>
      <c r="F2393" s="7">
        <f>SUMPRODUCT($C$6:$X$6,'batch tool'!$B2387:$W2387)+$Y$6</f>
        <v>-47.741473633885199</v>
      </c>
      <c r="G2393" s="7">
        <f>SUMPRODUCT($C$7:$X$7,'batch tool'!$B2387:$W2387)+$Y$7</f>
        <v>-19.739516238059196</v>
      </c>
      <c r="H2393" s="7">
        <f t="shared" si="74"/>
        <v>-19.739516238059196</v>
      </c>
      <c r="I2393">
        <f t="shared" si="75"/>
        <v>6</v>
      </c>
      <c r="J2393" t="str" cm="1">
        <f t="array" ref="J2393">INDEX($A$2:$A$7,I2393)</f>
        <v>Segment 6- Self-Conscious Male</v>
      </c>
    </row>
    <row r="2394" spans="1:10" x14ac:dyDescent="0.25">
      <c r="A2394" s="1">
        <f>'batch tool'!A2388</f>
        <v>0</v>
      </c>
      <c r="B2394" s="7">
        <f>SUMPRODUCT($C$2:$X$2,'batch tool'!$B2388:$W2388)+$Y$2</f>
        <v>-49.12272534143483</v>
      </c>
      <c r="C2394" s="7">
        <f>SUMPRODUCT($C$3:$X$3,'batch tool'!$B2388:$W2388)+$Y$3</f>
        <v>-36.514029388465531</v>
      </c>
      <c r="D2394" s="7">
        <f>SUMPRODUCT($C$4:$X$4,'batch tool'!$B2388:$W2388)+$Y$4</f>
        <v>-44.639843068043824</v>
      </c>
      <c r="E2394" s="7">
        <f>SUMPRODUCT($C$5:$X$5,'batch tool'!$B2388:$W2388)+$Y$5</f>
        <v>-51.578889182477603</v>
      </c>
      <c r="F2394" s="7">
        <f>SUMPRODUCT($C$6:$X$6,'batch tool'!$B2388:$W2388)+$Y$6</f>
        <v>-47.741473633885199</v>
      </c>
      <c r="G2394" s="7">
        <f>SUMPRODUCT($C$7:$X$7,'batch tool'!$B2388:$W2388)+$Y$7</f>
        <v>-19.739516238059196</v>
      </c>
      <c r="H2394" s="7">
        <f t="shared" si="74"/>
        <v>-19.739516238059196</v>
      </c>
      <c r="I2394">
        <f t="shared" si="75"/>
        <v>6</v>
      </c>
      <c r="J2394" t="str" cm="1">
        <f t="array" ref="J2394">INDEX($A$2:$A$7,I2394)</f>
        <v>Segment 6- Self-Conscious Male</v>
      </c>
    </row>
    <row r="2395" spans="1:10" x14ac:dyDescent="0.25">
      <c r="A2395" s="1">
        <f>'batch tool'!A2389</f>
        <v>0</v>
      </c>
      <c r="B2395" s="7">
        <f>SUMPRODUCT($C$2:$X$2,'batch tool'!$B2389:$W2389)+$Y$2</f>
        <v>-49.12272534143483</v>
      </c>
      <c r="C2395" s="7">
        <f>SUMPRODUCT($C$3:$X$3,'batch tool'!$B2389:$W2389)+$Y$3</f>
        <v>-36.514029388465531</v>
      </c>
      <c r="D2395" s="7">
        <f>SUMPRODUCT($C$4:$X$4,'batch tool'!$B2389:$W2389)+$Y$4</f>
        <v>-44.639843068043824</v>
      </c>
      <c r="E2395" s="7">
        <f>SUMPRODUCT($C$5:$X$5,'batch tool'!$B2389:$W2389)+$Y$5</f>
        <v>-51.578889182477603</v>
      </c>
      <c r="F2395" s="7">
        <f>SUMPRODUCT($C$6:$X$6,'batch tool'!$B2389:$W2389)+$Y$6</f>
        <v>-47.741473633885199</v>
      </c>
      <c r="G2395" s="7">
        <f>SUMPRODUCT($C$7:$X$7,'batch tool'!$B2389:$W2389)+$Y$7</f>
        <v>-19.739516238059196</v>
      </c>
      <c r="H2395" s="7">
        <f t="shared" ref="H2395:H2458" si="76">MAX(B2395:G2395)</f>
        <v>-19.739516238059196</v>
      </c>
      <c r="I2395">
        <f t="shared" ref="I2395:I2458" si="77">MATCH(H2395,B2395:G2395,0)</f>
        <v>6</v>
      </c>
      <c r="J2395" t="str" cm="1">
        <f t="array" ref="J2395">INDEX($A$2:$A$7,I2395)</f>
        <v>Segment 6- Self-Conscious Male</v>
      </c>
    </row>
    <row r="2396" spans="1:10" x14ac:dyDescent="0.25">
      <c r="A2396" s="1">
        <f>'batch tool'!A2390</f>
        <v>0</v>
      </c>
      <c r="B2396" s="7">
        <f>SUMPRODUCT($C$2:$X$2,'batch tool'!$B2390:$W2390)+$Y$2</f>
        <v>-49.12272534143483</v>
      </c>
      <c r="C2396" s="7">
        <f>SUMPRODUCT($C$3:$X$3,'batch tool'!$B2390:$W2390)+$Y$3</f>
        <v>-36.514029388465531</v>
      </c>
      <c r="D2396" s="7">
        <f>SUMPRODUCT($C$4:$X$4,'batch tool'!$B2390:$W2390)+$Y$4</f>
        <v>-44.639843068043824</v>
      </c>
      <c r="E2396" s="7">
        <f>SUMPRODUCT($C$5:$X$5,'batch tool'!$B2390:$W2390)+$Y$5</f>
        <v>-51.578889182477603</v>
      </c>
      <c r="F2396" s="7">
        <f>SUMPRODUCT($C$6:$X$6,'batch tool'!$B2390:$W2390)+$Y$6</f>
        <v>-47.741473633885199</v>
      </c>
      <c r="G2396" s="7">
        <f>SUMPRODUCT($C$7:$X$7,'batch tool'!$B2390:$W2390)+$Y$7</f>
        <v>-19.739516238059196</v>
      </c>
      <c r="H2396" s="7">
        <f t="shared" si="76"/>
        <v>-19.739516238059196</v>
      </c>
      <c r="I2396">
        <f t="shared" si="77"/>
        <v>6</v>
      </c>
      <c r="J2396" t="str" cm="1">
        <f t="array" ref="J2396">INDEX($A$2:$A$7,I2396)</f>
        <v>Segment 6- Self-Conscious Male</v>
      </c>
    </row>
    <row r="2397" spans="1:10" x14ac:dyDescent="0.25">
      <c r="A2397" s="1">
        <f>'batch tool'!A2391</f>
        <v>0</v>
      </c>
      <c r="B2397" s="7">
        <f>SUMPRODUCT($C$2:$X$2,'batch tool'!$B2391:$W2391)+$Y$2</f>
        <v>-49.12272534143483</v>
      </c>
      <c r="C2397" s="7">
        <f>SUMPRODUCT($C$3:$X$3,'batch tool'!$B2391:$W2391)+$Y$3</f>
        <v>-36.514029388465531</v>
      </c>
      <c r="D2397" s="7">
        <f>SUMPRODUCT($C$4:$X$4,'batch tool'!$B2391:$W2391)+$Y$4</f>
        <v>-44.639843068043824</v>
      </c>
      <c r="E2397" s="7">
        <f>SUMPRODUCT($C$5:$X$5,'batch tool'!$B2391:$W2391)+$Y$5</f>
        <v>-51.578889182477603</v>
      </c>
      <c r="F2397" s="7">
        <f>SUMPRODUCT($C$6:$X$6,'batch tool'!$B2391:$W2391)+$Y$6</f>
        <v>-47.741473633885199</v>
      </c>
      <c r="G2397" s="7">
        <f>SUMPRODUCT($C$7:$X$7,'batch tool'!$B2391:$W2391)+$Y$7</f>
        <v>-19.739516238059196</v>
      </c>
      <c r="H2397" s="7">
        <f t="shared" si="76"/>
        <v>-19.739516238059196</v>
      </c>
      <c r="I2397">
        <f t="shared" si="77"/>
        <v>6</v>
      </c>
      <c r="J2397" t="str" cm="1">
        <f t="array" ref="J2397">INDEX($A$2:$A$7,I2397)</f>
        <v>Segment 6- Self-Conscious Male</v>
      </c>
    </row>
    <row r="2398" spans="1:10" x14ac:dyDescent="0.25">
      <c r="A2398" s="1">
        <f>'batch tool'!A2392</f>
        <v>0</v>
      </c>
      <c r="B2398" s="7">
        <f>SUMPRODUCT($C$2:$X$2,'batch tool'!$B2392:$W2392)+$Y$2</f>
        <v>-49.12272534143483</v>
      </c>
      <c r="C2398" s="7">
        <f>SUMPRODUCT($C$3:$X$3,'batch tool'!$B2392:$W2392)+$Y$3</f>
        <v>-36.514029388465531</v>
      </c>
      <c r="D2398" s="7">
        <f>SUMPRODUCT($C$4:$X$4,'batch tool'!$B2392:$W2392)+$Y$4</f>
        <v>-44.639843068043824</v>
      </c>
      <c r="E2398" s="7">
        <f>SUMPRODUCT($C$5:$X$5,'batch tool'!$B2392:$W2392)+$Y$5</f>
        <v>-51.578889182477603</v>
      </c>
      <c r="F2398" s="7">
        <f>SUMPRODUCT($C$6:$X$6,'batch tool'!$B2392:$W2392)+$Y$6</f>
        <v>-47.741473633885199</v>
      </c>
      <c r="G2398" s="7">
        <f>SUMPRODUCT($C$7:$X$7,'batch tool'!$B2392:$W2392)+$Y$7</f>
        <v>-19.739516238059196</v>
      </c>
      <c r="H2398" s="7">
        <f t="shared" si="76"/>
        <v>-19.739516238059196</v>
      </c>
      <c r="I2398">
        <f t="shared" si="77"/>
        <v>6</v>
      </c>
      <c r="J2398" t="str" cm="1">
        <f t="array" ref="J2398">INDEX($A$2:$A$7,I2398)</f>
        <v>Segment 6- Self-Conscious Male</v>
      </c>
    </row>
    <row r="2399" spans="1:10" x14ac:dyDescent="0.25">
      <c r="A2399" s="1">
        <f>'batch tool'!A2393</f>
        <v>0</v>
      </c>
      <c r="B2399" s="7">
        <f>SUMPRODUCT($C$2:$X$2,'batch tool'!$B2393:$W2393)+$Y$2</f>
        <v>-49.12272534143483</v>
      </c>
      <c r="C2399" s="7">
        <f>SUMPRODUCT($C$3:$X$3,'batch tool'!$B2393:$W2393)+$Y$3</f>
        <v>-36.514029388465531</v>
      </c>
      <c r="D2399" s="7">
        <f>SUMPRODUCT($C$4:$X$4,'batch tool'!$B2393:$W2393)+$Y$4</f>
        <v>-44.639843068043824</v>
      </c>
      <c r="E2399" s="7">
        <f>SUMPRODUCT($C$5:$X$5,'batch tool'!$B2393:$W2393)+$Y$5</f>
        <v>-51.578889182477603</v>
      </c>
      <c r="F2399" s="7">
        <f>SUMPRODUCT($C$6:$X$6,'batch tool'!$B2393:$W2393)+$Y$6</f>
        <v>-47.741473633885199</v>
      </c>
      <c r="G2399" s="7">
        <f>SUMPRODUCT($C$7:$X$7,'batch tool'!$B2393:$W2393)+$Y$7</f>
        <v>-19.739516238059196</v>
      </c>
      <c r="H2399" s="7">
        <f t="shared" si="76"/>
        <v>-19.739516238059196</v>
      </c>
      <c r="I2399">
        <f t="shared" si="77"/>
        <v>6</v>
      </c>
      <c r="J2399" t="str" cm="1">
        <f t="array" ref="J2399">INDEX($A$2:$A$7,I2399)</f>
        <v>Segment 6- Self-Conscious Male</v>
      </c>
    </row>
    <row r="2400" spans="1:10" x14ac:dyDescent="0.25">
      <c r="A2400" s="1">
        <f>'batch tool'!A2394</f>
        <v>0</v>
      </c>
      <c r="B2400" s="7">
        <f>SUMPRODUCT($C$2:$X$2,'batch tool'!$B2394:$W2394)+$Y$2</f>
        <v>-49.12272534143483</v>
      </c>
      <c r="C2400" s="7">
        <f>SUMPRODUCT($C$3:$X$3,'batch tool'!$B2394:$W2394)+$Y$3</f>
        <v>-36.514029388465531</v>
      </c>
      <c r="D2400" s="7">
        <f>SUMPRODUCT($C$4:$X$4,'batch tool'!$B2394:$W2394)+$Y$4</f>
        <v>-44.639843068043824</v>
      </c>
      <c r="E2400" s="7">
        <f>SUMPRODUCT($C$5:$X$5,'batch tool'!$B2394:$W2394)+$Y$5</f>
        <v>-51.578889182477603</v>
      </c>
      <c r="F2400" s="7">
        <f>SUMPRODUCT($C$6:$X$6,'batch tool'!$B2394:$W2394)+$Y$6</f>
        <v>-47.741473633885199</v>
      </c>
      <c r="G2400" s="7">
        <f>SUMPRODUCT($C$7:$X$7,'batch tool'!$B2394:$W2394)+$Y$7</f>
        <v>-19.739516238059196</v>
      </c>
      <c r="H2400" s="7">
        <f t="shared" si="76"/>
        <v>-19.739516238059196</v>
      </c>
      <c r="I2400">
        <f t="shared" si="77"/>
        <v>6</v>
      </c>
      <c r="J2400" t="str" cm="1">
        <f t="array" ref="J2400">INDEX($A$2:$A$7,I2400)</f>
        <v>Segment 6- Self-Conscious Male</v>
      </c>
    </row>
    <row r="2401" spans="1:10" x14ac:dyDescent="0.25">
      <c r="A2401" s="1">
        <f>'batch tool'!A2395</f>
        <v>0</v>
      </c>
      <c r="B2401" s="7">
        <f>SUMPRODUCT($C$2:$X$2,'batch tool'!$B2395:$W2395)+$Y$2</f>
        <v>-49.12272534143483</v>
      </c>
      <c r="C2401" s="7">
        <f>SUMPRODUCT($C$3:$X$3,'batch tool'!$B2395:$W2395)+$Y$3</f>
        <v>-36.514029388465531</v>
      </c>
      <c r="D2401" s="7">
        <f>SUMPRODUCT($C$4:$X$4,'batch tool'!$B2395:$W2395)+$Y$4</f>
        <v>-44.639843068043824</v>
      </c>
      <c r="E2401" s="7">
        <f>SUMPRODUCT($C$5:$X$5,'batch tool'!$B2395:$W2395)+$Y$5</f>
        <v>-51.578889182477603</v>
      </c>
      <c r="F2401" s="7">
        <f>SUMPRODUCT($C$6:$X$6,'batch tool'!$B2395:$W2395)+$Y$6</f>
        <v>-47.741473633885199</v>
      </c>
      <c r="G2401" s="7">
        <f>SUMPRODUCT($C$7:$X$7,'batch tool'!$B2395:$W2395)+$Y$7</f>
        <v>-19.739516238059196</v>
      </c>
      <c r="H2401" s="7">
        <f t="shared" si="76"/>
        <v>-19.739516238059196</v>
      </c>
      <c r="I2401">
        <f t="shared" si="77"/>
        <v>6</v>
      </c>
      <c r="J2401" t="str" cm="1">
        <f t="array" ref="J2401">INDEX($A$2:$A$7,I2401)</f>
        <v>Segment 6- Self-Conscious Male</v>
      </c>
    </row>
    <row r="2402" spans="1:10" x14ac:dyDescent="0.25">
      <c r="A2402" s="1">
        <f>'batch tool'!A2396</f>
        <v>0</v>
      </c>
      <c r="B2402" s="7">
        <f>SUMPRODUCT($C$2:$X$2,'batch tool'!$B2396:$W2396)+$Y$2</f>
        <v>-49.12272534143483</v>
      </c>
      <c r="C2402" s="7">
        <f>SUMPRODUCT($C$3:$X$3,'batch tool'!$B2396:$W2396)+$Y$3</f>
        <v>-36.514029388465531</v>
      </c>
      <c r="D2402" s="7">
        <f>SUMPRODUCT($C$4:$X$4,'batch tool'!$B2396:$W2396)+$Y$4</f>
        <v>-44.639843068043824</v>
      </c>
      <c r="E2402" s="7">
        <f>SUMPRODUCT($C$5:$X$5,'batch tool'!$B2396:$W2396)+$Y$5</f>
        <v>-51.578889182477603</v>
      </c>
      <c r="F2402" s="7">
        <f>SUMPRODUCT($C$6:$X$6,'batch tool'!$B2396:$W2396)+$Y$6</f>
        <v>-47.741473633885199</v>
      </c>
      <c r="G2402" s="7">
        <f>SUMPRODUCT($C$7:$X$7,'batch tool'!$B2396:$W2396)+$Y$7</f>
        <v>-19.739516238059196</v>
      </c>
      <c r="H2402" s="7">
        <f t="shared" si="76"/>
        <v>-19.739516238059196</v>
      </c>
      <c r="I2402">
        <f t="shared" si="77"/>
        <v>6</v>
      </c>
      <c r="J2402" t="str" cm="1">
        <f t="array" ref="J2402">INDEX($A$2:$A$7,I2402)</f>
        <v>Segment 6- Self-Conscious Male</v>
      </c>
    </row>
    <row r="2403" spans="1:10" x14ac:dyDescent="0.25">
      <c r="A2403" s="1">
        <f>'batch tool'!A2397</f>
        <v>0</v>
      </c>
      <c r="B2403" s="7">
        <f>SUMPRODUCT($C$2:$X$2,'batch tool'!$B2397:$W2397)+$Y$2</f>
        <v>-49.12272534143483</v>
      </c>
      <c r="C2403" s="7">
        <f>SUMPRODUCT($C$3:$X$3,'batch tool'!$B2397:$W2397)+$Y$3</f>
        <v>-36.514029388465531</v>
      </c>
      <c r="D2403" s="7">
        <f>SUMPRODUCT($C$4:$X$4,'batch tool'!$B2397:$W2397)+$Y$4</f>
        <v>-44.639843068043824</v>
      </c>
      <c r="E2403" s="7">
        <f>SUMPRODUCT($C$5:$X$5,'batch tool'!$B2397:$W2397)+$Y$5</f>
        <v>-51.578889182477603</v>
      </c>
      <c r="F2403" s="7">
        <f>SUMPRODUCT($C$6:$X$6,'batch tool'!$B2397:$W2397)+$Y$6</f>
        <v>-47.741473633885199</v>
      </c>
      <c r="G2403" s="7">
        <f>SUMPRODUCT($C$7:$X$7,'batch tool'!$B2397:$W2397)+$Y$7</f>
        <v>-19.739516238059196</v>
      </c>
      <c r="H2403" s="7">
        <f t="shared" si="76"/>
        <v>-19.739516238059196</v>
      </c>
      <c r="I2403">
        <f t="shared" si="77"/>
        <v>6</v>
      </c>
      <c r="J2403" t="str" cm="1">
        <f t="array" ref="J2403">INDEX($A$2:$A$7,I2403)</f>
        <v>Segment 6- Self-Conscious Male</v>
      </c>
    </row>
    <row r="2404" spans="1:10" x14ac:dyDescent="0.25">
      <c r="A2404" s="1">
        <f>'batch tool'!A2398</f>
        <v>0</v>
      </c>
      <c r="B2404" s="7">
        <f>SUMPRODUCT($C$2:$X$2,'batch tool'!$B2398:$W2398)+$Y$2</f>
        <v>-49.12272534143483</v>
      </c>
      <c r="C2404" s="7">
        <f>SUMPRODUCT($C$3:$X$3,'batch tool'!$B2398:$W2398)+$Y$3</f>
        <v>-36.514029388465531</v>
      </c>
      <c r="D2404" s="7">
        <f>SUMPRODUCT($C$4:$X$4,'batch tool'!$B2398:$W2398)+$Y$4</f>
        <v>-44.639843068043824</v>
      </c>
      <c r="E2404" s="7">
        <f>SUMPRODUCT($C$5:$X$5,'batch tool'!$B2398:$W2398)+$Y$5</f>
        <v>-51.578889182477603</v>
      </c>
      <c r="F2404" s="7">
        <f>SUMPRODUCT($C$6:$X$6,'batch tool'!$B2398:$W2398)+$Y$6</f>
        <v>-47.741473633885199</v>
      </c>
      <c r="G2404" s="7">
        <f>SUMPRODUCT($C$7:$X$7,'batch tool'!$B2398:$W2398)+$Y$7</f>
        <v>-19.739516238059196</v>
      </c>
      <c r="H2404" s="7">
        <f t="shared" si="76"/>
        <v>-19.739516238059196</v>
      </c>
      <c r="I2404">
        <f t="shared" si="77"/>
        <v>6</v>
      </c>
      <c r="J2404" t="str" cm="1">
        <f t="array" ref="J2404">INDEX($A$2:$A$7,I2404)</f>
        <v>Segment 6- Self-Conscious Male</v>
      </c>
    </row>
    <row r="2405" spans="1:10" x14ac:dyDescent="0.25">
      <c r="A2405" s="1">
        <f>'batch tool'!A2399</f>
        <v>0</v>
      </c>
      <c r="B2405" s="7">
        <f>SUMPRODUCT($C$2:$X$2,'batch tool'!$B2399:$W2399)+$Y$2</f>
        <v>-49.12272534143483</v>
      </c>
      <c r="C2405" s="7">
        <f>SUMPRODUCT($C$3:$X$3,'batch tool'!$B2399:$W2399)+$Y$3</f>
        <v>-36.514029388465531</v>
      </c>
      <c r="D2405" s="7">
        <f>SUMPRODUCT($C$4:$X$4,'batch tool'!$B2399:$W2399)+$Y$4</f>
        <v>-44.639843068043824</v>
      </c>
      <c r="E2405" s="7">
        <f>SUMPRODUCT($C$5:$X$5,'batch tool'!$B2399:$W2399)+$Y$5</f>
        <v>-51.578889182477603</v>
      </c>
      <c r="F2405" s="7">
        <f>SUMPRODUCT($C$6:$X$6,'batch tool'!$B2399:$W2399)+$Y$6</f>
        <v>-47.741473633885199</v>
      </c>
      <c r="G2405" s="7">
        <f>SUMPRODUCT($C$7:$X$7,'batch tool'!$B2399:$W2399)+$Y$7</f>
        <v>-19.739516238059196</v>
      </c>
      <c r="H2405" s="7">
        <f t="shared" si="76"/>
        <v>-19.739516238059196</v>
      </c>
      <c r="I2405">
        <f t="shared" si="77"/>
        <v>6</v>
      </c>
      <c r="J2405" t="str" cm="1">
        <f t="array" ref="J2405">INDEX($A$2:$A$7,I2405)</f>
        <v>Segment 6- Self-Conscious Male</v>
      </c>
    </row>
    <row r="2406" spans="1:10" x14ac:dyDescent="0.25">
      <c r="A2406" s="1">
        <f>'batch tool'!A2400</f>
        <v>0</v>
      </c>
      <c r="B2406" s="7">
        <f>SUMPRODUCT($C$2:$X$2,'batch tool'!$B2400:$W2400)+$Y$2</f>
        <v>-49.12272534143483</v>
      </c>
      <c r="C2406" s="7">
        <f>SUMPRODUCT($C$3:$X$3,'batch tool'!$B2400:$W2400)+$Y$3</f>
        <v>-36.514029388465531</v>
      </c>
      <c r="D2406" s="7">
        <f>SUMPRODUCT($C$4:$X$4,'batch tool'!$B2400:$W2400)+$Y$4</f>
        <v>-44.639843068043824</v>
      </c>
      <c r="E2406" s="7">
        <f>SUMPRODUCT($C$5:$X$5,'batch tool'!$B2400:$W2400)+$Y$5</f>
        <v>-51.578889182477603</v>
      </c>
      <c r="F2406" s="7">
        <f>SUMPRODUCT($C$6:$X$6,'batch tool'!$B2400:$W2400)+$Y$6</f>
        <v>-47.741473633885199</v>
      </c>
      <c r="G2406" s="7">
        <f>SUMPRODUCT($C$7:$X$7,'batch tool'!$B2400:$W2400)+$Y$7</f>
        <v>-19.739516238059196</v>
      </c>
      <c r="H2406" s="7">
        <f t="shared" si="76"/>
        <v>-19.739516238059196</v>
      </c>
      <c r="I2406">
        <f t="shared" si="77"/>
        <v>6</v>
      </c>
      <c r="J2406" t="str" cm="1">
        <f t="array" ref="J2406">INDEX($A$2:$A$7,I2406)</f>
        <v>Segment 6- Self-Conscious Male</v>
      </c>
    </row>
    <row r="2407" spans="1:10" x14ac:dyDescent="0.25">
      <c r="A2407" s="1">
        <f>'batch tool'!A2401</f>
        <v>0</v>
      </c>
      <c r="B2407" s="7">
        <f>SUMPRODUCT($C$2:$X$2,'batch tool'!$B2401:$W2401)+$Y$2</f>
        <v>-49.12272534143483</v>
      </c>
      <c r="C2407" s="7">
        <f>SUMPRODUCT($C$3:$X$3,'batch tool'!$B2401:$W2401)+$Y$3</f>
        <v>-36.514029388465531</v>
      </c>
      <c r="D2407" s="7">
        <f>SUMPRODUCT($C$4:$X$4,'batch tool'!$B2401:$W2401)+$Y$4</f>
        <v>-44.639843068043824</v>
      </c>
      <c r="E2407" s="7">
        <f>SUMPRODUCT($C$5:$X$5,'batch tool'!$B2401:$W2401)+$Y$5</f>
        <v>-51.578889182477603</v>
      </c>
      <c r="F2407" s="7">
        <f>SUMPRODUCT($C$6:$X$6,'batch tool'!$B2401:$W2401)+$Y$6</f>
        <v>-47.741473633885199</v>
      </c>
      <c r="G2407" s="7">
        <f>SUMPRODUCT($C$7:$X$7,'batch tool'!$B2401:$W2401)+$Y$7</f>
        <v>-19.739516238059196</v>
      </c>
      <c r="H2407" s="7">
        <f t="shared" si="76"/>
        <v>-19.739516238059196</v>
      </c>
      <c r="I2407">
        <f t="shared" si="77"/>
        <v>6</v>
      </c>
      <c r="J2407" t="str" cm="1">
        <f t="array" ref="J2407">INDEX($A$2:$A$7,I2407)</f>
        <v>Segment 6- Self-Conscious Male</v>
      </c>
    </row>
    <row r="2408" spans="1:10" x14ac:dyDescent="0.25">
      <c r="A2408" s="1">
        <f>'batch tool'!A2402</f>
        <v>0</v>
      </c>
      <c r="B2408" s="7">
        <f>SUMPRODUCT($C$2:$X$2,'batch tool'!$B2402:$W2402)+$Y$2</f>
        <v>-49.12272534143483</v>
      </c>
      <c r="C2408" s="7">
        <f>SUMPRODUCT($C$3:$X$3,'batch tool'!$B2402:$W2402)+$Y$3</f>
        <v>-36.514029388465531</v>
      </c>
      <c r="D2408" s="7">
        <f>SUMPRODUCT($C$4:$X$4,'batch tool'!$B2402:$W2402)+$Y$4</f>
        <v>-44.639843068043824</v>
      </c>
      <c r="E2408" s="7">
        <f>SUMPRODUCT($C$5:$X$5,'batch tool'!$B2402:$W2402)+$Y$5</f>
        <v>-51.578889182477603</v>
      </c>
      <c r="F2408" s="7">
        <f>SUMPRODUCT($C$6:$X$6,'batch tool'!$B2402:$W2402)+$Y$6</f>
        <v>-47.741473633885199</v>
      </c>
      <c r="G2408" s="7">
        <f>SUMPRODUCT($C$7:$X$7,'batch tool'!$B2402:$W2402)+$Y$7</f>
        <v>-19.739516238059196</v>
      </c>
      <c r="H2408" s="7">
        <f t="shared" si="76"/>
        <v>-19.739516238059196</v>
      </c>
      <c r="I2408">
        <f t="shared" si="77"/>
        <v>6</v>
      </c>
      <c r="J2408" t="str" cm="1">
        <f t="array" ref="J2408">INDEX($A$2:$A$7,I2408)</f>
        <v>Segment 6- Self-Conscious Male</v>
      </c>
    </row>
    <row r="2409" spans="1:10" x14ac:dyDescent="0.25">
      <c r="A2409" s="1">
        <f>'batch tool'!A2403</f>
        <v>0</v>
      </c>
      <c r="B2409" s="7">
        <f>SUMPRODUCT($C$2:$X$2,'batch tool'!$B2403:$W2403)+$Y$2</f>
        <v>-49.12272534143483</v>
      </c>
      <c r="C2409" s="7">
        <f>SUMPRODUCT($C$3:$X$3,'batch tool'!$B2403:$W2403)+$Y$3</f>
        <v>-36.514029388465531</v>
      </c>
      <c r="D2409" s="7">
        <f>SUMPRODUCT($C$4:$X$4,'batch tool'!$B2403:$W2403)+$Y$4</f>
        <v>-44.639843068043824</v>
      </c>
      <c r="E2409" s="7">
        <f>SUMPRODUCT($C$5:$X$5,'batch tool'!$B2403:$W2403)+$Y$5</f>
        <v>-51.578889182477603</v>
      </c>
      <c r="F2409" s="7">
        <f>SUMPRODUCT($C$6:$X$6,'batch tool'!$B2403:$W2403)+$Y$6</f>
        <v>-47.741473633885199</v>
      </c>
      <c r="G2409" s="7">
        <f>SUMPRODUCT($C$7:$X$7,'batch tool'!$B2403:$W2403)+$Y$7</f>
        <v>-19.739516238059196</v>
      </c>
      <c r="H2409" s="7">
        <f t="shared" si="76"/>
        <v>-19.739516238059196</v>
      </c>
      <c r="I2409">
        <f t="shared" si="77"/>
        <v>6</v>
      </c>
      <c r="J2409" t="str" cm="1">
        <f t="array" ref="J2409">INDEX($A$2:$A$7,I2409)</f>
        <v>Segment 6- Self-Conscious Male</v>
      </c>
    </row>
    <row r="2410" spans="1:10" x14ac:dyDescent="0.25">
      <c r="A2410" s="1">
        <f>'batch tool'!A2404</f>
        <v>0</v>
      </c>
      <c r="B2410" s="7">
        <f>SUMPRODUCT($C$2:$X$2,'batch tool'!$B2404:$W2404)+$Y$2</f>
        <v>-49.12272534143483</v>
      </c>
      <c r="C2410" s="7">
        <f>SUMPRODUCT($C$3:$X$3,'batch tool'!$B2404:$W2404)+$Y$3</f>
        <v>-36.514029388465531</v>
      </c>
      <c r="D2410" s="7">
        <f>SUMPRODUCT($C$4:$X$4,'batch tool'!$B2404:$W2404)+$Y$4</f>
        <v>-44.639843068043824</v>
      </c>
      <c r="E2410" s="7">
        <f>SUMPRODUCT($C$5:$X$5,'batch tool'!$B2404:$W2404)+$Y$5</f>
        <v>-51.578889182477603</v>
      </c>
      <c r="F2410" s="7">
        <f>SUMPRODUCT($C$6:$X$6,'batch tool'!$B2404:$W2404)+$Y$6</f>
        <v>-47.741473633885199</v>
      </c>
      <c r="G2410" s="7">
        <f>SUMPRODUCT($C$7:$X$7,'batch tool'!$B2404:$W2404)+$Y$7</f>
        <v>-19.739516238059196</v>
      </c>
      <c r="H2410" s="7">
        <f t="shared" si="76"/>
        <v>-19.739516238059196</v>
      </c>
      <c r="I2410">
        <f t="shared" si="77"/>
        <v>6</v>
      </c>
      <c r="J2410" t="str" cm="1">
        <f t="array" ref="J2410">INDEX($A$2:$A$7,I2410)</f>
        <v>Segment 6- Self-Conscious Male</v>
      </c>
    </row>
    <row r="2411" spans="1:10" x14ac:dyDescent="0.25">
      <c r="A2411" s="1">
        <f>'batch tool'!A2405</f>
        <v>0</v>
      </c>
      <c r="B2411" s="7">
        <f>SUMPRODUCT($C$2:$X$2,'batch tool'!$B2405:$W2405)+$Y$2</f>
        <v>-49.12272534143483</v>
      </c>
      <c r="C2411" s="7">
        <f>SUMPRODUCT($C$3:$X$3,'batch tool'!$B2405:$W2405)+$Y$3</f>
        <v>-36.514029388465531</v>
      </c>
      <c r="D2411" s="7">
        <f>SUMPRODUCT($C$4:$X$4,'batch tool'!$B2405:$W2405)+$Y$4</f>
        <v>-44.639843068043824</v>
      </c>
      <c r="E2411" s="7">
        <f>SUMPRODUCT($C$5:$X$5,'batch tool'!$B2405:$W2405)+$Y$5</f>
        <v>-51.578889182477603</v>
      </c>
      <c r="F2411" s="7">
        <f>SUMPRODUCT($C$6:$X$6,'batch tool'!$B2405:$W2405)+$Y$6</f>
        <v>-47.741473633885199</v>
      </c>
      <c r="G2411" s="7">
        <f>SUMPRODUCT($C$7:$X$7,'batch tool'!$B2405:$W2405)+$Y$7</f>
        <v>-19.739516238059196</v>
      </c>
      <c r="H2411" s="7">
        <f t="shared" si="76"/>
        <v>-19.739516238059196</v>
      </c>
      <c r="I2411">
        <f t="shared" si="77"/>
        <v>6</v>
      </c>
      <c r="J2411" t="str" cm="1">
        <f t="array" ref="J2411">INDEX($A$2:$A$7,I2411)</f>
        <v>Segment 6- Self-Conscious Male</v>
      </c>
    </row>
    <row r="2412" spans="1:10" x14ac:dyDescent="0.25">
      <c r="A2412" s="1">
        <f>'batch tool'!A2406</f>
        <v>0</v>
      </c>
      <c r="B2412" s="7">
        <f>SUMPRODUCT($C$2:$X$2,'batch tool'!$B2406:$W2406)+$Y$2</f>
        <v>-49.12272534143483</v>
      </c>
      <c r="C2412" s="7">
        <f>SUMPRODUCT($C$3:$X$3,'batch tool'!$B2406:$W2406)+$Y$3</f>
        <v>-36.514029388465531</v>
      </c>
      <c r="D2412" s="7">
        <f>SUMPRODUCT($C$4:$X$4,'batch tool'!$B2406:$W2406)+$Y$4</f>
        <v>-44.639843068043824</v>
      </c>
      <c r="E2412" s="7">
        <f>SUMPRODUCT($C$5:$X$5,'batch tool'!$B2406:$W2406)+$Y$5</f>
        <v>-51.578889182477603</v>
      </c>
      <c r="F2412" s="7">
        <f>SUMPRODUCT($C$6:$X$6,'batch tool'!$B2406:$W2406)+$Y$6</f>
        <v>-47.741473633885199</v>
      </c>
      <c r="G2412" s="7">
        <f>SUMPRODUCT($C$7:$X$7,'batch tool'!$B2406:$W2406)+$Y$7</f>
        <v>-19.739516238059196</v>
      </c>
      <c r="H2412" s="7">
        <f t="shared" si="76"/>
        <v>-19.739516238059196</v>
      </c>
      <c r="I2412">
        <f t="shared" si="77"/>
        <v>6</v>
      </c>
      <c r="J2412" t="str" cm="1">
        <f t="array" ref="J2412">INDEX($A$2:$A$7,I2412)</f>
        <v>Segment 6- Self-Conscious Male</v>
      </c>
    </row>
    <row r="2413" spans="1:10" x14ac:dyDescent="0.25">
      <c r="A2413" s="1">
        <f>'batch tool'!A2407</f>
        <v>0</v>
      </c>
      <c r="B2413" s="7">
        <f>SUMPRODUCT($C$2:$X$2,'batch tool'!$B2407:$W2407)+$Y$2</f>
        <v>-49.12272534143483</v>
      </c>
      <c r="C2413" s="7">
        <f>SUMPRODUCT($C$3:$X$3,'batch tool'!$B2407:$W2407)+$Y$3</f>
        <v>-36.514029388465531</v>
      </c>
      <c r="D2413" s="7">
        <f>SUMPRODUCT($C$4:$X$4,'batch tool'!$B2407:$W2407)+$Y$4</f>
        <v>-44.639843068043824</v>
      </c>
      <c r="E2413" s="7">
        <f>SUMPRODUCT($C$5:$X$5,'batch tool'!$B2407:$W2407)+$Y$5</f>
        <v>-51.578889182477603</v>
      </c>
      <c r="F2413" s="7">
        <f>SUMPRODUCT($C$6:$X$6,'batch tool'!$B2407:$W2407)+$Y$6</f>
        <v>-47.741473633885199</v>
      </c>
      <c r="G2413" s="7">
        <f>SUMPRODUCT($C$7:$X$7,'batch tool'!$B2407:$W2407)+$Y$7</f>
        <v>-19.739516238059196</v>
      </c>
      <c r="H2413" s="7">
        <f t="shared" si="76"/>
        <v>-19.739516238059196</v>
      </c>
      <c r="I2413">
        <f t="shared" si="77"/>
        <v>6</v>
      </c>
      <c r="J2413" t="str" cm="1">
        <f t="array" ref="J2413">INDEX($A$2:$A$7,I2413)</f>
        <v>Segment 6- Self-Conscious Male</v>
      </c>
    </row>
    <row r="2414" spans="1:10" x14ac:dyDescent="0.25">
      <c r="A2414" s="1">
        <f>'batch tool'!A2408</f>
        <v>0</v>
      </c>
      <c r="B2414" s="7">
        <f>SUMPRODUCT($C$2:$X$2,'batch tool'!$B2408:$W2408)+$Y$2</f>
        <v>-49.12272534143483</v>
      </c>
      <c r="C2414" s="7">
        <f>SUMPRODUCT($C$3:$X$3,'batch tool'!$B2408:$W2408)+$Y$3</f>
        <v>-36.514029388465531</v>
      </c>
      <c r="D2414" s="7">
        <f>SUMPRODUCT($C$4:$X$4,'batch tool'!$B2408:$W2408)+$Y$4</f>
        <v>-44.639843068043824</v>
      </c>
      <c r="E2414" s="7">
        <f>SUMPRODUCT($C$5:$X$5,'batch tool'!$B2408:$W2408)+$Y$5</f>
        <v>-51.578889182477603</v>
      </c>
      <c r="F2414" s="7">
        <f>SUMPRODUCT($C$6:$X$6,'batch tool'!$B2408:$W2408)+$Y$6</f>
        <v>-47.741473633885199</v>
      </c>
      <c r="G2414" s="7">
        <f>SUMPRODUCT($C$7:$X$7,'batch tool'!$B2408:$W2408)+$Y$7</f>
        <v>-19.739516238059196</v>
      </c>
      <c r="H2414" s="7">
        <f t="shared" si="76"/>
        <v>-19.739516238059196</v>
      </c>
      <c r="I2414">
        <f t="shared" si="77"/>
        <v>6</v>
      </c>
      <c r="J2414" t="str" cm="1">
        <f t="array" ref="J2414">INDEX($A$2:$A$7,I2414)</f>
        <v>Segment 6- Self-Conscious Male</v>
      </c>
    </row>
    <row r="2415" spans="1:10" x14ac:dyDescent="0.25">
      <c r="A2415" s="1">
        <f>'batch tool'!A2409</f>
        <v>0</v>
      </c>
      <c r="B2415" s="7">
        <f>SUMPRODUCT($C$2:$X$2,'batch tool'!$B2409:$W2409)+$Y$2</f>
        <v>-49.12272534143483</v>
      </c>
      <c r="C2415" s="7">
        <f>SUMPRODUCT($C$3:$X$3,'batch tool'!$B2409:$W2409)+$Y$3</f>
        <v>-36.514029388465531</v>
      </c>
      <c r="D2415" s="7">
        <f>SUMPRODUCT($C$4:$X$4,'batch tool'!$B2409:$W2409)+$Y$4</f>
        <v>-44.639843068043824</v>
      </c>
      <c r="E2415" s="7">
        <f>SUMPRODUCT($C$5:$X$5,'batch tool'!$B2409:$W2409)+$Y$5</f>
        <v>-51.578889182477603</v>
      </c>
      <c r="F2415" s="7">
        <f>SUMPRODUCT($C$6:$X$6,'batch tool'!$B2409:$W2409)+$Y$6</f>
        <v>-47.741473633885199</v>
      </c>
      <c r="G2415" s="7">
        <f>SUMPRODUCT($C$7:$X$7,'batch tool'!$B2409:$W2409)+$Y$7</f>
        <v>-19.739516238059196</v>
      </c>
      <c r="H2415" s="7">
        <f t="shared" si="76"/>
        <v>-19.739516238059196</v>
      </c>
      <c r="I2415">
        <f t="shared" si="77"/>
        <v>6</v>
      </c>
      <c r="J2415" t="str" cm="1">
        <f t="array" ref="J2415">INDEX($A$2:$A$7,I2415)</f>
        <v>Segment 6- Self-Conscious Male</v>
      </c>
    </row>
    <row r="2416" spans="1:10" x14ac:dyDescent="0.25">
      <c r="A2416" s="1">
        <f>'batch tool'!A2410</f>
        <v>0</v>
      </c>
      <c r="B2416" s="7">
        <f>SUMPRODUCT($C$2:$X$2,'batch tool'!$B2410:$W2410)+$Y$2</f>
        <v>-49.12272534143483</v>
      </c>
      <c r="C2416" s="7">
        <f>SUMPRODUCT($C$3:$X$3,'batch tool'!$B2410:$W2410)+$Y$3</f>
        <v>-36.514029388465531</v>
      </c>
      <c r="D2416" s="7">
        <f>SUMPRODUCT($C$4:$X$4,'batch tool'!$B2410:$W2410)+$Y$4</f>
        <v>-44.639843068043824</v>
      </c>
      <c r="E2416" s="7">
        <f>SUMPRODUCT($C$5:$X$5,'batch tool'!$B2410:$W2410)+$Y$5</f>
        <v>-51.578889182477603</v>
      </c>
      <c r="F2416" s="7">
        <f>SUMPRODUCT($C$6:$X$6,'batch tool'!$B2410:$W2410)+$Y$6</f>
        <v>-47.741473633885199</v>
      </c>
      <c r="G2416" s="7">
        <f>SUMPRODUCT($C$7:$X$7,'batch tool'!$B2410:$W2410)+$Y$7</f>
        <v>-19.739516238059196</v>
      </c>
      <c r="H2416" s="7">
        <f t="shared" si="76"/>
        <v>-19.739516238059196</v>
      </c>
      <c r="I2416">
        <f t="shared" si="77"/>
        <v>6</v>
      </c>
      <c r="J2416" t="str" cm="1">
        <f t="array" ref="J2416">INDEX($A$2:$A$7,I2416)</f>
        <v>Segment 6- Self-Conscious Male</v>
      </c>
    </row>
    <row r="2417" spans="1:10" x14ac:dyDescent="0.25">
      <c r="A2417" s="1">
        <f>'batch tool'!A2411</f>
        <v>0</v>
      </c>
      <c r="B2417" s="7">
        <f>SUMPRODUCT($C$2:$X$2,'batch tool'!$B2411:$W2411)+$Y$2</f>
        <v>-49.12272534143483</v>
      </c>
      <c r="C2417" s="7">
        <f>SUMPRODUCT($C$3:$X$3,'batch tool'!$B2411:$W2411)+$Y$3</f>
        <v>-36.514029388465531</v>
      </c>
      <c r="D2417" s="7">
        <f>SUMPRODUCT($C$4:$X$4,'batch tool'!$B2411:$W2411)+$Y$4</f>
        <v>-44.639843068043824</v>
      </c>
      <c r="E2417" s="7">
        <f>SUMPRODUCT($C$5:$X$5,'batch tool'!$B2411:$W2411)+$Y$5</f>
        <v>-51.578889182477603</v>
      </c>
      <c r="F2417" s="7">
        <f>SUMPRODUCT($C$6:$X$6,'batch tool'!$B2411:$W2411)+$Y$6</f>
        <v>-47.741473633885199</v>
      </c>
      <c r="G2417" s="7">
        <f>SUMPRODUCT($C$7:$X$7,'batch tool'!$B2411:$W2411)+$Y$7</f>
        <v>-19.739516238059196</v>
      </c>
      <c r="H2417" s="7">
        <f t="shared" si="76"/>
        <v>-19.739516238059196</v>
      </c>
      <c r="I2417">
        <f t="shared" si="77"/>
        <v>6</v>
      </c>
      <c r="J2417" t="str" cm="1">
        <f t="array" ref="J2417">INDEX($A$2:$A$7,I2417)</f>
        <v>Segment 6- Self-Conscious Male</v>
      </c>
    </row>
    <row r="2418" spans="1:10" x14ac:dyDescent="0.25">
      <c r="A2418" s="1">
        <f>'batch tool'!A2412</f>
        <v>0</v>
      </c>
      <c r="B2418" s="7">
        <f>SUMPRODUCT($C$2:$X$2,'batch tool'!$B2412:$W2412)+$Y$2</f>
        <v>-49.12272534143483</v>
      </c>
      <c r="C2418" s="7">
        <f>SUMPRODUCT($C$3:$X$3,'batch tool'!$B2412:$W2412)+$Y$3</f>
        <v>-36.514029388465531</v>
      </c>
      <c r="D2418" s="7">
        <f>SUMPRODUCT($C$4:$X$4,'batch tool'!$B2412:$W2412)+$Y$4</f>
        <v>-44.639843068043824</v>
      </c>
      <c r="E2418" s="7">
        <f>SUMPRODUCT($C$5:$X$5,'batch tool'!$B2412:$W2412)+$Y$5</f>
        <v>-51.578889182477603</v>
      </c>
      <c r="F2418" s="7">
        <f>SUMPRODUCT($C$6:$X$6,'batch tool'!$B2412:$W2412)+$Y$6</f>
        <v>-47.741473633885199</v>
      </c>
      <c r="G2418" s="7">
        <f>SUMPRODUCT($C$7:$X$7,'batch tool'!$B2412:$W2412)+$Y$7</f>
        <v>-19.739516238059196</v>
      </c>
      <c r="H2418" s="7">
        <f t="shared" si="76"/>
        <v>-19.739516238059196</v>
      </c>
      <c r="I2418">
        <f t="shared" si="77"/>
        <v>6</v>
      </c>
      <c r="J2418" t="str" cm="1">
        <f t="array" ref="J2418">INDEX($A$2:$A$7,I2418)</f>
        <v>Segment 6- Self-Conscious Male</v>
      </c>
    </row>
    <row r="2419" spans="1:10" x14ac:dyDescent="0.25">
      <c r="A2419" s="1">
        <f>'batch tool'!A2413</f>
        <v>0</v>
      </c>
      <c r="B2419" s="7">
        <f>SUMPRODUCT($C$2:$X$2,'batch tool'!$B2413:$W2413)+$Y$2</f>
        <v>-49.12272534143483</v>
      </c>
      <c r="C2419" s="7">
        <f>SUMPRODUCT($C$3:$X$3,'batch tool'!$B2413:$W2413)+$Y$3</f>
        <v>-36.514029388465531</v>
      </c>
      <c r="D2419" s="7">
        <f>SUMPRODUCT($C$4:$X$4,'batch tool'!$B2413:$W2413)+$Y$4</f>
        <v>-44.639843068043824</v>
      </c>
      <c r="E2419" s="7">
        <f>SUMPRODUCT($C$5:$X$5,'batch tool'!$B2413:$W2413)+$Y$5</f>
        <v>-51.578889182477603</v>
      </c>
      <c r="F2419" s="7">
        <f>SUMPRODUCT($C$6:$X$6,'batch tool'!$B2413:$W2413)+$Y$6</f>
        <v>-47.741473633885199</v>
      </c>
      <c r="G2419" s="7">
        <f>SUMPRODUCT($C$7:$X$7,'batch tool'!$B2413:$W2413)+$Y$7</f>
        <v>-19.739516238059196</v>
      </c>
      <c r="H2419" s="7">
        <f t="shared" si="76"/>
        <v>-19.739516238059196</v>
      </c>
      <c r="I2419">
        <f t="shared" si="77"/>
        <v>6</v>
      </c>
      <c r="J2419" t="str" cm="1">
        <f t="array" ref="J2419">INDEX($A$2:$A$7,I2419)</f>
        <v>Segment 6- Self-Conscious Male</v>
      </c>
    </row>
    <row r="2420" spans="1:10" x14ac:dyDescent="0.25">
      <c r="A2420" s="1">
        <f>'batch tool'!A2414</f>
        <v>0</v>
      </c>
      <c r="B2420" s="7">
        <f>SUMPRODUCT($C$2:$X$2,'batch tool'!$B2414:$W2414)+$Y$2</f>
        <v>-49.12272534143483</v>
      </c>
      <c r="C2420" s="7">
        <f>SUMPRODUCT($C$3:$X$3,'batch tool'!$B2414:$W2414)+$Y$3</f>
        <v>-36.514029388465531</v>
      </c>
      <c r="D2420" s="7">
        <f>SUMPRODUCT($C$4:$X$4,'batch tool'!$B2414:$W2414)+$Y$4</f>
        <v>-44.639843068043824</v>
      </c>
      <c r="E2420" s="7">
        <f>SUMPRODUCT($C$5:$X$5,'batch tool'!$B2414:$W2414)+$Y$5</f>
        <v>-51.578889182477603</v>
      </c>
      <c r="F2420" s="7">
        <f>SUMPRODUCT($C$6:$X$6,'batch tool'!$B2414:$W2414)+$Y$6</f>
        <v>-47.741473633885199</v>
      </c>
      <c r="G2420" s="7">
        <f>SUMPRODUCT($C$7:$X$7,'batch tool'!$B2414:$W2414)+$Y$7</f>
        <v>-19.739516238059196</v>
      </c>
      <c r="H2420" s="7">
        <f t="shared" si="76"/>
        <v>-19.739516238059196</v>
      </c>
      <c r="I2420">
        <f t="shared" si="77"/>
        <v>6</v>
      </c>
      <c r="J2420" t="str" cm="1">
        <f t="array" ref="J2420">INDEX($A$2:$A$7,I2420)</f>
        <v>Segment 6- Self-Conscious Male</v>
      </c>
    </row>
    <row r="2421" spans="1:10" x14ac:dyDescent="0.25">
      <c r="A2421" s="1">
        <f>'batch tool'!A2415</f>
        <v>0</v>
      </c>
      <c r="B2421" s="7">
        <f>SUMPRODUCT($C$2:$X$2,'batch tool'!$B2415:$W2415)+$Y$2</f>
        <v>-49.12272534143483</v>
      </c>
      <c r="C2421" s="7">
        <f>SUMPRODUCT($C$3:$X$3,'batch tool'!$B2415:$W2415)+$Y$3</f>
        <v>-36.514029388465531</v>
      </c>
      <c r="D2421" s="7">
        <f>SUMPRODUCT($C$4:$X$4,'batch tool'!$B2415:$W2415)+$Y$4</f>
        <v>-44.639843068043824</v>
      </c>
      <c r="E2421" s="7">
        <f>SUMPRODUCT($C$5:$X$5,'batch tool'!$B2415:$W2415)+$Y$5</f>
        <v>-51.578889182477603</v>
      </c>
      <c r="F2421" s="7">
        <f>SUMPRODUCT($C$6:$X$6,'batch tool'!$B2415:$W2415)+$Y$6</f>
        <v>-47.741473633885199</v>
      </c>
      <c r="G2421" s="7">
        <f>SUMPRODUCT($C$7:$X$7,'batch tool'!$B2415:$W2415)+$Y$7</f>
        <v>-19.739516238059196</v>
      </c>
      <c r="H2421" s="7">
        <f t="shared" si="76"/>
        <v>-19.739516238059196</v>
      </c>
      <c r="I2421">
        <f t="shared" si="77"/>
        <v>6</v>
      </c>
      <c r="J2421" t="str" cm="1">
        <f t="array" ref="J2421">INDEX($A$2:$A$7,I2421)</f>
        <v>Segment 6- Self-Conscious Male</v>
      </c>
    </row>
    <row r="2422" spans="1:10" x14ac:dyDescent="0.25">
      <c r="A2422" s="1">
        <f>'batch tool'!A2416</f>
        <v>0</v>
      </c>
      <c r="B2422" s="7">
        <f>SUMPRODUCT($C$2:$X$2,'batch tool'!$B2416:$W2416)+$Y$2</f>
        <v>-49.12272534143483</v>
      </c>
      <c r="C2422" s="7">
        <f>SUMPRODUCT($C$3:$X$3,'batch tool'!$B2416:$W2416)+$Y$3</f>
        <v>-36.514029388465531</v>
      </c>
      <c r="D2422" s="7">
        <f>SUMPRODUCT($C$4:$X$4,'batch tool'!$B2416:$W2416)+$Y$4</f>
        <v>-44.639843068043824</v>
      </c>
      <c r="E2422" s="7">
        <f>SUMPRODUCT($C$5:$X$5,'batch tool'!$B2416:$W2416)+$Y$5</f>
        <v>-51.578889182477603</v>
      </c>
      <c r="F2422" s="7">
        <f>SUMPRODUCT($C$6:$X$6,'batch tool'!$B2416:$W2416)+$Y$6</f>
        <v>-47.741473633885199</v>
      </c>
      <c r="G2422" s="7">
        <f>SUMPRODUCT($C$7:$X$7,'batch tool'!$B2416:$W2416)+$Y$7</f>
        <v>-19.739516238059196</v>
      </c>
      <c r="H2422" s="7">
        <f t="shared" si="76"/>
        <v>-19.739516238059196</v>
      </c>
      <c r="I2422">
        <f t="shared" si="77"/>
        <v>6</v>
      </c>
      <c r="J2422" t="str" cm="1">
        <f t="array" ref="J2422">INDEX($A$2:$A$7,I2422)</f>
        <v>Segment 6- Self-Conscious Male</v>
      </c>
    </row>
    <row r="2423" spans="1:10" x14ac:dyDescent="0.25">
      <c r="A2423" s="1">
        <f>'batch tool'!A2417</f>
        <v>0</v>
      </c>
      <c r="B2423" s="7">
        <f>SUMPRODUCT($C$2:$X$2,'batch tool'!$B2417:$W2417)+$Y$2</f>
        <v>-49.12272534143483</v>
      </c>
      <c r="C2423" s="7">
        <f>SUMPRODUCT($C$3:$X$3,'batch tool'!$B2417:$W2417)+$Y$3</f>
        <v>-36.514029388465531</v>
      </c>
      <c r="D2423" s="7">
        <f>SUMPRODUCT($C$4:$X$4,'batch tool'!$B2417:$W2417)+$Y$4</f>
        <v>-44.639843068043824</v>
      </c>
      <c r="E2423" s="7">
        <f>SUMPRODUCT($C$5:$X$5,'batch tool'!$B2417:$W2417)+$Y$5</f>
        <v>-51.578889182477603</v>
      </c>
      <c r="F2423" s="7">
        <f>SUMPRODUCT($C$6:$X$6,'batch tool'!$B2417:$W2417)+$Y$6</f>
        <v>-47.741473633885199</v>
      </c>
      <c r="G2423" s="7">
        <f>SUMPRODUCT($C$7:$X$7,'batch tool'!$B2417:$W2417)+$Y$7</f>
        <v>-19.739516238059196</v>
      </c>
      <c r="H2423" s="7">
        <f t="shared" si="76"/>
        <v>-19.739516238059196</v>
      </c>
      <c r="I2423">
        <f t="shared" si="77"/>
        <v>6</v>
      </c>
      <c r="J2423" t="str" cm="1">
        <f t="array" ref="J2423">INDEX($A$2:$A$7,I2423)</f>
        <v>Segment 6- Self-Conscious Male</v>
      </c>
    </row>
    <row r="2424" spans="1:10" x14ac:dyDescent="0.25">
      <c r="A2424" s="1">
        <f>'batch tool'!A2418</f>
        <v>0</v>
      </c>
      <c r="B2424" s="7">
        <f>SUMPRODUCT($C$2:$X$2,'batch tool'!$B2418:$W2418)+$Y$2</f>
        <v>-49.12272534143483</v>
      </c>
      <c r="C2424" s="7">
        <f>SUMPRODUCT($C$3:$X$3,'batch tool'!$B2418:$W2418)+$Y$3</f>
        <v>-36.514029388465531</v>
      </c>
      <c r="D2424" s="7">
        <f>SUMPRODUCT($C$4:$X$4,'batch tool'!$B2418:$W2418)+$Y$4</f>
        <v>-44.639843068043824</v>
      </c>
      <c r="E2424" s="7">
        <f>SUMPRODUCT($C$5:$X$5,'batch tool'!$B2418:$W2418)+$Y$5</f>
        <v>-51.578889182477603</v>
      </c>
      <c r="F2424" s="7">
        <f>SUMPRODUCT($C$6:$X$6,'batch tool'!$B2418:$W2418)+$Y$6</f>
        <v>-47.741473633885199</v>
      </c>
      <c r="G2424" s="7">
        <f>SUMPRODUCT($C$7:$X$7,'batch tool'!$B2418:$W2418)+$Y$7</f>
        <v>-19.739516238059196</v>
      </c>
      <c r="H2424" s="7">
        <f t="shared" si="76"/>
        <v>-19.739516238059196</v>
      </c>
      <c r="I2424">
        <f t="shared" si="77"/>
        <v>6</v>
      </c>
      <c r="J2424" t="str" cm="1">
        <f t="array" ref="J2424">INDEX($A$2:$A$7,I2424)</f>
        <v>Segment 6- Self-Conscious Male</v>
      </c>
    </row>
    <row r="2425" spans="1:10" x14ac:dyDescent="0.25">
      <c r="A2425" s="1">
        <f>'batch tool'!A2419</f>
        <v>0</v>
      </c>
      <c r="B2425" s="7">
        <f>SUMPRODUCT($C$2:$X$2,'batch tool'!$B2419:$W2419)+$Y$2</f>
        <v>-49.12272534143483</v>
      </c>
      <c r="C2425" s="7">
        <f>SUMPRODUCT($C$3:$X$3,'batch tool'!$B2419:$W2419)+$Y$3</f>
        <v>-36.514029388465531</v>
      </c>
      <c r="D2425" s="7">
        <f>SUMPRODUCT($C$4:$X$4,'batch tool'!$B2419:$W2419)+$Y$4</f>
        <v>-44.639843068043824</v>
      </c>
      <c r="E2425" s="7">
        <f>SUMPRODUCT($C$5:$X$5,'batch tool'!$B2419:$W2419)+$Y$5</f>
        <v>-51.578889182477603</v>
      </c>
      <c r="F2425" s="7">
        <f>SUMPRODUCT($C$6:$X$6,'batch tool'!$B2419:$W2419)+$Y$6</f>
        <v>-47.741473633885199</v>
      </c>
      <c r="G2425" s="7">
        <f>SUMPRODUCT($C$7:$X$7,'batch tool'!$B2419:$W2419)+$Y$7</f>
        <v>-19.739516238059196</v>
      </c>
      <c r="H2425" s="7">
        <f t="shared" si="76"/>
        <v>-19.739516238059196</v>
      </c>
      <c r="I2425">
        <f t="shared" si="77"/>
        <v>6</v>
      </c>
      <c r="J2425" t="str" cm="1">
        <f t="array" ref="J2425">INDEX($A$2:$A$7,I2425)</f>
        <v>Segment 6- Self-Conscious Male</v>
      </c>
    </row>
    <row r="2426" spans="1:10" x14ac:dyDescent="0.25">
      <c r="A2426" s="1">
        <f>'batch tool'!A2420</f>
        <v>0</v>
      </c>
      <c r="B2426" s="7">
        <f>SUMPRODUCT($C$2:$X$2,'batch tool'!$B2420:$W2420)+$Y$2</f>
        <v>-49.12272534143483</v>
      </c>
      <c r="C2426" s="7">
        <f>SUMPRODUCT($C$3:$X$3,'batch tool'!$B2420:$W2420)+$Y$3</f>
        <v>-36.514029388465531</v>
      </c>
      <c r="D2426" s="7">
        <f>SUMPRODUCT($C$4:$X$4,'batch tool'!$B2420:$W2420)+$Y$4</f>
        <v>-44.639843068043824</v>
      </c>
      <c r="E2426" s="7">
        <f>SUMPRODUCT($C$5:$X$5,'batch tool'!$B2420:$W2420)+$Y$5</f>
        <v>-51.578889182477603</v>
      </c>
      <c r="F2426" s="7">
        <f>SUMPRODUCT($C$6:$X$6,'batch tool'!$B2420:$W2420)+$Y$6</f>
        <v>-47.741473633885199</v>
      </c>
      <c r="G2426" s="7">
        <f>SUMPRODUCT($C$7:$X$7,'batch tool'!$B2420:$W2420)+$Y$7</f>
        <v>-19.739516238059196</v>
      </c>
      <c r="H2426" s="7">
        <f t="shared" si="76"/>
        <v>-19.739516238059196</v>
      </c>
      <c r="I2426">
        <f t="shared" si="77"/>
        <v>6</v>
      </c>
      <c r="J2426" t="str" cm="1">
        <f t="array" ref="J2426">INDEX($A$2:$A$7,I2426)</f>
        <v>Segment 6- Self-Conscious Male</v>
      </c>
    </row>
    <row r="2427" spans="1:10" x14ac:dyDescent="0.25">
      <c r="A2427" s="1">
        <f>'batch tool'!A2421</f>
        <v>0</v>
      </c>
      <c r="B2427" s="7">
        <f>SUMPRODUCT($C$2:$X$2,'batch tool'!$B2421:$W2421)+$Y$2</f>
        <v>-49.12272534143483</v>
      </c>
      <c r="C2427" s="7">
        <f>SUMPRODUCT($C$3:$X$3,'batch tool'!$B2421:$W2421)+$Y$3</f>
        <v>-36.514029388465531</v>
      </c>
      <c r="D2427" s="7">
        <f>SUMPRODUCT($C$4:$X$4,'batch tool'!$B2421:$W2421)+$Y$4</f>
        <v>-44.639843068043824</v>
      </c>
      <c r="E2427" s="7">
        <f>SUMPRODUCT($C$5:$X$5,'batch tool'!$B2421:$W2421)+$Y$5</f>
        <v>-51.578889182477603</v>
      </c>
      <c r="F2427" s="7">
        <f>SUMPRODUCT($C$6:$X$6,'batch tool'!$B2421:$W2421)+$Y$6</f>
        <v>-47.741473633885199</v>
      </c>
      <c r="G2427" s="7">
        <f>SUMPRODUCT($C$7:$X$7,'batch tool'!$B2421:$W2421)+$Y$7</f>
        <v>-19.739516238059196</v>
      </c>
      <c r="H2427" s="7">
        <f t="shared" si="76"/>
        <v>-19.739516238059196</v>
      </c>
      <c r="I2427">
        <f t="shared" si="77"/>
        <v>6</v>
      </c>
      <c r="J2427" t="str" cm="1">
        <f t="array" ref="J2427">INDEX($A$2:$A$7,I2427)</f>
        <v>Segment 6- Self-Conscious Male</v>
      </c>
    </row>
    <row r="2428" spans="1:10" x14ac:dyDescent="0.25">
      <c r="A2428" s="1">
        <f>'batch tool'!A2422</f>
        <v>0</v>
      </c>
      <c r="B2428" s="7">
        <f>SUMPRODUCT($C$2:$X$2,'batch tool'!$B2422:$W2422)+$Y$2</f>
        <v>-49.12272534143483</v>
      </c>
      <c r="C2428" s="7">
        <f>SUMPRODUCT($C$3:$X$3,'batch tool'!$B2422:$W2422)+$Y$3</f>
        <v>-36.514029388465531</v>
      </c>
      <c r="D2428" s="7">
        <f>SUMPRODUCT($C$4:$X$4,'batch tool'!$B2422:$W2422)+$Y$4</f>
        <v>-44.639843068043824</v>
      </c>
      <c r="E2428" s="7">
        <f>SUMPRODUCT($C$5:$X$5,'batch tool'!$B2422:$W2422)+$Y$5</f>
        <v>-51.578889182477603</v>
      </c>
      <c r="F2428" s="7">
        <f>SUMPRODUCT($C$6:$X$6,'batch tool'!$B2422:$W2422)+$Y$6</f>
        <v>-47.741473633885199</v>
      </c>
      <c r="G2428" s="7">
        <f>SUMPRODUCT($C$7:$X$7,'batch tool'!$B2422:$W2422)+$Y$7</f>
        <v>-19.739516238059196</v>
      </c>
      <c r="H2428" s="7">
        <f t="shared" si="76"/>
        <v>-19.739516238059196</v>
      </c>
      <c r="I2428">
        <f t="shared" si="77"/>
        <v>6</v>
      </c>
      <c r="J2428" t="str" cm="1">
        <f t="array" ref="J2428">INDEX($A$2:$A$7,I2428)</f>
        <v>Segment 6- Self-Conscious Male</v>
      </c>
    </row>
    <row r="2429" spans="1:10" x14ac:dyDescent="0.25">
      <c r="A2429" s="1">
        <f>'batch tool'!A2423</f>
        <v>0</v>
      </c>
      <c r="B2429" s="7">
        <f>SUMPRODUCT($C$2:$X$2,'batch tool'!$B2423:$W2423)+$Y$2</f>
        <v>-49.12272534143483</v>
      </c>
      <c r="C2429" s="7">
        <f>SUMPRODUCT($C$3:$X$3,'batch tool'!$B2423:$W2423)+$Y$3</f>
        <v>-36.514029388465531</v>
      </c>
      <c r="D2429" s="7">
        <f>SUMPRODUCT($C$4:$X$4,'batch tool'!$B2423:$W2423)+$Y$4</f>
        <v>-44.639843068043824</v>
      </c>
      <c r="E2429" s="7">
        <f>SUMPRODUCT($C$5:$X$5,'batch tool'!$B2423:$W2423)+$Y$5</f>
        <v>-51.578889182477603</v>
      </c>
      <c r="F2429" s="7">
        <f>SUMPRODUCT($C$6:$X$6,'batch tool'!$B2423:$W2423)+$Y$6</f>
        <v>-47.741473633885199</v>
      </c>
      <c r="G2429" s="7">
        <f>SUMPRODUCT($C$7:$X$7,'batch tool'!$B2423:$W2423)+$Y$7</f>
        <v>-19.739516238059196</v>
      </c>
      <c r="H2429" s="7">
        <f t="shared" si="76"/>
        <v>-19.739516238059196</v>
      </c>
      <c r="I2429">
        <f t="shared" si="77"/>
        <v>6</v>
      </c>
      <c r="J2429" t="str" cm="1">
        <f t="array" ref="J2429">INDEX($A$2:$A$7,I2429)</f>
        <v>Segment 6- Self-Conscious Male</v>
      </c>
    </row>
    <row r="2430" spans="1:10" x14ac:dyDescent="0.25">
      <c r="A2430" s="1">
        <f>'batch tool'!A2424</f>
        <v>0</v>
      </c>
      <c r="B2430" s="7">
        <f>SUMPRODUCT($C$2:$X$2,'batch tool'!$B2424:$W2424)+$Y$2</f>
        <v>-49.12272534143483</v>
      </c>
      <c r="C2430" s="7">
        <f>SUMPRODUCT($C$3:$X$3,'batch tool'!$B2424:$W2424)+$Y$3</f>
        <v>-36.514029388465531</v>
      </c>
      <c r="D2430" s="7">
        <f>SUMPRODUCT($C$4:$X$4,'batch tool'!$B2424:$W2424)+$Y$4</f>
        <v>-44.639843068043824</v>
      </c>
      <c r="E2430" s="7">
        <f>SUMPRODUCT($C$5:$X$5,'batch tool'!$B2424:$W2424)+$Y$5</f>
        <v>-51.578889182477603</v>
      </c>
      <c r="F2430" s="7">
        <f>SUMPRODUCT($C$6:$X$6,'batch tool'!$B2424:$W2424)+$Y$6</f>
        <v>-47.741473633885199</v>
      </c>
      <c r="G2430" s="7">
        <f>SUMPRODUCT($C$7:$X$7,'batch tool'!$B2424:$W2424)+$Y$7</f>
        <v>-19.739516238059196</v>
      </c>
      <c r="H2430" s="7">
        <f t="shared" si="76"/>
        <v>-19.739516238059196</v>
      </c>
      <c r="I2430">
        <f t="shared" si="77"/>
        <v>6</v>
      </c>
      <c r="J2430" t="str" cm="1">
        <f t="array" ref="J2430">INDEX($A$2:$A$7,I2430)</f>
        <v>Segment 6- Self-Conscious Male</v>
      </c>
    </row>
    <row r="2431" spans="1:10" x14ac:dyDescent="0.25">
      <c r="A2431" s="1">
        <f>'batch tool'!A2425</f>
        <v>0</v>
      </c>
      <c r="B2431" s="7">
        <f>SUMPRODUCT($C$2:$X$2,'batch tool'!$B2425:$W2425)+$Y$2</f>
        <v>-49.12272534143483</v>
      </c>
      <c r="C2431" s="7">
        <f>SUMPRODUCT($C$3:$X$3,'batch tool'!$B2425:$W2425)+$Y$3</f>
        <v>-36.514029388465531</v>
      </c>
      <c r="D2431" s="7">
        <f>SUMPRODUCT($C$4:$X$4,'batch tool'!$B2425:$W2425)+$Y$4</f>
        <v>-44.639843068043824</v>
      </c>
      <c r="E2431" s="7">
        <f>SUMPRODUCT($C$5:$X$5,'batch tool'!$B2425:$W2425)+$Y$5</f>
        <v>-51.578889182477603</v>
      </c>
      <c r="F2431" s="7">
        <f>SUMPRODUCT($C$6:$X$6,'batch tool'!$B2425:$W2425)+$Y$6</f>
        <v>-47.741473633885199</v>
      </c>
      <c r="G2431" s="7">
        <f>SUMPRODUCT($C$7:$X$7,'batch tool'!$B2425:$W2425)+$Y$7</f>
        <v>-19.739516238059196</v>
      </c>
      <c r="H2431" s="7">
        <f t="shared" si="76"/>
        <v>-19.739516238059196</v>
      </c>
      <c r="I2431">
        <f t="shared" si="77"/>
        <v>6</v>
      </c>
      <c r="J2431" t="str" cm="1">
        <f t="array" ref="J2431">INDEX($A$2:$A$7,I2431)</f>
        <v>Segment 6- Self-Conscious Male</v>
      </c>
    </row>
    <row r="2432" spans="1:10" x14ac:dyDescent="0.25">
      <c r="A2432" s="1">
        <f>'batch tool'!A2426</f>
        <v>0</v>
      </c>
      <c r="B2432" s="7">
        <f>SUMPRODUCT($C$2:$X$2,'batch tool'!$B2426:$W2426)+$Y$2</f>
        <v>-49.12272534143483</v>
      </c>
      <c r="C2432" s="7">
        <f>SUMPRODUCT($C$3:$X$3,'batch tool'!$B2426:$W2426)+$Y$3</f>
        <v>-36.514029388465531</v>
      </c>
      <c r="D2432" s="7">
        <f>SUMPRODUCT($C$4:$X$4,'batch tool'!$B2426:$W2426)+$Y$4</f>
        <v>-44.639843068043824</v>
      </c>
      <c r="E2432" s="7">
        <f>SUMPRODUCT($C$5:$X$5,'batch tool'!$B2426:$W2426)+$Y$5</f>
        <v>-51.578889182477603</v>
      </c>
      <c r="F2432" s="7">
        <f>SUMPRODUCT($C$6:$X$6,'batch tool'!$B2426:$W2426)+$Y$6</f>
        <v>-47.741473633885199</v>
      </c>
      <c r="G2432" s="7">
        <f>SUMPRODUCT($C$7:$X$7,'batch tool'!$B2426:$W2426)+$Y$7</f>
        <v>-19.739516238059196</v>
      </c>
      <c r="H2432" s="7">
        <f t="shared" si="76"/>
        <v>-19.739516238059196</v>
      </c>
      <c r="I2432">
        <f t="shared" si="77"/>
        <v>6</v>
      </c>
      <c r="J2432" t="str" cm="1">
        <f t="array" ref="J2432">INDEX($A$2:$A$7,I2432)</f>
        <v>Segment 6- Self-Conscious Male</v>
      </c>
    </row>
    <row r="2433" spans="1:10" x14ac:dyDescent="0.25">
      <c r="A2433" s="1">
        <f>'batch tool'!A2427</f>
        <v>0</v>
      </c>
      <c r="B2433" s="7">
        <f>SUMPRODUCT($C$2:$X$2,'batch tool'!$B2427:$W2427)+$Y$2</f>
        <v>-49.12272534143483</v>
      </c>
      <c r="C2433" s="7">
        <f>SUMPRODUCT($C$3:$X$3,'batch tool'!$B2427:$W2427)+$Y$3</f>
        <v>-36.514029388465531</v>
      </c>
      <c r="D2433" s="7">
        <f>SUMPRODUCT($C$4:$X$4,'batch tool'!$B2427:$W2427)+$Y$4</f>
        <v>-44.639843068043824</v>
      </c>
      <c r="E2433" s="7">
        <f>SUMPRODUCT($C$5:$X$5,'batch tool'!$B2427:$W2427)+$Y$5</f>
        <v>-51.578889182477603</v>
      </c>
      <c r="F2433" s="7">
        <f>SUMPRODUCT($C$6:$X$6,'batch tool'!$B2427:$W2427)+$Y$6</f>
        <v>-47.741473633885199</v>
      </c>
      <c r="G2433" s="7">
        <f>SUMPRODUCT($C$7:$X$7,'batch tool'!$B2427:$W2427)+$Y$7</f>
        <v>-19.739516238059196</v>
      </c>
      <c r="H2433" s="7">
        <f t="shared" si="76"/>
        <v>-19.739516238059196</v>
      </c>
      <c r="I2433">
        <f t="shared" si="77"/>
        <v>6</v>
      </c>
      <c r="J2433" t="str" cm="1">
        <f t="array" ref="J2433">INDEX($A$2:$A$7,I2433)</f>
        <v>Segment 6- Self-Conscious Male</v>
      </c>
    </row>
    <row r="2434" spans="1:10" x14ac:dyDescent="0.25">
      <c r="A2434" s="1">
        <f>'batch tool'!A2428</f>
        <v>0</v>
      </c>
      <c r="B2434" s="7">
        <f>SUMPRODUCT($C$2:$X$2,'batch tool'!$B2428:$W2428)+$Y$2</f>
        <v>-49.12272534143483</v>
      </c>
      <c r="C2434" s="7">
        <f>SUMPRODUCT($C$3:$X$3,'batch tool'!$B2428:$W2428)+$Y$3</f>
        <v>-36.514029388465531</v>
      </c>
      <c r="D2434" s="7">
        <f>SUMPRODUCT($C$4:$X$4,'batch tool'!$B2428:$W2428)+$Y$4</f>
        <v>-44.639843068043824</v>
      </c>
      <c r="E2434" s="7">
        <f>SUMPRODUCT($C$5:$X$5,'batch tool'!$B2428:$W2428)+$Y$5</f>
        <v>-51.578889182477603</v>
      </c>
      <c r="F2434" s="7">
        <f>SUMPRODUCT($C$6:$X$6,'batch tool'!$B2428:$W2428)+$Y$6</f>
        <v>-47.741473633885199</v>
      </c>
      <c r="G2434" s="7">
        <f>SUMPRODUCT($C$7:$X$7,'batch tool'!$B2428:$W2428)+$Y$7</f>
        <v>-19.739516238059196</v>
      </c>
      <c r="H2434" s="7">
        <f t="shared" si="76"/>
        <v>-19.739516238059196</v>
      </c>
      <c r="I2434">
        <f t="shared" si="77"/>
        <v>6</v>
      </c>
      <c r="J2434" t="str" cm="1">
        <f t="array" ref="J2434">INDEX($A$2:$A$7,I2434)</f>
        <v>Segment 6- Self-Conscious Male</v>
      </c>
    </row>
    <row r="2435" spans="1:10" x14ac:dyDescent="0.25">
      <c r="A2435" s="1">
        <f>'batch tool'!A2429</f>
        <v>0</v>
      </c>
      <c r="B2435" s="7">
        <f>SUMPRODUCT($C$2:$X$2,'batch tool'!$B2429:$W2429)+$Y$2</f>
        <v>-49.12272534143483</v>
      </c>
      <c r="C2435" s="7">
        <f>SUMPRODUCT($C$3:$X$3,'batch tool'!$B2429:$W2429)+$Y$3</f>
        <v>-36.514029388465531</v>
      </c>
      <c r="D2435" s="7">
        <f>SUMPRODUCT($C$4:$X$4,'batch tool'!$B2429:$W2429)+$Y$4</f>
        <v>-44.639843068043824</v>
      </c>
      <c r="E2435" s="7">
        <f>SUMPRODUCT($C$5:$X$5,'batch tool'!$B2429:$W2429)+$Y$5</f>
        <v>-51.578889182477603</v>
      </c>
      <c r="F2435" s="7">
        <f>SUMPRODUCT($C$6:$X$6,'batch tool'!$B2429:$W2429)+$Y$6</f>
        <v>-47.741473633885199</v>
      </c>
      <c r="G2435" s="7">
        <f>SUMPRODUCT($C$7:$X$7,'batch tool'!$B2429:$W2429)+$Y$7</f>
        <v>-19.739516238059196</v>
      </c>
      <c r="H2435" s="7">
        <f t="shared" si="76"/>
        <v>-19.739516238059196</v>
      </c>
      <c r="I2435">
        <f t="shared" si="77"/>
        <v>6</v>
      </c>
      <c r="J2435" t="str" cm="1">
        <f t="array" ref="J2435">INDEX($A$2:$A$7,I2435)</f>
        <v>Segment 6- Self-Conscious Male</v>
      </c>
    </row>
    <row r="2436" spans="1:10" x14ac:dyDescent="0.25">
      <c r="A2436" s="1">
        <f>'batch tool'!A2430</f>
        <v>0</v>
      </c>
      <c r="B2436" s="7">
        <f>SUMPRODUCT($C$2:$X$2,'batch tool'!$B2430:$W2430)+$Y$2</f>
        <v>-49.12272534143483</v>
      </c>
      <c r="C2436" s="7">
        <f>SUMPRODUCT($C$3:$X$3,'batch tool'!$B2430:$W2430)+$Y$3</f>
        <v>-36.514029388465531</v>
      </c>
      <c r="D2436" s="7">
        <f>SUMPRODUCT($C$4:$X$4,'batch tool'!$B2430:$W2430)+$Y$4</f>
        <v>-44.639843068043824</v>
      </c>
      <c r="E2436" s="7">
        <f>SUMPRODUCT($C$5:$X$5,'batch tool'!$B2430:$W2430)+$Y$5</f>
        <v>-51.578889182477603</v>
      </c>
      <c r="F2436" s="7">
        <f>SUMPRODUCT($C$6:$X$6,'batch tool'!$B2430:$W2430)+$Y$6</f>
        <v>-47.741473633885199</v>
      </c>
      <c r="G2436" s="7">
        <f>SUMPRODUCT($C$7:$X$7,'batch tool'!$B2430:$W2430)+$Y$7</f>
        <v>-19.739516238059196</v>
      </c>
      <c r="H2436" s="7">
        <f t="shared" si="76"/>
        <v>-19.739516238059196</v>
      </c>
      <c r="I2436">
        <f t="shared" si="77"/>
        <v>6</v>
      </c>
      <c r="J2436" t="str" cm="1">
        <f t="array" ref="J2436">INDEX($A$2:$A$7,I2436)</f>
        <v>Segment 6- Self-Conscious Male</v>
      </c>
    </row>
    <row r="2437" spans="1:10" x14ac:dyDescent="0.25">
      <c r="A2437" s="1">
        <f>'batch tool'!A2431</f>
        <v>0</v>
      </c>
      <c r="B2437" s="7">
        <f>SUMPRODUCT($C$2:$X$2,'batch tool'!$B2431:$W2431)+$Y$2</f>
        <v>-49.12272534143483</v>
      </c>
      <c r="C2437" s="7">
        <f>SUMPRODUCT($C$3:$X$3,'batch tool'!$B2431:$W2431)+$Y$3</f>
        <v>-36.514029388465531</v>
      </c>
      <c r="D2437" s="7">
        <f>SUMPRODUCT($C$4:$X$4,'batch tool'!$B2431:$W2431)+$Y$4</f>
        <v>-44.639843068043824</v>
      </c>
      <c r="E2437" s="7">
        <f>SUMPRODUCT($C$5:$X$5,'batch tool'!$B2431:$W2431)+$Y$5</f>
        <v>-51.578889182477603</v>
      </c>
      <c r="F2437" s="7">
        <f>SUMPRODUCT($C$6:$X$6,'batch tool'!$B2431:$W2431)+$Y$6</f>
        <v>-47.741473633885199</v>
      </c>
      <c r="G2437" s="7">
        <f>SUMPRODUCT($C$7:$X$7,'batch tool'!$B2431:$W2431)+$Y$7</f>
        <v>-19.739516238059196</v>
      </c>
      <c r="H2437" s="7">
        <f t="shared" si="76"/>
        <v>-19.739516238059196</v>
      </c>
      <c r="I2437">
        <f t="shared" si="77"/>
        <v>6</v>
      </c>
      <c r="J2437" t="str" cm="1">
        <f t="array" ref="J2437">INDEX($A$2:$A$7,I2437)</f>
        <v>Segment 6- Self-Conscious Male</v>
      </c>
    </row>
    <row r="2438" spans="1:10" x14ac:dyDescent="0.25">
      <c r="A2438" s="1">
        <f>'batch tool'!A2432</f>
        <v>0</v>
      </c>
      <c r="B2438" s="7">
        <f>SUMPRODUCT($C$2:$X$2,'batch tool'!$B2432:$W2432)+$Y$2</f>
        <v>-49.12272534143483</v>
      </c>
      <c r="C2438" s="7">
        <f>SUMPRODUCT($C$3:$X$3,'batch tool'!$B2432:$W2432)+$Y$3</f>
        <v>-36.514029388465531</v>
      </c>
      <c r="D2438" s="7">
        <f>SUMPRODUCT($C$4:$X$4,'batch tool'!$B2432:$W2432)+$Y$4</f>
        <v>-44.639843068043824</v>
      </c>
      <c r="E2438" s="7">
        <f>SUMPRODUCT($C$5:$X$5,'batch tool'!$B2432:$W2432)+$Y$5</f>
        <v>-51.578889182477603</v>
      </c>
      <c r="F2438" s="7">
        <f>SUMPRODUCT($C$6:$X$6,'batch tool'!$B2432:$W2432)+$Y$6</f>
        <v>-47.741473633885199</v>
      </c>
      <c r="G2438" s="7">
        <f>SUMPRODUCT($C$7:$X$7,'batch tool'!$B2432:$W2432)+$Y$7</f>
        <v>-19.739516238059196</v>
      </c>
      <c r="H2438" s="7">
        <f t="shared" si="76"/>
        <v>-19.739516238059196</v>
      </c>
      <c r="I2438">
        <f t="shared" si="77"/>
        <v>6</v>
      </c>
      <c r="J2438" t="str" cm="1">
        <f t="array" ref="J2438">INDEX($A$2:$A$7,I2438)</f>
        <v>Segment 6- Self-Conscious Male</v>
      </c>
    </row>
    <row r="2439" spans="1:10" x14ac:dyDescent="0.25">
      <c r="A2439" s="1">
        <f>'batch tool'!A2433</f>
        <v>0</v>
      </c>
      <c r="B2439" s="7">
        <f>SUMPRODUCT($C$2:$X$2,'batch tool'!$B2433:$W2433)+$Y$2</f>
        <v>-49.12272534143483</v>
      </c>
      <c r="C2439" s="7">
        <f>SUMPRODUCT($C$3:$X$3,'batch tool'!$B2433:$W2433)+$Y$3</f>
        <v>-36.514029388465531</v>
      </c>
      <c r="D2439" s="7">
        <f>SUMPRODUCT($C$4:$X$4,'batch tool'!$B2433:$W2433)+$Y$4</f>
        <v>-44.639843068043824</v>
      </c>
      <c r="E2439" s="7">
        <f>SUMPRODUCT($C$5:$X$5,'batch tool'!$B2433:$W2433)+$Y$5</f>
        <v>-51.578889182477603</v>
      </c>
      <c r="F2439" s="7">
        <f>SUMPRODUCT($C$6:$X$6,'batch tool'!$B2433:$W2433)+$Y$6</f>
        <v>-47.741473633885199</v>
      </c>
      <c r="G2439" s="7">
        <f>SUMPRODUCT($C$7:$X$7,'batch tool'!$B2433:$W2433)+$Y$7</f>
        <v>-19.739516238059196</v>
      </c>
      <c r="H2439" s="7">
        <f t="shared" si="76"/>
        <v>-19.739516238059196</v>
      </c>
      <c r="I2439">
        <f t="shared" si="77"/>
        <v>6</v>
      </c>
      <c r="J2439" t="str" cm="1">
        <f t="array" ref="J2439">INDEX($A$2:$A$7,I2439)</f>
        <v>Segment 6- Self-Conscious Male</v>
      </c>
    </row>
    <row r="2440" spans="1:10" x14ac:dyDescent="0.25">
      <c r="A2440" s="1">
        <f>'batch tool'!A2434</f>
        <v>0</v>
      </c>
      <c r="B2440" s="7">
        <f>SUMPRODUCT($C$2:$X$2,'batch tool'!$B2434:$W2434)+$Y$2</f>
        <v>-49.12272534143483</v>
      </c>
      <c r="C2440" s="7">
        <f>SUMPRODUCT($C$3:$X$3,'batch tool'!$B2434:$W2434)+$Y$3</f>
        <v>-36.514029388465531</v>
      </c>
      <c r="D2440" s="7">
        <f>SUMPRODUCT($C$4:$X$4,'batch tool'!$B2434:$W2434)+$Y$4</f>
        <v>-44.639843068043824</v>
      </c>
      <c r="E2440" s="7">
        <f>SUMPRODUCT($C$5:$X$5,'batch tool'!$B2434:$W2434)+$Y$5</f>
        <v>-51.578889182477603</v>
      </c>
      <c r="F2440" s="7">
        <f>SUMPRODUCT($C$6:$X$6,'batch tool'!$B2434:$W2434)+$Y$6</f>
        <v>-47.741473633885199</v>
      </c>
      <c r="G2440" s="7">
        <f>SUMPRODUCT($C$7:$X$7,'batch tool'!$B2434:$W2434)+$Y$7</f>
        <v>-19.739516238059196</v>
      </c>
      <c r="H2440" s="7">
        <f t="shared" si="76"/>
        <v>-19.739516238059196</v>
      </c>
      <c r="I2440">
        <f t="shared" si="77"/>
        <v>6</v>
      </c>
      <c r="J2440" t="str" cm="1">
        <f t="array" ref="J2440">INDEX($A$2:$A$7,I2440)</f>
        <v>Segment 6- Self-Conscious Male</v>
      </c>
    </row>
    <row r="2441" spans="1:10" x14ac:dyDescent="0.25">
      <c r="A2441" s="1">
        <f>'batch tool'!A2435</f>
        <v>0</v>
      </c>
      <c r="B2441" s="7">
        <f>SUMPRODUCT($C$2:$X$2,'batch tool'!$B2435:$W2435)+$Y$2</f>
        <v>-49.12272534143483</v>
      </c>
      <c r="C2441" s="7">
        <f>SUMPRODUCT($C$3:$X$3,'batch tool'!$B2435:$W2435)+$Y$3</f>
        <v>-36.514029388465531</v>
      </c>
      <c r="D2441" s="7">
        <f>SUMPRODUCT($C$4:$X$4,'batch tool'!$B2435:$W2435)+$Y$4</f>
        <v>-44.639843068043824</v>
      </c>
      <c r="E2441" s="7">
        <f>SUMPRODUCT($C$5:$X$5,'batch tool'!$B2435:$W2435)+$Y$5</f>
        <v>-51.578889182477603</v>
      </c>
      <c r="F2441" s="7">
        <f>SUMPRODUCT($C$6:$X$6,'batch tool'!$B2435:$W2435)+$Y$6</f>
        <v>-47.741473633885199</v>
      </c>
      <c r="G2441" s="7">
        <f>SUMPRODUCT($C$7:$X$7,'batch tool'!$B2435:$W2435)+$Y$7</f>
        <v>-19.739516238059196</v>
      </c>
      <c r="H2441" s="7">
        <f t="shared" si="76"/>
        <v>-19.739516238059196</v>
      </c>
      <c r="I2441">
        <f t="shared" si="77"/>
        <v>6</v>
      </c>
      <c r="J2441" t="str" cm="1">
        <f t="array" ref="J2441">INDEX($A$2:$A$7,I2441)</f>
        <v>Segment 6- Self-Conscious Male</v>
      </c>
    </row>
    <row r="2442" spans="1:10" x14ac:dyDescent="0.25">
      <c r="A2442" s="1">
        <f>'batch tool'!A2436</f>
        <v>0</v>
      </c>
      <c r="B2442" s="7">
        <f>SUMPRODUCT($C$2:$X$2,'batch tool'!$B2436:$W2436)+$Y$2</f>
        <v>-49.12272534143483</v>
      </c>
      <c r="C2442" s="7">
        <f>SUMPRODUCT($C$3:$X$3,'batch tool'!$B2436:$W2436)+$Y$3</f>
        <v>-36.514029388465531</v>
      </c>
      <c r="D2442" s="7">
        <f>SUMPRODUCT($C$4:$X$4,'batch tool'!$B2436:$W2436)+$Y$4</f>
        <v>-44.639843068043824</v>
      </c>
      <c r="E2442" s="7">
        <f>SUMPRODUCT($C$5:$X$5,'batch tool'!$B2436:$W2436)+$Y$5</f>
        <v>-51.578889182477603</v>
      </c>
      <c r="F2442" s="7">
        <f>SUMPRODUCT($C$6:$X$6,'batch tool'!$B2436:$W2436)+$Y$6</f>
        <v>-47.741473633885199</v>
      </c>
      <c r="G2442" s="7">
        <f>SUMPRODUCT($C$7:$X$7,'batch tool'!$B2436:$W2436)+$Y$7</f>
        <v>-19.739516238059196</v>
      </c>
      <c r="H2442" s="7">
        <f t="shared" si="76"/>
        <v>-19.739516238059196</v>
      </c>
      <c r="I2442">
        <f t="shared" si="77"/>
        <v>6</v>
      </c>
      <c r="J2442" t="str" cm="1">
        <f t="array" ref="J2442">INDEX($A$2:$A$7,I2442)</f>
        <v>Segment 6- Self-Conscious Male</v>
      </c>
    </row>
    <row r="2443" spans="1:10" x14ac:dyDescent="0.25">
      <c r="A2443" s="1">
        <f>'batch tool'!A2437</f>
        <v>0</v>
      </c>
      <c r="B2443" s="7">
        <f>SUMPRODUCT($C$2:$X$2,'batch tool'!$B2437:$W2437)+$Y$2</f>
        <v>-49.12272534143483</v>
      </c>
      <c r="C2443" s="7">
        <f>SUMPRODUCT($C$3:$X$3,'batch tool'!$B2437:$W2437)+$Y$3</f>
        <v>-36.514029388465531</v>
      </c>
      <c r="D2443" s="7">
        <f>SUMPRODUCT($C$4:$X$4,'batch tool'!$B2437:$W2437)+$Y$4</f>
        <v>-44.639843068043824</v>
      </c>
      <c r="E2443" s="7">
        <f>SUMPRODUCT($C$5:$X$5,'batch tool'!$B2437:$W2437)+$Y$5</f>
        <v>-51.578889182477603</v>
      </c>
      <c r="F2443" s="7">
        <f>SUMPRODUCT($C$6:$X$6,'batch tool'!$B2437:$W2437)+$Y$6</f>
        <v>-47.741473633885199</v>
      </c>
      <c r="G2443" s="7">
        <f>SUMPRODUCT($C$7:$X$7,'batch tool'!$B2437:$W2437)+$Y$7</f>
        <v>-19.739516238059196</v>
      </c>
      <c r="H2443" s="7">
        <f t="shared" si="76"/>
        <v>-19.739516238059196</v>
      </c>
      <c r="I2443">
        <f t="shared" si="77"/>
        <v>6</v>
      </c>
      <c r="J2443" t="str" cm="1">
        <f t="array" ref="J2443">INDEX($A$2:$A$7,I2443)</f>
        <v>Segment 6- Self-Conscious Male</v>
      </c>
    </row>
    <row r="2444" spans="1:10" x14ac:dyDescent="0.25">
      <c r="A2444" s="1">
        <f>'batch tool'!A2438</f>
        <v>0</v>
      </c>
      <c r="B2444" s="7">
        <f>SUMPRODUCT($C$2:$X$2,'batch tool'!$B2438:$W2438)+$Y$2</f>
        <v>-49.12272534143483</v>
      </c>
      <c r="C2444" s="7">
        <f>SUMPRODUCT($C$3:$X$3,'batch tool'!$B2438:$W2438)+$Y$3</f>
        <v>-36.514029388465531</v>
      </c>
      <c r="D2444" s="7">
        <f>SUMPRODUCT($C$4:$X$4,'batch tool'!$B2438:$W2438)+$Y$4</f>
        <v>-44.639843068043824</v>
      </c>
      <c r="E2444" s="7">
        <f>SUMPRODUCT($C$5:$X$5,'batch tool'!$B2438:$W2438)+$Y$5</f>
        <v>-51.578889182477603</v>
      </c>
      <c r="F2444" s="7">
        <f>SUMPRODUCT($C$6:$X$6,'batch tool'!$B2438:$W2438)+$Y$6</f>
        <v>-47.741473633885199</v>
      </c>
      <c r="G2444" s="7">
        <f>SUMPRODUCT($C$7:$X$7,'batch tool'!$B2438:$W2438)+$Y$7</f>
        <v>-19.739516238059196</v>
      </c>
      <c r="H2444" s="7">
        <f t="shared" si="76"/>
        <v>-19.739516238059196</v>
      </c>
      <c r="I2444">
        <f t="shared" si="77"/>
        <v>6</v>
      </c>
      <c r="J2444" t="str" cm="1">
        <f t="array" ref="J2444">INDEX($A$2:$A$7,I2444)</f>
        <v>Segment 6- Self-Conscious Male</v>
      </c>
    </row>
    <row r="2445" spans="1:10" x14ac:dyDescent="0.25">
      <c r="A2445" s="1">
        <f>'batch tool'!A2439</f>
        <v>0</v>
      </c>
      <c r="B2445" s="7">
        <f>SUMPRODUCT($C$2:$X$2,'batch tool'!$B2439:$W2439)+$Y$2</f>
        <v>-49.12272534143483</v>
      </c>
      <c r="C2445" s="7">
        <f>SUMPRODUCT($C$3:$X$3,'batch tool'!$B2439:$W2439)+$Y$3</f>
        <v>-36.514029388465531</v>
      </c>
      <c r="D2445" s="7">
        <f>SUMPRODUCT($C$4:$X$4,'batch tool'!$B2439:$W2439)+$Y$4</f>
        <v>-44.639843068043824</v>
      </c>
      <c r="E2445" s="7">
        <f>SUMPRODUCT($C$5:$X$5,'batch tool'!$B2439:$W2439)+$Y$5</f>
        <v>-51.578889182477603</v>
      </c>
      <c r="F2445" s="7">
        <f>SUMPRODUCT($C$6:$X$6,'batch tool'!$B2439:$W2439)+$Y$6</f>
        <v>-47.741473633885199</v>
      </c>
      <c r="G2445" s="7">
        <f>SUMPRODUCT($C$7:$X$7,'batch tool'!$B2439:$W2439)+$Y$7</f>
        <v>-19.739516238059196</v>
      </c>
      <c r="H2445" s="7">
        <f t="shared" si="76"/>
        <v>-19.739516238059196</v>
      </c>
      <c r="I2445">
        <f t="shared" si="77"/>
        <v>6</v>
      </c>
      <c r="J2445" t="str" cm="1">
        <f t="array" ref="J2445">INDEX($A$2:$A$7,I2445)</f>
        <v>Segment 6- Self-Conscious Male</v>
      </c>
    </row>
    <row r="2446" spans="1:10" x14ac:dyDescent="0.25">
      <c r="A2446" s="1">
        <f>'batch tool'!A2440</f>
        <v>0</v>
      </c>
      <c r="B2446" s="7">
        <f>SUMPRODUCT($C$2:$X$2,'batch tool'!$B2440:$W2440)+$Y$2</f>
        <v>-49.12272534143483</v>
      </c>
      <c r="C2446" s="7">
        <f>SUMPRODUCT($C$3:$X$3,'batch tool'!$B2440:$W2440)+$Y$3</f>
        <v>-36.514029388465531</v>
      </c>
      <c r="D2446" s="7">
        <f>SUMPRODUCT($C$4:$X$4,'batch tool'!$B2440:$W2440)+$Y$4</f>
        <v>-44.639843068043824</v>
      </c>
      <c r="E2446" s="7">
        <f>SUMPRODUCT($C$5:$X$5,'batch tool'!$B2440:$W2440)+$Y$5</f>
        <v>-51.578889182477603</v>
      </c>
      <c r="F2446" s="7">
        <f>SUMPRODUCT($C$6:$X$6,'batch tool'!$B2440:$W2440)+$Y$6</f>
        <v>-47.741473633885199</v>
      </c>
      <c r="G2446" s="7">
        <f>SUMPRODUCT($C$7:$X$7,'batch tool'!$B2440:$W2440)+$Y$7</f>
        <v>-19.739516238059196</v>
      </c>
      <c r="H2446" s="7">
        <f t="shared" si="76"/>
        <v>-19.739516238059196</v>
      </c>
      <c r="I2446">
        <f t="shared" si="77"/>
        <v>6</v>
      </c>
      <c r="J2446" t="str" cm="1">
        <f t="array" ref="J2446">INDEX($A$2:$A$7,I2446)</f>
        <v>Segment 6- Self-Conscious Male</v>
      </c>
    </row>
    <row r="2447" spans="1:10" x14ac:dyDescent="0.25">
      <c r="A2447" s="1">
        <f>'batch tool'!A2441</f>
        <v>0</v>
      </c>
      <c r="B2447" s="7">
        <f>SUMPRODUCT($C$2:$X$2,'batch tool'!$B2441:$W2441)+$Y$2</f>
        <v>-49.12272534143483</v>
      </c>
      <c r="C2447" s="7">
        <f>SUMPRODUCT($C$3:$X$3,'batch tool'!$B2441:$W2441)+$Y$3</f>
        <v>-36.514029388465531</v>
      </c>
      <c r="D2447" s="7">
        <f>SUMPRODUCT($C$4:$X$4,'batch tool'!$B2441:$W2441)+$Y$4</f>
        <v>-44.639843068043824</v>
      </c>
      <c r="E2447" s="7">
        <f>SUMPRODUCT($C$5:$X$5,'batch tool'!$B2441:$W2441)+$Y$5</f>
        <v>-51.578889182477603</v>
      </c>
      <c r="F2447" s="7">
        <f>SUMPRODUCT($C$6:$X$6,'batch tool'!$B2441:$W2441)+$Y$6</f>
        <v>-47.741473633885199</v>
      </c>
      <c r="G2447" s="7">
        <f>SUMPRODUCT($C$7:$X$7,'batch tool'!$B2441:$W2441)+$Y$7</f>
        <v>-19.739516238059196</v>
      </c>
      <c r="H2447" s="7">
        <f t="shared" si="76"/>
        <v>-19.739516238059196</v>
      </c>
      <c r="I2447">
        <f t="shared" si="77"/>
        <v>6</v>
      </c>
      <c r="J2447" t="str" cm="1">
        <f t="array" ref="J2447">INDEX($A$2:$A$7,I2447)</f>
        <v>Segment 6- Self-Conscious Male</v>
      </c>
    </row>
    <row r="2448" spans="1:10" x14ac:dyDescent="0.25">
      <c r="A2448" s="1">
        <f>'batch tool'!A2442</f>
        <v>0</v>
      </c>
      <c r="B2448" s="7">
        <f>SUMPRODUCT($C$2:$X$2,'batch tool'!$B2442:$W2442)+$Y$2</f>
        <v>-49.12272534143483</v>
      </c>
      <c r="C2448" s="7">
        <f>SUMPRODUCT($C$3:$X$3,'batch tool'!$B2442:$W2442)+$Y$3</f>
        <v>-36.514029388465531</v>
      </c>
      <c r="D2448" s="7">
        <f>SUMPRODUCT($C$4:$X$4,'batch tool'!$B2442:$W2442)+$Y$4</f>
        <v>-44.639843068043824</v>
      </c>
      <c r="E2448" s="7">
        <f>SUMPRODUCT($C$5:$X$5,'batch tool'!$B2442:$W2442)+$Y$5</f>
        <v>-51.578889182477603</v>
      </c>
      <c r="F2448" s="7">
        <f>SUMPRODUCT($C$6:$X$6,'batch tool'!$B2442:$W2442)+$Y$6</f>
        <v>-47.741473633885199</v>
      </c>
      <c r="G2448" s="7">
        <f>SUMPRODUCT($C$7:$X$7,'batch tool'!$B2442:$W2442)+$Y$7</f>
        <v>-19.739516238059196</v>
      </c>
      <c r="H2448" s="7">
        <f t="shared" si="76"/>
        <v>-19.739516238059196</v>
      </c>
      <c r="I2448">
        <f t="shared" si="77"/>
        <v>6</v>
      </c>
      <c r="J2448" t="str" cm="1">
        <f t="array" ref="J2448">INDEX($A$2:$A$7,I2448)</f>
        <v>Segment 6- Self-Conscious Male</v>
      </c>
    </row>
    <row r="2449" spans="1:10" x14ac:dyDescent="0.25">
      <c r="A2449" s="1">
        <f>'batch tool'!A2443</f>
        <v>0</v>
      </c>
      <c r="B2449" s="7">
        <f>SUMPRODUCT($C$2:$X$2,'batch tool'!$B2443:$W2443)+$Y$2</f>
        <v>-49.12272534143483</v>
      </c>
      <c r="C2449" s="7">
        <f>SUMPRODUCT($C$3:$X$3,'batch tool'!$B2443:$W2443)+$Y$3</f>
        <v>-36.514029388465531</v>
      </c>
      <c r="D2449" s="7">
        <f>SUMPRODUCT($C$4:$X$4,'batch tool'!$B2443:$W2443)+$Y$4</f>
        <v>-44.639843068043824</v>
      </c>
      <c r="E2449" s="7">
        <f>SUMPRODUCT($C$5:$X$5,'batch tool'!$B2443:$W2443)+$Y$5</f>
        <v>-51.578889182477603</v>
      </c>
      <c r="F2449" s="7">
        <f>SUMPRODUCT($C$6:$X$6,'batch tool'!$B2443:$W2443)+$Y$6</f>
        <v>-47.741473633885199</v>
      </c>
      <c r="G2449" s="7">
        <f>SUMPRODUCT($C$7:$X$7,'batch tool'!$B2443:$W2443)+$Y$7</f>
        <v>-19.739516238059196</v>
      </c>
      <c r="H2449" s="7">
        <f t="shared" si="76"/>
        <v>-19.739516238059196</v>
      </c>
      <c r="I2449">
        <f t="shared" si="77"/>
        <v>6</v>
      </c>
      <c r="J2449" t="str" cm="1">
        <f t="array" ref="J2449">INDEX($A$2:$A$7,I2449)</f>
        <v>Segment 6- Self-Conscious Male</v>
      </c>
    </row>
    <row r="2450" spans="1:10" x14ac:dyDescent="0.25">
      <c r="A2450" s="1">
        <f>'batch tool'!A2444</f>
        <v>0</v>
      </c>
      <c r="B2450" s="7">
        <f>SUMPRODUCT($C$2:$X$2,'batch tool'!$B2444:$W2444)+$Y$2</f>
        <v>-49.12272534143483</v>
      </c>
      <c r="C2450" s="7">
        <f>SUMPRODUCT($C$3:$X$3,'batch tool'!$B2444:$W2444)+$Y$3</f>
        <v>-36.514029388465531</v>
      </c>
      <c r="D2450" s="7">
        <f>SUMPRODUCT($C$4:$X$4,'batch tool'!$B2444:$W2444)+$Y$4</f>
        <v>-44.639843068043824</v>
      </c>
      <c r="E2450" s="7">
        <f>SUMPRODUCT($C$5:$X$5,'batch tool'!$B2444:$W2444)+$Y$5</f>
        <v>-51.578889182477603</v>
      </c>
      <c r="F2450" s="7">
        <f>SUMPRODUCT($C$6:$X$6,'batch tool'!$B2444:$W2444)+$Y$6</f>
        <v>-47.741473633885199</v>
      </c>
      <c r="G2450" s="7">
        <f>SUMPRODUCT($C$7:$X$7,'batch tool'!$B2444:$W2444)+$Y$7</f>
        <v>-19.739516238059196</v>
      </c>
      <c r="H2450" s="7">
        <f t="shared" si="76"/>
        <v>-19.739516238059196</v>
      </c>
      <c r="I2450">
        <f t="shared" si="77"/>
        <v>6</v>
      </c>
      <c r="J2450" t="str" cm="1">
        <f t="array" ref="J2450">INDEX($A$2:$A$7,I2450)</f>
        <v>Segment 6- Self-Conscious Male</v>
      </c>
    </row>
    <row r="2451" spans="1:10" x14ac:dyDescent="0.25">
      <c r="A2451" s="1">
        <f>'batch tool'!A2445</f>
        <v>0</v>
      </c>
      <c r="B2451" s="7">
        <f>SUMPRODUCT($C$2:$X$2,'batch tool'!$B2445:$W2445)+$Y$2</f>
        <v>-49.12272534143483</v>
      </c>
      <c r="C2451" s="7">
        <f>SUMPRODUCT($C$3:$X$3,'batch tool'!$B2445:$W2445)+$Y$3</f>
        <v>-36.514029388465531</v>
      </c>
      <c r="D2451" s="7">
        <f>SUMPRODUCT($C$4:$X$4,'batch tool'!$B2445:$W2445)+$Y$4</f>
        <v>-44.639843068043824</v>
      </c>
      <c r="E2451" s="7">
        <f>SUMPRODUCT($C$5:$X$5,'batch tool'!$B2445:$W2445)+$Y$5</f>
        <v>-51.578889182477603</v>
      </c>
      <c r="F2451" s="7">
        <f>SUMPRODUCT($C$6:$X$6,'batch tool'!$B2445:$W2445)+$Y$6</f>
        <v>-47.741473633885199</v>
      </c>
      <c r="G2451" s="7">
        <f>SUMPRODUCT($C$7:$X$7,'batch tool'!$B2445:$W2445)+$Y$7</f>
        <v>-19.739516238059196</v>
      </c>
      <c r="H2451" s="7">
        <f t="shared" si="76"/>
        <v>-19.739516238059196</v>
      </c>
      <c r="I2451">
        <f t="shared" si="77"/>
        <v>6</v>
      </c>
      <c r="J2451" t="str" cm="1">
        <f t="array" ref="J2451">INDEX($A$2:$A$7,I2451)</f>
        <v>Segment 6- Self-Conscious Male</v>
      </c>
    </row>
    <row r="2452" spans="1:10" x14ac:dyDescent="0.25">
      <c r="A2452" s="1">
        <f>'batch tool'!A2446</f>
        <v>0</v>
      </c>
      <c r="B2452" s="7">
        <f>SUMPRODUCT($C$2:$X$2,'batch tool'!$B2446:$W2446)+$Y$2</f>
        <v>-49.12272534143483</v>
      </c>
      <c r="C2452" s="7">
        <f>SUMPRODUCT($C$3:$X$3,'batch tool'!$B2446:$W2446)+$Y$3</f>
        <v>-36.514029388465531</v>
      </c>
      <c r="D2452" s="7">
        <f>SUMPRODUCT($C$4:$X$4,'batch tool'!$B2446:$W2446)+$Y$4</f>
        <v>-44.639843068043824</v>
      </c>
      <c r="E2452" s="7">
        <f>SUMPRODUCT($C$5:$X$5,'batch tool'!$B2446:$W2446)+$Y$5</f>
        <v>-51.578889182477603</v>
      </c>
      <c r="F2452" s="7">
        <f>SUMPRODUCT($C$6:$X$6,'batch tool'!$B2446:$W2446)+$Y$6</f>
        <v>-47.741473633885199</v>
      </c>
      <c r="G2452" s="7">
        <f>SUMPRODUCT($C$7:$X$7,'batch tool'!$B2446:$W2446)+$Y$7</f>
        <v>-19.739516238059196</v>
      </c>
      <c r="H2452" s="7">
        <f t="shared" si="76"/>
        <v>-19.739516238059196</v>
      </c>
      <c r="I2452">
        <f t="shared" si="77"/>
        <v>6</v>
      </c>
      <c r="J2452" t="str" cm="1">
        <f t="array" ref="J2452">INDEX($A$2:$A$7,I2452)</f>
        <v>Segment 6- Self-Conscious Male</v>
      </c>
    </row>
    <row r="2453" spans="1:10" x14ac:dyDescent="0.25">
      <c r="A2453" s="1">
        <f>'batch tool'!A2447</f>
        <v>0</v>
      </c>
      <c r="B2453" s="7">
        <f>SUMPRODUCT($C$2:$X$2,'batch tool'!$B2447:$W2447)+$Y$2</f>
        <v>-49.12272534143483</v>
      </c>
      <c r="C2453" s="7">
        <f>SUMPRODUCT($C$3:$X$3,'batch tool'!$B2447:$W2447)+$Y$3</f>
        <v>-36.514029388465531</v>
      </c>
      <c r="D2453" s="7">
        <f>SUMPRODUCT($C$4:$X$4,'batch tool'!$B2447:$W2447)+$Y$4</f>
        <v>-44.639843068043824</v>
      </c>
      <c r="E2453" s="7">
        <f>SUMPRODUCT($C$5:$X$5,'batch tool'!$B2447:$W2447)+$Y$5</f>
        <v>-51.578889182477603</v>
      </c>
      <c r="F2453" s="7">
        <f>SUMPRODUCT($C$6:$X$6,'batch tool'!$B2447:$W2447)+$Y$6</f>
        <v>-47.741473633885199</v>
      </c>
      <c r="G2453" s="7">
        <f>SUMPRODUCT($C$7:$X$7,'batch tool'!$B2447:$W2447)+$Y$7</f>
        <v>-19.739516238059196</v>
      </c>
      <c r="H2453" s="7">
        <f t="shared" si="76"/>
        <v>-19.739516238059196</v>
      </c>
      <c r="I2453">
        <f t="shared" si="77"/>
        <v>6</v>
      </c>
      <c r="J2453" t="str" cm="1">
        <f t="array" ref="J2453">INDEX($A$2:$A$7,I2453)</f>
        <v>Segment 6- Self-Conscious Male</v>
      </c>
    </row>
    <row r="2454" spans="1:10" x14ac:dyDescent="0.25">
      <c r="A2454" s="1">
        <f>'batch tool'!A2448</f>
        <v>0</v>
      </c>
      <c r="B2454" s="7">
        <f>SUMPRODUCT($C$2:$X$2,'batch tool'!$B2448:$W2448)+$Y$2</f>
        <v>-49.12272534143483</v>
      </c>
      <c r="C2454" s="7">
        <f>SUMPRODUCT($C$3:$X$3,'batch tool'!$B2448:$W2448)+$Y$3</f>
        <v>-36.514029388465531</v>
      </c>
      <c r="D2454" s="7">
        <f>SUMPRODUCT($C$4:$X$4,'batch tool'!$B2448:$W2448)+$Y$4</f>
        <v>-44.639843068043824</v>
      </c>
      <c r="E2454" s="7">
        <f>SUMPRODUCT($C$5:$X$5,'batch tool'!$B2448:$W2448)+$Y$5</f>
        <v>-51.578889182477603</v>
      </c>
      <c r="F2454" s="7">
        <f>SUMPRODUCT($C$6:$X$6,'batch tool'!$B2448:$W2448)+$Y$6</f>
        <v>-47.741473633885199</v>
      </c>
      <c r="G2454" s="7">
        <f>SUMPRODUCT($C$7:$X$7,'batch tool'!$B2448:$W2448)+$Y$7</f>
        <v>-19.739516238059196</v>
      </c>
      <c r="H2454" s="7">
        <f t="shared" si="76"/>
        <v>-19.739516238059196</v>
      </c>
      <c r="I2454">
        <f t="shared" si="77"/>
        <v>6</v>
      </c>
      <c r="J2454" t="str" cm="1">
        <f t="array" ref="J2454">INDEX($A$2:$A$7,I2454)</f>
        <v>Segment 6- Self-Conscious Male</v>
      </c>
    </row>
    <row r="2455" spans="1:10" x14ac:dyDescent="0.25">
      <c r="A2455" s="1">
        <f>'batch tool'!A2449</f>
        <v>0</v>
      </c>
      <c r="B2455" s="7">
        <f>SUMPRODUCT($C$2:$X$2,'batch tool'!$B2449:$W2449)+$Y$2</f>
        <v>-49.12272534143483</v>
      </c>
      <c r="C2455" s="7">
        <f>SUMPRODUCT($C$3:$X$3,'batch tool'!$B2449:$W2449)+$Y$3</f>
        <v>-36.514029388465531</v>
      </c>
      <c r="D2455" s="7">
        <f>SUMPRODUCT($C$4:$X$4,'batch tool'!$B2449:$W2449)+$Y$4</f>
        <v>-44.639843068043824</v>
      </c>
      <c r="E2455" s="7">
        <f>SUMPRODUCT($C$5:$X$5,'batch tool'!$B2449:$W2449)+$Y$5</f>
        <v>-51.578889182477603</v>
      </c>
      <c r="F2455" s="7">
        <f>SUMPRODUCT($C$6:$X$6,'batch tool'!$B2449:$W2449)+$Y$6</f>
        <v>-47.741473633885199</v>
      </c>
      <c r="G2455" s="7">
        <f>SUMPRODUCT($C$7:$X$7,'batch tool'!$B2449:$W2449)+$Y$7</f>
        <v>-19.739516238059196</v>
      </c>
      <c r="H2455" s="7">
        <f t="shared" si="76"/>
        <v>-19.739516238059196</v>
      </c>
      <c r="I2455">
        <f t="shared" si="77"/>
        <v>6</v>
      </c>
      <c r="J2455" t="str" cm="1">
        <f t="array" ref="J2455">INDEX($A$2:$A$7,I2455)</f>
        <v>Segment 6- Self-Conscious Male</v>
      </c>
    </row>
    <row r="2456" spans="1:10" x14ac:dyDescent="0.25">
      <c r="A2456" s="1">
        <f>'batch tool'!A2450</f>
        <v>0</v>
      </c>
      <c r="B2456" s="7">
        <f>SUMPRODUCT($C$2:$X$2,'batch tool'!$B2450:$W2450)+$Y$2</f>
        <v>-49.12272534143483</v>
      </c>
      <c r="C2456" s="7">
        <f>SUMPRODUCT($C$3:$X$3,'batch tool'!$B2450:$W2450)+$Y$3</f>
        <v>-36.514029388465531</v>
      </c>
      <c r="D2456" s="7">
        <f>SUMPRODUCT($C$4:$X$4,'batch tool'!$B2450:$W2450)+$Y$4</f>
        <v>-44.639843068043824</v>
      </c>
      <c r="E2456" s="7">
        <f>SUMPRODUCT($C$5:$X$5,'batch tool'!$B2450:$W2450)+$Y$5</f>
        <v>-51.578889182477603</v>
      </c>
      <c r="F2456" s="7">
        <f>SUMPRODUCT($C$6:$X$6,'batch tool'!$B2450:$W2450)+$Y$6</f>
        <v>-47.741473633885199</v>
      </c>
      <c r="G2456" s="7">
        <f>SUMPRODUCT($C$7:$X$7,'batch tool'!$B2450:$W2450)+$Y$7</f>
        <v>-19.739516238059196</v>
      </c>
      <c r="H2456" s="7">
        <f t="shared" si="76"/>
        <v>-19.739516238059196</v>
      </c>
      <c r="I2456">
        <f t="shared" si="77"/>
        <v>6</v>
      </c>
      <c r="J2456" t="str" cm="1">
        <f t="array" ref="J2456">INDEX($A$2:$A$7,I2456)</f>
        <v>Segment 6- Self-Conscious Male</v>
      </c>
    </row>
    <row r="2457" spans="1:10" x14ac:dyDescent="0.25">
      <c r="A2457" s="1">
        <f>'batch tool'!A2451</f>
        <v>0</v>
      </c>
      <c r="B2457" s="7">
        <f>SUMPRODUCT($C$2:$X$2,'batch tool'!$B2451:$W2451)+$Y$2</f>
        <v>-49.12272534143483</v>
      </c>
      <c r="C2457" s="7">
        <f>SUMPRODUCT($C$3:$X$3,'batch tool'!$B2451:$W2451)+$Y$3</f>
        <v>-36.514029388465531</v>
      </c>
      <c r="D2457" s="7">
        <f>SUMPRODUCT($C$4:$X$4,'batch tool'!$B2451:$W2451)+$Y$4</f>
        <v>-44.639843068043824</v>
      </c>
      <c r="E2457" s="7">
        <f>SUMPRODUCT($C$5:$X$5,'batch tool'!$B2451:$W2451)+$Y$5</f>
        <v>-51.578889182477603</v>
      </c>
      <c r="F2457" s="7">
        <f>SUMPRODUCT($C$6:$X$6,'batch tool'!$B2451:$W2451)+$Y$6</f>
        <v>-47.741473633885199</v>
      </c>
      <c r="G2457" s="7">
        <f>SUMPRODUCT($C$7:$X$7,'batch tool'!$B2451:$W2451)+$Y$7</f>
        <v>-19.739516238059196</v>
      </c>
      <c r="H2457" s="7">
        <f t="shared" si="76"/>
        <v>-19.739516238059196</v>
      </c>
      <c r="I2457">
        <f t="shared" si="77"/>
        <v>6</v>
      </c>
      <c r="J2457" t="str" cm="1">
        <f t="array" ref="J2457">INDEX($A$2:$A$7,I2457)</f>
        <v>Segment 6- Self-Conscious Male</v>
      </c>
    </row>
    <row r="2458" spans="1:10" x14ac:dyDescent="0.25">
      <c r="A2458" s="1">
        <f>'batch tool'!A2452</f>
        <v>0</v>
      </c>
      <c r="B2458" s="7">
        <f>SUMPRODUCT($C$2:$X$2,'batch tool'!$B2452:$W2452)+$Y$2</f>
        <v>-49.12272534143483</v>
      </c>
      <c r="C2458" s="7">
        <f>SUMPRODUCT($C$3:$X$3,'batch tool'!$B2452:$W2452)+$Y$3</f>
        <v>-36.514029388465531</v>
      </c>
      <c r="D2458" s="7">
        <f>SUMPRODUCT($C$4:$X$4,'batch tool'!$B2452:$W2452)+$Y$4</f>
        <v>-44.639843068043824</v>
      </c>
      <c r="E2458" s="7">
        <f>SUMPRODUCT($C$5:$X$5,'batch tool'!$B2452:$W2452)+$Y$5</f>
        <v>-51.578889182477603</v>
      </c>
      <c r="F2458" s="7">
        <f>SUMPRODUCT($C$6:$X$6,'batch tool'!$B2452:$W2452)+$Y$6</f>
        <v>-47.741473633885199</v>
      </c>
      <c r="G2458" s="7">
        <f>SUMPRODUCT($C$7:$X$7,'batch tool'!$B2452:$W2452)+$Y$7</f>
        <v>-19.739516238059196</v>
      </c>
      <c r="H2458" s="7">
        <f t="shared" si="76"/>
        <v>-19.739516238059196</v>
      </c>
      <c r="I2458">
        <f t="shared" si="77"/>
        <v>6</v>
      </c>
      <c r="J2458" t="str" cm="1">
        <f t="array" ref="J2458">INDEX($A$2:$A$7,I2458)</f>
        <v>Segment 6- Self-Conscious Male</v>
      </c>
    </row>
    <row r="2459" spans="1:10" x14ac:dyDescent="0.25">
      <c r="A2459" s="1">
        <f>'batch tool'!A2453</f>
        <v>0</v>
      </c>
      <c r="B2459" s="7">
        <f>SUMPRODUCT($C$2:$X$2,'batch tool'!$B2453:$W2453)+$Y$2</f>
        <v>-49.12272534143483</v>
      </c>
      <c r="C2459" s="7">
        <f>SUMPRODUCT($C$3:$X$3,'batch tool'!$B2453:$W2453)+$Y$3</f>
        <v>-36.514029388465531</v>
      </c>
      <c r="D2459" s="7">
        <f>SUMPRODUCT($C$4:$X$4,'batch tool'!$B2453:$W2453)+$Y$4</f>
        <v>-44.639843068043824</v>
      </c>
      <c r="E2459" s="7">
        <f>SUMPRODUCT($C$5:$X$5,'batch tool'!$B2453:$W2453)+$Y$5</f>
        <v>-51.578889182477603</v>
      </c>
      <c r="F2459" s="7">
        <f>SUMPRODUCT($C$6:$X$6,'batch tool'!$B2453:$W2453)+$Y$6</f>
        <v>-47.741473633885199</v>
      </c>
      <c r="G2459" s="7">
        <f>SUMPRODUCT($C$7:$X$7,'batch tool'!$B2453:$W2453)+$Y$7</f>
        <v>-19.739516238059196</v>
      </c>
      <c r="H2459" s="7">
        <f t="shared" ref="H2459:H2522" si="78">MAX(B2459:G2459)</f>
        <v>-19.739516238059196</v>
      </c>
      <c r="I2459">
        <f t="shared" ref="I2459:I2522" si="79">MATCH(H2459,B2459:G2459,0)</f>
        <v>6</v>
      </c>
      <c r="J2459" t="str" cm="1">
        <f t="array" ref="J2459">INDEX($A$2:$A$7,I2459)</f>
        <v>Segment 6- Self-Conscious Male</v>
      </c>
    </row>
    <row r="2460" spans="1:10" x14ac:dyDescent="0.25">
      <c r="A2460" s="1">
        <f>'batch tool'!A2454</f>
        <v>0</v>
      </c>
      <c r="B2460" s="7">
        <f>SUMPRODUCT($C$2:$X$2,'batch tool'!$B2454:$W2454)+$Y$2</f>
        <v>-49.12272534143483</v>
      </c>
      <c r="C2460" s="7">
        <f>SUMPRODUCT($C$3:$X$3,'batch tool'!$B2454:$W2454)+$Y$3</f>
        <v>-36.514029388465531</v>
      </c>
      <c r="D2460" s="7">
        <f>SUMPRODUCT($C$4:$X$4,'batch tool'!$B2454:$W2454)+$Y$4</f>
        <v>-44.639843068043824</v>
      </c>
      <c r="E2460" s="7">
        <f>SUMPRODUCT($C$5:$X$5,'batch tool'!$B2454:$W2454)+$Y$5</f>
        <v>-51.578889182477603</v>
      </c>
      <c r="F2460" s="7">
        <f>SUMPRODUCT($C$6:$X$6,'batch tool'!$B2454:$W2454)+$Y$6</f>
        <v>-47.741473633885199</v>
      </c>
      <c r="G2460" s="7">
        <f>SUMPRODUCT($C$7:$X$7,'batch tool'!$B2454:$W2454)+$Y$7</f>
        <v>-19.739516238059196</v>
      </c>
      <c r="H2460" s="7">
        <f t="shared" si="78"/>
        <v>-19.739516238059196</v>
      </c>
      <c r="I2460">
        <f t="shared" si="79"/>
        <v>6</v>
      </c>
      <c r="J2460" t="str" cm="1">
        <f t="array" ref="J2460">INDEX($A$2:$A$7,I2460)</f>
        <v>Segment 6- Self-Conscious Male</v>
      </c>
    </row>
    <row r="2461" spans="1:10" x14ac:dyDescent="0.25">
      <c r="A2461" s="1">
        <f>'batch tool'!A2455</f>
        <v>0</v>
      </c>
      <c r="B2461" s="7">
        <f>SUMPRODUCT($C$2:$X$2,'batch tool'!$B2455:$W2455)+$Y$2</f>
        <v>-49.12272534143483</v>
      </c>
      <c r="C2461" s="7">
        <f>SUMPRODUCT($C$3:$X$3,'batch tool'!$B2455:$W2455)+$Y$3</f>
        <v>-36.514029388465531</v>
      </c>
      <c r="D2461" s="7">
        <f>SUMPRODUCT($C$4:$X$4,'batch tool'!$B2455:$W2455)+$Y$4</f>
        <v>-44.639843068043824</v>
      </c>
      <c r="E2461" s="7">
        <f>SUMPRODUCT($C$5:$X$5,'batch tool'!$B2455:$W2455)+$Y$5</f>
        <v>-51.578889182477603</v>
      </c>
      <c r="F2461" s="7">
        <f>SUMPRODUCT($C$6:$X$6,'batch tool'!$B2455:$W2455)+$Y$6</f>
        <v>-47.741473633885199</v>
      </c>
      <c r="G2461" s="7">
        <f>SUMPRODUCT($C$7:$X$7,'batch tool'!$B2455:$W2455)+$Y$7</f>
        <v>-19.739516238059196</v>
      </c>
      <c r="H2461" s="7">
        <f t="shared" si="78"/>
        <v>-19.739516238059196</v>
      </c>
      <c r="I2461">
        <f t="shared" si="79"/>
        <v>6</v>
      </c>
      <c r="J2461" t="str" cm="1">
        <f t="array" ref="J2461">INDEX($A$2:$A$7,I2461)</f>
        <v>Segment 6- Self-Conscious Male</v>
      </c>
    </row>
    <row r="2462" spans="1:10" x14ac:dyDescent="0.25">
      <c r="A2462" s="1">
        <f>'batch tool'!A2456</f>
        <v>0</v>
      </c>
      <c r="B2462" s="7">
        <f>SUMPRODUCT($C$2:$X$2,'batch tool'!$B2456:$W2456)+$Y$2</f>
        <v>-49.12272534143483</v>
      </c>
      <c r="C2462" s="7">
        <f>SUMPRODUCT($C$3:$X$3,'batch tool'!$B2456:$W2456)+$Y$3</f>
        <v>-36.514029388465531</v>
      </c>
      <c r="D2462" s="7">
        <f>SUMPRODUCT($C$4:$X$4,'batch tool'!$B2456:$W2456)+$Y$4</f>
        <v>-44.639843068043824</v>
      </c>
      <c r="E2462" s="7">
        <f>SUMPRODUCT($C$5:$X$5,'batch tool'!$B2456:$W2456)+$Y$5</f>
        <v>-51.578889182477603</v>
      </c>
      <c r="F2462" s="7">
        <f>SUMPRODUCT($C$6:$X$6,'batch tool'!$B2456:$W2456)+$Y$6</f>
        <v>-47.741473633885199</v>
      </c>
      <c r="G2462" s="7">
        <f>SUMPRODUCT($C$7:$X$7,'batch tool'!$B2456:$W2456)+$Y$7</f>
        <v>-19.739516238059196</v>
      </c>
      <c r="H2462" s="7">
        <f t="shared" si="78"/>
        <v>-19.739516238059196</v>
      </c>
      <c r="I2462">
        <f t="shared" si="79"/>
        <v>6</v>
      </c>
      <c r="J2462" t="str" cm="1">
        <f t="array" ref="J2462">INDEX($A$2:$A$7,I2462)</f>
        <v>Segment 6- Self-Conscious Male</v>
      </c>
    </row>
    <row r="2463" spans="1:10" x14ac:dyDescent="0.25">
      <c r="A2463" s="1">
        <f>'batch tool'!A2457</f>
        <v>0</v>
      </c>
      <c r="B2463" s="7">
        <f>SUMPRODUCT($C$2:$X$2,'batch tool'!$B2457:$W2457)+$Y$2</f>
        <v>-49.12272534143483</v>
      </c>
      <c r="C2463" s="7">
        <f>SUMPRODUCT($C$3:$X$3,'batch tool'!$B2457:$W2457)+$Y$3</f>
        <v>-36.514029388465531</v>
      </c>
      <c r="D2463" s="7">
        <f>SUMPRODUCT($C$4:$X$4,'batch tool'!$B2457:$W2457)+$Y$4</f>
        <v>-44.639843068043824</v>
      </c>
      <c r="E2463" s="7">
        <f>SUMPRODUCT($C$5:$X$5,'batch tool'!$B2457:$W2457)+$Y$5</f>
        <v>-51.578889182477603</v>
      </c>
      <c r="F2463" s="7">
        <f>SUMPRODUCT($C$6:$X$6,'batch tool'!$B2457:$W2457)+$Y$6</f>
        <v>-47.741473633885199</v>
      </c>
      <c r="G2463" s="7">
        <f>SUMPRODUCT($C$7:$X$7,'batch tool'!$B2457:$W2457)+$Y$7</f>
        <v>-19.739516238059196</v>
      </c>
      <c r="H2463" s="7">
        <f t="shared" si="78"/>
        <v>-19.739516238059196</v>
      </c>
      <c r="I2463">
        <f t="shared" si="79"/>
        <v>6</v>
      </c>
      <c r="J2463" t="str" cm="1">
        <f t="array" ref="J2463">INDEX($A$2:$A$7,I2463)</f>
        <v>Segment 6- Self-Conscious Male</v>
      </c>
    </row>
    <row r="2464" spans="1:10" x14ac:dyDescent="0.25">
      <c r="A2464" s="1">
        <f>'batch tool'!A2458</f>
        <v>0</v>
      </c>
      <c r="B2464" s="7">
        <f>SUMPRODUCT($C$2:$X$2,'batch tool'!$B2458:$W2458)+$Y$2</f>
        <v>-49.12272534143483</v>
      </c>
      <c r="C2464" s="7">
        <f>SUMPRODUCT($C$3:$X$3,'batch tool'!$B2458:$W2458)+$Y$3</f>
        <v>-36.514029388465531</v>
      </c>
      <c r="D2464" s="7">
        <f>SUMPRODUCT($C$4:$X$4,'batch tool'!$B2458:$W2458)+$Y$4</f>
        <v>-44.639843068043824</v>
      </c>
      <c r="E2464" s="7">
        <f>SUMPRODUCT($C$5:$X$5,'batch tool'!$B2458:$W2458)+$Y$5</f>
        <v>-51.578889182477603</v>
      </c>
      <c r="F2464" s="7">
        <f>SUMPRODUCT($C$6:$X$6,'batch tool'!$B2458:$W2458)+$Y$6</f>
        <v>-47.741473633885199</v>
      </c>
      <c r="G2464" s="7">
        <f>SUMPRODUCT($C$7:$X$7,'batch tool'!$B2458:$W2458)+$Y$7</f>
        <v>-19.739516238059196</v>
      </c>
      <c r="H2464" s="7">
        <f t="shared" si="78"/>
        <v>-19.739516238059196</v>
      </c>
      <c r="I2464">
        <f t="shared" si="79"/>
        <v>6</v>
      </c>
      <c r="J2464" t="str" cm="1">
        <f t="array" ref="J2464">INDEX($A$2:$A$7,I2464)</f>
        <v>Segment 6- Self-Conscious Male</v>
      </c>
    </row>
    <row r="2465" spans="1:10" x14ac:dyDescent="0.25">
      <c r="A2465" s="1">
        <f>'batch tool'!A2459</f>
        <v>0</v>
      </c>
      <c r="B2465" s="7">
        <f>SUMPRODUCT($C$2:$X$2,'batch tool'!$B2459:$W2459)+$Y$2</f>
        <v>-49.12272534143483</v>
      </c>
      <c r="C2465" s="7">
        <f>SUMPRODUCT($C$3:$X$3,'batch tool'!$B2459:$W2459)+$Y$3</f>
        <v>-36.514029388465531</v>
      </c>
      <c r="D2465" s="7">
        <f>SUMPRODUCT($C$4:$X$4,'batch tool'!$B2459:$W2459)+$Y$4</f>
        <v>-44.639843068043824</v>
      </c>
      <c r="E2465" s="7">
        <f>SUMPRODUCT($C$5:$X$5,'batch tool'!$B2459:$W2459)+$Y$5</f>
        <v>-51.578889182477603</v>
      </c>
      <c r="F2465" s="7">
        <f>SUMPRODUCT($C$6:$X$6,'batch tool'!$B2459:$W2459)+$Y$6</f>
        <v>-47.741473633885199</v>
      </c>
      <c r="G2465" s="7">
        <f>SUMPRODUCT($C$7:$X$7,'batch tool'!$B2459:$W2459)+$Y$7</f>
        <v>-19.739516238059196</v>
      </c>
      <c r="H2465" s="7">
        <f t="shared" si="78"/>
        <v>-19.739516238059196</v>
      </c>
      <c r="I2465">
        <f t="shared" si="79"/>
        <v>6</v>
      </c>
      <c r="J2465" t="str" cm="1">
        <f t="array" ref="J2465">INDEX($A$2:$A$7,I2465)</f>
        <v>Segment 6- Self-Conscious Male</v>
      </c>
    </row>
    <row r="2466" spans="1:10" x14ac:dyDescent="0.25">
      <c r="A2466" s="1">
        <f>'batch tool'!A2460</f>
        <v>0</v>
      </c>
      <c r="B2466" s="7">
        <f>SUMPRODUCT($C$2:$X$2,'batch tool'!$B2460:$W2460)+$Y$2</f>
        <v>-49.12272534143483</v>
      </c>
      <c r="C2466" s="7">
        <f>SUMPRODUCT($C$3:$X$3,'batch tool'!$B2460:$W2460)+$Y$3</f>
        <v>-36.514029388465531</v>
      </c>
      <c r="D2466" s="7">
        <f>SUMPRODUCT($C$4:$X$4,'batch tool'!$B2460:$W2460)+$Y$4</f>
        <v>-44.639843068043824</v>
      </c>
      <c r="E2466" s="7">
        <f>SUMPRODUCT($C$5:$X$5,'batch tool'!$B2460:$W2460)+$Y$5</f>
        <v>-51.578889182477603</v>
      </c>
      <c r="F2466" s="7">
        <f>SUMPRODUCT($C$6:$X$6,'batch tool'!$B2460:$W2460)+$Y$6</f>
        <v>-47.741473633885199</v>
      </c>
      <c r="G2466" s="7">
        <f>SUMPRODUCT($C$7:$X$7,'batch tool'!$B2460:$W2460)+$Y$7</f>
        <v>-19.739516238059196</v>
      </c>
      <c r="H2466" s="7">
        <f t="shared" si="78"/>
        <v>-19.739516238059196</v>
      </c>
      <c r="I2466">
        <f t="shared" si="79"/>
        <v>6</v>
      </c>
      <c r="J2466" t="str" cm="1">
        <f t="array" ref="J2466">INDEX($A$2:$A$7,I2466)</f>
        <v>Segment 6- Self-Conscious Male</v>
      </c>
    </row>
    <row r="2467" spans="1:10" x14ac:dyDescent="0.25">
      <c r="A2467" s="1">
        <f>'batch tool'!A2461</f>
        <v>0</v>
      </c>
      <c r="B2467" s="7">
        <f>SUMPRODUCT($C$2:$X$2,'batch tool'!$B2461:$W2461)+$Y$2</f>
        <v>-49.12272534143483</v>
      </c>
      <c r="C2467" s="7">
        <f>SUMPRODUCT($C$3:$X$3,'batch tool'!$B2461:$W2461)+$Y$3</f>
        <v>-36.514029388465531</v>
      </c>
      <c r="D2467" s="7">
        <f>SUMPRODUCT($C$4:$X$4,'batch tool'!$B2461:$W2461)+$Y$4</f>
        <v>-44.639843068043824</v>
      </c>
      <c r="E2467" s="7">
        <f>SUMPRODUCT($C$5:$X$5,'batch tool'!$B2461:$W2461)+$Y$5</f>
        <v>-51.578889182477603</v>
      </c>
      <c r="F2467" s="7">
        <f>SUMPRODUCT($C$6:$X$6,'batch tool'!$B2461:$W2461)+$Y$6</f>
        <v>-47.741473633885199</v>
      </c>
      <c r="G2467" s="7">
        <f>SUMPRODUCT($C$7:$X$7,'batch tool'!$B2461:$W2461)+$Y$7</f>
        <v>-19.739516238059196</v>
      </c>
      <c r="H2467" s="7">
        <f t="shared" si="78"/>
        <v>-19.739516238059196</v>
      </c>
      <c r="I2467">
        <f t="shared" si="79"/>
        <v>6</v>
      </c>
      <c r="J2467" t="str" cm="1">
        <f t="array" ref="J2467">INDEX($A$2:$A$7,I2467)</f>
        <v>Segment 6- Self-Conscious Male</v>
      </c>
    </row>
    <row r="2468" spans="1:10" x14ac:dyDescent="0.25">
      <c r="A2468" s="1">
        <f>'batch tool'!A2462</f>
        <v>0</v>
      </c>
      <c r="B2468" s="7">
        <f>SUMPRODUCT($C$2:$X$2,'batch tool'!$B2462:$W2462)+$Y$2</f>
        <v>-49.12272534143483</v>
      </c>
      <c r="C2468" s="7">
        <f>SUMPRODUCT($C$3:$X$3,'batch tool'!$B2462:$W2462)+$Y$3</f>
        <v>-36.514029388465531</v>
      </c>
      <c r="D2468" s="7">
        <f>SUMPRODUCT($C$4:$X$4,'batch tool'!$B2462:$W2462)+$Y$4</f>
        <v>-44.639843068043824</v>
      </c>
      <c r="E2468" s="7">
        <f>SUMPRODUCT($C$5:$X$5,'batch tool'!$B2462:$W2462)+$Y$5</f>
        <v>-51.578889182477603</v>
      </c>
      <c r="F2468" s="7">
        <f>SUMPRODUCT($C$6:$X$6,'batch tool'!$B2462:$W2462)+$Y$6</f>
        <v>-47.741473633885199</v>
      </c>
      <c r="G2468" s="7">
        <f>SUMPRODUCT($C$7:$X$7,'batch tool'!$B2462:$W2462)+$Y$7</f>
        <v>-19.739516238059196</v>
      </c>
      <c r="H2468" s="7">
        <f t="shared" si="78"/>
        <v>-19.739516238059196</v>
      </c>
      <c r="I2468">
        <f t="shared" si="79"/>
        <v>6</v>
      </c>
      <c r="J2468" t="str" cm="1">
        <f t="array" ref="J2468">INDEX($A$2:$A$7,I2468)</f>
        <v>Segment 6- Self-Conscious Male</v>
      </c>
    </row>
    <row r="2469" spans="1:10" x14ac:dyDescent="0.25">
      <c r="A2469" s="1">
        <f>'batch tool'!A2463</f>
        <v>0</v>
      </c>
      <c r="B2469" s="7">
        <f>SUMPRODUCT($C$2:$X$2,'batch tool'!$B2463:$W2463)+$Y$2</f>
        <v>-49.12272534143483</v>
      </c>
      <c r="C2469" s="7">
        <f>SUMPRODUCT($C$3:$X$3,'batch tool'!$B2463:$W2463)+$Y$3</f>
        <v>-36.514029388465531</v>
      </c>
      <c r="D2469" s="7">
        <f>SUMPRODUCT($C$4:$X$4,'batch tool'!$B2463:$W2463)+$Y$4</f>
        <v>-44.639843068043824</v>
      </c>
      <c r="E2469" s="7">
        <f>SUMPRODUCT($C$5:$X$5,'batch tool'!$B2463:$W2463)+$Y$5</f>
        <v>-51.578889182477603</v>
      </c>
      <c r="F2469" s="7">
        <f>SUMPRODUCT($C$6:$X$6,'batch tool'!$B2463:$W2463)+$Y$6</f>
        <v>-47.741473633885199</v>
      </c>
      <c r="G2469" s="7">
        <f>SUMPRODUCT($C$7:$X$7,'batch tool'!$B2463:$W2463)+$Y$7</f>
        <v>-19.739516238059196</v>
      </c>
      <c r="H2469" s="7">
        <f t="shared" si="78"/>
        <v>-19.739516238059196</v>
      </c>
      <c r="I2469">
        <f t="shared" si="79"/>
        <v>6</v>
      </c>
      <c r="J2469" t="str" cm="1">
        <f t="array" ref="J2469">INDEX($A$2:$A$7,I2469)</f>
        <v>Segment 6- Self-Conscious Male</v>
      </c>
    </row>
    <row r="2470" spans="1:10" x14ac:dyDescent="0.25">
      <c r="A2470" s="1">
        <f>'batch tool'!A2464</f>
        <v>0</v>
      </c>
      <c r="B2470" s="7">
        <f>SUMPRODUCT($C$2:$X$2,'batch tool'!$B2464:$W2464)+$Y$2</f>
        <v>-49.12272534143483</v>
      </c>
      <c r="C2470" s="7">
        <f>SUMPRODUCT($C$3:$X$3,'batch tool'!$B2464:$W2464)+$Y$3</f>
        <v>-36.514029388465531</v>
      </c>
      <c r="D2470" s="7">
        <f>SUMPRODUCT($C$4:$X$4,'batch tool'!$B2464:$W2464)+$Y$4</f>
        <v>-44.639843068043824</v>
      </c>
      <c r="E2470" s="7">
        <f>SUMPRODUCT($C$5:$X$5,'batch tool'!$B2464:$W2464)+$Y$5</f>
        <v>-51.578889182477603</v>
      </c>
      <c r="F2470" s="7">
        <f>SUMPRODUCT($C$6:$X$6,'batch tool'!$B2464:$W2464)+$Y$6</f>
        <v>-47.741473633885199</v>
      </c>
      <c r="G2470" s="7">
        <f>SUMPRODUCT($C$7:$X$7,'batch tool'!$B2464:$W2464)+$Y$7</f>
        <v>-19.739516238059196</v>
      </c>
      <c r="H2470" s="7">
        <f t="shared" si="78"/>
        <v>-19.739516238059196</v>
      </c>
      <c r="I2470">
        <f t="shared" si="79"/>
        <v>6</v>
      </c>
      <c r="J2470" t="str" cm="1">
        <f t="array" ref="J2470">INDEX($A$2:$A$7,I2470)</f>
        <v>Segment 6- Self-Conscious Male</v>
      </c>
    </row>
    <row r="2471" spans="1:10" x14ac:dyDescent="0.25">
      <c r="A2471" s="1">
        <f>'batch tool'!A2465</f>
        <v>0</v>
      </c>
      <c r="B2471" s="7">
        <f>SUMPRODUCT($C$2:$X$2,'batch tool'!$B2465:$W2465)+$Y$2</f>
        <v>-49.12272534143483</v>
      </c>
      <c r="C2471" s="7">
        <f>SUMPRODUCT($C$3:$X$3,'batch tool'!$B2465:$W2465)+$Y$3</f>
        <v>-36.514029388465531</v>
      </c>
      <c r="D2471" s="7">
        <f>SUMPRODUCT($C$4:$X$4,'batch tool'!$B2465:$W2465)+$Y$4</f>
        <v>-44.639843068043824</v>
      </c>
      <c r="E2471" s="7">
        <f>SUMPRODUCT($C$5:$X$5,'batch tool'!$B2465:$W2465)+$Y$5</f>
        <v>-51.578889182477603</v>
      </c>
      <c r="F2471" s="7">
        <f>SUMPRODUCT($C$6:$X$6,'batch tool'!$B2465:$W2465)+$Y$6</f>
        <v>-47.741473633885199</v>
      </c>
      <c r="G2471" s="7">
        <f>SUMPRODUCT($C$7:$X$7,'batch tool'!$B2465:$W2465)+$Y$7</f>
        <v>-19.739516238059196</v>
      </c>
      <c r="H2471" s="7">
        <f t="shared" si="78"/>
        <v>-19.739516238059196</v>
      </c>
      <c r="I2471">
        <f t="shared" si="79"/>
        <v>6</v>
      </c>
      <c r="J2471" t="str" cm="1">
        <f t="array" ref="J2471">INDEX($A$2:$A$7,I2471)</f>
        <v>Segment 6- Self-Conscious Male</v>
      </c>
    </row>
    <row r="2472" spans="1:10" x14ac:dyDescent="0.25">
      <c r="A2472" s="1">
        <f>'batch tool'!A2466</f>
        <v>0</v>
      </c>
      <c r="B2472" s="7">
        <f>SUMPRODUCT($C$2:$X$2,'batch tool'!$B2466:$W2466)+$Y$2</f>
        <v>-49.12272534143483</v>
      </c>
      <c r="C2472" s="7">
        <f>SUMPRODUCT($C$3:$X$3,'batch tool'!$B2466:$W2466)+$Y$3</f>
        <v>-36.514029388465531</v>
      </c>
      <c r="D2472" s="7">
        <f>SUMPRODUCT($C$4:$X$4,'batch tool'!$B2466:$W2466)+$Y$4</f>
        <v>-44.639843068043824</v>
      </c>
      <c r="E2472" s="7">
        <f>SUMPRODUCT($C$5:$X$5,'batch tool'!$B2466:$W2466)+$Y$5</f>
        <v>-51.578889182477603</v>
      </c>
      <c r="F2472" s="7">
        <f>SUMPRODUCT($C$6:$X$6,'batch tool'!$B2466:$W2466)+$Y$6</f>
        <v>-47.741473633885199</v>
      </c>
      <c r="G2472" s="7">
        <f>SUMPRODUCT($C$7:$X$7,'batch tool'!$B2466:$W2466)+$Y$7</f>
        <v>-19.739516238059196</v>
      </c>
      <c r="H2472" s="7">
        <f t="shared" si="78"/>
        <v>-19.739516238059196</v>
      </c>
      <c r="I2472">
        <f t="shared" si="79"/>
        <v>6</v>
      </c>
      <c r="J2472" t="str" cm="1">
        <f t="array" ref="J2472">INDEX($A$2:$A$7,I2472)</f>
        <v>Segment 6- Self-Conscious Male</v>
      </c>
    </row>
    <row r="2473" spans="1:10" x14ac:dyDescent="0.25">
      <c r="A2473" s="1">
        <f>'batch tool'!A2467</f>
        <v>0</v>
      </c>
      <c r="B2473" s="7">
        <f>SUMPRODUCT($C$2:$X$2,'batch tool'!$B2467:$W2467)+$Y$2</f>
        <v>-49.12272534143483</v>
      </c>
      <c r="C2473" s="7">
        <f>SUMPRODUCT($C$3:$X$3,'batch tool'!$B2467:$W2467)+$Y$3</f>
        <v>-36.514029388465531</v>
      </c>
      <c r="D2473" s="7">
        <f>SUMPRODUCT($C$4:$X$4,'batch tool'!$B2467:$W2467)+$Y$4</f>
        <v>-44.639843068043824</v>
      </c>
      <c r="E2473" s="7">
        <f>SUMPRODUCT($C$5:$X$5,'batch tool'!$B2467:$W2467)+$Y$5</f>
        <v>-51.578889182477603</v>
      </c>
      <c r="F2473" s="7">
        <f>SUMPRODUCT($C$6:$X$6,'batch tool'!$B2467:$W2467)+$Y$6</f>
        <v>-47.741473633885199</v>
      </c>
      <c r="G2473" s="7">
        <f>SUMPRODUCT($C$7:$X$7,'batch tool'!$B2467:$W2467)+$Y$7</f>
        <v>-19.739516238059196</v>
      </c>
      <c r="H2473" s="7">
        <f t="shared" si="78"/>
        <v>-19.739516238059196</v>
      </c>
      <c r="I2473">
        <f t="shared" si="79"/>
        <v>6</v>
      </c>
      <c r="J2473" t="str" cm="1">
        <f t="array" ref="J2473">INDEX($A$2:$A$7,I2473)</f>
        <v>Segment 6- Self-Conscious Male</v>
      </c>
    </row>
    <row r="2474" spans="1:10" x14ac:dyDescent="0.25">
      <c r="A2474" s="1">
        <f>'batch tool'!A2468</f>
        <v>0</v>
      </c>
      <c r="B2474" s="7">
        <f>SUMPRODUCT($C$2:$X$2,'batch tool'!$B2468:$W2468)+$Y$2</f>
        <v>-49.12272534143483</v>
      </c>
      <c r="C2474" s="7">
        <f>SUMPRODUCT($C$3:$X$3,'batch tool'!$B2468:$W2468)+$Y$3</f>
        <v>-36.514029388465531</v>
      </c>
      <c r="D2474" s="7">
        <f>SUMPRODUCT($C$4:$X$4,'batch tool'!$B2468:$W2468)+$Y$4</f>
        <v>-44.639843068043824</v>
      </c>
      <c r="E2474" s="7">
        <f>SUMPRODUCT($C$5:$X$5,'batch tool'!$B2468:$W2468)+$Y$5</f>
        <v>-51.578889182477603</v>
      </c>
      <c r="F2474" s="7">
        <f>SUMPRODUCT($C$6:$X$6,'batch tool'!$B2468:$W2468)+$Y$6</f>
        <v>-47.741473633885199</v>
      </c>
      <c r="G2474" s="7">
        <f>SUMPRODUCT($C$7:$X$7,'batch tool'!$B2468:$W2468)+$Y$7</f>
        <v>-19.739516238059196</v>
      </c>
      <c r="H2474" s="7">
        <f t="shared" si="78"/>
        <v>-19.739516238059196</v>
      </c>
      <c r="I2474">
        <f t="shared" si="79"/>
        <v>6</v>
      </c>
      <c r="J2474" t="str" cm="1">
        <f t="array" ref="J2474">INDEX($A$2:$A$7,I2474)</f>
        <v>Segment 6- Self-Conscious Male</v>
      </c>
    </row>
    <row r="2475" spans="1:10" x14ac:dyDescent="0.25">
      <c r="A2475" s="1">
        <f>'batch tool'!A2469</f>
        <v>0</v>
      </c>
      <c r="B2475" s="7">
        <f>SUMPRODUCT($C$2:$X$2,'batch tool'!$B2469:$W2469)+$Y$2</f>
        <v>-49.12272534143483</v>
      </c>
      <c r="C2475" s="7">
        <f>SUMPRODUCT($C$3:$X$3,'batch tool'!$B2469:$W2469)+$Y$3</f>
        <v>-36.514029388465531</v>
      </c>
      <c r="D2475" s="7">
        <f>SUMPRODUCT($C$4:$X$4,'batch tool'!$B2469:$W2469)+$Y$4</f>
        <v>-44.639843068043824</v>
      </c>
      <c r="E2475" s="7">
        <f>SUMPRODUCT($C$5:$X$5,'batch tool'!$B2469:$W2469)+$Y$5</f>
        <v>-51.578889182477603</v>
      </c>
      <c r="F2475" s="7">
        <f>SUMPRODUCT($C$6:$X$6,'batch tool'!$B2469:$W2469)+$Y$6</f>
        <v>-47.741473633885199</v>
      </c>
      <c r="G2475" s="7">
        <f>SUMPRODUCT($C$7:$X$7,'batch tool'!$B2469:$W2469)+$Y$7</f>
        <v>-19.739516238059196</v>
      </c>
      <c r="H2475" s="7">
        <f t="shared" si="78"/>
        <v>-19.739516238059196</v>
      </c>
      <c r="I2475">
        <f t="shared" si="79"/>
        <v>6</v>
      </c>
      <c r="J2475" t="str" cm="1">
        <f t="array" ref="J2475">INDEX($A$2:$A$7,I2475)</f>
        <v>Segment 6- Self-Conscious Male</v>
      </c>
    </row>
    <row r="2476" spans="1:10" x14ac:dyDescent="0.25">
      <c r="A2476" s="1">
        <f>'batch tool'!A2470</f>
        <v>0</v>
      </c>
      <c r="B2476" s="7">
        <f>SUMPRODUCT($C$2:$X$2,'batch tool'!$B2470:$W2470)+$Y$2</f>
        <v>-49.12272534143483</v>
      </c>
      <c r="C2476" s="7">
        <f>SUMPRODUCT($C$3:$X$3,'batch tool'!$B2470:$W2470)+$Y$3</f>
        <v>-36.514029388465531</v>
      </c>
      <c r="D2476" s="7">
        <f>SUMPRODUCT($C$4:$X$4,'batch tool'!$B2470:$W2470)+$Y$4</f>
        <v>-44.639843068043824</v>
      </c>
      <c r="E2476" s="7">
        <f>SUMPRODUCT($C$5:$X$5,'batch tool'!$B2470:$W2470)+$Y$5</f>
        <v>-51.578889182477603</v>
      </c>
      <c r="F2476" s="7">
        <f>SUMPRODUCT($C$6:$X$6,'batch tool'!$B2470:$W2470)+$Y$6</f>
        <v>-47.741473633885199</v>
      </c>
      <c r="G2476" s="7">
        <f>SUMPRODUCT($C$7:$X$7,'batch tool'!$B2470:$W2470)+$Y$7</f>
        <v>-19.739516238059196</v>
      </c>
      <c r="H2476" s="7">
        <f t="shared" si="78"/>
        <v>-19.739516238059196</v>
      </c>
      <c r="I2476">
        <f t="shared" si="79"/>
        <v>6</v>
      </c>
      <c r="J2476" t="str" cm="1">
        <f t="array" ref="J2476">INDEX($A$2:$A$7,I2476)</f>
        <v>Segment 6- Self-Conscious Male</v>
      </c>
    </row>
    <row r="2477" spans="1:10" x14ac:dyDescent="0.25">
      <c r="A2477" s="1">
        <f>'batch tool'!A2471</f>
        <v>0</v>
      </c>
      <c r="B2477" s="7">
        <f>SUMPRODUCT($C$2:$X$2,'batch tool'!$B2471:$W2471)+$Y$2</f>
        <v>-49.12272534143483</v>
      </c>
      <c r="C2477" s="7">
        <f>SUMPRODUCT($C$3:$X$3,'batch tool'!$B2471:$W2471)+$Y$3</f>
        <v>-36.514029388465531</v>
      </c>
      <c r="D2477" s="7">
        <f>SUMPRODUCT($C$4:$X$4,'batch tool'!$B2471:$W2471)+$Y$4</f>
        <v>-44.639843068043824</v>
      </c>
      <c r="E2477" s="7">
        <f>SUMPRODUCT($C$5:$X$5,'batch tool'!$B2471:$W2471)+$Y$5</f>
        <v>-51.578889182477603</v>
      </c>
      <c r="F2477" s="7">
        <f>SUMPRODUCT($C$6:$X$6,'batch tool'!$B2471:$W2471)+$Y$6</f>
        <v>-47.741473633885199</v>
      </c>
      <c r="G2477" s="7">
        <f>SUMPRODUCT($C$7:$X$7,'batch tool'!$B2471:$W2471)+$Y$7</f>
        <v>-19.739516238059196</v>
      </c>
      <c r="H2477" s="7">
        <f t="shared" si="78"/>
        <v>-19.739516238059196</v>
      </c>
      <c r="I2477">
        <f t="shared" si="79"/>
        <v>6</v>
      </c>
      <c r="J2477" t="str" cm="1">
        <f t="array" ref="J2477">INDEX($A$2:$A$7,I2477)</f>
        <v>Segment 6- Self-Conscious Male</v>
      </c>
    </row>
    <row r="2478" spans="1:10" x14ac:dyDescent="0.25">
      <c r="A2478" s="1">
        <f>'batch tool'!A2472</f>
        <v>0</v>
      </c>
      <c r="B2478" s="7">
        <f>SUMPRODUCT($C$2:$X$2,'batch tool'!$B2472:$W2472)+$Y$2</f>
        <v>-49.12272534143483</v>
      </c>
      <c r="C2478" s="7">
        <f>SUMPRODUCT($C$3:$X$3,'batch tool'!$B2472:$W2472)+$Y$3</f>
        <v>-36.514029388465531</v>
      </c>
      <c r="D2478" s="7">
        <f>SUMPRODUCT($C$4:$X$4,'batch tool'!$B2472:$W2472)+$Y$4</f>
        <v>-44.639843068043824</v>
      </c>
      <c r="E2478" s="7">
        <f>SUMPRODUCT($C$5:$X$5,'batch tool'!$B2472:$W2472)+$Y$5</f>
        <v>-51.578889182477603</v>
      </c>
      <c r="F2478" s="7">
        <f>SUMPRODUCT($C$6:$X$6,'batch tool'!$B2472:$W2472)+$Y$6</f>
        <v>-47.741473633885199</v>
      </c>
      <c r="G2478" s="7">
        <f>SUMPRODUCT($C$7:$X$7,'batch tool'!$B2472:$W2472)+$Y$7</f>
        <v>-19.739516238059196</v>
      </c>
      <c r="H2478" s="7">
        <f t="shared" si="78"/>
        <v>-19.739516238059196</v>
      </c>
      <c r="I2478">
        <f t="shared" si="79"/>
        <v>6</v>
      </c>
      <c r="J2478" t="str" cm="1">
        <f t="array" ref="J2478">INDEX($A$2:$A$7,I2478)</f>
        <v>Segment 6- Self-Conscious Male</v>
      </c>
    </row>
    <row r="2479" spans="1:10" x14ac:dyDescent="0.25">
      <c r="A2479" s="1">
        <f>'batch tool'!A2473</f>
        <v>0</v>
      </c>
      <c r="B2479" s="7">
        <f>SUMPRODUCT($C$2:$X$2,'batch tool'!$B2473:$W2473)+$Y$2</f>
        <v>-49.12272534143483</v>
      </c>
      <c r="C2479" s="7">
        <f>SUMPRODUCT($C$3:$X$3,'batch tool'!$B2473:$W2473)+$Y$3</f>
        <v>-36.514029388465531</v>
      </c>
      <c r="D2479" s="7">
        <f>SUMPRODUCT($C$4:$X$4,'batch tool'!$B2473:$W2473)+$Y$4</f>
        <v>-44.639843068043824</v>
      </c>
      <c r="E2479" s="7">
        <f>SUMPRODUCT($C$5:$X$5,'batch tool'!$B2473:$W2473)+$Y$5</f>
        <v>-51.578889182477603</v>
      </c>
      <c r="F2479" s="7">
        <f>SUMPRODUCT($C$6:$X$6,'batch tool'!$B2473:$W2473)+$Y$6</f>
        <v>-47.741473633885199</v>
      </c>
      <c r="G2479" s="7">
        <f>SUMPRODUCT($C$7:$X$7,'batch tool'!$B2473:$W2473)+$Y$7</f>
        <v>-19.739516238059196</v>
      </c>
      <c r="H2479" s="7">
        <f t="shared" si="78"/>
        <v>-19.739516238059196</v>
      </c>
      <c r="I2479">
        <f t="shared" si="79"/>
        <v>6</v>
      </c>
      <c r="J2479" t="str" cm="1">
        <f t="array" ref="J2479">INDEX($A$2:$A$7,I2479)</f>
        <v>Segment 6- Self-Conscious Male</v>
      </c>
    </row>
    <row r="2480" spans="1:10" x14ac:dyDescent="0.25">
      <c r="A2480" s="1">
        <f>'batch tool'!A2474</f>
        <v>0</v>
      </c>
      <c r="B2480" s="7">
        <f>SUMPRODUCT($C$2:$X$2,'batch tool'!$B2474:$W2474)+$Y$2</f>
        <v>-49.12272534143483</v>
      </c>
      <c r="C2480" s="7">
        <f>SUMPRODUCT($C$3:$X$3,'batch tool'!$B2474:$W2474)+$Y$3</f>
        <v>-36.514029388465531</v>
      </c>
      <c r="D2480" s="7">
        <f>SUMPRODUCT($C$4:$X$4,'batch tool'!$B2474:$W2474)+$Y$4</f>
        <v>-44.639843068043824</v>
      </c>
      <c r="E2480" s="7">
        <f>SUMPRODUCT($C$5:$X$5,'batch tool'!$B2474:$W2474)+$Y$5</f>
        <v>-51.578889182477603</v>
      </c>
      <c r="F2480" s="7">
        <f>SUMPRODUCT($C$6:$X$6,'batch tool'!$B2474:$W2474)+$Y$6</f>
        <v>-47.741473633885199</v>
      </c>
      <c r="G2480" s="7">
        <f>SUMPRODUCT($C$7:$X$7,'batch tool'!$B2474:$W2474)+$Y$7</f>
        <v>-19.739516238059196</v>
      </c>
      <c r="H2480" s="7">
        <f t="shared" si="78"/>
        <v>-19.739516238059196</v>
      </c>
      <c r="I2480">
        <f t="shared" si="79"/>
        <v>6</v>
      </c>
      <c r="J2480" t="str" cm="1">
        <f t="array" ref="J2480">INDEX($A$2:$A$7,I2480)</f>
        <v>Segment 6- Self-Conscious Male</v>
      </c>
    </row>
    <row r="2481" spans="1:10" x14ac:dyDescent="0.25">
      <c r="A2481" s="1">
        <f>'batch tool'!A2475</f>
        <v>0</v>
      </c>
      <c r="B2481" s="7">
        <f>SUMPRODUCT($C$2:$X$2,'batch tool'!$B2475:$W2475)+$Y$2</f>
        <v>-49.12272534143483</v>
      </c>
      <c r="C2481" s="7">
        <f>SUMPRODUCT($C$3:$X$3,'batch tool'!$B2475:$W2475)+$Y$3</f>
        <v>-36.514029388465531</v>
      </c>
      <c r="D2481" s="7">
        <f>SUMPRODUCT($C$4:$X$4,'batch tool'!$B2475:$W2475)+$Y$4</f>
        <v>-44.639843068043824</v>
      </c>
      <c r="E2481" s="7">
        <f>SUMPRODUCT($C$5:$X$5,'batch tool'!$B2475:$W2475)+$Y$5</f>
        <v>-51.578889182477603</v>
      </c>
      <c r="F2481" s="7">
        <f>SUMPRODUCT($C$6:$X$6,'batch tool'!$B2475:$W2475)+$Y$6</f>
        <v>-47.741473633885199</v>
      </c>
      <c r="G2481" s="7">
        <f>SUMPRODUCT($C$7:$X$7,'batch tool'!$B2475:$W2475)+$Y$7</f>
        <v>-19.739516238059196</v>
      </c>
      <c r="H2481" s="7">
        <f t="shared" si="78"/>
        <v>-19.739516238059196</v>
      </c>
      <c r="I2481">
        <f t="shared" si="79"/>
        <v>6</v>
      </c>
      <c r="J2481" t="str" cm="1">
        <f t="array" ref="J2481">INDEX($A$2:$A$7,I2481)</f>
        <v>Segment 6- Self-Conscious Male</v>
      </c>
    </row>
    <row r="2482" spans="1:10" x14ac:dyDescent="0.25">
      <c r="A2482" s="1">
        <f>'batch tool'!A2476</f>
        <v>0</v>
      </c>
      <c r="B2482" s="7">
        <f>SUMPRODUCT($C$2:$X$2,'batch tool'!$B2476:$W2476)+$Y$2</f>
        <v>-49.12272534143483</v>
      </c>
      <c r="C2482" s="7">
        <f>SUMPRODUCT($C$3:$X$3,'batch tool'!$B2476:$W2476)+$Y$3</f>
        <v>-36.514029388465531</v>
      </c>
      <c r="D2482" s="7">
        <f>SUMPRODUCT($C$4:$X$4,'batch tool'!$B2476:$W2476)+$Y$4</f>
        <v>-44.639843068043824</v>
      </c>
      <c r="E2482" s="7">
        <f>SUMPRODUCT($C$5:$X$5,'batch tool'!$B2476:$W2476)+$Y$5</f>
        <v>-51.578889182477603</v>
      </c>
      <c r="F2482" s="7">
        <f>SUMPRODUCT($C$6:$X$6,'batch tool'!$B2476:$W2476)+$Y$6</f>
        <v>-47.741473633885199</v>
      </c>
      <c r="G2482" s="7">
        <f>SUMPRODUCT($C$7:$X$7,'batch tool'!$B2476:$W2476)+$Y$7</f>
        <v>-19.739516238059196</v>
      </c>
      <c r="H2482" s="7">
        <f t="shared" si="78"/>
        <v>-19.739516238059196</v>
      </c>
      <c r="I2482">
        <f t="shared" si="79"/>
        <v>6</v>
      </c>
      <c r="J2482" t="str" cm="1">
        <f t="array" ref="J2482">INDEX($A$2:$A$7,I2482)</f>
        <v>Segment 6- Self-Conscious Male</v>
      </c>
    </row>
    <row r="2483" spans="1:10" x14ac:dyDescent="0.25">
      <c r="A2483" s="1">
        <f>'batch tool'!A2477</f>
        <v>0</v>
      </c>
      <c r="B2483" s="7">
        <f>SUMPRODUCT($C$2:$X$2,'batch tool'!$B2477:$W2477)+$Y$2</f>
        <v>-49.12272534143483</v>
      </c>
      <c r="C2483" s="7">
        <f>SUMPRODUCT($C$3:$X$3,'batch tool'!$B2477:$W2477)+$Y$3</f>
        <v>-36.514029388465531</v>
      </c>
      <c r="D2483" s="7">
        <f>SUMPRODUCT($C$4:$X$4,'batch tool'!$B2477:$W2477)+$Y$4</f>
        <v>-44.639843068043824</v>
      </c>
      <c r="E2483" s="7">
        <f>SUMPRODUCT($C$5:$X$5,'batch tool'!$B2477:$W2477)+$Y$5</f>
        <v>-51.578889182477603</v>
      </c>
      <c r="F2483" s="7">
        <f>SUMPRODUCT($C$6:$X$6,'batch tool'!$B2477:$W2477)+$Y$6</f>
        <v>-47.741473633885199</v>
      </c>
      <c r="G2483" s="7">
        <f>SUMPRODUCT($C$7:$X$7,'batch tool'!$B2477:$W2477)+$Y$7</f>
        <v>-19.739516238059196</v>
      </c>
      <c r="H2483" s="7">
        <f t="shared" si="78"/>
        <v>-19.739516238059196</v>
      </c>
      <c r="I2483">
        <f t="shared" si="79"/>
        <v>6</v>
      </c>
      <c r="J2483" t="str" cm="1">
        <f t="array" ref="J2483">INDEX($A$2:$A$7,I2483)</f>
        <v>Segment 6- Self-Conscious Male</v>
      </c>
    </row>
    <row r="2484" spans="1:10" x14ac:dyDescent="0.25">
      <c r="A2484" s="1">
        <f>'batch tool'!A2478</f>
        <v>0</v>
      </c>
      <c r="B2484" s="7">
        <f>SUMPRODUCT($C$2:$X$2,'batch tool'!$B2478:$W2478)+$Y$2</f>
        <v>-49.12272534143483</v>
      </c>
      <c r="C2484" s="7">
        <f>SUMPRODUCT($C$3:$X$3,'batch tool'!$B2478:$W2478)+$Y$3</f>
        <v>-36.514029388465531</v>
      </c>
      <c r="D2484" s="7">
        <f>SUMPRODUCT($C$4:$X$4,'batch tool'!$B2478:$W2478)+$Y$4</f>
        <v>-44.639843068043824</v>
      </c>
      <c r="E2484" s="7">
        <f>SUMPRODUCT($C$5:$X$5,'batch tool'!$B2478:$W2478)+$Y$5</f>
        <v>-51.578889182477603</v>
      </c>
      <c r="F2484" s="7">
        <f>SUMPRODUCT($C$6:$X$6,'batch tool'!$B2478:$W2478)+$Y$6</f>
        <v>-47.741473633885199</v>
      </c>
      <c r="G2484" s="7">
        <f>SUMPRODUCT($C$7:$X$7,'batch tool'!$B2478:$W2478)+$Y$7</f>
        <v>-19.739516238059196</v>
      </c>
      <c r="H2484" s="7">
        <f t="shared" si="78"/>
        <v>-19.739516238059196</v>
      </c>
      <c r="I2484">
        <f t="shared" si="79"/>
        <v>6</v>
      </c>
      <c r="J2484" t="str" cm="1">
        <f t="array" ref="J2484">INDEX($A$2:$A$7,I2484)</f>
        <v>Segment 6- Self-Conscious Male</v>
      </c>
    </row>
    <row r="2485" spans="1:10" x14ac:dyDescent="0.25">
      <c r="A2485" s="1">
        <f>'batch tool'!A2479</f>
        <v>0</v>
      </c>
      <c r="B2485" s="7">
        <f>SUMPRODUCT($C$2:$X$2,'batch tool'!$B2479:$W2479)+$Y$2</f>
        <v>-49.12272534143483</v>
      </c>
      <c r="C2485" s="7">
        <f>SUMPRODUCT($C$3:$X$3,'batch tool'!$B2479:$W2479)+$Y$3</f>
        <v>-36.514029388465531</v>
      </c>
      <c r="D2485" s="7">
        <f>SUMPRODUCT($C$4:$X$4,'batch tool'!$B2479:$W2479)+$Y$4</f>
        <v>-44.639843068043824</v>
      </c>
      <c r="E2485" s="7">
        <f>SUMPRODUCT($C$5:$X$5,'batch tool'!$B2479:$W2479)+$Y$5</f>
        <v>-51.578889182477603</v>
      </c>
      <c r="F2485" s="7">
        <f>SUMPRODUCT($C$6:$X$6,'batch tool'!$B2479:$W2479)+$Y$6</f>
        <v>-47.741473633885199</v>
      </c>
      <c r="G2485" s="7">
        <f>SUMPRODUCT($C$7:$X$7,'batch tool'!$B2479:$W2479)+$Y$7</f>
        <v>-19.739516238059196</v>
      </c>
      <c r="H2485" s="7">
        <f t="shared" si="78"/>
        <v>-19.739516238059196</v>
      </c>
      <c r="I2485">
        <f t="shared" si="79"/>
        <v>6</v>
      </c>
      <c r="J2485" t="str" cm="1">
        <f t="array" ref="J2485">INDEX($A$2:$A$7,I2485)</f>
        <v>Segment 6- Self-Conscious Male</v>
      </c>
    </row>
    <row r="2486" spans="1:10" x14ac:dyDescent="0.25">
      <c r="A2486" s="1">
        <f>'batch tool'!A2480</f>
        <v>0</v>
      </c>
      <c r="B2486" s="7">
        <f>SUMPRODUCT($C$2:$X$2,'batch tool'!$B2480:$W2480)+$Y$2</f>
        <v>-49.12272534143483</v>
      </c>
      <c r="C2486" s="7">
        <f>SUMPRODUCT($C$3:$X$3,'batch tool'!$B2480:$W2480)+$Y$3</f>
        <v>-36.514029388465531</v>
      </c>
      <c r="D2486" s="7">
        <f>SUMPRODUCT($C$4:$X$4,'batch tool'!$B2480:$W2480)+$Y$4</f>
        <v>-44.639843068043824</v>
      </c>
      <c r="E2486" s="7">
        <f>SUMPRODUCT($C$5:$X$5,'batch tool'!$B2480:$W2480)+$Y$5</f>
        <v>-51.578889182477603</v>
      </c>
      <c r="F2486" s="7">
        <f>SUMPRODUCT($C$6:$X$6,'batch tool'!$B2480:$W2480)+$Y$6</f>
        <v>-47.741473633885199</v>
      </c>
      <c r="G2486" s="7">
        <f>SUMPRODUCT($C$7:$X$7,'batch tool'!$B2480:$W2480)+$Y$7</f>
        <v>-19.739516238059196</v>
      </c>
      <c r="H2486" s="7">
        <f t="shared" si="78"/>
        <v>-19.739516238059196</v>
      </c>
      <c r="I2486">
        <f t="shared" si="79"/>
        <v>6</v>
      </c>
      <c r="J2486" t="str" cm="1">
        <f t="array" ref="J2486">INDEX($A$2:$A$7,I2486)</f>
        <v>Segment 6- Self-Conscious Male</v>
      </c>
    </row>
    <row r="2487" spans="1:10" x14ac:dyDescent="0.25">
      <c r="A2487" s="1">
        <f>'batch tool'!A2481</f>
        <v>0</v>
      </c>
      <c r="B2487" s="7">
        <f>SUMPRODUCT($C$2:$X$2,'batch tool'!$B2481:$W2481)+$Y$2</f>
        <v>-49.12272534143483</v>
      </c>
      <c r="C2487" s="7">
        <f>SUMPRODUCT($C$3:$X$3,'batch tool'!$B2481:$W2481)+$Y$3</f>
        <v>-36.514029388465531</v>
      </c>
      <c r="D2487" s="7">
        <f>SUMPRODUCT($C$4:$X$4,'batch tool'!$B2481:$W2481)+$Y$4</f>
        <v>-44.639843068043824</v>
      </c>
      <c r="E2487" s="7">
        <f>SUMPRODUCT($C$5:$X$5,'batch tool'!$B2481:$W2481)+$Y$5</f>
        <v>-51.578889182477603</v>
      </c>
      <c r="F2487" s="7">
        <f>SUMPRODUCT($C$6:$X$6,'batch tool'!$B2481:$W2481)+$Y$6</f>
        <v>-47.741473633885199</v>
      </c>
      <c r="G2487" s="7">
        <f>SUMPRODUCT($C$7:$X$7,'batch tool'!$B2481:$W2481)+$Y$7</f>
        <v>-19.739516238059196</v>
      </c>
      <c r="H2487" s="7">
        <f t="shared" si="78"/>
        <v>-19.739516238059196</v>
      </c>
      <c r="I2487">
        <f t="shared" si="79"/>
        <v>6</v>
      </c>
      <c r="J2487" t="str" cm="1">
        <f t="array" ref="J2487">INDEX($A$2:$A$7,I2487)</f>
        <v>Segment 6- Self-Conscious Male</v>
      </c>
    </row>
    <row r="2488" spans="1:10" x14ac:dyDescent="0.25">
      <c r="A2488" s="1">
        <f>'batch tool'!A2482</f>
        <v>0</v>
      </c>
      <c r="B2488" s="7">
        <f>SUMPRODUCT($C$2:$X$2,'batch tool'!$B2482:$W2482)+$Y$2</f>
        <v>-49.12272534143483</v>
      </c>
      <c r="C2488" s="7">
        <f>SUMPRODUCT($C$3:$X$3,'batch tool'!$B2482:$W2482)+$Y$3</f>
        <v>-36.514029388465531</v>
      </c>
      <c r="D2488" s="7">
        <f>SUMPRODUCT($C$4:$X$4,'batch tool'!$B2482:$W2482)+$Y$4</f>
        <v>-44.639843068043824</v>
      </c>
      <c r="E2488" s="7">
        <f>SUMPRODUCT($C$5:$X$5,'batch tool'!$B2482:$W2482)+$Y$5</f>
        <v>-51.578889182477603</v>
      </c>
      <c r="F2488" s="7">
        <f>SUMPRODUCT($C$6:$X$6,'batch tool'!$B2482:$W2482)+$Y$6</f>
        <v>-47.741473633885199</v>
      </c>
      <c r="G2488" s="7">
        <f>SUMPRODUCT($C$7:$X$7,'batch tool'!$B2482:$W2482)+$Y$7</f>
        <v>-19.739516238059196</v>
      </c>
      <c r="H2488" s="7">
        <f t="shared" si="78"/>
        <v>-19.739516238059196</v>
      </c>
      <c r="I2488">
        <f t="shared" si="79"/>
        <v>6</v>
      </c>
      <c r="J2488" t="str" cm="1">
        <f t="array" ref="J2488">INDEX($A$2:$A$7,I2488)</f>
        <v>Segment 6- Self-Conscious Male</v>
      </c>
    </row>
    <row r="2489" spans="1:10" x14ac:dyDescent="0.25">
      <c r="A2489" s="1">
        <f>'batch tool'!A2483</f>
        <v>0</v>
      </c>
      <c r="B2489" s="7">
        <f>SUMPRODUCT($C$2:$X$2,'batch tool'!$B2483:$W2483)+$Y$2</f>
        <v>-49.12272534143483</v>
      </c>
      <c r="C2489" s="7">
        <f>SUMPRODUCT($C$3:$X$3,'batch tool'!$B2483:$W2483)+$Y$3</f>
        <v>-36.514029388465531</v>
      </c>
      <c r="D2489" s="7">
        <f>SUMPRODUCT($C$4:$X$4,'batch tool'!$B2483:$W2483)+$Y$4</f>
        <v>-44.639843068043824</v>
      </c>
      <c r="E2489" s="7">
        <f>SUMPRODUCT($C$5:$X$5,'batch tool'!$B2483:$W2483)+$Y$5</f>
        <v>-51.578889182477603</v>
      </c>
      <c r="F2489" s="7">
        <f>SUMPRODUCT($C$6:$X$6,'batch tool'!$B2483:$W2483)+$Y$6</f>
        <v>-47.741473633885199</v>
      </c>
      <c r="G2489" s="7">
        <f>SUMPRODUCT($C$7:$X$7,'batch tool'!$B2483:$W2483)+$Y$7</f>
        <v>-19.739516238059196</v>
      </c>
      <c r="H2489" s="7">
        <f t="shared" si="78"/>
        <v>-19.739516238059196</v>
      </c>
      <c r="I2489">
        <f t="shared" si="79"/>
        <v>6</v>
      </c>
      <c r="J2489" t="str" cm="1">
        <f t="array" ref="J2489">INDEX($A$2:$A$7,I2489)</f>
        <v>Segment 6- Self-Conscious Male</v>
      </c>
    </row>
    <row r="2490" spans="1:10" x14ac:dyDescent="0.25">
      <c r="A2490" s="1">
        <f>'batch tool'!A2484</f>
        <v>0</v>
      </c>
      <c r="B2490" s="7">
        <f>SUMPRODUCT($C$2:$X$2,'batch tool'!$B2484:$W2484)+$Y$2</f>
        <v>-49.12272534143483</v>
      </c>
      <c r="C2490" s="7">
        <f>SUMPRODUCT($C$3:$X$3,'batch tool'!$B2484:$W2484)+$Y$3</f>
        <v>-36.514029388465531</v>
      </c>
      <c r="D2490" s="7">
        <f>SUMPRODUCT($C$4:$X$4,'batch tool'!$B2484:$W2484)+$Y$4</f>
        <v>-44.639843068043824</v>
      </c>
      <c r="E2490" s="7">
        <f>SUMPRODUCT($C$5:$X$5,'batch tool'!$B2484:$W2484)+$Y$5</f>
        <v>-51.578889182477603</v>
      </c>
      <c r="F2490" s="7">
        <f>SUMPRODUCT($C$6:$X$6,'batch tool'!$B2484:$W2484)+$Y$6</f>
        <v>-47.741473633885199</v>
      </c>
      <c r="G2490" s="7">
        <f>SUMPRODUCT($C$7:$X$7,'batch tool'!$B2484:$W2484)+$Y$7</f>
        <v>-19.739516238059196</v>
      </c>
      <c r="H2490" s="7">
        <f t="shared" si="78"/>
        <v>-19.739516238059196</v>
      </c>
      <c r="I2490">
        <f t="shared" si="79"/>
        <v>6</v>
      </c>
      <c r="J2490" t="str" cm="1">
        <f t="array" ref="J2490">INDEX($A$2:$A$7,I2490)</f>
        <v>Segment 6- Self-Conscious Male</v>
      </c>
    </row>
    <row r="2491" spans="1:10" x14ac:dyDescent="0.25">
      <c r="A2491" s="1">
        <f>'batch tool'!A2485</f>
        <v>0</v>
      </c>
      <c r="B2491" s="7">
        <f>SUMPRODUCT($C$2:$X$2,'batch tool'!$B2485:$W2485)+$Y$2</f>
        <v>-49.12272534143483</v>
      </c>
      <c r="C2491" s="7">
        <f>SUMPRODUCT($C$3:$X$3,'batch tool'!$B2485:$W2485)+$Y$3</f>
        <v>-36.514029388465531</v>
      </c>
      <c r="D2491" s="7">
        <f>SUMPRODUCT($C$4:$X$4,'batch tool'!$B2485:$W2485)+$Y$4</f>
        <v>-44.639843068043824</v>
      </c>
      <c r="E2491" s="7">
        <f>SUMPRODUCT($C$5:$X$5,'batch tool'!$B2485:$W2485)+$Y$5</f>
        <v>-51.578889182477603</v>
      </c>
      <c r="F2491" s="7">
        <f>SUMPRODUCT($C$6:$X$6,'batch tool'!$B2485:$W2485)+$Y$6</f>
        <v>-47.741473633885199</v>
      </c>
      <c r="G2491" s="7">
        <f>SUMPRODUCT($C$7:$X$7,'batch tool'!$B2485:$W2485)+$Y$7</f>
        <v>-19.739516238059196</v>
      </c>
      <c r="H2491" s="7">
        <f t="shared" si="78"/>
        <v>-19.739516238059196</v>
      </c>
      <c r="I2491">
        <f t="shared" si="79"/>
        <v>6</v>
      </c>
      <c r="J2491" t="str" cm="1">
        <f t="array" ref="J2491">INDEX($A$2:$A$7,I2491)</f>
        <v>Segment 6- Self-Conscious Male</v>
      </c>
    </row>
    <row r="2492" spans="1:10" x14ac:dyDescent="0.25">
      <c r="A2492" s="1">
        <f>'batch tool'!A2486</f>
        <v>0</v>
      </c>
      <c r="B2492" s="7">
        <f>SUMPRODUCT($C$2:$X$2,'batch tool'!$B2486:$W2486)+$Y$2</f>
        <v>-49.12272534143483</v>
      </c>
      <c r="C2492" s="7">
        <f>SUMPRODUCT($C$3:$X$3,'batch tool'!$B2486:$W2486)+$Y$3</f>
        <v>-36.514029388465531</v>
      </c>
      <c r="D2492" s="7">
        <f>SUMPRODUCT($C$4:$X$4,'batch tool'!$B2486:$W2486)+$Y$4</f>
        <v>-44.639843068043824</v>
      </c>
      <c r="E2492" s="7">
        <f>SUMPRODUCT($C$5:$X$5,'batch tool'!$B2486:$W2486)+$Y$5</f>
        <v>-51.578889182477603</v>
      </c>
      <c r="F2492" s="7">
        <f>SUMPRODUCT($C$6:$X$6,'batch tool'!$B2486:$W2486)+$Y$6</f>
        <v>-47.741473633885199</v>
      </c>
      <c r="G2492" s="7">
        <f>SUMPRODUCT($C$7:$X$7,'batch tool'!$B2486:$W2486)+$Y$7</f>
        <v>-19.739516238059196</v>
      </c>
      <c r="H2492" s="7">
        <f t="shared" si="78"/>
        <v>-19.739516238059196</v>
      </c>
      <c r="I2492">
        <f t="shared" si="79"/>
        <v>6</v>
      </c>
      <c r="J2492" t="str" cm="1">
        <f t="array" ref="J2492">INDEX($A$2:$A$7,I2492)</f>
        <v>Segment 6- Self-Conscious Male</v>
      </c>
    </row>
    <row r="2493" spans="1:10" x14ac:dyDescent="0.25">
      <c r="A2493" s="1">
        <f>'batch tool'!A2487</f>
        <v>0</v>
      </c>
      <c r="B2493" s="7">
        <f>SUMPRODUCT($C$2:$X$2,'batch tool'!$B2487:$W2487)+$Y$2</f>
        <v>-49.12272534143483</v>
      </c>
      <c r="C2493" s="7">
        <f>SUMPRODUCT($C$3:$X$3,'batch tool'!$B2487:$W2487)+$Y$3</f>
        <v>-36.514029388465531</v>
      </c>
      <c r="D2493" s="7">
        <f>SUMPRODUCT($C$4:$X$4,'batch tool'!$B2487:$W2487)+$Y$4</f>
        <v>-44.639843068043824</v>
      </c>
      <c r="E2493" s="7">
        <f>SUMPRODUCT($C$5:$X$5,'batch tool'!$B2487:$W2487)+$Y$5</f>
        <v>-51.578889182477603</v>
      </c>
      <c r="F2493" s="7">
        <f>SUMPRODUCT($C$6:$X$6,'batch tool'!$B2487:$W2487)+$Y$6</f>
        <v>-47.741473633885199</v>
      </c>
      <c r="G2493" s="7">
        <f>SUMPRODUCT($C$7:$X$7,'batch tool'!$B2487:$W2487)+$Y$7</f>
        <v>-19.739516238059196</v>
      </c>
      <c r="H2493" s="7">
        <f t="shared" si="78"/>
        <v>-19.739516238059196</v>
      </c>
      <c r="I2493">
        <f t="shared" si="79"/>
        <v>6</v>
      </c>
      <c r="J2493" t="str" cm="1">
        <f t="array" ref="J2493">INDEX($A$2:$A$7,I2493)</f>
        <v>Segment 6- Self-Conscious Male</v>
      </c>
    </row>
    <row r="2494" spans="1:10" x14ac:dyDescent="0.25">
      <c r="A2494" s="1">
        <f>'batch tool'!A2488</f>
        <v>0</v>
      </c>
      <c r="B2494" s="7">
        <f>SUMPRODUCT($C$2:$X$2,'batch tool'!$B2488:$W2488)+$Y$2</f>
        <v>-49.12272534143483</v>
      </c>
      <c r="C2494" s="7">
        <f>SUMPRODUCT($C$3:$X$3,'batch tool'!$B2488:$W2488)+$Y$3</f>
        <v>-36.514029388465531</v>
      </c>
      <c r="D2494" s="7">
        <f>SUMPRODUCT($C$4:$X$4,'batch tool'!$B2488:$W2488)+$Y$4</f>
        <v>-44.639843068043824</v>
      </c>
      <c r="E2494" s="7">
        <f>SUMPRODUCT($C$5:$X$5,'batch tool'!$B2488:$W2488)+$Y$5</f>
        <v>-51.578889182477603</v>
      </c>
      <c r="F2494" s="7">
        <f>SUMPRODUCT($C$6:$X$6,'batch tool'!$B2488:$W2488)+$Y$6</f>
        <v>-47.741473633885199</v>
      </c>
      <c r="G2494" s="7">
        <f>SUMPRODUCT($C$7:$X$7,'batch tool'!$B2488:$W2488)+$Y$7</f>
        <v>-19.739516238059196</v>
      </c>
      <c r="H2494" s="7">
        <f t="shared" si="78"/>
        <v>-19.739516238059196</v>
      </c>
      <c r="I2494">
        <f t="shared" si="79"/>
        <v>6</v>
      </c>
      <c r="J2494" t="str" cm="1">
        <f t="array" ref="J2494">INDEX($A$2:$A$7,I2494)</f>
        <v>Segment 6- Self-Conscious Male</v>
      </c>
    </row>
    <row r="2495" spans="1:10" x14ac:dyDescent="0.25">
      <c r="A2495" s="1">
        <f>'batch tool'!A2489</f>
        <v>0</v>
      </c>
      <c r="B2495" s="7">
        <f>SUMPRODUCT($C$2:$X$2,'batch tool'!$B2489:$W2489)+$Y$2</f>
        <v>-49.12272534143483</v>
      </c>
      <c r="C2495" s="7">
        <f>SUMPRODUCT($C$3:$X$3,'batch tool'!$B2489:$W2489)+$Y$3</f>
        <v>-36.514029388465531</v>
      </c>
      <c r="D2495" s="7">
        <f>SUMPRODUCT($C$4:$X$4,'batch tool'!$B2489:$W2489)+$Y$4</f>
        <v>-44.639843068043824</v>
      </c>
      <c r="E2495" s="7">
        <f>SUMPRODUCT($C$5:$X$5,'batch tool'!$B2489:$W2489)+$Y$5</f>
        <v>-51.578889182477603</v>
      </c>
      <c r="F2495" s="7">
        <f>SUMPRODUCT($C$6:$X$6,'batch tool'!$B2489:$W2489)+$Y$6</f>
        <v>-47.741473633885199</v>
      </c>
      <c r="G2495" s="7">
        <f>SUMPRODUCT($C$7:$X$7,'batch tool'!$B2489:$W2489)+$Y$7</f>
        <v>-19.739516238059196</v>
      </c>
      <c r="H2495" s="7">
        <f t="shared" si="78"/>
        <v>-19.739516238059196</v>
      </c>
      <c r="I2495">
        <f t="shared" si="79"/>
        <v>6</v>
      </c>
      <c r="J2495" t="str" cm="1">
        <f t="array" ref="J2495">INDEX($A$2:$A$7,I2495)</f>
        <v>Segment 6- Self-Conscious Male</v>
      </c>
    </row>
    <row r="2496" spans="1:10" x14ac:dyDescent="0.25">
      <c r="A2496" s="1">
        <f>'batch tool'!A2490</f>
        <v>0</v>
      </c>
      <c r="B2496" s="7">
        <f>SUMPRODUCT($C$2:$X$2,'batch tool'!$B2490:$W2490)+$Y$2</f>
        <v>-49.12272534143483</v>
      </c>
      <c r="C2496" s="7">
        <f>SUMPRODUCT($C$3:$X$3,'batch tool'!$B2490:$W2490)+$Y$3</f>
        <v>-36.514029388465531</v>
      </c>
      <c r="D2496" s="7">
        <f>SUMPRODUCT($C$4:$X$4,'batch tool'!$B2490:$W2490)+$Y$4</f>
        <v>-44.639843068043824</v>
      </c>
      <c r="E2496" s="7">
        <f>SUMPRODUCT($C$5:$X$5,'batch tool'!$B2490:$W2490)+$Y$5</f>
        <v>-51.578889182477603</v>
      </c>
      <c r="F2496" s="7">
        <f>SUMPRODUCT($C$6:$X$6,'batch tool'!$B2490:$W2490)+$Y$6</f>
        <v>-47.741473633885199</v>
      </c>
      <c r="G2496" s="7">
        <f>SUMPRODUCT($C$7:$X$7,'batch tool'!$B2490:$W2490)+$Y$7</f>
        <v>-19.739516238059196</v>
      </c>
      <c r="H2496" s="7">
        <f t="shared" si="78"/>
        <v>-19.739516238059196</v>
      </c>
      <c r="I2496">
        <f t="shared" si="79"/>
        <v>6</v>
      </c>
      <c r="J2496" t="str" cm="1">
        <f t="array" ref="J2496">INDEX($A$2:$A$7,I2496)</f>
        <v>Segment 6- Self-Conscious Male</v>
      </c>
    </row>
    <row r="2497" spans="1:10" x14ac:dyDescent="0.25">
      <c r="A2497" s="1">
        <f>'batch tool'!A2491</f>
        <v>0</v>
      </c>
      <c r="B2497" s="7">
        <f>SUMPRODUCT($C$2:$X$2,'batch tool'!$B2491:$W2491)+$Y$2</f>
        <v>-49.12272534143483</v>
      </c>
      <c r="C2497" s="7">
        <f>SUMPRODUCT($C$3:$X$3,'batch tool'!$B2491:$W2491)+$Y$3</f>
        <v>-36.514029388465531</v>
      </c>
      <c r="D2497" s="7">
        <f>SUMPRODUCT($C$4:$X$4,'batch tool'!$B2491:$W2491)+$Y$4</f>
        <v>-44.639843068043824</v>
      </c>
      <c r="E2497" s="7">
        <f>SUMPRODUCT($C$5:$X$5,'batch tool'!$B2491:$W2491)+$Y$5</f>
        <v>-51.578889182477603</v>
      </c>
      <c r="F2497" s="7">
        <f>SUMPRODUCT($C$6:$X$6,'batch tool'!$B2491:$W2491)+$Y$6</f>
        <v>-47.741473633885199</v>
      </c>
      <c r="G2497" s="7">
        <f>SUMPRODUCT($C$7:$X$7,'batch tool'!$B2491:$W2491)+$Y$7</f>
        <v>-19.739516238059196</v>
      </c>
      <c r="H2497" s="7">
        <f t="shared" si="78"/>
        <v>-19.739516238059196</v>
      </c>
      <c r="I2497">
        <f t="shared" si="79"/>
        <v>6</v>
      </c>
      <c r="J2497" t="str" cm="1">
        <f t="array" ref="J2497">INDEX($A$2:$A$7,I2497)</f>
        <v>Segment 6- Self-Conscious Male</v>
      </c>
    </row>
    <row r="2498" spans="1:10" x14ac:dyDescent="0.25">
      <c r="A2498" s="1">
        <f>'batch tool'!A2492</f>
        <v>0</v>
      </c>
      <c r="B2498" s="7">
        <f>SUMPRODUCT($C$2:$X$2,'batch tool'!$B2492:$W2492)+$Y$2</f>
        <v>-49.12272534143483</v>
      </c>
      <c r="C2498" s="7">
        <f>SUMPRODUCT($C$3:$X$3,'batch tool'!$B2492:$W2492)+$Y$3</f>
        <v>-36.514029388465531</v>
      </c>
      <c r="D2498" s="7">
        <f>SUMPRODUCT($C$4:$X$4,'batch tool'!$B2492:$W2492)+$Y$4</f>
        <v>-44.639843068043824</v>
      </c>
      <c r="E2498" s="7">
        <f>SUMPRODUCT($C$5:$X$5,'batch tool'!$B2492:$W2492)+$Y$5</f>
        <v>-51.578889182477603</v>
      </c>
      <c r="F2498" s="7">
        <f>SUMPRODUCT($C$6:$X$6,'batch tool'!$B2492:$W2492)+$Y$6</f>
        <v>-47.741473633885199</v>
      </c>
      <c r="G2498" s="7">
        <f>SUMPRODUCT($C$7:$X$7,'batch tool'!$B2492:$W2492)+$Y$7</f>
        <v>-19.739516238059196</v>
      </c>
      <c r="H2498" s="7">
        <f t="shared" si="78"/>
        <v>-19.739516238059196</v>
      </c>
      <c r="I2498">
        <f t="shared" si="79"/>
        <v>6</v>
      </c>
      <c r="J2498" t="str" cm="1">
        <f t="array" ref="J2498">INDEX($A$2:$A$7,I2498)</f>
        <v>Segment 6- Self-Conscious Male</v>
      </c>
    </row>
    <row r="2499" spans="1:10" x14ac:dyDescent="0.25">
      <c r="A2499" s="1">
        <f>'batch tool'!A2493</f>
        <v>0</v>
      </c>
      <c r="B2499" s="7">
        <f>SUMPRODUCT($C$2:$X$2,'batch tool'!$B2493:$W2493)+$Y$2</f>
        <v>-49.12272534143483</v>
      </c>
      <c r="C2499" s="7">
        <f>SUMPRODUCT($C$3:$X$3,'batch tool'!$B2493:$W2493)+$Y$3</f>
        <v>-36.514029388465531</v>
      </c>
      <c r="D2499" s="7">
        <f>SUMPRODUCT($C$4:$X$4,'batch tool'!$B2493:$W2493)+$Y$4</f>
        <v>-44.639843068043824</v>
      </c>
      <c r="E2499" s="7">
        <f>SUMPRODUCT($C$5:$X$5,'batch tool'!$B2493:$W2493)+$Y$5</f>
        <v>-51.578889182477603</v>
      </c>
      <c r="F2499" s="7">
        <f>SUMPRODUCT($C$6:$X$6,'batch tool'!$B2493:$W2493)+$Y$6</f>
        <v>-47.741473633885199</v>
      </c>
      <c r="G2499" s="7">
        <f>SUMPRODUCT($C$7:$X$7,'batch tool'!$B2493:$W2493)+$Y$7</f>
        <v>-19.739516238059196</v>
      </c>
      <c r="H2499" s="7">
        <f t="shared" si="78"/>
        <v>-19.739516238059196</v>
      </c>
      <c r="I2499">
        <f t="shared" si="79"/>
        <v>6</v>
      </c>
      <c r="J2499" t="str" cm="1">
        <f t="array" ref="J2499">INDEX($A$2:$A$7,I2499)</f>
        <v>Segment 6- Self-Conscious Male</v>
      </c>
    </row>
    <row r="2500" spans="1:10" x14ac:dyDescent="0.25">
      <c r="A2500" s="1">
        <f>'batch tool'!A2494</f>
        <v>0</v>
      </c>
      <c r="B2500" s="7">
        <f>SUMPRODUCT($C$2:$X$2,'batch tool'!$B2494:$W2494)+$Y$2</f>
        <v>-49.12272534143483</v>
      </c>
      <c r="C2500" s="7">
        <f>SUMPRODUCT($C$3:$X$3,'batch tool'!$B2494:$W2494)+$Y$3</f>
        <v>-36.514029388465531</v>
      </c>
      <c r="D2500" s="7">
        <f>SUMPRODUCT($C$4:$X$4,'batch tool'!$B2494:$W2494)+$Y$4</f>
        <v>-44.639843068043824</v>
      </c>
      <c r="E2500" s="7">
        <f>SUMPRODUCT($C$5:$X$5,'batch tool'!$B2494:$W2494)+$Y$5</f>
        <v>-51.578889182477603</v>
      </c>
      <c r="F2500" s="7">
        <f>SUMPRODUCT($C$6:$X$6,'batch tool'!$B2494:$W2494)+$Y$6</f>
        <v>-47.741473633885199</v>
      </c>
      <c r="G2500" s="7">
        <f>SUMPRODUCT($C$7:$X$7,'batch tool'!$B2494:$W2494)+$Y$7</f>
        <v>-19.739516238059196</v>
      </c>
      <c r="H2500" s="7">
        <f t="shared" si="78"/>
        <v>-19.739516238059196</v>
      </c>
      <c r="I2500">
        <f t="shared" si="79"/>
        <v>6</v>
      </c>
      <c r="J2500" t="str" cm="1">
        <f t="array" ref="J2500">INDEX($A$2:$A$7,I2500)</f>
        <v>Segment 6- Self-Conscious Male</v>
      </c>
    </row>
    <row r="2501" spans="1:10" x14ac:dyDescent="0.25">
      <c r="A2501" s="1">
        <f>'batch tool'!A2495</f>
        <v>0</v>
      </c>
      <c r="B2501" s="7">
        <f>SUMPRODUCT($C$2:$X$2,'batch tool'!$B2495:$W2495)+$Y$2</f>
        <v>-49.12272534143483</v>
      </c>
      <c r="C2501" s="7">
        <f>SUMPRODUCT($C$3:$X$3,'batch tool'!$B2495:$W2495)+$Y$3</f>
        <v>-36.514029388465531</v>
      </c>
      <c r="D2501" s="7">
        <f>SUMPRODUCT($C$4:$X$4,'batch tool'!$B2495:$W2495)+$Y$4</f>
        <v>-44.639843068043824</v>
      </c>
      <c r="E2501" s="7">
        <f>SUMPRODUCT($C$5:$X$5,'batch tool'!$B2495:$W2495)+$Y$5</f>
        <v>-51.578889182477603</v>
      </c>
      <c r="F2501" s="7">
        <f>SUMPRODUCT($C$6:$X$6,'batch tool'!$B2495:$W2495)+$Y$6</f>
        <v>-47.741473633885199</v>
      </c>
      <c r="G2501" s="7">
        <f>SUMPRODUCT($C$7:$X$7,'batch tool'!$B2495:$W2495)+$Y$7</f>
        <v>-19.739516238059196</v>
      </c>
      <c r="H2501" s="7">
        <f t="shared" si="78"/>
        <v>-19.739516238059196</v>
      </c>
      <c r="I2501">
        <f t="shared" si="79"/>
        <v>6</v>
      </c>
      <c r="J2501" t="str" cm="1">
        <f t="array" ref="J2501">INDEX($A$2:$A$7,I2501)</f>
        <v>Segment 6- Self-Conscious Male</v>
      </c>
    </row>
    <row r="2502" spans="1:10" x14ac:dyDescent="0.25">
      <c r="A2502" s="1">
        <f>'batch tool'!A2496</f>
        <v>0</v>
      </c>
      <c r="B2502" s="7">
        <f>SUMPRODUCT($C$2:$X$2,'batch tool'!$B2496:$W2496)+$Y$2</f>
        <v>-49.12272534143483</v>
      </c>
      <c r="C2502" s="7">
        <f>SUMPRODUCT($C$3:$X$3,'batch tool'!$B2496:$W2496)+$Y$3</f>
        <v>-36.514029388465531</v>
      </c>
      <c r="D2502" s="7">
        <f>SUMPRODUCT($C$4:$X$4,'batch tool'!$B2496:$W2496)+$Y$4</f>
        <v>-44.639843068043824</v>
      </c>
      <c r="E2502" s="7">
        <f>SUMPRODUCT($C$5:$X$5,'batch tool'!$B2496:$W2496)+$Y$5</f>
        <v>-51.578889182477603</v>
      </c>
      <c r="F2502" s="7">
        <f>SUMPRODUCT($C$6:$X$6,'batch tool'!$B2496:$W2496)+$Y$6</f>
        <v>-47.741473633885199</v>
      </c>
      <c r="G2502" s="7">
        <f>SUMPRODUCT($C$7:$X$7,'batch tool'!$B2496:$W2496)+$Y$7</f>
        <v>-19.739516238059196</v>
      </c>
      <c r="H2502" s="7">
        <f t="shared" si="78"/>
        <v>-19.739516238059196</v>
      </c>
      <c r="I2502">
        <f t="shared" si="79"/>
        <v>6</v>
      </c>
      <c r="J2502" t="str" cm="1">
        <f t="array" ref="J2502">INDEX($A$2:$A$7,I2502)</f>
        <v>Segment 6- Self-Conscious Male</v>
      </c>
    </row>
    <row r="2503" spans="1:10" x14ac:dyDescent="0.25">
      <c r="A2503" s="1">
        <f>'batch tool'!A2497</f>
        <v>0</v>
      </c>
      <c r="B2503" s="7">
        <f>SUMPRODUCT($C$2:$X$2,'batch tool'!$B2497:$W2497)+$Y$2</f>
        <v>-49.12272534143483</v>
      </c>
      <c r="C2503" s="7">
        <f>SUMPRODUCT($C$3:$X$3,'batch tool'!$B2497:$W2497)+$Y$3</f>
        <v>-36.514029388465531</v>
      </c>
      <c r="D2503" s="7">
        <f>SUMPRODUCT($C$4:$X$4,'batch tool'!$B2497:$W2497)+$Y$4</f>
        <v>-44.639843068043824</v>
      </c>
      <c r="E2503" s="7">
        <f>SUMPRODUCT($C$5:$X$5,'batch tool'!$B2497:$W2497)+$Y$5</f>
        <v>-51.578889182477603</v>
      </c>
      <c r="F2503" s="7">
        <f>SUMPRODUCT($C$6:$X$6,'batch tool'!$B2497:$W2497)+$Y$6</f>
        <v>-47.741473633885199</v>
      </c>
      <c r="G2503" s="7">
        <f>SUMPRODUCT($C$7:$X$7,'batch tool'!$B2497:$W2497)+$Y$7</f>
        <v>-19.739516238059196</v>
      </c>
      <c r="H2503" s="7">
        <f t="shared" si="78"/>
        <v>-19.739516238059196</v>
      </c>
      <c r="I2503">
        <f t="shared" si="79"/>
        <v>6</v>
      </c>
      <c r="J2503" t="str" cm="1">
        <f t="array" ref="J2503">INDEX($A$2:$A$7,I2503)</f>
        <v>Segment 6- Self-Conscious Male</v>
      </c>
    </row>
    <row r="2504" spans="1:10" x14ac:dyDescent="0.25">
      <c r="A2504" s="1">
        <f>'batch tool'!A2498</f>
        <v>0</v>
      </c>
      <c r="B2504" s="7">
        <f>SUMPRODUCT($C$2:$X$2,'batch tool'!$B2498:$W2498)+$Y$2</f>
        <v>-49.12272534143483</v>
      </c>
      <c r="C2504" s="7">
        <f>SUMPRODUCT($C$3:$X$3,'batch tool'!$B2498:$W2498)+$Y$3</f>
        <v>-36.514029388465531</v>
      </c>
      <c r="D2504" s="7">
        <f>SUMPRODUCT($C$4:$X$4,'batch tool'!$B2498:$W2498)+$Y$4</f>
        <v>-44.639843068043824</v>
      </c>
      <c r="E2504" s="7">
        <f>SUMPRODUCT($C$5:$X$5,'batch tool'!$B2498:$W2498)+$Y$5</f>
        <v>-51.578889182477603</v>
      </c>
      <c r="F2504" s="7">
        <f>SUMPRODUCT($C$6:$X$6,'batch tool'!$B2498:$W2498)+$Y$6</f>
        <v>-47.741473633885199</v>
      </c>
      <c r="G2504" s="7">
        <f>SUMPRODUCT($C$7:$X$7,'batch tool'!$B2498:$W2498)+$Y$7</f>
        <v>-19.739516238059196</v>
      </c>
      <c r="H2504" s="7">
        <f t="shared" si="78"/>
        <v>-19.739516238059196</v>
      </c>
      <c r="I2504">
        <f t="shared" si="79"/>
        <v>6</v>
      </c>
      <c r="J2504" t="str" cm="1">
        <f t="array" ref="J2504">INDEX($A$2:$A$7,I2504)</f>
        <v>Segment 6- Self-Conscious Male</v>
      </c>
    </row>
    <row r="2505" spans="1:10" x14ac:dyDescent="0.25">
      <c r="A2505" s="1">
        <f>'batch tool'!A2499</f>
        <v>0</v>
      </c>
      <c r="B2505" s="7">
        <f>SUMPRODUCT($C$2:$X$2,'batch tool'!$B2499:$W2499)+$Y$2</f>
        <v>-49.12272534143483</v>
      </c>
      <c r="C2505" s="7">
        <f>SUMPRODUCT($C$3:$X$3,'batch tool'!$B2499:$W2499)+$Y$3</f>
        <v>-36.514029388465531</v>
      </c>
      <c r="D2505" s="7">
        <f>SUMPRODUCT($C$4:$X$4,'batch tool'!$B2499:$W2499)+$Y$4</f>
        <v>-44.639843068043824</v>
      </c>
      <c r="E2505" s="7">
        <f>SUMPRODUCT($C$5:$X$5,'batch tool'!$B2499:$W2499)+$Y$5</f>
        <v>-51.578889182477603</v>
      </c>
      <c r="F2505" s="7">
        <f>SUMPRODUCT($C$6:$X$6,'batch tool'!$B2499:$W2499)+$Y$6</f>
        <v>-47.741473633885199</v>
      </c>
      <c r="G2505" s="7">
        <f>SUMPRODUCT($C$7:$X$7,'batch tool'!$B2499:$W2499)+$Y$7</f>
        <v>-19.739516238059196</v>
      </c>
      <c r="H2505" s="7">
        <f t="shared" si="78"/>
        <v>-19.739516238059196</v>
      </c>
      <c r="I2505">
        <f t="shared" si="79"/>
        <v>6</v>
      </c>
      <c r="J2505" t="str" cm="1">
        <f t="array" ref="J2505">INDEX($A$2:$A$7,I2505)</f>
        <v>Segment 6- Self-Conscious Male</v>
      </c>
    </row>
    <row r="2506" spans="1:10" x14ac:dyDescent="0.25">
      <c r="A2506" s="1">
        <f>'batch tool'!A2500</f>
        <v>0</v>
      </c>
      <c r="B2506" s="7">
        <f>SUMPRODUCT($C$2:$X$2,'batch tool'!$B2500:$W2500)+$Y$2</f>
        <v>-49.12272534143483</v>
      </c>
      <c r="C2506" s="7">
        <f>SUMPRODUCT($C$3:$X$3,'batch tool'!$B2500:$W2500)+$Y$3</f>
        <v>-36.514029388465531</v>
      </c>
      <c r="D2506" s="7">
        <f>SUMPRODUCT($C$4:$X$4,'batch tool'!$B2500:$W2500)+$Y$4</f>
        <v>-44.639843068043824</v>
      </c>
      <c r="E2506" s="7">
        <f>SUMPRODUCT($C$5:$X$5,'batch tool'!$B2500:$W2500)+$Y$5</f>
        <v>-51.578889182477603</v>
      </c>
      <c r="F2506" s="7">
        <f>SUMPRODUCT($C$6:$X$6,'batch tool'!$B2500:$W2500)+$Y$6</f>
        <v>-47.741473633885199</v>
      </c>
      <c r="G2506" s="7">
        <f>SUMPRODUCT($C$7:$X$7,'batch tool'!$B2500:$W2500)+$Y$7</f>
        <v>-19.739516238059196</v>
      </c>
      <c r="H2506" s="7">
        <f t="shared" si="78"/>
        <v>-19.739516238059196</v>
      </c>
      <c r="I2506">
        <f t="shared" si="79"/>
        <v>6</v>
      </c>
      <c r="J2506" t="str" cm="1">
        <f t="array" ref="J2506">INDEX($A$2:$A$7,I2506)</f>
        <v>Segment 6- Self-Conscious Male</v>
      </c>
    </row>
    <row r="2507" spans="1:10" x14ac:dyDescent="0.25">
      <c r="A2507" s="1">
        <f>'batch tool'!A2501</f>
        <v>0</v>
      </c>
      <c r="B2507" s="7">
        <f>SUMPRODUCT($C$2:$X$2,'batch tool'!$B2501:$W2501)+$Y$2</f>
        <v>-49.12272534143483</v>
      </c>
      <c r="C2507" s="7">
        <f>SUMPRODUCT($C$3:$X$3,'batch tool'!$B2501:$W2501)+$Y$3</f>
        <v>-36.514029388465531</v>
      </c>
      <c r="D2507" s="7">
        <f>SUMPRODUCT($C$4:$X$4,'batch tool'!$B2501:$W2501)+$Y$4</f>
        <v>-44.639843068043824</v>
      </c>
      <c r="E2507" s="7">
        <f>SUMPRODUCT($C$5:$X$5,'batch tool'!$B2501:$W2501)+$Y$5</f>
        <v>-51.578889182477603</v>
      </c>
      <c r="F2507" s="7">
        <f>SUMPRODUCT($C$6:$X$6,'batch tool'!$B2501:$W2501)+$Y$6</f>
        <v>-47.741473633885199</v>
      </c>
      <c r="G2507" s="7">
        <f>SUMPRODUCT($C$7:$X$7,'batch tool'!$B2501:$W2501)+$Y$7</f>
        <v>-19.739516238059196</v>
      </c>
      <c r="H2507" s="7">
        <f t="shared" si="78"/>
        <v>-19.739516238059196</v>
      </c>
      <c r="I2507">
        <f t="shared" si="79"/>
        <v>6</v>
      </c>
      <c r="J2507" t="str" cm="1">
        <f t="array" ref="J2507">INDEX($A$2:$A$7,I2507)</f>
        <v>Segment 6- Self-Conscious Male</v>
      </c>
    </row>
    <row r="2508" spans="1:10" x14ac:dyDescent="0.25">
      <c r="A2508" s="1">
        <f>'batch tool'!A2502</f>
        <v>0</v>
      </c>
      <c r="B2508" s="7">
        <f>SUMPRODUCT($C$2:$X$2,'batch tool'!$B2502:$W2502)+$Y$2</f>
        <v>-49.12272534143483</v>
      </c>
      <c r="C2508" s="7">
        <f>SUMPRODUCT($C$3:$X$3,'batch tool'!$B2502:$W2502)+$Y$3</f>
        <v>-36.514029388465531</v>
      </c>
      <c r="D2508" s="7">
        <f>SUMPRODUCT($C$4:$X$4,'batch tool'!$B2502:$W2502)+$Y$4</f>
        <v>-44.639843068043824</v>
      </c>
      <c r="E2508" s="7">
        <f>SUMPRODUCT($C$5:$X$5,'batch tool'!$B2502:$W2502)+$Y$5</f>
        <v>-51.578889182477603</v>
      </c>
      <c r="F2508" s="7">
        <f>SUMPRODUCT($C$6:$X$6,'batch tool'!$B2502:$W2502)+$Y$6</f>
        <v>-47.741473633885199</v>
      </c>
      <c r="G2508" s="7">
        <f>SUMPRODUCT($C$7:$X$7,'batch tool'!$B2502:$W2502)+$Y$7</f>
        <v>-19.739516238059196</v>
      </c>
      <c r="H2508" s="7">
        <f t="shared" si="78"/>
        <v>-19.739516238059196</v>
      </c>
      <c r="I2508">
        <f t="shared" si="79"/>
        <v>6</v>
      </c>
      <c r="J2508" t="str" cm="1">
        <f t="array" ref="J2508">INDEX($A$2:$A$7,I2508)</f>
        <v>Segment 6- Self-Conscious Male</v>
      </c>
    </row>
    <row r="2509" spans="1:10" x14ac:dyDescent="0.25">
      <c r="A2509" s="1">
        <f>'batch tool'!A2503</f>
        <v>0</v>
      </c>
      <c r="B2509" s="7">
        <f>SUMPRODUCT($C$2:$X$2,'batch tool'!$B2503:$W2503)+$Y$2</f>
        <v>-49.12272534143483</v>
      </c>
      <c r="C2509" s="7">
        <f>SUMPRODUCT($C$3:$X$3,'batch tool'!$B2503:$W2503)+$Y$3</f>
        <v>-36.514029388465531</v>
      </c>
      <c r="D2509" s="7">
        <f>SUMPRODUCT($C$4:$X$4,'batch tool'!$B2503:$W2503)+$Y$4</f>
        <v>-44.639843068043824</v>
      </c>
      <c r="E2509" s="7">
        <f>SUMPRODUCT($C$5:$X$5,'batch tool'!$B2503:$W2503)+$Y$5</f>
        <v>-51.578889182477603</v>
      </c>
      <c r="F2509" s="7">
        <f>SUMPRODUCT($C$6:$X$6,'batch tool'!$B2503:$W2503)+$Y$6</f>
        <v>-47.741473633885199</v>
      </c>
      <c r="G2509" s="7">
        <f>SUMPRODUCT($C$7:$X$7,'batch tool'!$B2503:$W2503)+$Y$7</f>
        <v>-19.739516238059196</v>
      </c>
      <c r="H2509" s="7">
        <f t="shared" si="78"/>
        <v>-19.739516238059196</v>
      </c>
      <c r="I2509">
        <f t="shared" si="79"/>
        <v>6</v>
      </c>
      <c r="J2509" t="str" cm="1">
        <f t="array" ref="J2509">INDEX($A$2:$A$7,I2509)</f>
        <v>Segment 6- Self-Conscious Male</v>
      </c>
    </row>
    <row r="2510" spans="1:10" x14ac:dyDescent="0.25">
      <c r="A2510" s="1">
        <f>'batch tool'!A2504</f>
        <v>0</v>
      </c>
      <c r="B2510" s="7">
        <f>SUMPRODUCT($C$2:$X$2,'batch tool'!$B2504:$W2504)+$Y$2</f>
        <v>-49.12272534143483</v>
      </c>
      <c r="C2510" s="7">
        <f>SUMPRODUCT($C$3:$X$3,'batch tool'!$B2504:$W2504)+$Y$3</f>
        <v>-36.514029388465531</v>
      </c>
      <c r="D2510" s="7">
        <f>SUMPRODUCT($C$4:$X$4,'batch tool'!$B2504:$W2504)+$Y$4</f>
        <v>-44.639843068043824</v>
      </c>
      <c r="E2510" s="7">
        <f>SUMPRODUCT($C$5:$X$5,'batch tool'!$B2504:$W2504)+$Y$5</f>
        <v>-51.578889182477603</v>
      </c>
      <c r="F2510" s="7">
        <f>SUMPRODUCT($C$6:$X$6,'batch tool'!$B2504:$W2504)+$Y$6</f>
        <v>-47.741473633885199</v>
      </c>
      <c r="G2510" s="7">
        <f>SUMPRODUCT($C$7:$X$7,'batch tool'!$B2504:$W2504)+$Y$7</f>
        <v>-19.739516238059196</v>
      </c>
      <c r="H2510" s="7">
        <f t="shared" si="78"/>
        <v>-19.739516238059196</v>
      </c>
      <c r="I2510">
        <f t="shared" si="79"/>
        <v>6</v>
      </c>
      <c r="J2510" t="str" cm="1">
        <f t="array" ref="J2510">INDEX($A$2:$A$7,I2510)</f>
        <v>Segment 6- Self-Conscious Male</v>
      </c>
    </row>
    <row r="2511" spans="1:10" x14ac:dyDescent="0.25">
      <c r="A2511" s="1">
        <f>'batch tool'!A2505</f>
        <v>0</v>
      </c>
      <c r="B2511" s="7">
        <f>SUMPRODUCT($C$2:$X$2,'batch tool'!$B2505:$W2505)+$Y$2</f>
        <v>-49.12272534143483</v>
      </c>
      <c r="C2511" s="7">
        <f>SUMPRODUCT($C$3:$X$3,'batch tool'!$B2505:$W2505)+$Y$3</f>
        <v>-36.514029388465531</v>
      </c>
      <c r="D2511" s="7">
        <f>SUMPRODUCT($C$4:$X$4,'batch tool'!$B2505:$W2505)+$Y$4</f>
        <v>-44.639843068043824</v>
      </c>
      <c r="E2511" s="7">
        <f>SUMPRODUCT($C$5:$X$5,'batch tool'!$B2505:$W2505)+$Y$5</f>
        <v>-51.578889182477603</v>
      </c>
      <c r="F2511" s="7">
        <f>SUMPRODUCT($C$6:$X$6,'batch tool'!$B2505:$W2505)+$Y$6</f>
        <v>-47.741473633885199</v>
      </c>
      <c r="G2511" s="7">
        <f>SUMPRODUCT($C$7:$X$7,'batch tool'!$B2505:$W2505)+$Y$7</f>
        <v>-19.739516238059196</v>
      </c>
      <c r="H2511" s="7">
        <f t="shared" si="78"/>
        <v>-19.739516238059196</v>
      </c>
      <c r="I2511">
        <f t="shared" si="79"/>
        <v>6</v>
      </c>
      <c r="J2511" t="str" cm="1">
        <f t="array" ref="J2511">INDEX($A$2:$A$7,I2511)</f>
        <v>Segment 6- Self-Conscious Male</v>
      </c>
    </row>
    <row r="2512" spans="1:10" x14ac:dyDescent="0.25">
      <c r="A2512" s="1">
        <f>'batch tool'!A2506</f>
        <v>0</v>
      </c>
      <c r="B2512" s="7">
        <f>SUMPRODUCT($C$2:$X$2,'batch tool'!$B2506:$W2506)+$Y$2</f>
        <v>-49.12272534143483</v>
      </c>
      <c r="C2512" s="7">
        <f>SUMPRODUCT($C$3:$X$3,'batch tool'!$B2506:$W2506)+$Y$3</f>
        <v>-36.514029388465531</v>
      </c>
      <c r="D2512" s="7">
        <f>SUMPRODUCT($C$4:$X$4,'batch tool'!$B2506:$W2506)+$Y$4</f>
        <v>-44.639843068043824</v>
      </c>
      <c r="E2512" s="7">
        <f>SUMPRODUCT($C$5:$X$5,'batch tool'!$B2506:$W2506)+$Y$5</f>
        <v>-51.578889182477603</v>
      </c>
      <c r="F2512" s="7">
        <f>SUMPRODUCT($C$6:$X$6,'batch tool'!$B2506:$W2506)+$Y$6</f>
        <v>-47.741473633885199</v>
      </c>
      <c r="G2512" s="7">
        <f>SUMPRODUCT($C$7:$X$7,'batch tool'!$B2506:$W2506)+$Y$7</f>
        <v>-19.739516238059196</v>
      </c>
      <c r="H2512" s="7">
        <f t="shared" si="78"/>
        <v>-19.739516238059196</v>
      </c>
      <c r="I2512">
        <f t="shared" si="79"/>
        <v>6</v>
      </c>
      <c r="J2512" t="str" cm="1">
        <f t="array" ref="J2512">INDEX($A$2:$A$7,I2512)</f>
        <v>Segment 6- Self-Conscious Male</v>
      </c>
    </row>
    <row r="2513" spans="1:10" x14ac:dyDescent="0.25">
      <c r="A2513" s="1">
        <f>'batch tool'!A2507</f>
        <v>0</v>
      </c>
      <c r="B2513" s="7">
        <f>SUMPRODUCT($C$2:$X$2,'batch tool'!$B2507:$W2507)+$Y$2</f>
        <v>-49.12272534143483</v>
      </c>
      <c r="C2513" s="7">
        <f>SUMPRODUCT($C$3:$X$3,'batch tool'!$B2507:$W2507)+$Y$3</f>
        <v>-36.514029388465531</v>
      </c>
      <c r="D2513" s="7">
        <f>SUMPRODUCT($C$4:$X$4,'batch tool'!$B2507:$W2507)+$Y$4</f>
        <v>-44.639843068043824</v>
      </c>
      <c r="E2513" s="7">
        <f>SUMPRODUCT($C$5:$X$5,'batch tool'!$B2507:$W2507)+$Y$5</f>
        <v>-51.578889182477603</v>
      </c>
      <c r="F2513" s="7">
        <f>SUMPRODUCT($C$6:$X$6,'batch tool'!$B2507:$W2507)+$Y$6</f>
        <v>-47.741473633885199</v>
      </c>
      <c r="G2513" s="7">
        <f>SUMPRODUCT($C$7:$X$7,'batch tool'!$B2507:$W2507)+$Y$7</f>
        <v>-19.739516238059196</v>
      </c>
      <c r="H2513" s="7">
        <f t="shared" si="78"/>
        <v>-19.739516238059196</v>
      </c>
      <c r="I2513">
        <f t="shared" si="79"/>
        <v>6</v>
      </c>
      <c r="J2513" t="str" cm="1">
        <f t="array" ref="J2513">INDEX($A$2:$A$7,I2513)</f>
        <v>Segment 6- Self-Conscious Male</v>
      </c>
    </row>
    <row r="2514" spans="1:10" x14ac:dyDescent="0.25">
      <c r="A2514" s="1">
        <f>'batch tool'!A2508</f>
        <v>0</v>
      </c>
      <c r="B2514" s="7">
        <f>SUMPRODUCT($C$2:$X$2,'batch tool'!$B2508:$W2508)+$Y$2</f>
        <v>-49.12272534143483</v>
      </c>
      <c r="C2514" s="7">
        <f>SUMPRODUCT($C$3:$X$3,'batch tool'!$B2508:$W2508)+$Y$3</f>
        <v>-36.514029388465531</v>
      </c>
      <c r="D2514" s="7">
        <f>SUMPRODUCT($C$4:$X$4,'batch tool'!$B2508:$W2508)+$Y$4</f>
        <v>-44.639843068043824</v>
      </c>
      <c r="E2514" s="7">
        <f>SUMPRODUCT($C$5:$X$5,'batch tool'!$B2508:$W2508)+$Y$5</f>
        <v>-51.578889182477603</v>
      </c>
      <c r="F2514" s="7">
        <f>SUMPRODUCT($C$6:$X$6,'batch tool'!$B2508:$W2508)+$Y$6</f>
        <v>-47.741473633885199</v>
      </c>
      <c r="G2514" s="7">
        <f>SUMPRODUCT($C$7:$X$7,'batch tool'!$B2508:$W2508)+$Y$7</f>
        <v>-19.739516238059196</v>
      </c>
      <c r="H2514" s="7">
        <f t="shared" si="78"/>
        <v>-19.739516238059196</v>
      </c>
      <c r="I2514">
        <f t="shared" si="79"/>
        <v>6</v>
      </c>
      <c r="J2514" t="str" cm="1">
        <f t="array" ref="J2514">INDEX($A$2:$A$7,I2514)</f>
        <v>Segment 6- Self-Conscious Male</v>
      </c>
    </row>
    <row r="2515" spans="1:10" x14ac:dyDescent="0.25">
      <c r="A2515" s="1">
        <f>'batch tool'!A2509</f>
        <v>0</v>
      </c>
      <c r="B2515" s="7">
        <f>SUMPRODUCT($C$2:$X$2,'batch tool'!$B2509:$W2509)+$Y$2</f>
        <v>-49.12272534143483</v>
      </c>
      <c r="C2515" s="7">
        <f>SUMPRODUCT($C$3:$X$3,'batch tool'!$B2509:$W2509)+$Y$3</f>
        <v>-36.514029388465531</v>
      </c>
      <c r="D2515" s="7">
        <f>SUMPRODUCT($C$4:$X$4,'batch tool'!$B2509:$W2509)+$Y$4</f>
        <v>-44.639843068043824</v>
      </c>
      <c r="E2515" s="7">
        <f>SUMPRODUCT($C$5:$X$5,'batch tool'!$B2509:$W2509)+$Y$5</f>
        <v>-51.578889182477603</v>
      </c>
      <c r="F2515" s="7">
        <f>SUMPRODUCT($C$6:$X$6,'batch tool'!$B2509:$W2509)+$Y$6</f>
        <v>-47.741473633885199</v>
      </c>
      <c r="G2515" s="7">
        <f>SUMPRODUCT($C$7:$X$7,'batch tool'!$B2509:$W2509)+$Y$7</f>
        <v>-19.739516238059196</v>
      </c>
      <c r="H2515" s="7">
        <f t="shared" si="78"/>
        <v>-19.739516238059196</v>
      </c>
      <c r="I2515">
        <f t="shared" si="79"/>
        <v>6</v>
      </c>
      <c r="J2515" t="str" cm="1">
        <f t="array" ref="J2515">INDEX($A$2:$A$7,I2515)</f>
        <v>Segment 6- Self-Conscious Male</v>
      </c>
    </row>
    <row r="2516" spans="1:10" x14ac:dyDescent="0.25">
      <c r="A2516" s="1">
        <f>'batch tool'!A2510</f>
        <v>0</v>
      </c>
      <c r="B2516" s="7">
        <f>SUMPRODUCT($C$2:$X$2,'batch tool'!$B2510:$W2510)+$Y$2</f>
        <v>-49.12272534143483</v>
      </c>
      <c r="C2516" s="7">
        <f>SUMPRODUCT($C$3:$X$3,'batch tool'!$B2510:$W2510)+$Y$3</f>
        <v>-36.514029388465531</v>
      </c>
      <c r="D2516" s="7">
        <f>SUMPRODUCT($C$4:$X$4,'batch tool'!$B2510:$W2510)+$Y$4</f>
        <v>-44.639843068043824</v>
      </c>
      <c r="E2516" s="7">
        <f>SUMPRODUCT($C$5:$X$5,'batch tool'!$B2510:$W2510)+$Y$5</f>
        <v>-51.578889182477603</v>
      </c>
      <c r="F2516" s="7">
        <f>SUMPRODUCT($C$6:$X$6,'batch tool'!$B2510:$W2510)+$Y$6</f>
        <v>-47.741473633885199</v>
      </c>
      <c r="G2516" s="7">
        <f>SUMPRODUCT($C$7:$X$7,'batch tool'!$B2510:$W2510)+$Y$7</f>
        <v>-19.739516238059196</v>
      </c>
      <c r="H2516" s="7">
        <f t="shared" si="78"/>
        <v>-19.739516238059196</v>
      </c>
      <c r="I2516">
        <f t="shared" si="79"/>
        <v>6</v>
      </c>
      <c r="J2516" t="str" cm="1">
        <f t="array" ref="J2516">INDEX($A$2:$A$7,I2516)</f>
        <v>Segment 6- Self-Conscious Male</v>
      </c>
    </row>
    <row r="2517" spans="1:10" x14ac:dyDescent="0.25">
      <c r="A2517" s="1">
        <f>'batch tool'!A2511</f>
        <v>0</v>
      </c>
      <c r="B2517" s="7">
        <f>SUMPRODUCT($C$2:$X$2,'batch tool'!$B2511:$W2511)+$Y$2</f>
        <v>-49.12272534143483</v>
      </c>
      <c r="C2517" s="7">
        <f>SUMPRODUCT($C$3:$X$3,'batch tool'!$B2511:$W2511)+$Y$3</f>
        <v>-36.514029388465531</v>
      </c>
      <c r="D2517" s="7">
        <f>SUMPRODUCT($C$4:$X$4,'batch tool'!$B2511:$W2511)+$Y$4</f>
        <v>-44.639843068043824</v>
      </c>
      <c r="E2517" s="7">
        <f>SUMPRODUCT($C$5:$X$5,'batch tool'!$B2511:$W2511)+$Y$5</f>
        <v>-51.578889182477603</v>
      </c>
      <c r="F2517" s="7">
        <f>SUMPRODUCT($C$6:$X$6,'batch tool'!$B2511:$W2511)+$Y$6</f>
        <v>-47.741473633885199</v>
      </c>
      <c r="G2517" s="7">
        <f>SUMPRODUCT($C$7:$X$7,'batch tool'!$B2511:$W2511)+$Y$7</f>
        <v>-19.739516238059196</v>
      </c>
      <c r="H2517" s="7">
        <f t="shared" si="78"/>
        <v>-19.739516238059196</v>
      </c>
      <c r="I2517">
        <f t="shared" si="79"/>
        <v>6</v>
      </c>
      <c r="J2517" t="str" cm="1">
        <f t="array" ref="J2517">INDEX($A$2:$A$7,I2517)</f>
        <v>Segment 6- Self-Conscious Male</v>
      </c>
    </row>
    <row r="2518" spans="1:10" x14ac:dyDescent="0.25">
      <c r="A2518" s="1">
        <f>'batch tool'!A2512</f>
        <v>0</v>
      </c>
      <c r="B2518" s="7">
        <f>SUMPRODUCT($C$2:$X$2,'batch tool'!$B2512:$W2512)+$Y$2</f>
        <v>-49.12272534143483</v>
      </c>
      <c r="C2518" s="7">
        <f>SUMPRODUCT($C$3:$X$3,'batch tool'!$B2512:$W2512)+$Y$3</f>
        <v>-36.514029388465531</v>
      </c>
      <c r="D2518" s="7">
        <f>SUMPRODUCT($C$4:$X$4,'batch tool'!$B2512:$W2512)+$Y$4</f>
        <v>-44.639843068043824</v>
      </c>
      <c r="E2518" s="7">
        <f>SUMPRODUCT($C$5:$X$5,'batch tool'!$B2512:$W2512)+$Y$5</f>
        <v>-51.578889182477603</v>
      </c>
      <c r="F2518" s="7">
        <f>SUMPRODUCT($C$6:$X$6,'batch tool'!$B2512:$W2512)+$Y$6</f>
        <v>-47.741473633885199</v>
      </c>
      <c r="G2518" s="7">
        <f>SUMPRODUCT($C$7:$X$7,'batch tool'!$B2512:$W2512)+$Y$7</f>
        <v>-19.739516238059196</v>
      </c>
      <c r="H2518" s="7">
        <f t="shared" si="78"/>
        <v>-19.739516238059196</v>
      </c>
      <c r="I2518">
        <f t="shared" si="79"/>
        <v>6</v>
      </c>
      <c r="J2518" t="str" cm="1">
        <f t="array" ref="J2518">INDEX($A$2:$A$7,I2518)</f>
        <v>Segment 6- Self-Conscious Male</v>
      </c>
    </row>
    <row r="2519" spans="1:10" x14ac:dyDescent="0.25">
      <c r="A2519" s="1">
        <f>'batch tool'!A2513</f>
        <v>0</v>
      </c>
      <c r="B2519" s="7">
        <f>SUMPRODUCT($C$2:$X$2,'batch tool'!$B2513:$W2513)+$Y$2</f>
        <v>-49.12272534143483</v>
      </c>
      <c r="C2519" s="7">
        <f>SUMPRODUCT($C$3:$X$3,'batch tool'!$B2513:$W2513)+$Y$3</f>
        <v>-36.514029388465531</v>
      </c>
      <c r="D2519" s="7">
        <f>SUMPRODUCT($C$4:$X$4,'batch tool'!$B2513:$W2513)+$Y$4</f>
        <v>-44.639843068043824</v>
      </c>
      <c r="E2519" s="7">
        <f>SUMPRODUCT($C$5:$X$5,'batch tool'!$B2513:$W2513)+$Y$5</f>
        <v>-51.578889182477603</v>
      </c>
      <c r="F2519" s="7">
        <f>SUMPRODUCT($C$6:$X$6,'batch tool'!$B2513:$W2513)+$Y$6</f>
        <v>-47.741473633885199</v>
      </c>
      <c r="G2519" s="7">
        <f>SUMPRODUCT($C$7:$X$7,'batch tool'!$B2513:$W2513)+$Y$7</f>
        <v>-19.739516238059196</v>
      </c>
      <c r="H2519" s="7">
        <f t="shared" si="78"/>
        <v>-19.739516238059196</v>
      </c>
      <c r="I2519">
        <f t="shared" si="79"/>
        <v>6</v>
      </c>
      <c r="J2519" t="str" cm="1">
        <f t="array" ref="J2519">INDEX($A$2:$A$7,I2519)</f>
        <v>Segment 6- Self-Conscious Male</v>
      </c>
    </row>
    <row r="2520" spans="1:10" x14ac:dyDescent="0.25">
      <c r="A2520" s="1">
        <f>'batch tool'!A2514</f>
        <v>0</v>
      </c>
      <c r="B2520" s="7">
        <f>SUMPRODUCT($C$2:$X$2,'batch tool'!$B2514:$W2514)+$Y$2</f>
        <v>-49.12272534143483</v>
      </c>
      <c r="C2520" s="7">
        <f>SUMPRODUCT($C$3:$X$3,'batch tool'!$B2514:$W2514)+$Y$3</f>
        <v>-36.514029388465531</v>
      </c>
      <c r="D2520" s="7">
        <f>SUMPRODUCT($C$4:$X$4,'batch tool'!$B2514:$W2514)+$Y$4</f>
        <v>-44.639843068043824</v>
      </c>
      <c r="E2520" s="7">
        <f>SUMPRODUCT($C$5:$X$5,'batch tool'!$B2514:$W2514)+$Y$5</f>
        <v>-51.578889182477603</v>
      </c>
      <c r="F2520" s="7">
        <f>SUMPRODUCT($C$6:$X$6,'batch tool'!$B2514:$W2514)+$Y$6</f>
        <v>-47.741473633885199</v>
      </c>
      <c r="G2520" s="7">
        <f>SUMPRODUCT($C$7:$X$7,'batch tool'!$B2514:$W2514)+$Y$7</f>
        <v>-19.739516238059196</v>
      </c>
      <c r="H2520" s="7">
        <f t="shared" si="78"/>
        <v>-19.739516238059196</v>
      </c>
      <c r="I2520">
        <f t="shared" si="79"/>
        <v>6</v>
      </c>
      <c r="J2520" t="str" cm="1">
        <f t="array" ref="J2520">INDEX($A$2:$A$7,I2520)</f>
        <v>Segment 6- Self-Conscious Male</v>
      </c>
    </row>
    <row r="2521" spans="1:10" x14ac:dyDescent="0.25">
      <c r="A2521" s="1">
        <f>'batch tool'!A2515</f>
        <v>0</v>
      </c>
      <c r="B2521" s="7">
        <f>SUMPRODUCT($C$2:$X$2,'batch tool'!$B2515:$W2515)+$Y$2</f>
        <v>-49.12272534143483</v>
      </c>
      <c r="C2521" s="7">
        <f>SUMPRODUCT($C$3:$X$3,'batch tool'!$B2515:$W2515)+$Y$3</f>
        <v>-36.514029388465531</v>
      </c>
      <c r="D2521" s="7">
        <f>SUMPRODUCT($C$4:$X$4,'batch tool'!$B2515:$W2515)+$Y$4</f>
        <v>-44.639843068043824</v>
      </c>
      <c r="E2521" s="7">
        <f>SUMPRODUCT($C$5:$X$5,'batch tool'!$B2515:$W2515)+$Y$5</f>
        <v>-51.578889182477603</v>
      </c>
      <c r="F2521" s="7">
        <f>SUMPRODUCT($C$6:$X$6,'batch tool'!$B2515:$W2515)+$Y$6</f>
        <v>-47.741473633885199</v>
      </c>
      <c r="G2521" s="7">
        <f>SUMPRODUCT($C$7:$X$7,'batch tool'!$B2515:$W2515)+$Y$7</f>
        <v>-19.739516238059196</v>
      </c>
      <c r="H2521" s="7">
        <f t="shared" si="78"/>
        <v>-19.739516238059196</v>
      </c>
      <c r="I2521">
        <f t="shared" si="79"/>
        <v>6</v>
      </c>
      <c r="J2521" t="str" cm="1">
        <f t="array" ref="J2521">INDEX($A$2:$A$7,I2521)</f>
        <v>Segment 6- Self-Conscious Male</v>
      </c>
    </row>
    <row r="2522" spans="1:10" x14ac:dyDescent="0.25">
      <c r="A2522" s="1">
        <f>'batch tool'!A2516</f>
        <v>0</v>
      </c>
      <c r="B2522" s="7">
        <f>SUMPRODUCT($C$2:$X$2,'batch tool'!$B2516:$W2516)+$Y$2</f>
        <v>-49.12272534143483</v>
      </c>
      <c r="C2522" s="7">
        <f>SUMPRODUCT($C$3:$X$3,'batch tool'!$B2516:$W2516)+$Y$3</f>
        <v>-36.514029388465531</v>
      </c>
      <c r="D2522" s="7">
        <f>SUMPRODUCT($C$4:$X$4,'batch tool'!$B2516:$W2516)+$Y$4</f>
        <v>-44.639843068043824</v>
      </c>
      <c r="E2522" s="7">
        <f>SUMPRODUCT($C$5:$X$5,'batch tool'!$B2516:$W2516)+$Y$5</f>
        <v>-51.578889182477603</v>
      </c>
      <c r="F2522" s="7">
        <f>SUMPRODUCT($C$6:$X$6,'batch tool'!$B2516:$W2516)+$Y$6</f>
        <v>-47.741473633885199</v>
      </c>
      <c r="G2522" s="7">
        <f>SUMPRODUCT($C$7:$X$7,'batch tool'!$B2516:$W2516)+$Y$7</f>
        <v>-19.739516238059196</v>
      </c>
      <c r="H2522" s="7">
        <f t="shared" si="78"/>
        <v>-19.739516238059196</v>
      </c>
      <c r="I2522">
        <f t="shared" si="79"/>
        <v>6</v>
      </c>
      <c r="J2522" t="str" cm="1">
        <f t="array" ref="J2522">INDEX($A$2:$A$7,I2522)</f>
        <v>Segment 6- Self-Conscious Male</v>
      </c>
    </row>
    <row r="2523" spans="1:10" x14ac:dyDescent="0.25">
      <c r="A2523" s="1">
        <f>'batch tool'!A2517</f>
        <v>0</v>
      </c>
      <c r="B2523" s="7">
        <f>SUMPRODUCT($C$2:$X$2,'batch tool'!$B2517:$W2517)+$Y$2</f>
        <v>-49.12272534143483</v>
      </c>
      <c r="C2523" s="7">
        <f>SUMPRODUCT($C$3:$X$3,'batch tool'!$B2517:$W2517)+$Y$3</f>
        <v>-36.514029388465531</v>
      </c>
      <c r="D2523" s="7">
        <f>SUMPRODUCT($C$4:$X$4,'batch tool'!$B2517:$W2517)+$Y$4</f>
        <v>-44.639843068043824</v>
      </c>
      <c r="E2523" s="7">
        <f>SUMPRODUCT($C$5:$X$5,'batch tool'!$B2517:$W2517)+$Y$5</f>
        <v>-51.578889182477603</v>
      </c>
      <c r="F2523" s="7">
        <f>SUMPRODUCT($C$6:$X$6,'batch tool'!$B2517:$W2517)+$Y$6</f>
        <v>-47.741473633885199</v>
      </c>
      <c r="G2523" s="7">
        <f>SUMPRODUCT($C$7:$X$7,'batch tool'!$B2517:$W2517)+$Y$7</f>
        <v>-19.739516238059196</v>
      </c>
      <c r="H2523" s="7">
        <f t="shared" ref="H2523:H2586" si="80">MAX(B2523:G2523)</f>
        <v>-19.739516238059196</v>
      </c>
      <c r="I2523">
        <f t="shared" ref="I2523:I2586" si="81">MATCH(H2523,B2523:G2523,0)</f>
        <v>6</v>
      </c>
      <c r="J2523" t="str" cm="1">
        <f t="array" ref="J2523">INDEX($A$2:$A$7,I2523)</f>
        <v>Segment 6- Self-Conscious Male</v>
      </c>
    </row>
    <row r="2524" spans="1:10" x14ac:dyDescent="0.25">
      <c r="A2524" s="1">
        <f>'batch tool'!A2518</f>
        <v>0</v>
      </c>
      <c r="B2524" s="7">
        <f>SUMPRODUCT($C$2:$X$2,'batch tool'!$B2518:$W2518)+$Y$2</f>
        <v>-49.12272534143483</v>
      </c>
      <c r="C2524" s="7">
        <f>SUMPRODUCT($C$3:$X$3,'batch tool'!$B2518:$W2518)+$Y$3</f>
        <v>-36.514029388465531</v>
      </c>
      <c r="D2524" s="7">
        <f>SUMPRODUCT($C$4:$X$4,'batch tool'!$B2518:$W2518)+$Y$4</f>
        <v>-44.639843068043824</v>
      </c>
      <c r="E2524" s="7">
        <f>SUMPRODUCT($C$5:$X$5,'batch tool'!$B2518:$W2518)+$Y$5</f>
        <v>-51.578889182477603</v>
      </c>
      <c r="F2524" s="7">
        <f>SUMPRODUCT($C$6:$X$6,'batch tool'!$B2518:$W2518)+$Y$6</f>
        <v>-47.741473633885199</v>
      </c>
      <c r="G2524" s="7">
        <f>SUMPRODUCT($C$7:$X$7,'batch tool'!$B2518:$W2518)+$Y$7</f>
        <v>-19.739516238059196</v>
      </c>
      <c r="H2524" s="7">
        <f t="shared" si="80"/>
        <v>-19.739516238059196</v>
      </c>
      <c r="I2524">
        <f t="shared" si="81"/>
        <v>6</v>
      </c>
      <c r="J2524" t="str" cm="1">
        <f t="array" ref="J2524">INDEX($A$2:$A$7,I2524)</f>
        <v>Segment 6- Self-Conscious Male</v>
      </c>
    </row>
    <row r="2525" spans="1:10" x14ac:dyDescent="0.25">
      <c r="A2525" s="1">
        <f>'batch tool'!A2519</f>
        <v>0</v>
      </c>
      <c r="B2525" s="7">
        <f>SUMPRODUCT($C$2:$X$2,'batch tool'!$B2519:$W2519)+$Y$2</f>
        <v>-49.12272534143483</v>
      </c>
      <c r="C2525" s="7">
        <f>SUMPRODUCT($C$3:$X$3,'batch tool'!$B2519:$W2519)+$Y$3</f>
        <v>-36.514029388465531</v>
      </c>
      <c r="D2525" s="7">
        <f>SUMPRODUCT($C$4:$X$4,'batch tool'!$B2519:$W2519)+$Y$4</f>
        <v>-44.639843068043824</v>
      </c>
      <c r="E2525" s="7">
        <f>SUMPRODUCT($C$5:$X$5,'batch tool'!$B2519:$W2519)+$Y$5</f>
        <v>-51.578889182477603</v>
      </c>
      <c r="F2525" s="7">
        <f>SUMPRODUCT($C$6:$X$6,'batch tool'!$B2519:$W2519)+$Y$6</f>
        <v>-47.741473633885199</v>
      </c>
      <c r="G2525" s="7">
        <f>SUMPRODUCT($C$7:$X$7,'batch tool'!$B2519:$W2519)+$Y$7</f>
        <v>-19.739516238059196</v>
      </c>
      <c r="H2525" s="7">
        <f t="shared" si="80"/>
        <v>-19.739516238059196</v>
      </c>
      <c r="I2525">
        <f t="shared" si="81"/>
        <v>6</v>
      </c>
      <c r="J2525" t="str" cm="1">
        <f t="array" ref="J2525">INDEX($A$2:$A$7,I2525)</f>
        <v>Segment 6- Self-Conscious Male</v>
      </c>
    </row>
    <row r="2526" spans="1:10" x14ac:dyDescent="0.25">
      <c r="A2526" s="1">
        <f>'batch tool'!A2520</f>
        <v>0</v>
      </c>
      <c r="B2526" s="7">
        <f>SUMPRODUCT($C$2:$X$2,'batch tool'!$B2520:$W2520)+$Y$2</f>
        <v>-49.12272534143483</v>
      </c>
      <c r="C2526" s="7">
        <f>SUMPRODUCT($C$3:$X$3,'batch tool'!$B2520:$W2520)+$Y$3</f>
        <v>-36.514029388465531</v>
      </c>
      <c r="D2526" s="7">
        <f>SUMPRODUCT($C$4:$X$4,'batch tool'!$B2520:$W2520)+$Y$4</f>
        <v>-44.639843068043824</v>
      </c>
      <c r="E2526" s="7">
        <f>SUMPRODUCT($C$5:$X$5,'batch tool'!$B2520:$W2520)+$Y$5</f>
        <v>-51.578889182477603</v>
      </c>
      <c r="F2526" s="7">
        <f>SUMPRODUCT($C$6:$X$6,'batch tool'!$B2520:$W2520)+$Y$6</f>
        <v>-47.741473633885199</v>
      </c>
      <c r="G2526" s="7">
        <f>SUMPRODUCT($C$7:$X$7,'batch tool'!$B2520:$W2520)+$Y$7</f>
        <v>-19.739516238059196</v>
      </c>
      <c r="H2526" s="7">
        <f t="shared" si="80"/>
        <v>-19.739516238059196</v>
      </c>
      <c r="I2526">
        <f t="shared" si="81"/>
        <v>6</v>
      </c>
      <c r="J2526" t="str" cm="1">
        <f t="array" ref="J2526">INDEX($A$2:$A$7,I2526)</f>
        <v>Segment 6- Self-Conscious Male</v>
      </c>
    </row>
    <row r="2527" spans="1:10" x14ac:dyDescent="0.25">
      <c r="A2527" s="1">
        <f>'batch tool'!A2521</f>
        <v>0</v>
      </c>
      <c r="B2527" s="7">
        <f>SUMPRODUCT($C$2:$X$2,'batch tool'!$B2521:$W2521)+$Y$2</f>
        <v>-49.12272534143483</v>
      </c>
      <c r="C2527" s="7">
        <f>SUMPRODUCT($C$3:$X$3,'batch tool'!$B2521:$W2521)+$Y$3</f>
        <v>-36.514029388465531</v>
      </c>
      <c r="D2527" s="7">
        <f>SUMPRODUCT($C$4:$X$4,'batch tool'!$B2521:$W2521)+$Y$4</f>
        <v>-44.639843068043824</v>
      </c>
      <c r="E2527" s="7">
        <f>SUMPRODUCT($C$5:$X$5,'batch tool'!$B2521:$W2521)+$Y$5</f>
        <v>-51.578889182477603</v>
      </c>
      <c r="F2527" s="7">
        <f>SUMPRODUCT($C$6:$X$6,'batch tool'!$B2521:$W2521)+$Y$6</f>
        <v>-47.741473633885199</v>
      </c>
      <c r="G2527" s="7">
        <f>SUMPRODUCT($C$7:$X$7,'batch tool'!$B2521:$W2521)+$Y$7</f>
        <v>-19.739516238059196</v>
      </c>
      <c r="H2527" s="7">
        <f t="shared" si="80"/>
        <v>-19.739516238059196</v>
      </c>
      <c r="I2527">
        <f t="shared" si="81"/>
        <v>6</v>
      </c>
      <c r="J2527" t="str" cm="1">
        <f t="array" ref="J2527">INDEX($A$2:$A$7,I2527)</f>
        <v>Segment 6- Self-Conscious Male</v>
      </c>
    </row>
    <row r="2528" spans="1:10" x14ac:dyDescent="0.25">
      <c r="A2528" s="1">
        <f>'batch tool'!A2522</f>
        <v>0</v>
      </c>
      <c r="B2528" s="7">
        <f>SUMPRODUCT($C$2:$X$2,'batch tool'!$B2522:$W2522)+$Y$2</f>
        <v>-49.12272534143483</v>
      </c>
      <c r="C2528" s="7">
        <f>SUMPRODUCT($C$3:$X$3,'batch tool'!$B2522:$W2522)+$Y$3</f>
        <v>-36.514029388465531</v>
      </c>
      <c r="D2528" s="7">
        <f>SUMPRODUCT($C$4:$X$4,'batch tool'!$B2522:$W2522)+$Y$4</f>
        <v>-44.639843068043824</v>
      </c>
      <c r="E2528" s="7">
        <f>SUMPRODUCT($C$5:$X$5,'batch tool'!$B2522:$W2522)+$Y$5</f>
        <v>-51.578889182477603</v>
      </c>
      <c r="F2528" s="7">
        <f>SUMPRODUCT($C$6:$X$6,'batch tool'!$B2522:$W2522)+$Y$6</f>
        <v>-47.741473633885199</v>
      </c>
      <c r="G2528" s="7">
        <f>SUMPRODUCT($C$7:$X$7,'batch tool'!$B2522:$W2522)+$Y$7</f>
        <v>-19.739516238059196</v>
      </c>
      <c r="H2528" s="7">
        <f t="shared" si="80"/>
        <v>-19.739516238059196</v>
      </c>
      <c r="I2528">
        <f t="shared" si="81"/>
        <v>6</v>
      </c>
      <c r="J2528" t="str" cm="1">
        <f t="array" ref="J2528">INDEX($A$2:$A$7,I2528)</f>
        <v>Segment 6- Self-Conscious Male</v>
      </c>
    </row>
    <row r="2529" spans="1:10" x14ac:dyDescent="0.25">
      <c r="A2529" s="1">
        <f>'batch tool'!A2523</f>
        <v>0</v>
      </c>
      <c r="B2529" s="7">
        <f>SUMPRODUCT($C$2:$X$2,'batch tool'!$B2523:$W2523)+$Y$2</f>
        <v>-49.12272534143483</v>
      </c>
      <c r="C2529" s="7">
        <f>SUMPRODUCT($C$3:$X$3,'batch tool'!$B2523:$W2523)+$Y$3</f>
        <v>-36.514029388465531</v>
      </c>
      <c r="D2529" s="7">
        <f>SUMPRODUCT($C$4:$X$4,'batch tool'!$B2523:$W2523)+$Y$4</f>
        <v>-44.639843068043824</v>
      </c>
      <c r="E2529" s="7">
        <f>SUMPRODUCT($C$5:$X$5,'batch tool'!$B2523:$W2523)+$Y$5</f>
        <v>-51.578889182477603</v>
      </c>
      <c r="F2529" s="7">
        <f>SUMPRODUCT($C$6:$X$6,'batch tool'!$B2523:$W2523)+$Y$6</f>
        <v>-47.741473633885199</v>
      </c>
      <c r="G2529" s="7">
        <f>SUMPRODUCT($C$7:$X$7,'batch tool'!$B2523:$W2523)+$Y$7</f>
        <v>-19.739516238059196</v>
      </c>
      <c r="H2529" s="7">
        <f t="shared" si="80"/>
        <v>-19.739516238059196</v>
      </c>
      <c r="I2529">
        <f t="shared" si="81"/>
        <v>6</v>
      </c>
      <c r="J2529" t="str" cm="1">
        <f t="array" ref="J2529">INDEX($A$2:$A$7,I2529)</f>
        <v>Segment 6- Self-Conscious Male</v>
      </c>
    </row>
    <row r="2530" spans="1:10" x14ac:dyDescent="0.25">
      <c r="A2530" s="1">
        <f>'batch tool'!A2524</f>
        <v>0</v>
      </c>
      <c r="B2530" s="7">
        <f>SUMPRODUCT($C$2:$X$2,'batch tool'!$B2524:$W2524)+$Y$2</f>
        <v>-49.12272534143483</v>
      </c>
      <c r="C2530" s="7">
        <f>SUMPRODUCT($C$3:$X$3,'batch tool'!$B2524:$W2524)+$Y$3</f>
        <v>-36.514029388465531</v>
      </c>
      <c r="D2530" s="7">
        <f>SUMPRODUCT($C$4:$X$4,'batch tool'!$B2524:$W2524)+$Y$4</f>
        <v>-44.639843068043824</v>
      </c>
      <c r="E2530" s="7">
        <f>SUMPRODUCT($C$5:$X$5,'batch tool'!$B2524:$W2524)+$Y$5</f>
        <v>-51.578889182477603</v>
      </c>
      <c r="F2530" s="7">
        <f>SUMPRODUCT($C$6:$X$6,'batch tool'!$B2524:$W2524)+$Y$6</f>
        <v>-47.741473633885199</v>
      </c>
      <c r="G2530" s="7">
        <f>SUMPRODUCT($C$7:$X$7,'batch tool'!$B2524:$W2524)+$Y$7</f>
        <v>-19.739516238059196</v>
      </c>
      <c r="H2530" s="7">
        <f t="shared" si="80"/>
        <v>-19.739516238059196</v>
      </c>
      <c r="I2530">
        <f t="shared" si="81"/>
        <v>6</v>
      </c>
      <c r="J2530" t="str" cm="1">
        <f t="array" ref="J2530">INDEX($A$2:$A$7,I2530)</f>
        <v>Segment 6- Self-Conscious Male</v>
      </c>
    </row>
    <row r="2531" spans="1:10" x14ac:dyDescent="0.25">
      <c r="A2531" s="1">
        <f>'batch tool'!A2525</f>
        <v>0</v>
      </c>
      <c r="B2531" s="7">
        <f>SUMPRODUCT($C$2:$X$2,'batch tool'!$B2525:$W2525)+$Y$2</f>
        <v>-49.12272534143483</v>
      </c>
      <c r="C2531" s="7">
        <f>SUMPRODUCT($C$3:$X$3,'batch tool'!$B2525:$W2525)+$Y$3</f>
        <v>-36.514029388465531</v>
      </c>
      <c r="D2531" s="7">
        <f>SUMPRODUCT($C$4:$X$4,'batch tool'!$B2525:$W2525)+$Y$4</f>
        <v>-44.639843068043824</v>
      </c>
      <c r="E2531" s="7">
        <f>SUMPRODUCT($C$5:$X$5,'batch tool'!$B2525:$W2525)+$Y$5</f>
        <v>-51.578889182477603</v>
      </c>
      <c r="F2531" s="7">
        <f>SUMPRODUCT($C$6:$X$6,'batch tool'!$B2525:$W2525)+$Y$6</f>
        <v>-47.741473633885199</v>
      </c>
      <c r="G2531" s="7">
        <f>SUMPRODUCT($C$7:$X$7,'batch tool'!$B2525:$W2525)+$Y$7</f>
        <v>-19.739516238059196</v>
      </c>
      <c r="H2531" s="7">
        <f t="shared" si="80"/>
        <v>-19.739516238059196</v>
      </c>
      <c r="I2531">
        <f t="shared" si="81"/>
        <v>6</v>
      </c>
      <c r="J2531" t="str" cm="1">
        <f t="array" ref="J2531">INDEX($A$2:$A$7,I2531)</f>
        <v>Segment 6- Self-Conscious Male</v>
      </c>
    </row>
    <row r="2532" spans="1:10" x14ac:dyDescent="0.25">
      <c r="A2532" s="1">
        <f>'batch tool'!A2526</f>
        <v>0</v>
      </c>
      <c r="B2532" s="7">
        <f>SUMPRODUCT($C$2:$X$2,'batch tool'!$B2526:$W2526)+$Y$2</f>
        <v>-49.12272534143483</v>
      </c>
      <c r="C2532" s="7">
        <f>SUMPRODUCT($C$3:$X$3,'batch tool'!$B2526:$W2526)+$Y$3</f>
        <v>-36.514029388465531</v>
      </c>
      <c r="D2532" s="7">
        <f>SUMPRODUCT($C$4:$X$4,'batch tool'!$B2526:$W2526)+$Y$4</f>
        <v>-44.639843068043824</v>
      </c>
      <c r="E2532" s="7">
        <f>SUMPRODUCT($C$5:$X$5,'batch tool'!$B2526:$W2526)+$Y$5</f>
        <v>-51.578889182477603</v>
      </c>
      <c r="F2532" s="7">
        <f>SUMPRODUCT($C$6:$X$6,'batch tool'!$B2526:$W2526)+$Y$6</f>
        <v>-47.741473633885199</v>
      </c>
      <c r="G2532" s="7">
        <f>SUMPRODUCT($C$7:$X$7,'batch tool'!$B2526:$W2526)+$Y$7</f>
        <v>-19.739516238059196</v>
      </c>
      <c r="H2532" s="7">
        <f t="shared" si="80"/>
        <v>-19.739516238059196</v>
      </c>
      <c r="I2532">
        <f t="shared" si="81"/>
        <v>6</v>
      </c>
      <c r="J2532" t="str" cm="1">
        <f t="array" ref="J2532">INDEX($A$2:$A$7,I2532)</f>
        <v>Segment 6- Self-Conscious Male</v>
      </c>
    </row>
    <row r="2533" spans="1:10" x14ac:dyDescent="0.25">
      <c r="A2533" s="1">
        <f>'batch tool'!A2527</f>
        <v>0</v>
      </c>
      <c r="B2533" s="7">
        <f>SUMPRODUCT($C$2:$X$2,'batch tool'!$B2527:$W2527)+$Y$2</f>
        <v>-49.12272534143483</v>
      </c>
      <c r="C2533" s="7">
        <f>SUMPRODUCT($C$3:$X$3,'batch tool'!$B2527:$W2527)+$Y$3</f>
        <v>-36.514029388465531</v>
      </c>
      <c r="D2533" s="7">
        <f>SUMPRODUCT($C$4:$X$4,'batch tool'!$B2527:$W2527)+$Y$4</f>
        <v>-44.639843068043824</v>
      </c>
      <c r="E2533" s="7">
        <f>SUMPRODUCT($C$5:$X$5,'batch tool'!$B2527:$W2527)+$Y$5</f>
        <v>-51.578889182477603</v>
      </c>
      <c r="F2533" s="7">
        <f>SUMPRODUCT($C$6:$X$6,'batch tool'!$B2527:$W2527)+$Y$6</f>
        <v>-47.741473633885199</v>
      </c>
      <c r="G2533" s="7">
        <f>SUMPRODUCT($C$7:$X$7,'batch tool'!$B2527:$W2527)+$Y$7</f>
        <v>-19.739516238059196</v>
      </c>
      <c r="H2533" s="7">
        <f t="shared" si="80"/>
        <v>-19.739516238059196</v>
      </c>
      <c r="I2533">
        <f t="shared" si="81"/>
        <v>6</v>
      </c>
      <c r="J2533" t="str" cm="1">
        <f t="array" ref="J2533">INDEX($A$2:$A$7,I2533)</f>
        <v>Segment 6- Self-Conscious Male</v>
      </c>
    </row>
    <row r="2534" spans="1:10" x14ac:dyDescent="0.25">
      <c r="A2534" s="1">
        <f>'batch tool'!A2528</f>
        <v>0</v>
      </c>
      <c r="B2534" s="7">
        <f>SUMPRODUCT($C$2:$X$2,'batch tool'!$B2528:$W2528)+$Y$2</f>
        <v>-49.12272534143483</v>
      </c>
      <c r="C2534" s="7">
        <f>SUMPRODUCT($C$3:$X$3,'batch tool'!$B2528:$W2528)+$Y$3</f>
        <v>-36.514029388465531</v>
      </c>
      <c r="D2534" s="7">
        <f>SUMPRODUCT($C$4:$X$4,'batch tool'!$B2528:$W2528)+$Y$4</f>
        <v>-44.639843068043824</v>
      </c>
      <c r="E2534" s="7">
        <f>SUMPRODUCT($C$5:$X$5,'batch tool'!$B2528:$W2528)+$Y$5</f>
        <v>-51.578889182477603</v>
      </c>
      <c r="F2534" s="7">
        <f>SUMPRODUCT($C$6:$X$6,'batch tool'!$B2528:$W2528)+$Y$6</f>
        <v>-47.741473633885199</v>
      </c>
      <c r="G2534" s="7">
        <f>SUMPRODUCT($C$7:$X$7,'batch tool'!$B2528:$W2528)+$Y$7</f>
        <v>-19.739516238059196</v>
      </c>
      <c r="H2534" s="7">
        <f t="shared" si="80"/>
        <v>-19.739516238059196</v>
      </c>
      <c r="I2534">
        <f t="shared" si="81"/>
        <v>6</v>
      </c>
      <c r="J2534" t="str" cm="1">
        <f t="array" ref="J2534">INDEX($A$2:$A$7,I2534)</f>
        <v>Segment 6- Self-Conscious Male</v>
      </c>
    </row>
    <row r="2535" spans="1:10" x14ac:dyDescent="0.25">
      <c r="A2535" s="1">
        <f>'batch tool'!A2529</f>
        <v>0</v>
      </c>
      <c r="B2535" s="7">
        <f>SUMPRODUCT($C$2:$X$2,'batch tool'!$B2529:$W2529)+$Y$2</f>
        <v>-49.12272534143483</v>
      </c>
      <c r="C2535" s="7">
        <f>SUMPRODUCT($C$3:$X$3,'batch tool'!$B2529:$W2529)+$Y$3</f>
        <v>-36.514029388465531</v>
      </c>
      <c r="D2535" s="7">
        <f>SUMPRODUCT($C$4:$X$4,'batch tool'!$B2529:$W2529)+$Y$4</f>
        <v>-44.639843068043824</v>
      </c>
      <c r="E2535" s="7">
        <f>SUMPRODUCT($C$5:$X$5,'batch tool'!$B2529:$W2529)+$Y$5</f>
        <v>-51.578889182477603</v>
      </c>
      <c r="F2535" s="7">
        <f>SUMPRODUCT($C$6:$X$6,'batch tool'!$B2529:$W2529)+$Y$6</f>
        <v>-47.741473633885199</v>
      </c>
      <c r="G2535" s="7">
        <f>SUMPRODUCT($C$7:$X$7,'batch tool'!$B2529:$W2529)+$Y$7</f>
        <v>-19.739516238059196</v>
      </c>
      <c r="H2535" s="7">
        <f t="shared" si="80"/>
        <v>-19.739516238059196</v>
      </c>
      <c r="I2535">
        <f t="shared" si="81"/>
        <v>6</v>
      </c>
      <c r="J2535" t="str" cm="1">
        <f t="array" ref="J2535">INDEX($A$2:$A$7,I2535)</f>
        <v>Segment 6- Self-Conscious Male</v>
      </c>
    </row>
    <row r="2536" spans="1:10" x14ac:dyDescent="0.25">
      <c r="A2536" s="1">
        <f>'batch tool'!A2530</f>
        <v>0</v>
      </c>
      <c r="B2536" s="7">
        <f>SUMPRODUCT($C$2:$X$2,'batch tool'!$B2530:$W2530)+$Y$2</f>
        <v>-49.12272534143483</v>
      </c>
      <c r="C2536" s="7">
        <f>SUMPRODUCT($C$3:$X$3,'batch tool'!$B2530:$W2530)+$Y$3</f>
        <v>-36.514029388465531</v>
      </c>
      <c r="D2536" s="7">
        <f>SUMPRODUCT($C$4:$X$4,'batch tool'!$B2530:$W2530)+$Y$4</f>
        <v>-44.639843068043824</v>
      </c>
      <c r="E2536" s="7">
        <f>SUMPRODUCT($C$5:$X$5,'batch tool'!$B2530:$W2530)+$Y$5</f>
        <v>-51.578889182477603</v>
      </c>
      <c r="F2536" s="7">
        <f>SUMPRODUCT($C$6:$X$6,'batch tool'!$B2530:$W2530)+$Y$6</f>
        <v>-47.741473633885199</v>
      </c>
      <c r="G2536" s="7">
        <f>SUMPRODUCT($C$7:$X$7,'batch tool'!$B2530:$W2530)+$Y$7</f>
        <v>-19.739516238059196</v>
      </c>
      <c r="H2536" s="7">
        <f t="shared" si="80"/>
        <v>-19.739516238059196</v>
      </c>
      <c r="I2536">
        <f t="shared" si="81"/>
        <v>6</v>
      </c>
      <c r="J2536" t="str" cm="1">
        <f t="array" ref="J2536">INDEX($A$2:$A$7,I2536)</f>
        <v>Segment 6- Self-Conscious Male</v>
      </c>
    </row>
    <row r="2537" spans="1:10" x14ac:dyDescent="0.25">
      <c r="A2537" s="1">
        <f>'batch tool'!A2531</f>
        <v>0</v>
      </c>
      <c r="B2537" s="7">
        <f>SUMPRODUCT($C$2:$X$2,'batch tool'!$B2531:$W2531)+$Y$2</f>
        <v>-49.12272534143483</v>
      </c>
      <c r="C2537" s="7">
        <f>SUMPRODUCT($C$3:$X$3,'batch tool'!$B2531:$W2531)+$Y$3</f>
        <v>-36.514029388465531</v>
      </c>
      <c r="D2537" s="7">
        <f>SUMPRODUCT($C$4:$X$4,'batch tool'!$B2531:$W2531)+$Y$4</f>
        <v>-44.639843068043824</v>
      </c>
      <c r="E2537" s="7">
        <f>SUMPRODUCT($C$5:$X$5,'batch tool'!$B2531:$W2531)+$Y$5</f>
        <v>-51.578889182477603</v>
      </c>
      <c r="F2537" s="7">
        <f>SUMPRODUCT($C$6:$X$6,'batch tool'!$B2531:$W2531)+$Y$6</f>
        <v>-47.741473633885199</v>
      </c>
      <c r="G2537" s="7">
        <f>SUMPRODUCT($C$7:$X$7,'batch tool'!$B2531:$W2531)+$Y$7</f>
        <v>-19.739516238059196</v>
      </c>
      <c r="H2537" s="7">
        <f t="shared" si="80"/>
        <v>-19.739516238059196</v>
      </c>
      <c r="I2537">
        <f t="shared" si="81"/>
        <v>6</v>
      </c>
      <c r="J2537" t="str" cm="1">
        <f t="array" ref="J2537">INDEX($A$2:$A$7,I2537)</f>
        <v>Segment 6- Self-Conscious Male</v>
      </c>
    </row>
    <row r="2538" spans="1:10" x14ac:dyDescent="0.25">
      <c r="A2538" s="1">
        <f>'batch tool'!A2532</f>
        <v>0</v>
      </c>
      <c r="B2538" s="7">
        <f>SUMPRODUCT($C$2:$X$2,'batch tool'!$B2532:$W2532)+$Y$2</f>
        <v>-49.12272534143483</v>
      </c>
      <c r="C2538" s="7">
        <f>SUMPRODUCT($C$3:$X$3,'batch tool'!$B2532:$W2532)+$Y$3</f>
        <v>-36.514029388465531</v>
      </c>
      <c r="D2538" s="7">
        <f>SUMPRODUCT($C$4:$X$4,'batch tool'!$B2532:$W2532)+$Y$4</f>
        <v>-44.639843068043824</v>
      </c>
      <c r="E2538" s="7">
        <f>SUMPRODUCT($C$5:$X$5,'batch tool'!$B2532:$W2532)+$Y$5</f>
        <v>-51.578889182477603</v>
      </c>
      <c r="F2538" s="7">
        <f>SUMPRODUCT($C$6:$X$6,'batch tool'!$B2532:$W2532)+$Y$6</f>
        <v>-47.741473633885199</v>
      </c>
      <c r="G2538" s="7">
        <f>SUMPRODUCT($C$7:$X$7,'batch tool'!$B2532:$W2532)+$Y$7</f>
        <v>-19.739516238059196</v>
      </c>
      <c r="H2538" s="7">
        <f t="shared" si="80"/>
        <v>-19.739516238059196</v>
      </c>
      <c r="I2538">
        <f t="shared" si="81"/>
        <v>6</v>
      </c>
      <c r="J2538" t="str" cm="1">
        <f t="array" ref="J2538">INDEX($A$2:$A$7,I2538)</f>
        <v>Segment 6- Self-Conscious Male</v>
      </c>
    </row>
    <row r="2539" spans="1:10" x14ac:dyDescent="0.25">
      <c r="A2539" s="1">
        <f>'batch tool'!A2533</f>
        <v>0</v>
      </c>
      <c r="B2539" s="7">
        <f>SUMPRODUCT($C$2:$X$2,'batch tool'!$B2533:$W2533)+$Y$2</f>
        <v>-49.12272534143483</v>
      </c>
      <c r="C2539" s="7">
        <f>SUMPRODUCT($C$3:$X$3,'batch tool'!$B2533:$W2533)+$Y$3</f>
        <v>-36.514029388465531</v>
      </c>
      <c r="D2539" s="7">
        <f>SUMPRODUCT($C$4:$X$4,'batch tool'!$B2533:$W2533)+$Y$4</f>
        <v>-44.639843068043824</v>
      </c>
      <c r="E2539" s="7">
        <f>SUMPRODUCT($C$5:$X$5,'batch tool'!$B2533:$W2533)+$Y$5</f>
        <v>-51.578889182477603</v>
      </c>
      <c r="F2539" s="7">
        <f>SUMPRODUCT($C$6:$X$6,'batch tool'!$B2533:$W2533)+$Y$6</f>
        <v>-47.741473633885199</v>
      </c>
      <c r="G2539" s="7">
        <f>SUMPRODUCT($C$7:$X$7,'batch tool'!$B2533:$W2533)+$Y$7</f>
        <v>-19.739516238059196</v>
      </c>
      <c r="H2539" s="7">
        <f t="shared" si="80"/>
        <v>-19.739516238059196</v>
      </c>
      <c r="I2539">
        <f t="shared" si="81"/>
        <v>6</v>
      </c>
      <c r="J2539" t="str" cm="1">
        <f t="array" ref="J2539">INDEX($A$2:$A$7,I2539)</f>
        <v>Segment 6- Self-Conscious Male</v>
      </c>
    </row>
    <row r="2540" spans="1:10" x14ac:dyDescent="0.25">
      <c r="A2540" s="1">
        <f>'batch tool'!A2534</f>
        <v>0</v>
      </c>
      <c r="B2540" s="7">
        <f>SUMPRODUCT($C$2:$X$2,'batch tool'!$B2534:$W2534)+$Y$2</f>
        <v>-49.12272534143483</v>
      </c>
      <c r="C2540" s="7">
        <f>SUMPRODUCT($C$3:$X$3,'batch tool'!$B2534:$W2534)+$Y$3</f>
        <v>-36.514029388465531</v>
      </c>
      <c r="D2540" s="7">
        <f>SUMPRODUCT($C$4:$X$4,'batch tool'!$B2534:$W2534)+$Y$4</f>
        <v>-44.639843068043824</v>
      </c>
      <c r="E2540" s="7">
        <f>SUMPRODUCT($C$5:$X$5,'batch tool'!$B2534:$W2534)+$Y$5</f>
        <v>-51.578889182477603</v>
      </c>
      <c r="F2540" s="7">
        <f>SUMPRODUCT($C$6:$X$6,'batch tool'!$B2534:$W2534)+$Y$6</f>
        <v>-47.741473633885199</v>
      </c>
      <c r="G2540" s="7">
        <f>SUMPRODUCT($C$7:$X$7,'batch tool'!$B2534:$W2534)+$Y$7</f>
        <v>-19.739516238059196</v>
      </c>
      <c r="H2540" s="7">
        <f t="shared" si="80"/>
        <v>-19.739516238059196</v>
      </c>
      <c r="I2540">
        <f t="shared" si="81"/>
        <v>6</v>
      </c>
      <c r="J2540" t="str" cm="1">
        <f t="array" ref="J2540">INDEX($A$2:$A$7,I2540)</f>
        <v>Segment 6- Self-Conscious Male</v>
      </c>
    </row>
    <row r="2541" spans="1:10" x14ac:dyDescent="0.25">
      <c r="A2541" s="1">
        <f>'batch tool'!A2535</f>
        <v>0</v>
      </c>
      <c r="B2541" s="7">
        <f>SUMPRODUCT($C$2:$X$2,'batch tool'!$B2535:$W2535)+$Y$2</f>
        <v>-49.12272534143483</v>
      </c>
      <c r="C2541" s="7">
        <f>SUMPRODUCT($C$3:$X$3,'batch tool'!$B2535:$W2535)+$Y$3</f>
        <v>-36.514029388465531</v>
      </c>
      <c r="D2541" s="7">
        <f>SUMPRODUCT($C$4:$X$4,'batch tool'!$B2535:$W2535)+$Y$4</f>
        <v>-44.639843068043824</v>
      </c>
      <c r="E2541" s="7">
        <f>SUMPRODUCT($C$5:$X$5,'batch tool'!$B2535:$W2535)+$Y$5</f>
        <v>-51.578889182477603</v>
      </c>
      <c r="F2541" s="7">
        <f>SUMPRODUCT($C$6:$X$6,'batch tool'!$B2535:$W2535)+$Y$6</f>
        <v>-47.741473633885199</v>
      </c>
      <c r="G2541" s="7">
        <f>SUMPRODUCT($C$7:$X$7,'batch tool'!$B2535:$W2535)+$Y$7</f>
        <v>-19.739516238059196</v>
      </c>
      <c r="H2541" s="7">
        <f t="shared" si="80"/>
        <v>-19.739516238059196</v>
      </c>
      <c r="I2541">
        <f t="shared" si="81"/>
        <v>6</v>
      </c>
      <c r="J2541" t="str" cm="1">
        <f t="array" ref="J2541">INDEX($A$2:$A$7,I2541)</f>
        <v>Segment 6- Self-Conscious Male</v>
      </c>
    </row>
    <row r="2542" spans="1:10" x14ac:dyDescent="0.25">
      <c r="A2542" s="1">
        <f>'batch tool'!A2536</f>
        <v>0</v>
      </c>
      <c r="B2542" s="7">
        <f>SUMPRODUCT($C$2:$X$2,'batch tool'!$B2536:$W2536)+$Y$2</f>
        <v>-49.12272534143483</v>
      </c>
      <c r="C2542" s="7">
        <f>SUMPRODUCT($C$3:$X$3,'batch tool'!$B2536:$W2536)+$Y$3</f>
        <v>-36.514029388465531</v>
      </c>
      <c r="D2542" s="7">
        <f>SUMPRODUCT($C$4:$X$4,'batch tool'!$B2536:$W2536)+$Y$4</f>
        <v>-44.639843068043824</v>
      </c>
      <c r="E2542" s="7">
        <f>SUMPRODUCT($C$5:$X$5,'batch tool'!$B2536:$W2536)+$Y$5</f>
        <v>-51.578889182477603</v>
      </c>
      <c r="F2542" s="7">
        <f>SUMPRODUCT($C$6:$X$6,'batch tool'!$B2536:$W2536)+$Y$6</f>
        <v>-47.741473633885199</v>
      </c>
      <c r="G2542" s="7">
        <f>SUMPRODUCT($C$7:$X$7,'batch tool'!$B2536:$W2536)+$Y$7</f>
        <v>-19.739516238059196</v>
      </c>
      <c r="H2542" s="7">
        <f t="shared" si="80"/>
        <v>-19.739516238059196</v>
      </c>
      <c r="I2542">
        <f t="shared" si="81"/>
        <v>6</v>
      </c>
      <c r="J2542" t="str" cm="1">
        <f t="array" ref="J2542">INDEX($A$2:$A$7,I2542)</f>
        <v>Segment 6- Self-Conscious Male</v>
      </c>
    </row>
    <row r="2543" spans="1:10" x14ac:dyDescent="0.25">
      <c r="A2543" s="1">
        <f>'batch tool'!A2537</f>
        <v>0</v>
      </c>
      <c r="B2543" s="7">
        <f>SUMPRODUCT($C$2:$X$2,'batch tool'!$B2537:$W2537)+$Y$2</f>
        <v>-49.12272534143483</v>
      </c>
      <c r="C2543" s="7">
        <f>SUMPRODUCT($C$3:$X$3,'batch tool'!$B2537:$W2537)+$Y$3</f>
        <v>-36.514029388465531</v>
      </c>
      <c r="D2543" s="7">
        <f>SUMPRODUCT($C$4:$X$4,'batch tool'!$B2537:$W2537)+$Y$4</f>
        <v>-44.639843068043824</v>
      </c>
      <c r="E2543" s="7">
        <f>SUMPRODUCT($C$5:$X$5,'batch tool'!$B2537:$W2537)+$Y$5</f>
        <v>-51.578889182477603</v>
      </c>
      <c r="F2543" s="7">
        <f>SUMPRODUCT($C$6:$X$6,'batch tool'!$B2537:$W2537)+$Y$6</f>
        <v>-47.741473633885199</v>
      </c>
      <c r="G2543" s="7">
        <f>SUMPRODUCT($C$7:$X$7,'batch tool'!$B2537:$W2537)+$Y$7</f>
        <v>-19.739516238059196</v>
      </c>
      <c r="H2543" s="7">
        <f t="shared" si="80"/>
        <v>-19.739516238059196</v>
      </c>
      <c r="I2543">
        <f t="shared" si="81"/>
        <v>6</v>
      </c>
      <c r="J2543" t="str" cm="1">
        <f t="array" ref="J2543">INDEX($A$2:$A$7,I2543)</f>
        <v>Segment 6- Self-Conscious Male</v>
      </c>
    </row>
    <row r="2544" spans="1:10" x14ac:dyDescent="0.25">
      <c r="A2544" s="1">
        <f>'batch tool'!A2538</f>
        <v>0</v>
      </c>
      <c r="B2544" s="7">
        <f>SUMPRODUCT($C$2:$X$2,'batch tool'!$B2538:$W2538)+$Y$2</f>
        <v>-49.12272534143483</v>
      </c>
      <c r="C2544" s="7">
        <f>SUMPRODUCT($C$3:$X$3,'batch tool'!$B2538:$W2538)+$Y$3</f>
        <v>-36.514029388465531</v>
      </c>
      <c r="D2544" s="7">
        <f>SUMPRODUCT($C$4:$X$4,'batch tool'!$B2538:$W2538)+$Y$4</f>
        <v>-44.639843068043824</v>
      </c>
      <c r="E2544" s="7">
        <f>SUMPRODUCT($C$5:$X$5,'batch tool'!$B2538:$W2538)+$Y$5</f>
        <v>-51.578889182477603</v>
      </c>
      <c r="F2544" s="7">
        <f>SUMPRODUCT($C$6:$X$6,'batch tool'!$B2538:$W2538)+$Y$6</f>
        <v>-47.741473633885199</v>
      </c>
      <c r="G2544" s="7">
        <f>SUMPRODUCT($C$7:$X$7,'batch tool'!$B2538:$W2538)+$Y$7</f>
        <v>-19.739516238059196</v>
      </c>
      <c r="H2544" s="7">
        <f t="shared" si="80"/>
        <v>-19.739516238059196</v>
      </c>
      <c r="I2544">
        <f t="shared" si="81"/>
        <v>6</v>
      </c>
      <c r="J2544" t="str" cm="1">
        <f t="array" ref="J2544">INDEX($A$2:$A$7,I2544)</f>
        <v>Segment 6- Self-Conscious Male</v>
      </c>
    </row>
    <row r="2545" spans="1:10" x14ac:dyDescent="0.25">
      <c r="A2545" s="1">
        <f>'batch tool'!A2539</f>
        <v>0</v>
      </c>
      <c r="B2545" s="7">
        <f>SUMPRODUCT($C$2:$X$2,'batch tool'!$B2539:$W2539)+$Y$2</f>
        <v>-49.12272534143483</v>
      </c>
      <c r="C2545" s="7">
        <f>SUMPRODUCT($C$3:$X$3,'batch tool'!$B2539:$W2539)+$Y$3</f>
        <v>-36.514029388465531</v>
      </c>
      <c r="D2545" s="7">
        <f>SUMPRODUCT($C$4:$X$4,'batch tool'!$B2539:$W2539)+$Y$4</f>
        <v>-44.639843068043824</v>
      </c>
      <c r="E2545" s="7">
        <f>SUMPRODUCT($C$5:$X$5,'batch tool'!$B2539:$W2539)+$Y$5</f>
        <v>-51.578889182477603</v>
      </c>
      <c r="F2545" s="7">
        <f>SUMPRODUCT($C$6:$X$6,'batch tool'!$B2539:$W2539)+$Y$6</f>
        <v>-47.741473633885199</v>
      </c>
      <c r="G2545" s="7">
        <f>SUMPRODUCT($C$7:$X$7,'batch tool'!$B2539:$W2539)+$Y$7</f>
        <v>-19.739516238059196</v>
      </c>
      <c r="H2545" s="7">
        <f t="shared" si="80"/>
        <v>-19.739516238059196</v>
      </c>
      <c r="I2545">
        <f t="shared" si="81"/>
        <v>6</v>
      </c>
      <c r="J2545" t="str" cm="1">
        <f t="array" ref="J2545">INDEX($A$2:$A$7,I2545)</f>
        <v>Segment 6- Self-Conscious Male</v>
      </c>
    </row>
    <row r="2546" spans="1:10" x14ac:dyDescent="0.25">
      <c r="A2546" s="1">
        <f>'batch tool'!A2540</f>
        <v>0</v>
      </c>
      <c r="B2546" s="7">
        <f>SUMPRODUCT($C$2:$X$2,'batch tool'!$B2540:$W2540)+$Y$2</f>
        <v>-49.12272534143483</v>
      </c>
      <c r="C2546" s="7">
        <f>SUMPRODUCT($C$3:$X$3,'batch tool'!$B2540:$W2540)+$Y$3</f>
        <v>-36.514029388465531</v>
      </c>
      <c r="D2546" s="7">
        <f>SUMPRODUCT($C$4:$X$4,'batch tool'!$B2540:$W2540)+$Y$4</f>
        <v>-44.639843068043824</v>
      </c>
      <c r="E2546" s="7">
        <f>SUMPRODUCT($C$5:$X$5,'batch tool'!$B2540:$W2540)+$Y$5</f>
        <v>-51.578889182477603</v>
      </c>
      <c r="F2546" s="7">
        <f>SUMPRODUCT($C$6:$X$6,'batch tool'!$B2540:$W2540)+$Y$6</f>
        <v>-47.741473633885199</v>
      </c>
      <c r="G2546" s="7">
        <f>SUMPRODUCT($C$7:$X$7,'batch tool'!$B2540:$W2540)+$Y$7</f>
        <v>-19.739516238059196</v>
      </c>
      <c r="H2546" s="7">
        <f t="shared" si="80"/>
        <v>-19.739516238059196</v>
      </c>
      <c r="I2546">
        <f t="shared" si="81"/>
        <v>6</v>
      </c>
      <c r="J2546" t="str" cm="1">
        <f t="array" ref="J2546">INDEX($A$2:$A$7,I2546)</f>
        <v>Segment 6- Self-Conscious Male</v>
      </c>
    </row>
    <row r="2547" spans="1:10" x14ac:dyDescent="0.25">
      <c r="A2547" s="1">
        <f>'batch tool'!A2541</f>
        <v>0</v>
      </c>
      <c r="B2547" s="7">
        <f>SUMPRODUCT($C$2:$X$2,'batch tool'!$B2541:$W2541)+$Y$2</f>
        <v>-49.12272534143483</v>
      </c>
      <c r="C2547" s="7">
        <f>SUMPRODUCT($C$3:$X$3,'batch tool'!$B2541:$W2541)+$Y$3</f>
        <v>-36.514029388465531</v>
      </c>
      <c r="D2547" s="7">
        <f>SUMPRODUCT($C$4:$X$4,'batch tool'!$B2541:$W2541)+$Y$4</f>
        <v>-44.639843068043824</v>
      </c>
      <c r="E2547" s="7">
        <f>SUMPRODUCT($C$5:$X$5,'batch tool'!$B2541:$W2541)+$Y$5</f>
        <v>-51.578889182477603</v>
      </c>
      <c r="F2547" s="7">
        <f>SUMPRODUCT($C$6:$X$6,'batch tool'!$B2541:$W2541)+$Y$6</f>
        <v>-47.741473633885199</v>
      </c>
      <c r="G2547" s="7">
        <f>SUMPRODUCT($C$7:$X$7,'batch tool'!$B2541:$W2541)+$Y$7</f>
        <v>-19.739516238059196</v>
      </c>
      <c r="H2547" s="7">
        <f t="shared" si="80"/>
        <v>-19.739516238059196</v>
      </c>
      <c r="I2547">
        <f t="shared" si="81"/>
        <v>6</v>
      </c>
      <c r="J2547" t="str" cm="1">
        <f t="array" ref="J2547">INDEX($A$2:$A$7,I2547)</f>
        <v>Segment 6- Self-Conscious Male</v>
      </c>
    </row>
    <row r="2548" spans="1:10" x14ac:dyDescent="0.25">
      <c r="A2548" s="1">
        <f>'batch tool'!A2542</f>
        <v>0</v>
      </c>
      <c r="B2548" s="7">
        <f>SUMPRODUCT($C$2:$X$2,'batch tool'!$B2542:$W2542)+$Y$2</f>
        <v>-49.12272534143483</v>
      </c>
      <c r="C2548" s="7">
        <f>SUMPRODUCT($C$3:$X$3,'batch tool'!$B2542:$W2542)+$Y$3</f>
        <v>-36.514029388465531</v>
      </c>
      <c r="D2548" s="7">
        <f>SUMPRODUCT($C$4:$X$4,'batch tool'!$B2542:$W2542)+$Y$4</f>
        <v>-44.639843068043824</v>
      </c>
      <c r="E2548" s="7">
        <f>SUMPRODUCT($C$5:$X$5,'batch tool'!$B2542:$W2542)+$Y$5</f>
        <v>-51.578889182477603</v>
      </c>
      <c r="F2548" s="7">
        <f>SUMPRODUCT($C$6:$X$6,'batch tool'!$B2542:$W2542)+$Y$6</f>
        <v>-47.741473633885199</v>
      </c>
      <c r="G2548" s="7">
        <f>SUMPRODUCT($C$7:$X$7,'batch tool'!$B2542:$W2542)+$Y$7</f>
        <v>-19.739516238059196</v>
      </c>
      <c r="H2548" s="7">
        <f t="shared" si="80"/>
        <v>-19.739516238059196</v>
      </c>
      <c r="I2548">
        <f t="shared" si="81"/>
        <v>6</v>
      </c>
      <c r="J2548" t="str" cm="1">
        <f t="array" ref="J2548">INDEX($A$2:$A$7,I2548)</f>
        <v>Segment 6- Self-Conscious Male</v>
      </c>
    </row>
    <row r="2549" spans="1:10" x14ac:dyDescent="0.25">
      <c r="A2549" s="1">
        <f>'batch tool'!A2543</f>
        <v>0</v>
      </c>
      <c r="B2549" s="7">
        <f>SUMPRODUCT($C$2:$X$2,'batch tool'!$B2543:$W2543)+$Y$2</f>
        <v>-49.12272534143483</v>
      </c>
      <c r="C2549" s="7">
        <f>SUMPRODUCT($C$3:$X$3,'batch tool'!$B2543:$W2543)+$Y$3</f>
        <v>-36.514029388465531</v>
      </c>
      <c r="D2549" s="7">
        <f>SUMPRODUCT($C$4:$X$4,'batch tool'!$B2543:$W2543)+$Y$4</f>
        <v>-44.639843068043824</v>
      </c>
      <c r="E2549" s="7">
        <f>SUMPRODUCT($C$5:$X$5,'batch tool'!$B2543:$W2543)+$Y$5</f>
        <v>-51.578889182477603</v>
      </c>
      <c r="F2549" s="7">
        <f>SUMPRODUCT($C$6:$X$6,'batch tool'!$B2543:$W2543)+$Y$6</f>
        <v>-47.741473633885199</v>
      </c>
      <c r="G2549" s="7">
        <f>SUMPRODUCT($C$7:$X$7,'batch tool'!$B2543:$W2543)+$Y$7</f>
        <v>-19.739516238059196</v>
      </c>
      <c r="H2549" s="7">
        <f t="shared" si="80"/>
        <v>-19.739516238059196</v>
      </c>
      <c r="I2549">
        <f t="shared" si="81"/>
        <v>6</v>
      </c>
      <c r="J2549" t="str" cm="1">
        <f t="array" ref="J2549">INDEX($A$2:$A$7,I2549)</f>
        <v>Segment 6- Self-Conscious Male</v>
      </c>
    </row>
    <row r="2550" spans="1:10" x14ac:dyDescent="0.25">
      <c r="A2550" s="1">
        <f>'batch tool'!A2544</f>
        <v>0</v>
      </c>
      <c r="B2550" s="7">
        <f>SUMPRODUCT($C$2:$X$2,'batch tool'!$B2544:$W2544)+$Y$2</f>
        <v>-49.12272534143483</v>
      </c>
      <c r="C2550" s="7">
        <f>SUMPRODUCT($C$3:$X$3,'batch tool'!$B2544:$W2544)+$Y$3</f>
        <v>-36.514029388465531</v>
      </c>
      <c r="D2550" s="7">
        <f>SUMPRODUCT($C$4:$X$4,'batch tool'!$B2544:$W2544)+$Y$4</f>
        <v>-44.639843068043824</v>
      </c>
      <c r="E2550" s="7">
        <f>SUMPRODUCT($C$5:$X$5,'batch tool'!$B2544:$W2544)+$Y$5</f>
        <v>-51.578889182477603</v>
      </c>
      <c r="F2550" s="7">
        <f>SUMPRODUCT($C$6:$X$6,'batch tool'!$B2544:$W2544)+$Y$6</f>
        <v>-47.741473633885199</v>
      </c>
      <c r="G2550" s="7">
        <f>SUMPRODUCT($C$7:$X$7,'batch tool'!$B2544:$W2544)+$Y$7</f>
        <v>-19.739516238059196</v>
      </c>
      <c r="H2550" s="7">
        <f t="shared" si="80"/>
        <v>-19.739516238059196</v>
      </c>
      <c r="I2550">
        <f t="shared" si="81"/>
        <v>6</v>
      </c>
      <c r="J2550" t="str" cm="1">
        <f t="array" ref="J2550">INDEX($A$2:$A$7,I2550)</f>
        <v>Segment 6- Self-Conscious Male</v>
      </c>
    </row>
    <row r="2551" spans="1:10" x14ac:dyDescent="0.25">
      <c r="A2551" s="1">
        <f>'batch tool'!A2545</f>
        <v>0</v>
      </c>
      <c r="B2551" s="7">
        <f>SUMPRODUCT($C$2:$X$2,'batch tool'!$B2545:$W2545)+$Y$2</f>
        <v>-49.12272534143483</v>
      </c>
      <c r="C2551" s="7">
        <f>SUMPRODUCT($C$3:$X$3,'batch tool'!$B2545:$W2545)+$Y$3</f>
        <v>-36.514029388465531</v>
      </c>
      <c r="D2551" s="7">
        <f>SUMPRODUCT($C$4:$X$4,'batch tool'!$B2545:$W2545)+$Y$4</f>
        <v>-44.639843068043824</v>
      </c>
      <c r="E2551" s="7">
        <f>SUMPRODUCT($C$5:$X$5,'batch tool'!$B2545:$W2545)+$Y$5</f>
        <v>-51.578889182477603</v>
      </c>
      <c r="F2551" s="7">
        <f>SUMPRODUCT($C$6:$X$6,'batch tool'!$B2545:$W2545)+$Y$6</f>
        <v>-47.741473633885199</v>
      </c>
      <c r="G2551" s="7">
        <f>SUMPRODUCT($C$7:$X$7,'batch tool'!$B2545:$W2545)+$Y$7</f>
        <v>-19.739516238059196</v>
      </c>
      <c r="H2551" s="7">
        <f t="shared" si="80"/>
        <v>-19.739516238059196</v>
      </c>
      <c r="I2551">
        <f t="shared" si="81"/>
        <v>6</v>
      </c>
      <c r="J2551" t="str" cm="1">
        <f t="array" ref="J2551">INDEX($A$2:$A$7,I2551)</f>
        <v>Segment 6- Self-Conscious Male</v>
      </c>
    </row>
    <row r="2552" spans="1:10" x14ac:dyDescent="0.25">
      <c r="A2552" s="1">
        <f>'batch tool'!A2546</f>
        <v>0</v>
      </c>
      <c r="B2552" s="7">
        <f>SUMPRODUCT($C$2:$X$2,'batch tool'!$B2546:$W2546)+$Y$2</f>
        <v>-49.12272534143483</v>
      </c>
      <c r="C2552" s="7">
        <f>SUMPRODUCT($C$3:$X$3,'batch tool'!$B2546:$W2546)+$Y$3</f>
        <v>-36.514029388465531</v>
      </c>
      <c r="D2552" s="7">
        <f>SUMPRODUCT($C$4:$X$4,'batch tool'!$B2546:$W2546)+$Y$4</f>
        <v>-44.639843068043824</v>
      </c>
      <c r="E2552" s="7">
        <f>SUMPRODUCT($C$5:$X$5,'batch tool'!$B2546:$W2546)+$Y$5</f>
        <v>-51.578889182477603</v>
      </c>
      <c r="F2552" s="7">
        <f>SUMPRODUCT($C$6:$X$6,'batch tool'!$B2546:$W2546)+$Y$6</f>
        <v>-47.741473633885199</v>
      </c>
      <c r="G2552" s="7">
        <f>SUMPRODUCT($C$7:$X$7,'batch tool'!$B2546:$W2546)+$Y$7</f>
        <v>-19.739516238059196</v>
      </c>
      <c r="H2552" s="7">
        <f t="shared" si="80"/>
        <v>-19.739516238059196</v>
      </c>
      <c r="I2552">
        <f t="shared" si="81"/>
        <v>6</v>
      </c>
      <c r="J2552" t="str" cm="1">
        <f t="array" ref="J2552">INDEX($A$2:$A$7,I2552)</f>
        <v>Segment 6- Self-Conscious Male</v>
      </c>
    </row>
    <row r="2553" spans="1:10" x14ac:dyDescent="0.25">
      <c r="A2553" s="1">
        <f>'batch tool'!A2547</f>
        <v>0</v>
      </c>
      <c r="B2553" s="7">
        <f>SUMPRODUCT($C$2:$X$2,'batch tool'!$B2547:$W2547)+$Y$2</f>
        <v>-49.12272534143483</v>
      </c>
      <c r="C2553" s="7">
        <f>SUMPRODUCT($C$3:$X$3,'batch tool'!$B2547:$W2547)+$Y$3</f>
        <v>-36.514029388465531</v>
      </c>
      <c r="D2553" s="7">
        <f>SUMPRODUCT($C$4:$X$4,'batch tool'!$B2547:$W2547)+$Y$4</f>
        <v>-44.639843068043824</v>
      </c>
      <c r="E2553" s="7">
        <f>SUMPRODUCT($C$5:$X$5,'batch tool'!$B2547:$W2547)+$Y$5</f>
        <v>-51.578889182477603</v>
      </c>
      <c r="F2553" s="7">
        <f>SUMPRODUCT($C$6:$X$6,'batch tool'!$B2547:$W2547)+$Y$6</f>
        <v>-47.741473633885199</v>
      </c>
      <c r="G2553" s="7">
        <f>SUMPRODUCT($C$7:$X$7,'batch tool'!$B2547:$W2547)+$Y$7</f>
        <v>-19.739516238059196</v>
      </c>
      <c r="H2553" s="7">
        <f t="shared" si="80"/>
        <v>-19.739516238059196</v>
      </c>
      <c r="I2553">
        <f t="shared" si="81"/>
        <v>6</v>
      </c>
      <c r="J2553" t="str" cm="1">
        <f t="array" ref="J2553">INDEX($A$2:$A$7,I2553)</f>
        <v>Segment 6- Self-Conscious Male</v>
      </c>
    </row>
    <row r="2554" spans="1:10" x14ac:dyDescent="0.25">
      <c r="A2554" s="1">
        <f>'batch tool'!A2548</f>
        <v>0</v>
      </c>
      <c r="B2554" s="7">
        <f>SUMPRODUCT($C$2:$X$2,'batch tool'!$B2548:$W2548)+$Y$2</f>
        <v>-49.12272534143483</v>
      </c>
      <c r="C2554" s="7">
        <f>SUMPRODUCT($C$3:$X$3,'batch tool'!$B2548:$W2548)+$Y$3</f>
        <v>-36.514029388465531</v>
      </c>
      <c r="D2554" s="7">
        <f>SUMPRODUCT($C$4:$X$4,'batch tool'!$B2548:$W2548)+$Y$4</f>
        <v>-44.639843068043824</v>
      </c>
      <c r="E2554" s="7">
        <f>SUMPRODUCT($C$5:$X$5,'batch tool'!$B2548:$W2548)+$Y$5</f>
        <v>-51.578889182477603</v>
      </c>
      <c r="F2554" s="7">
        <f>SUMPRODUCT($C$6:$X$6,'batch tool'!$B2548:$W2548)+$Y$6</f>
        <v>-47.741473633885199</v>
      </c>
      <c r="G2554" s="7">
        <f>SUMPRODUCT($C$7:$X$7,'batch tool'!$B2548:$W2548)+$Y$7</f>
        <v>-19.739516238059196</v>
      </c>
      <c r="H2554" s="7">
        <f t="shared" si="80"/>
        <v>-19.739516238059196</v>
      </c>
      <c r="I2554">
        <f t="shared" si="81"/>
        <v>6</v>
      </c>
      <c r="J2554" t="str" cm="1">
        <f t="array" ref="J2554">INDEX($A$2:$A$7,I2554)</f>
        <v>Segment 6- Self-Conscious Male</v>
      </c>
    </row>
    <row r="2555" spans="1:10" x14ac:dyDescent="0.25">
      <c r="A2555" s="1">
        <f>'batch tool'!A2549</f>
        <v>0</v>
      </c>
      <c r="B2555" s="7">
        <f>SUMPRODUCT($C$2:$X$2,'batch tool'!$B2549:$W2549)+$Y$2</f>
        <v>-49.12272534143483</v>
      </c>
      <c r="C2555" s="7">
        <f>SUMPRODUCT($C$3:$X$3,'batch tool'!$B2549:$W2549)+$Y$3</f>
        <v>-36.514029388465531</v>
      </c>
      <c r="D2555" s="7">
        <f>SUMPRODUCT($C$4:$X$4,'batch tool'!$B2549:$W2549)+$Y$4</f>
        <v>-44.639843068043824</v>
      </c>
      <c r="E2555" s="7">
        <f>SUMPRODUCT($C$5:$X$5,'batch tool'!$B2549:$W2549)+$Y$5</f>
        <v>-51.578889182477603</v>
      </c>
      <c r="F2555" s="7">
        <f>SUMPRODUCT($C$6:$X$6,'batch tool'!$B2549:$W2549)+$Y$6</f>
        <v>-47.741473633885199</v>
      </c>
      <c r="G2555" s="7">
        <f>SUMPRODUCT($C$7:$X$7,'batch tool'!$B2549:$W2549)+$Y$7</f>
        <v>-19.739516238059196</v>
      </c>
      <c r="H2555" s="7">
        <f t="shared" si="80"/>
        <v>-19.739516238059196</v>
      </c>
      <c r="I2555">
        <f t="shared" si="81"/>
        <v>6</v>
      </c>
      <c r="J2555" t="str" cm="1">
        <f t="array" ref="J2555">INDEX($A$2:$A$7,I2555)</f>
        <v>Segment 6- Self-Conscious Male</v>
      </c>
    </row>
    <row r="2556" spans="1:10" x14ac:dyDescent="0.25">
      <c r="A2556" s="1">
        <f>'batch tool'!A2550</f>
        <v>0</v>
      </c>
      <c r="B2556" s="7">
        <f>SUMPRODUCT($C$2:$X$2,'batch tool'!$B2550:$W2550)+$Y$2</f>
        <v>-49.12272534143483</v>
      </c>
      <c r="C2556" s="7">
        <f>SUMPRODUCT($C$3:$X$3,'batch tool'!$B2550:$W2550)+$Y$3</f>
        <v>-36.514029388465531</v>
      </c>
      <c r="D2556" s="7">
        <f>SUMPRODUCT($C$4:$X$4,'batch tool'!$B2550:$W2550)+$Y$4</f>
        <v>-44.639843068043824</v>
      </c>
      <c r="E2556" s="7">
        <f>SUMPRODUCT($C$5:$X$5,'batch tool'!$B2550:$W2550)+$Y$5</f>
        <v>-51.578889182477603</v>
      </c>
      <c r="F2556" s="7">
        <f>SUMPRODUCT($C$6:$X$6,'batch tool'!$B2550:$W2550)+$Y$6</f>
        <v>-47.741473633885199</v>
      </c>
      <c r="G2556" s="7">
        <f>SUMPRODUCT($C$7:$X$7,'batch tool'!$B2550:$W2550)+$Y$7</f>
        <v>-19.739516238059196</v>
      </c>
      <c r="H2556" s="7">
        <f t="shared" si="80"/>
        <v>-19.739516238059196</v>
      </c>
      <c r="I2556">
        <f t="shared" si="81"/>
        <v>6</v>
      </c>
      <c r="J2556" t="str" cm="1">
        <f t="array" ref="J2556">INDEX($A$2:$A$7,I2556)</f>
        <v>Segment 6- Self-Conscious Male</v>
      </c>
    </row>
    <row r="2557" spans="1:10" x14ac:dyDescent="0.25">
      <c r="A2557" s="1">
        <f>'batch tool'!A2551</f>
        <v>0</v>
      </c>
      <c r="B2557" s="7">
        <f>SUMPRODUCT($C$2:$X$2,'batch tool'!$B2551:$W2551)+$Y$2</f>
        <v>-49.12272534143483</v>
      </c>
      <c r="C2557" s="7">
        <f>SUMPRODUCT($C$3:$X$3,'batch tool'!$B2551:$W2551)+$Y$3</f>
        <v>-36.514029388465531</v>
      </c>
      <c r="D2557" s="7">
        <f>SUMPRODUCT($C$4:$X$4,'batch tool'!$B2551:$W2551)+$Y$4</f>
        <v>-44.639843068043824</v>
      </c>
      <c r="E2557" s="7">
        <f>SUMPRODUCT($C$5:$X$5,'batch tool'!$B2551:$W2551)+$Y$5</f>
        <v>-51.578889182477603</v>
      </c>
      <c r="F2557" s="7">
        <f>SUMPRODUCT($C$6:$X$6,'batch tool'!$B2551:$W2551)+$Y$6</f>
        <v>-47.741473633885199</v>
      </c>
      <c r="G2557" s="7">
        <f>SUMPRODUCT($C$7:$X$7,'batch tool'!$B2551:$W2551)+$Y$7</f>
        <v>-19.739516238059196</v>
      </c>
      <c r="H2557" s="7">
        <f t="shared" si="80"/>
        <v>-19.739516238059196</v>
      </c>
      <c r="I2557">
        <f t="shared" si="81"/>
        <v>6</v>
      </c>
      <c r="J2557" t="str" cm="1">
        <f t="array" ref="J2557">INDEX($A$2:$A$7,I2557)</f>
        <v>Segment 6- Self-Conscious Male</v>
      </c>
    </row>
    <row r="2558" spans="1:10" x14ac:dyDescent="0.25">
      <c r="A2558" s="1">
        <f>'batch tool'!A2552</f>
        <v>0</v>
      </c>
      <c r="B2558" s="7">
        <f>SUMPRODUCT($C$2:$X$2,'batch tool'!$B2552:$W2552)+$Y$2</f>
        <v>-49.12272534143483</v>
      </c>
      <c r="C2558" s="7">
        <f>SUMPRODUCT($C$3:$X$3,'batch tool'!$B2552:$W2552)+$Y$3</f>
        <v>-36.514029388465531</v>
      </c>
      <c r="D2558" s="7">
        <f>SUMPRODUCT($C$4:$X$4,'batch tool'!$B2552:$W2552)+$Y$4</f>
        <v>-44.639843068043824</v>
      </c>
      <c r="E2558" s="7">
        <f>SUMPRODUCT($C$5:$X$5,'batch tool'!$B2552:$W2552)+$Y$5</f>
        <v>-51.578889182477603</v>
      </c>
      <c r="F2558" s="7">
        <f>SUMPRODUCT($C$6:$X$6,'batch tool'!$B2552:$W2552)+$Y$6</f>
        <v>-47.741473633885199</v>
      </c>
      <c r="G2558" s="7">
        <f>SUMPRODUCT($C$7:$X$7,'batch tool'!$B2552:$W2552)+$Y$7</f>
        <v>-19.739516238059196</v>
      </c>
      <c r="H2558" s="7">
        <f t="shared" si="80"/>
        <v>-19.739516238059196</v>
      </c>
      <c r="I2558">
        <f t="shared" si="81"/>
        <v>6</v>
      </c>
      <c r="J2558" t="str" cm="1">
        <f t="array" ref="J2558">INDEX($A$2:$A$7,I2558)</f>
        <v>Segment 6- Self-Conscious Male</v>
      </c>
    </row>
    <row r="2559" spans="1:10" x14ac:dyDescent="0.25">
      <c r="A2559" s="1">
        <f>'batch tool'!A2553</f>
        <v>0</v>
      </c>
      <c r="B2559" s="7">
        <f>SUMPRODUCT($C$2:$X$2,'batch tool'!$B2553:$W2553)+$Y$2</f>
        <v>-49.12272534143483</v>
      </c>
      <c r="C2559" s="7">
        <f>SUMPRODUCT($C$3:$X$3,'batch tool'!$B2553:$W2553)+$Y$3</f>
        <v>-36.514029388465531</v>
      </c>
      <c r="D2559" s="7">
        <f>SUMPRODUCT($C$4:$X$4,'batch tool'!$B2553:$W2553)+$Y$4</f>
        <v>-44.639843068043824</v>
      </c>
      <c r="E2559" s="7">
        <f>SUMPRODUCT($C$5:$X$5,'batch tool'!$B2553:$W2553)+$Y$5</f>
        <v>-51.578889182477603</v>
      </c>
      <c r="F2559" s="7">
        <f>SUMPRODUCT($C$6:$X$6,'batch tool'!$B2553:$W2553)+$Y$6</f>
        <v>-47.741473633885199</v>
      </c>
      <c r="G2559" s="7">
        <f>SUMPRODUCT($C$7:$X$7,'batch tool'!$B2553:$W2553)+$Y$7</f>
        <v>-19.739516238059196</v>
      </c>
      <c r="H2559" s="7">
        <f t="shared" si="80"/>
        <v>-19.739516238059196</v>
      </c>
      <c r="I2559">
        <f t="shared" si="81"/>
        <v>6</v>
      </c>
      <c r="J2559" t="str" cm="1">
        <f t="array" ref="J2559">INDEX($A$2:$A$7,I2559)</f>
        <v>Segment 6- Self-Conscious Male</v>
      </c>
    </row>
    <row r="2560" spans="1:10" x14ac:dyDescent="0.25">
      <c r="A2560" s="1">
        <f>'batch tool'!A2554</f>
        <v>0</v>
      </c>
      <c r="B2560" s="7">
        <f>SUMPRODUCT($C$2:$X$2,'batch tool'!$B2554:$W2554)+$Y$2</f>
        <v>-49.12272534143483</v>
      </c>
      <c r="C2560" s="7">
        <f>SUMPRODUCT($C$3:$X$3,'batch tool'!$B2554:$W2554)+$Y$3</f>
        <v>-36.514029388465531</v>
      </c>
      <c r="D2560" s="7">
        <f>SUMPRODUCT($C$4:$X$4,'batch tool'!$B2554:$W2554)+$Y$4</f>
        <v>-44.639843068043824</v>
      </c>
      <c r="E2560" s="7">
        <f>SUMPRODUCT($C$5:$X$5,'batch tool'!$B2554:$W2554)+$Y$5</f>
        <v>-51.578889182477603</v>
      </c>
      <c r="F2560" s="7">
        <f>SUMPRODUCT($C$6:$X$6,'batch tool'!$B2554:$W2554)+$Y$6</f>
        <v>-47.741473633885199</v>
      </c>
      <c r="G2560" s="7">
        <f>SUMPRODUCT($C$7:$X$7,'batch tool'!$B2554:$W2554)+$Y$7</f>
        <v>-19.739516238059196</v>
      </c>
      <c r="H2560" s="7">
        <f t="shared" si="80"/>
        <v>-19.739516238059196</v>
      </c>
      <c r="I2560">
        <f t="shared" si="81"/>
        <v>6</v>
      </c>
      <c r="J2560" t="str" cm="1">
        <f t="array" ref="J2560">INDEX($A$2:$A$7,I2560)</f>
        <v>Segment 6- Self-Conscious Male</v>
      </c>
    </row>
    <row r="2561" spans="1:10" x14ac:dyDescent="0.25">
      <c r="A2561" s="1">
        <f>'batch tool'!A2555</f>
        <v>0</v>
      </c>
      <c r="B2561" s="7">
        <f>SUMPRODUCT($C$2:$X$2,'batch tool'!$B2555:$W2555)+$Y$2</f>
        <v>-49.12272534143483</v>
      </c>
      <c r="C2561" s="7">
        <f>SUMPRODUCT($C$3:$X$3,'batch tool'!$B2555:$W2555)+$Y$3</f>
        <v>-36.514029388465531</v>
      </c>
      <c r="D2561" s="7">
        <f>SUMPRODUCT($C$4:$X$4,'batch tool'!$B2555:$W2555)+$Y$4</f>
        <v>-44.639843068043824</v>
      </c>
      <c r="E2561" s="7">
        <f>SUMPRODUCT($C$5:$X$5,'batch tool'!$B2555:$W2555)+$Y$5</f>
        <v>-51.578889182477603</v>
      </c>
      <c r="F2561" s="7">
        <f>SUMPRODUCT($C$6:$X$6,'batch tool'!$B2555:$W2555)+$Y$6</f>
        <v>-47.741473633885199</v>
      </c>
      <c r="G2561" s="7">
        <f>SUMPRODUCT($C$7:$X$7,'batch tool'!$B2555:$W2555)+$Y$7</f>
        <v>-19.739516238059196</v>
      </c>
      <c r="H2561" s="7">
        <f t="shared" si="80"/>
        <v>-19.739516238059196</v>
      </c>
      <c r="I2561">
        <f t="shared" si="81"/>
        <v>6</v>
      </c>
      <c r="J2561" t="str" cm="1">
        <f t="array" ref="J2561">INDEX($A$2:$A$7,I2561)</f>
        <v>Segment 6- Self-Conscious Male</v>
      </c>
    </row>
    <row r="2562" spans="1:10" x14ac:dyDescent="0.25">
      <c r="A2562" s="1">
        <f>'batch tool'!A2556</f>
        <v>0</v>
      </c>
      <c r="B2562" s="7">
        <f>SUMPRODUCT($C$2:$X$2,'batch tool'!$B2556:$W2556)+$Y$2</f>
        <v>-49.12272534143483</v>
      </c>
      <c r="C2562" s="7">
        <f>SUMPRODUCT($C$3:$X$3,'batch tool'!$B2556:$W2556)+$Y$3</f>
        <v>-36.514029388465531</v>
      </c>
      <c r="D2562" s="7">
        <f>SUMPRODUCT($C$4:$X$4,'batch tool'!$B2556:$W2556)+$Y$4</f>
        <v>-44.639843068043824</v>
      </c>
      <c r="E2562" s="7">
        <f>SUMPRODUCT($C$5:$X$5,'batch tool'!$B2556:$W2556)+$Y$5</f>
        <v>-51.578889182477603</v>
      </c>
      <c r="F2562" s="7">
        <f>SUMPRODUCT($C$6:$X$6,'batch tool'!$B2556:$W2556)+$Y$6</f>
        <v>-47.741473633885199</v>
      </c>
      <c r="G2562" s="7">
        <f>SUMPRODUCT($C$7:$X$7,'batch tool'!$B2556:$W2556)+$Y$7</f>
        <v>-19.739516238059196</v>
      </c>
      <c r="H2562" s="7">
        <f t="shared" si="80"/>
        <v>-19.739516238059196</v>
      </c>
      <c r="I2562">
        <f t="shared" si="81"/>
        <v>6</v>
      </c>
      <c r="J2562" t="str" cm="1">
        <f t="array" ref="J2562">INDEX($A$2:$A$7,I2562)</f>
        <v>Segment 6- Self-Conscious Male</v>
      </c>
    </row>
    <row r="2563" spans="1:10" x14ac:dyDescent="0.25">
      <c r="A2563" s="1">
        <f>'batch tool'!A2557</f>
        <v>0</v>
      </c>
      <c r="B2563" s="7">
        <f>SUMPRODUCT($C$2:$X$2,'batch tool'!$B2557:$W2557)+$Y$2</f>
        <v>-49.12272534143483</v>
      </c>
      <c r="C2563" s="7">
        <f>SUMPRODUCT($C$3:$X$3,'batch tool'!$B2557:$W2557)+$Y$3</f>
        <v>-36.514029388465531</v>
      </c>
      <c r="D2563" s="7">
        <f>SUMPRODUCT($C$4:$X$4,'batch tool'!$B2557:$W2557)+$Y$4</f>
        <v>-44.639843068043824</v>
      </c>
      <c r="E2563" s="7">
        <f>SUMPRODUCT($C$5:$X$5,'batch tool'!$B2557:$W2557)+$Y$5</f>
        <v>-51.578889182477603</v>
      </c>
      <c r="F2563" s="7">
        <f>SUMPRODUCT($C$6:$X$6,'batch tool'!$B2557:$W2557)+$Y$6</f>
        <v>-47.741473633885199</v>
      </c>
      <c r="G2563" s="7">
        <f>SUMPRODUCT($C$7:$X$7,'batch tool'!$B2557:$W2557)+$Y$7</f>
        <v>-19.739516238059196</v>
      </c>
      <c r="H2563" s="7">
        <f t="shared" si="80"/>
        <v>-19.739516238059196</v>
      </c>
      <c r="I2563">
        <f t="shared" si="81"/>
        <v>6</v>
      </c>
      <c r="J2563" t="str" cm="1">
        <f t="array" ref="J2563">INDEX($A$2:$A$7,I2563)</f>
        <v>Segment 6- Self-Conscious Male</v>
      </c>
    </row>
    <row r="2564" spans="1:10" x14ac:dyDescent="0.25">
      <c r="A2564" s="1">
        <f>'batch tool'!A2558</f>
        <v>0</v>
      </c>
      <c r="B2564" s="7">
        <f>SUMPRODUCT($C$2:$X$2,'batch tool'!$B2558:$W2558)+$Y$2</f>
        <v>-49.12272534143483</v>
      </c>
      <c r="C2564" s="7">
        <f>SUMPRODUCT($C$3:$X$3,'batch tool'!$B2558:$W2558)+$Y$3</f>
        <v>-36.514029388465531</v>
      </c>
      <c r="D2564" s="7">
        <f>SUMPRODUCT($C$4:$X$4,'batch tool'!$B2558:$W2558)+$Y$4</f>
        <v>-44.639843068043824</v>
      </c>
      <c r="E2564" s="7">
        <f>SUMPRODUCT($C$5:$X$5,'batch tool'!$B2558:$W2558)+$Y$5</f>
        <v>-51.578889182477603</v>
      </c>
      <c r="F2564" s="7">
        <f>SUMPRODUCT($C$6:$X$6,'batch tool'!$B2558:$W2558)+$Y$6</f>
        <v>-47.741473633885199</v>
      </c>
      <c r="G2564" s="7">
        <f>SUMPRODUCT($C$7:$X$7,'batch tool'!$B2558:$W2558)+$Y$7</f>
        <v>-19.739516238059196</v>
      </c>
      <c r="H2564" s="7">
        <f t="shared" si="80"/>
        <v>-19.739516238059196</v>
      </c>
      <c r="I2564">
        <f t="shared" si="81"/>
        <v>6</v>
      </c>
      <c r="J2564" t="str" cm="1">
        <f t="array" ref="J2564">INDEX($A$2:$A$7,I2564)</f>
        <v>Segment 6- Self-Conscious Male</v>
      </c>
    </row>
    <row r="2565" spans="1:10" x14ac:dyDescent="0.25">
      <c r="A2565" s="1">
        <f>'batch tool'!A2559</f>
        <v>0</v>
      </c>
      <c r="B2565" s="7">
        <f>SUMPRODUCT($C$2:$X$2,'batch tool'!$B2559:$W2559)+$Y$2</f>
        <v>-49.12272534143483</v>
      </c>
      <c r="C2565" s="7">
        <f>SUMPRODUCT($C$3:$X$3,'batch tool'!$B2559:$W2559)+$Y$3</f>
        <v>-36.514029388465531</v>
      </c>
      <c r="D2565" s="7">
        <f>SUMPRODUCT($C$4:$X$4,'batch tool'!$B2559:$W2559)+$Y$4</f>
        <v>-44.639843068043824</v>
      </c>
      <c r="E2565" s="7">
        <f>SUMPRODUCT($C$5:$X$5,'batch tool'!$B2559:$W2559)+$Y$5</f>
        <v>-51.578889182477603</v>
      </c>
      <c r="F2565" s="7">
        <f>SUMPRODUCT($C$6:$X$6,'batch tool'!$B2559:$W2559)+$Y$6</f>
        <v>-47.741473633885199</v>
      </c>
      <c r="G2565" s="7">
        <f>SUMPRODUCT($C$7:$X$7,'batch tool'!$B2559:$W2559)+$Y$7</f>
        <v>-19.739516238059196</v>
      </c>
      <c r="H2565" s="7">
        <f t="shared" si="80"/>
        <v>-19.739516238059196</v>
      </c>
      <c r="I2565">
        <f t="shared" si="81"/>
        <v>6</v>
      </c>
      <c r="J2565" t="str" cm="1">
        <f t="array" ref="J2565">INDEX($A$2:$A$7,I2565)</f>
        <v>Segment 6- Self-Conscious Male</v>
      </c>
    </row>
    <row r="2566" spans="1:10" x14ac:dyDescent="0.25">
      <c r="A2566" s="1">
        <f>'batch tool'!A2560</f>
        <v>0</v>
      </c>
      <c r="B2566" s="7">
        <f>SUMPRODUCT($C$2:$X$2,'batch tool'!$B2560:$W2560)+$Y$2</f>
        <v>-49.12272534143483</v>
      </c>
      <c r="C2566" s="7">
        <f>SUMPRODUCT($C$3:$X$3,'batch tool'!$B2560:$W2560)+$Y$3</f>
        <v>-36.514029388465531</v>
      </c>
      <c r="D2566" s="7">
        <f>SUMPRODUCT($C$4:$X$4,'batch tool'!$B2560:$W2560)+$Y$4</f>
        <v>-44.639843068043824</v>
      </c>
      <c r="E2566" s="7">
        <f>SUMPRODUCT($C$5:$X$5,'batch tool'!$B2560:$W2560)+$Y$5</f>
        <v>-51.578889182477603</v>
      </c>
      <c r="F2566" s="7">
        <f>SUMPRODUCT($C$6:$X$6,'batch tool'!$B2560:$W2560)+$Y$6</f>
        <v>-47.741473633885199</v>
      </c>
      <c r="G2566" s="7">
        <f>SUMPRODUCT($C$7:$X$7,'batch tool'!$B2560:$W2560)+$Y$7</f>
        <v>-19.739516238059196</v>
      </c>
      <c r="H2566" s="7">
        <f t="shared" si="80"/>
        <v>-19.739516238059196</v>
      </c>
      <c r="I2566">
        <f t="shared" si="81"/>
        <v>6</v>
      </c>
      <c r="J2566" t="str" cm="1">
        <f t="array" ref="J2566">INDEX($A$2:$A$7,I2566)</f>
        <v>Segment 6- Self-Conscious Male</v>
      </c>
    </row>
    <row r="2567" spans="1:10" x14ac:dyDescent="0.25">
      <c r="A2567" s="1">
        <f>'batch tool'!A2561</f>
        <v>0</v>
      </c>
      <c r="B2567" s="7">
        <f>SUMPRODUCT($C$2:$X$2,'batch tool'!$B2561:$W2561)+$Y$2</f>
        <v>-49.12272534143483</v>
      </c>
      <c r="C2567" s="7">
        <f>SUMPRODUCT($C$3:$X$3,'batch tool'!$B2561:$W2561)+$Y$3</f>
        <v>-36.514029388465531</v>
      </c>
      <c r="D2567" s="7">
        <f>SUMPRODUCT($C$4:$X$4,'batch tool'!$B2561:$W2561)+$Y$4</f>
        <v>-44.639843068043824</v>
      </c>
      <c r="E2567" s="7">
        <f>SUMPRODUCT($C$5:$X$5,'batch tool'!$B2561:$W2561)+$Y$5</f>
        <v>-51.578889182477603</v>
      </c>
      <c r="F2567" s="7">
        <f>SUMPRODUCT($C$6:$X$6,'batch tool'!$B2561:$W2561)+$Y$6</f>
        <v>-47.741473633885199</v>
      </c>
      <c r="G2567" s="7">
        <f>SUMPRODUCT($C$7:$X$7,'batch tool'!$B2561:$W2561)+$Y$7</f>
        <v>-19.739516238059196</v>
      </c>
      <c r="H2567" s="7">
        <f t="shared" si="80"/>
        <v>-19.739516238059196</v>
      </c>
      <c r="I2567">
        <f t="shared" si="81"/>
        <v>6</v>
      </c>
      <c r="J2567" t="str" cm="1">
        <f t="array" ref="J2567">INDEX($A$2:$A$7,I2567)</f>
        <v>Segment 6- Self-Conscious Male</v>
      </c>
    </row>
    <row r="2568" spans="1:10" x14ac:dyDescent="0.25">
      <c r="A2568" s="1">
        <f>'batch tool'!A2562</f>
        <v>0</v>
      </c>
      <c r="B2568" s="7">
        <f>SUMPRODUCT($C$2:$X$2,'batch tool'!$B2562:$W2562)+$Y$2</f>
        <v>-49.12272534143483</v>
      </c>
      <c r="C2568" s="7">
        <f>SUMPRODUCT($C$3:$X$3,'batch tool'!$B2562:$W2562)+$Y$3</f>
        <v>-36.514029388465531</v>
      </c>
      <c r="D2568" s="7">
        <f>SUMPRODUCT($C$4:$X$4,'batch tool'!$B2562:$W2562)+$Y$4</f>
        <v>-44.639843068043824</v>
      </c>
      <c r="E2568" s="7">
        <f>SUMPRODUCT($C$5:$X$5,'batch tool'!$B2562:$W2562)+$Y$5</f>
        <v>-51.578889182477603</v>
      </c>
      <c r="F2568" s="7">
        <f>SUMPRODUCT($C$6:$X$6,'batch tool'!$B2562:$W2562)+$Y$6</f>
        <v>-47.741473633885199</v>
      </c>
      <c r="G2568" s="7">
        <f>SUMPRODUCT($C$7:$X$7,'batch tool'!$B2562:$W2562)+$Y$7</f>
        <v>-19.739516238059196</v>
      </c>
      <c r="H2568" s="7">
        <f t="shared" si="80"/>
        <v>-19.739516238059196</v>
      </c>
      <c r="I2568">
        <f t="shared" si="81"/>
        <v>6</v>
      </c>
      <c r="J2568" t="str" cm="1">
        <f t="array" ref="J2568">INDEX($A$2:$A$7,I2568)</f>
        <v>Segment 6- Self-Conscious Male</v>
      </c>
    </row>
    <row r="2569" spans="1:10" x14ac:dyDescent="0.25">
      <c r="A2569" s="1">
        <f>'batch tool'!A2563</f>
        <v>0</v>
      </c>
      <c r="B2569" s="7">
        <f>SUMPRODUCT($C$2:$X$2,'batch tool'!$B2563:$W2563)+$Y$2</f>
        <v>-49.12272534143483</v>
      </c>
      <c r="C2569" s="7">
        <f>SUMPRODUCT($C$3:$X$3,'batch tool'!$B2563:$W2563)+$Y$3</f>
        <v>-36.514029388465531</v>
      </c>
      <c r="D2569" s="7">
        <f>SUMPRODUCT($C$4:$X$4,'batch tool'!$B2563:$W2563)+$Y$4</f>
        <v>-44.639843068043824</v>
      </c>
      <c r="E2569" s="7">
        <f>SUMPRODUCT($C$5:$X$5,'batch tool'!$B2563:$W2563)+$Y$5</f>
        <v>-51.578889182477603</v>
      </c>
      <c r="F2569" s="7">
        <f>SUMPRODUCT($C$6:$X$6,'batch tool'!$B2563:$W2563)+$Y$6</f>
        <v>-47.741473633885199</v>
      </c>
      <c r="G2569" s="7">
        <f>SUMPRODUCT($C$7:$X$7,'batch tool'!$B2563:$W2563)+$Y$7</f>
        <v>-19.739516238059196</v>
      </c>
      <c r="H2569" s="7">
        <f t="shared" si="80"/>
        <v>-19.739516238059196</v>
      </c>
      <c r="I2569">
        <f t="shared" si="81"/>
        <v>6</v>
      </c>
      <c r="J2569" t="str" cm="1">
        <f t="array" ref="J2569">INDEX($A$2:$A$7,I2569)</f>
        <v>Segment 6- Self-Conscious Male</v>
      </c>
    </row>
    <row r="2570" spans="1:10" x14ac:dyDescent="0.25">
      <c r="A2570" s="1">
        <f>'batch tool'!A2564</f>
        <v>0</v>
      </c>
      <c r="B2570" s="7">
        <f>SUMPRODUCT($C$2:$X$2,'batch tool'!$B2564:$W2564)+$Y$2</f>
        <v>-49.12272534143483</v>
      </c>
      <c r="C2570" s="7">
        <f>SUMPRODUCT($C$3:$X$3,'batch tool'!$B2564:$W2564)+$Y$3</f>
        <v>-36.514029388465531</v>
      </c>
      <c r="D2570" s="7">
        <f>SUMPRODUCT($C$4:$X$4,'batch tool'!$B2564:$W2564)+$Y$4</f>
        <v>-44.639843068043824</v>
      </c>
      <c r="E2570" s="7">
        <f>SUMPRODUCT($C$5:$X$5,'batch tool'!$B2564:$W2564)+$Y$5</f>
        <v>-51.578889182477603</v>
      </c>
      <c r="F2570" s="7">
        <f>SUMPRODUCT($C$6:$X$6,'batch tool'!$B2564:$W2564)+$Y$6</f>
        <v>-47.741473633885199</v>
      </c>
      <c r="G2570" s="7">
        <f>SUMPRODUCT($C$7:$X$7,'batch tool'!$B2564:$W2564)+$Y$7</f>
        <v>-19.739516238059196</v>
      </c>
      <c r="H2570" s="7">
        <f t="shared" si="80"/>
        <v>-19.739516238059196</v>
      </c>
      <c r="I2570">
        <f t="shared" si="81"/>
        <v>6</v>
      </c>
      <c r="J2570" t="str" cm="1">
        <f t="array" ref="J2570">INDEX($A$2:$A$7,I2570)</f>
        <v>Segment 6- Self-Conscious Male</v>
      </c>
    </row>
    <row r="2571" spans="1:10" x14ac:dyDescent="0.25">
      <c r="A2571" s="1">
        <f>'batch tool'!A2565</f>
        <v>0</v>
      </c>
      <c r="B2571" s="7">
        <f>SUMPRODUCT($C$2:$X$2,'batch tool'!$B2565:$W2565)+$Y$2</f>
        <v>-49.12272534143483</v>
      </c>
      <c r="C2571" s="7">
        <f>SUMPRODUCT($C$3:$X$3,'batch tool'!$B2565:$W2565)+$Y$3</f>
        <v>-36.514029388465531</v>
      </c>
      <c r="D2571" s="7">
        <f>SUMPRODUCT($C$4:$X$4,'batch tool'!$B2565:$W2565)+$Y$4</f>
        <v>-44.639843068043824</v>
      </c>
      <c r="E2571" s="7">
        <f>SUMPRODUCT($C$5:$X$5,'batch tool'!$B2565:$W2565)+$Y$5</f>
        <v>-51.578889182477603</v>
      </c>
      <c r="F2571" s="7">
        <f>SUMPRODUCT($C$6:$X$6,'batch tool'!$B2565:$W2565)+$Y$6</f>
        <v>-47.741473633885199</v>
      </c>
      <c r="G2571" s="7">
        <f>SUMPRODUCT($C$7:$X$7,'batch tool'!$B2565:$W2565)+$Y$7</f>
        <v>-19.739516238059196</v>
      </c>
      <c r="H2571" s="7">
        <f t="shared" si="80"/>
        <v>-19.739516238059196</v>
      </c>
      <c r="I2571">
        <f t="shared" si="81"/>
        <v>6</v>
      </c>
      <c r="J2571" t="str" cm="1">
        <f t="array" ref="J2571">INDEX($A$2:$A$7,I2571)</f>
        <v>Segment 6- Self-Conscious Male</v>
      </c>
    </row>
    <row r="2572" spans="1:10" x14ac:dyDescent="0.25">
      <c r="A2572" s="1">
        <f>'batch tool'!A2566</f>
        <v>0</v>
      </c>
      <c r="B2572" s="7">
        <f>SUMPRODUCT($C$2:$X$2,'batch tool'!$B2566:$W2566)+$Y$2</f>
        <v>-49.12272534143483</v>
      </c>
      <c r="C2572" s="7">
        <f>SUMPRODUCT($C$3:$X$3,'batch tool'!$B2566:$W2566)+$Y$3</f>
        <v>-36.514029388465531</v>
      </c>
      <c r="D2572" s="7">
        <f>SUMPRODUCT($C$4:$X$4,'batch tool'!$B2566:$W2566)+$Y$4</f>
        <v>-44.639843068043824</v>
      </c>
      <c r="E2572" s="7">
        <f>SUMPRODUCT($C$5:$X$5,'batch tool'!$B2566:$W2566)+$Y$5</f>
        <v>-51.578889182477603</v>
      </c>
      <c r="F2572" s="7">
        <f>SUMPRODUCT($C$6:$X$6,'batch tool'!$B2566:$W2566)+$Y$6</f>
        <v>-47.741473633885199</v>
      </c>
      <c r="G2572" s="7">
        <f>SUMPRODUCT($C$7:$X$7,'batch tool'!$B2566:$W2566)+$Y$7</f>
        <v>-19.739516238059196</v>
      </c>
      <c r="H2572" s="7">
        <f t="shared" si="80"/>
        <v>-19.739516238059196</v>
      </c>
      <c r="I2572">
        <f t="shared" si="81"/>
        <v>6</v>
      </c>
      <c r="J2572" t="str" cm="1">
        <f t="array" ref="J2572">INDEX($A$2:$A$7,I2572)</f>
        <v>Segment 6- Self-Conscious Male</v>
      </c>
    </row>
    <row r="2573" spans="1:10" x14ac:dyDescent="0.25">
      <c r="A2573" s="1">
        <f>'batch tool'!A2567</f>
        <v>0</v>
      </c>
      <c r="B2573" s="7">
        <f>SUMPRODUCT($C$2:$X$2,'batch tool'!$B2567:$W2567)+$Y$2</f>
        <v>-49.12272534143483</v>
      </c>
      <c r="C2573" s="7">
        <f>SUMPRODUCT($C$3:$X$3,'batch tool'!$B2567:$W2567)+$Y$3</f>
        <v>-36.514029388465531</v>
      </c>
      <c r="D2573" s="7">
        <f>SUMPRODUCT($C$4:$X$4,'batch tool'!$B2567:$W2567)+$Y$4</f>
        <v>-44.639843068043824</v>
      </c>
      <c r="E2573" s="7">
        <f>SUMPRODUCT($C$5:$X$5,'batch tool'!$B2567:$W2567)+$Y$5</f>
        <v>-51.578889182477603</v>
      </c>
      <c r="F2573" s="7">
        <f>SUMPRODUCT($C$6:$X$6,'batch tool'!$B2567:$W2567)+$Y$6</f>
        <v>-47.741473633885199</v>
      </c>
      <c r="G2573" s="7">
        <f>SUMPRODUCT($C$7:$X$7,'batch tool'!$B2567:$W2567)+$Y$7</f>
        <v>-19.739516238059196</v>
      </c>
      <c r="H2573" s="7">
        <f t="shared" si="80"/>
        <v>-19.739516238059196</v>
      </c>
      <c r="I2573">
        <f t="shared" si="81"/>
        <v>6</v>
      </c>
      <c r="J2573" t="str" cm="1">
        <f t="array" ref="J2573">INDEX($A$2:$A$7,I2573)</f>
        <v>Segment 6- Self-Conscious Male</v>
      </c>
    </row>
    <row r="2574" spans="1:10" x14ac:dyDescent="0.25">
      <c r="A2574" s="1">
        <f>'batch tool'!A2568</f>
        <v>0</v>
      </c>
      <c r="B2574" s="7">
        <f>SUMPRODUCT($C$2:$X$2,'batch tool'!$B2568:$W2568)+$Y$2</f>
        <v>-49.12272534143483</v>
      </c>
      <c r="C2574" s="7">
        <f>SUMPRODUCT($C$3:$X$3,'batch tool'!$B2568:$W2568)+$Y$3</f>
        <v>-36.514029388465531</v>
      </c>
      <c r="D2574" s="7">
        <f>SUMPRODUCT($C$4:$X$4,'batch tool'!$B2568:$W2568)+$Y$4</f>
        <v>-44.639843068043824</v>
      </c>
      <c r="E2574" s="7">
        <f>SUMPRODUCT($C$5:$X$5,'batch tool'!$B2568:$W2568)+$Y$5</f>
        <v>-51.578889182477603</v>
      </c>
      <c r="F2574" s="7">
        <f>SUMPRODUCT($C$6:$X$6,'batch tool'!$B2568:$W2568)+$Y$6</f>
        <v>-47.741473633885199</v>
      </c>
      <c r="G2574" s="7">
        <f>SUMPRODUCT($C$7:$X$7,'batch tool'!$B2568:$W2568)+$Y$7</f>
        <v>-19.739516238059196</v>
      </c>
      <c r="H2574" s="7">
        <f t="shared" si="80"/>
        <v>-19.739516238059196</v>
      </c>
      <c r="I2574">
        <f t="shared" si="81"/>
        <v>6</v>
      </c>
      <c r="J2574" t="str" cm="1">
        <f t="array" ref="J2574">INDEX($A$2:$A$7,I2574)</f>
        <v>Segment 6- Self-Conscious Male</v>
      </c>
    </row>
    <row r="2575" spans="1:10" x14ac:dyDescent="0.25">
      <c r="A2575" s="1">
        <f>'batch tool'!A2569</f>
        <v>0</v>
      </c>
      <c r="B2575" s="7">
        <f>SUMPRODUCT($C$2:$X$2,'batch tool'!$B2569:$W2569)+$Y$2</f>
        <v>-49.12272534143483</v>
      </c>
      <c r="C2575" s="7">
        <f>SUMPRODUCT($C$3:$X$3,'batch tool'!$B2569:$W2569)+$Y$3</f>
        <v>-36.514029388465531</v>
      </c>
      <c r="D2575" s="7">
        <f>SUMPRODUCT($C$4:$X$4,'batch tool'!$B2569:$W2569)+$Y$4</f>
        <v>-44.639843068043824</v>
      </c>
      <c r="E2575" s="7">
        <f>SUMPRODUCT($C$5:$X$5,'batch tool'!$B2569:$W2569)+$Y$5</f>
        <v>-51.578889182477603</v>
      </c>
      <c r="F2575" s="7">
        <f>SUMPRODUCT($C$6:$X$6,'batch tool'!$B2569:$W2569)+$Y$6</f>
        <v>-47.741473633885199</v>
      </c>
      <c r="G2575" s="7">
        <f>SUMPRODUCT($C$7:$X$7,'batch tool'!$B2569:$W2569)+$Y$7</f>
        <v>-19.739516238059196</v>
      </c>
      <c r="H2575" s="7">
        <f t="shared" si="80"/>
        <v>-19.739516238059196</v>
      </c>
      <c r="I2575">
        <f t="shared" si="81"/>
        <v>6</v>
      </c>
      <c r="J2575" t="str" cm="1">
        <f t="array" ref="J2575">INDEX($A$2:$A$7,I2575)</f>
        <v>Segment 6- Self-Conscious Male</v>
      </c>
    </row>
    <row r="2576" spans="1:10" x14ac:dyDescent="0.25">
      <c r="A2576" s="1">
        <f>'batch tool'!A2570</f>
        <v>0</v>
      </c>
      <c r="B2576" s="7">
        <f>SUMPRODUCT($C$2:$X$2,'batch tool'!$B2570:$W2570)+$Y$2</f>
        <v>-49.12272534143483</v>
      </c>
      <c r="C2576" s="7">
        <f>SUMPRODUCT($C$3:$X$3,'batch tool'!$B2570:$W2570)+$Y$3</f>
        <v>-36.514029388465531</v>
      </c>
      <c r="D2576" s="7">
        <f>SUMPRODUCT($C$4:$X$4,'batch tool'!$B2570:$W2570)+$Y$4</f>
        <v>-44.639843068043824</v>
      </c>
      <c r="E2576" s="7">
        <f>SUMPRODUCT($C$5:$X$5,'batch tool'!$B2570:$W2570)+$Y$5</f>
        <v>-51.578889182477603</v>
      </c>
      <c r="F2576" s="7">
        <f>SUMPRODUCT($C$6:$X$6,'batch tool'!$B2570:$W2570)+$Y$6</f>
        <v>-47.741473633885199</v>
      </c>
      <c r="G2576" s="7">
        <f>SUMPRODUCT($C$7:$X$7,'batch tool'!$B2570:$W2570)+$Y$7</f>
        <v>-19.739516238059196</v>
      </c>
      <c r="H2576" s="7">
        <f t="shared" si="80"/>
        <v>-19.739516238059196</v>
      </c>
      <c r="I2576">
        <f t="shared" si="81"/>
        <v>6</v>
      </c>
      <c r="J2576" t="str" cm="1">
        <f t="array" ref="J2576">INDEX($A$2:$A$7,I2576)</f>
        <v>Segment 6- Self-Conscious Male</v>
      </c>
    </row>
    <row r="2577" spans="1:10" x14ac:dyDescent="0.25">
      <c r="A2577" s="1">
        <f>'batch tool'!A2571</f>
        <v>0</v>
      </c>
      <c r="B2577" s="7">
        <f>SUMPRODUCT($C$2:$X$2,'batch tool'!$B2571:$W2571)+$Y$2</f>
        <v>-49.12272534143483</v>
      </c>
      <c r="C2577" s="7">
        <f>SUMPRODUCT($C$3:$X$3,'batch tool'!$B2571:$W2571)+$Y$3</f>
        <v>-36.514029388465531</v>
      </c>
      <c r="D2577" s="7">
        <f>SUMPRODUCT($C$4:$X$4,'batch tool'!$B2571:$W2571)+$Y$4</f>
        <v>-44.639843068043824</v>
      </c>
      <c r="E2577" s="7">
        <f>SUMPRODUCT($C$5:$X$5,'batch tool'!$B2571:$W2571)+$Y$5</f>
        <v>-51.578889182477603</v>
      </c>
      <c r="F2577" s="7">
        <f>SUMPRODUCT($C$6:$X$6,'batch tool'!$B2571:$W2571)+$Y$6</f>
        <v>-47.741473633885199</v>
      </c>
      <c r="G2577" s="7">
        <f>SUMPRODUCT($C$7:$X$7,'batch tool'!$B2571:$W2571)+$Y$7</f>
        <v>-19.739516238059196</v>
      </c>
      <c r="H2577" s="7">
        <f t="shared" si="80"/>
        <v>-19.739516238059196</v>
      </c>
      <c r="I2577">
        <f t="shared" si="81"/>
        <v>6</v>
      </c>
      <c r="J2577" t="str" cm="1">
        <f t="array" ref="J2577">INDEX($A$2:$A$7,I2577)</f>
        <v>Segment 6- Self-Conscious Male</v>
      </c>
    </row>
    <row r="2578" spans="1:10" x14ac:dyDescent="0.25">
      <c r="A2578" s="1">
        <f>'batch tool'!A2572</f>
        <v>0</v>
      </c>
      <c r="B2578" s="7">
        <f>SUMPRODUCT($C$2:$X$2,'batch tool'!$B2572:$W2572)+$Y$2</f>
        <v>-49.12272534143483</v>
      </c>
      <c r="C2578" s="7">
        <f>SUMPRODUCT($C$3:$X$3,'batch tool'!$B2572:$W2572)+$Y$3</f>
        <v>-36.514029388465531</v>
      </c>
      <c r="D2578" s="7">
        <f>SUMPRODUCT($C$4:$X$4,'batch tool'!$B2572:$W2572)+$Y$4</f>
        <v>-44.639843068043824</v>
      </c>
      <c r="E2578" s="7">
        <f>SUMPRODUCT($C$5:$X$5,'batch tool'!$B2572:$W2572)+$Y$5</f>
        <v>-51.578889182477603</v>
      </c>
      <c r="F2578" s="7">
        <f>SUMPRODUCT($C$6:$X$6,'batch tool'!$B2572:$W2572)+$Y$6</f>
        <v>-47.741473633885199</v>
      </c>
      <c r="G2578" s="7">
        <f>SUMPRODUCT($C$7:$X$7,'batch tool'!$B2572:$W2572)+$Y$7</f>
        <v>-19.739516238059196</v>
      </c>
      <c r="H2578" s="7">
        <f t="shared" si="80"/>
        <v>-19.739516238059196</v>
      </c>
      <c r="I2578">
        <f t="shared" si="81"/>
        <v>6</v>
      </c>
      <c r="J2578" t="str" cm="1">
        <f t="array" ref="J2578">INDEX($A$2:$A$7,I2578)</f>
        <v>Segment 6- Self-Conscious Male</v>
      </c>
    </row>
    <row r="2579" spans="1:10" x14ac:dyDescent="0.25">
      <c r="A2579" s="1">
        <f>'batch tool'!A2573</f>
        <v>0</v>
      </c>
      <c r="B2579" s="7">
        <f>SUMPRODUCT($C$2:$X$2,'batch tool'!$B2573:$W2573)+$Y$2</f>
        <v>-49.12272534143483</v>
      </c>
      <c r="C2579" s="7">
        <f>SUMPRODUCT($C$3:$X$3,'batch tool'!$B2573:$W2573)+$Y$3</f>
        <v>-36.514029388465531</v>
      </c>
      <c r="D2579" s="7">
        <f>SUMPRODUCT($C$4:$X$4,'batch tool'!$B2573:$W2573)+$Y$4</f>
        <v>-44.639843068043824</v>
      </c>
      <c r="E2579" s="7">
        <f>SUMPRODUCT($C$5:$X$5,'batch tool'!$B2573:$W2573)+$Y$5</f>
        <v>-51.578889182477603</v>
      </c>
      <c r="F2579" s="7">
        <f>SUMPRODUCT($C$6:$X$6,'batch tool'!$B2573:$W2573)+$Y$6</f>
        <v>-47.741473633885199</v>
      </c>
      <c r="G2579" s="7">
        <f>SUMPRODUCT($C$7:$X$7,'batch tool'!$B2573:$W2573)+$Y$7</f>
        <v>-19.739516238059196</v>
      </c>
      <c r="H2579" s="7">
        <f t="shared" si="80"/>
        <v>-19.739516238059196</v>
      </c>
      <c r="I2579">
        <f t="shared" si="81"/>
        <v>6</v>
      </c>
      <c r="J2579" t="str" cm="1">
        <f t="array" ref="J2579">INDEX($A$2:$A$7,I2579)</f>
        <v>Segment 6- Self-Conscious Male</v>
      </c>
    </row>
    <row r="2580" spans="1:10" x14ac:dyDescent="0.25">
      <c r="A2580" s="1">
        <f>'batch tool'!A2574</f>
        <v>0</v>
      </c>
      <c r="B2580" s="7">
        <f>SUMPRODUCT($C$2:$X$2,'batch tool'!$B2574:$W2574)+$Y$2</f>
        <v>-49.12272534143483</v>
      </c>
      <c r="C2580" s="7">
        <f>SUMPRODUCT($C$3:$X$3,'batch tool'!$B2574:$W2574)+$Y$3</f>
        <v>-36.514029388465531</v>
      </c>
      <c r="D2580" s="7">
        <f>SUMPRODUCT($C$4:$X$4,'batch tool'!$B2574:$W2574)+$Y$4</f>
        <v>-44.639843068043824</v>
      </c>
      <c r="E2580" s="7">
        <f>SUMPRODUCT($C$5:$X$5,'batch tool'!$B2574:$W2574)+$Y$5</f>
        <v>-51.578889182477603</v>
      </c>
      <c r="F2580" s="7">
        <f>SUMPRODUCT($C$6:$X$6,'batch tool'!$B2574:$W2574)+$Y$6</f>
        <v>-47.741473633885199</v>
      </c>
      <c r="G2580" s="7">
        <f>SUMPRODUCT($C$7:$X$7,'batch tool'!$B2574:$W2574)+$Y$7</f>
        <v>-19.739516238059196</v>
      </c>
      <c r="H2580" s="7">
        <f t="shared" si="80"/>
        <v>-19.739516238059196</v>
      </c>
      <c r="I2580">
        <f t="shared" si="81"/>
        <v>6</v>
      </c>
      <c r="J2580" t="str" cm="1">
        <f t="array" ref="J2580">INDEX($A$2:$A$7,I2580)</f>
        <v>Segment 6- Self-Conscious Male</v>
      </c>
    </row>
    <row r="2581" spans="1:10" x14ac:dyDescent="0.25">
      <c r="A2581" s="1">
        <f>'batch tool'!A2575</f>
        <v>0</v>
      </c>
      <c r="B2581" s="7">
        <f>SUMPRODUCT($C$2:$X$2,'batch tool'!$B2575:$W2575)+$Y$2</f>
        <v>-49.12272534143483</v>
      </c>
      <c r="C2581" s="7">
        <f>SUMPRODUCT($C$3:$X$3,'batch tool'!$B2575:$W2575)+$Y$3</f>
        <v>-36.514029388465531</v>
      </c>
      <c r="D2581" s="7">
        <f>SUMPRODUCT($C$4:$X$4,'batch tool'!$B2575:$W2575)+$Y$4</f>
        <v>-44.639843068043824</v>
      </c>
      <c r="E2581" s="7">
        <f>SUMPRODUCT($C$5:$X$5,'batch tool'!$B2575:$W2575)+$Y$5</f>
        <v>-51.578889182477603</v>
      </c>
      <c r="F2581" s="7">
        <f>SUMPRODUCT($C$6:$X$6,'batch tool'!$B2575:$W2575)+$Y$6</f>
        <v>-47.741473633885199</v>
      </c>
      <c r="G2581" s="7">
        <f>SUMPRODUCT($C$7:$X$7,'batch tool'!$B2575:$W2575)+$Y$7</f>
        <v>-19.739516238059196</v>
      </c>
      <c r="H2581" s="7">
        <f t="shared" si="80"/>
        <v>-19.739516238059196</v>
      </c>
      <c r="I2581">
        <f t="shared" si="81"/>
        <v>6</v>
      </c>
      <c r="J2581" t="str" cm="1">
        <f t="array" ref="J2581">INDEX($A$2:$A$7,I2581)</f>
        <v>Segment 6- Self-Conscious Male</v>
      </c>
    </row>
    <row r="2582" spans="1:10" x14ac:dyDescent="0.25">
      <c r="A2582" s="1">
        <f>'batch tool'!A2576</f>
        <v>0</v>
      </c>
      <c r="B2582" s="7">
        <f>SUMPRODUCT($C$2:$X$2,'batch tool'!$B2576:$W2576)+$Y$2</f>
        <v>-49.12272534143483</v>
      </c>
      <c r="C2582" s="7">
        <f>SUMPRODUCT($C$3:$X$3,'batch tool'!$B2576:$W2576)+$Y$3</f>
        <v>-36.514029388465531</v>
      </c>
      <c r="D2582" s="7">
        <f>SUMPRODUCT($C$4:$X$4,'batch tool'!$B2576:$W2576)+$Y$4</f>
        <v>-44.639843068043824</v>
      </c>
      <c r="E2582" s="7">
        <f>SUMPRODUCT($C$5:$X$5,'batch tool'!$B2576:$W2576)+$Y$5</f>
        <v>-51.578889182477603</v>
      </c>
      <c r="F2582" s="7">
        <f>SUMPRODUCT($C$6:$X$6,'batch tool'!$B2576:$W2576)+$Y$6</f>
        <v>-47.741473633885199</v>
      </c>
      <c r="G2582" s="7">
        <f>SUMPRODUCT($C$7:$X$7,'batch tool'!$B2576:$W2576)+$Y$7</f>
        <v>-19.739516238059196</v>
      </c>
      <c r="H2582" s="7">
        <f t="shared" si="80"/>
        <v>-19.739516238059196</v>
      </c>
      <c r="I2582">
        <f t="shared" si="81"/>
        <v>6</v>
      </c>
      <c r="J2582" t="str" cm="1">
        <f t="array" ref="J2582">INDEX($A$2:$A$7,I2582)</f>
        <v>Segment 6- Self-Conscious Male</v>
      </c>
    </row>
    <row r="2583" spans="1:10" x14ac:dyDescent="0.25">
      <c r="A2583" s="1">
        <f>'batch tool'!A2577</f>
        <v>0</v>
      </c>
      <c r="B2583" s="7">
        <f>SUMPRODUCT($C$2:$X$2,'batch tool'!$B2577:$W2577)+$Y$2</f>
        <v>-49.12272534143483</v>
      </c>
      <c r="C2583" s="7">
        <f>SUMPRODUCT($C$3:$X$3,'batch tool'!$B2577:$W2577)+$Y$3</f>
        <v>-36.514029388465531</v>
      </c>
      <c r="D2583" s="7">
        <f>SUMPRODUCT($C$4:$X$4,'batch tool'!$B2577:$W2577)+$Y$4</f>
        <v>-44.639843068043824</v>
      </c>
      <c r="E2583" s="7">
        <f>SUMPRODUCT($C$5:$X$5,'batch tool'!$B2577:$W2577)+$Y$5</f>
        <v>-51.578889182477603</v>
      </c>
      <c r="F2583" s="7">
        <f>SUMPRODUCT($C$6:$X$6,'batch tool'!$B2577:$W2577)+$Y$6</f>
        <v>-47.741473633885199</v>
      </c>
      <c r="G2583" s="7">
        <f>SUMPRODUCT($C$7:$X$7,'batch tool'!$B2577:$W2577)+$Y$7</f>
        <v>-19.739516238059196</v>
      </c>
      <c r="H2583" s="7">
        <f t="shared" si="80"/>
        <v>-19.739516238059196</v>
      </c>
      <c r="I2583">
        <f t="shared" si="81"/>
        <v>6</v>
      </c>
      <c r="J2583" t="str" cm="1">
        <f t="array" ref="J2583">INDEX($A$2:$A$7,I2583)</f>
        <v>Segment 6- Self-Conscious Male</v>
      </c>
    </row>
    <row r="2584" spans="1:10" x14ac:dyDescent="0.25">
      <c r="A2584" s="1">
        <f>'batch tool'!A2578</f>
        <v>0</v>
      </c>
      <c r="B2584" s="7">
        <f>SUMPRODUCT($C$2:$X$2,'batch tool'!$B2578:$W2578)+$Y$2</f>
        <v>-49.12272534143483</v>
      </c>
      <c r="C2584" s="7">
        <f>SUMPRODUCT($C$3:$X$3,'batch tool'!$B2578:$W2578)+$Y$3</f>
        <v>-36.514029388465531</v>
      </c>
      <c r="D2584" s="7">
        <f>SUMPRODUCT($C$4:$X$4,'batch tool'!$B2578:$W2578)+$Y$4</f>
        <v>-44.639843068043824</v>
      </c>
      <c r="E2584" s="7">
        <f>SUMPRODUCT($C$5:$X$5,'batch tool'!$B2578:$W2578)+$Y$5</f>
        <v>-51.578889182477603</v>
      </c>
      <c r="F2584" s="7">
        <f>SUMPRODUCT($C$6:$X$6,'batch tool'!$B2578:$W2578)+$Y$6</f>
        <v>-47.741473633885199</v>
      </c>
      <c r="G2584" s="7">
        <f>SUMPRODUCT($C$7:$X$7,'batch tool'!$B2578:$W2578)+$Y$7</f>
        <v>-19.739516238059196</v>
      </c>
      <c r="H2584" s="7">
        <f t="shared" si="80"/>
        <v>-19.739516238059196</v>
      </c>
      <c r="I2584">
        <f t="shared" si="81"/>
        <v>6</v>
      </c>
      <c r="J2584" t="str" cm="1">
        <f t="array" ref="J2584">INDEX($A$2:$A$7,I2584)</f>
        <v>Segment 6- Self-Conscious Male</v>
      </c>
    </row>
    <row r="2585" spans="1:10" x14ac:dyDescent="0.25">
      <c r="A2585" s="1">
        <f>'batch tool'!A2579</f>
        <v>0</v>
      </c>
      <c r="B2585" s="7">
        <f>SUMPRODUCT($C$2:$X$2,'batch tool'!$B2579:$W2579)+$Y$2</f>
        <v>-49.12272534143483</v>
      </c>
      <c r="C2585" s="7">
        <f>SUMPRODUCT($C$3:$X$3,'batch tool'!$B2579:$W2579)+$Y$3</f>
        <v>-36.514029388465531</v>
      </c>
      <c r="D2585" s="7">
        <f>SUMPRODUCT($C$4:$X$4,'batch tool'!$B2579:$W2579)+$Y$4</f>
        <v>-44.639843068043824</v>
      </c>
      <c r="E2585" s="7">
        <f>SUMPRODUCT($C$5:$X$5,'batch tool'!$B2579:$W2579)+$Y$5</f>
        <v>-51.578889182477603</v>
      </c>
      <c r="F2585" s="7">
        <f>SUMPRODUCT($C$6:$X$6,'batch tool'!$B2579:$W2579)+$Y$6</f>
        <v>-47.741473633885199</v>
      </c>
      <c r="G2585" s="7">
        <f>SUMPRODUCT($C$7:$X$7,'batch tool'!$B2579:$W2579)+$Y$7</f>
        <v>-19.739516238059196</v>
      </c>
      <c r="H2585" s="7">
        <f t="shared" si="80"/>
        <v>-19.739516238059196</v>
      </c>
      <c r="I2585">
        <f t="shared" si="81"/>
        <v>6</v>
      </c>
      <c r="J2585" t="str" cm="1">
        <f t="array" ref="J2585">INDEX($A$2:$A$7,I2585)</f>
        <v>Segment 6- Self-Conscious Male</v>
      </c>
    </row>
    <row r="2586" spans="1:10" x14ac:dyDescent="0.25">
      <c r="A2586" s="1">
        <f>'batch tool'!A2580</f>
        <v>0</v>
      </c>
      <c r="B2586" s="7">
        <f>SUMPRODUCT($C$2:$X$2,'batch tool'!$B2580:$W2580)+$Y$2</f>
        <v>-49.12272534143483</v>
      </c>
      <c r="C2586" s="7">
        <f>SUMPRODUCT($C$3:$X$3,'batch tool'!$B2580:$W2580)+$Y$3</f>
        <v>-36.514029388465531</v>
      </c>
      <c r="D2586" s="7">
        <f>SUMPRODUCT($C$4:$X$4,'batch tool'!$B2580:$W2580)+$Y$4</f>
        <v>-44.639843068043824</v>
      </c>
      <c r="E2586" s="7">
        <f>SUMPRODUCT($C$5:$X$5,'batch tool'!$B2580:$W2580)+$Y$5</f>
        <v>-51.578889182477603</v>
      </c>
      <c r="F2586" s="7">
        <f>SUMPRODUCT($C$6:$X$6,'batch tool'!$B2580:$W2580)+$Y$6</f>
        <v>-47.741473633885199</v>
      </c>
      <c r="G2586" s="7">
        <f>SUMPRODUCT($C$7:$X$7,'batch tool'!$B2580:$W2580)+$Y$7</f>
        <v>-19.739516238059196</v>
      </c>
      <c r="H2586" s="7">
        <f t="shared" si="80"/>
        <v>-19.739516238059196</v>
      </c>
      <c r="I2586">
        <f t="shared" si="81"/>
        <v>6</v>
      </c>
      <c r="J2586" t="str" cm="1">
        <f t="array" ref="J2586">INDEX($A$2:$A$7,I2586)</f>
        <v>Segment 6- Self-Conscious Male</v>
      </c>
    </row>
    <row r="2587" spans="1:10" x14ac:dyDescent="0.25">
      <c r="A2587" s="1">
        <f>'batch tool'!A2581</f>
        <v>0</v>
      </c>
      <c r="B2587" s="7">
        <f>SUMPRODUCT($C$2:$X$2,'batch tool'!$B2581:$W2581)+$Y$2</f>
        <v>-49.12272534143483</v>
      </c>
      <c r="C2587" s="7">
        <f>SUMPRODUCT($C$3:$X$3,'batch tool'!$B2581:$W2581)+$Y$3</f>
        <v>-36.514029388465531</v>
      </c>
      <c r="D2587" s="7">
        <f>SUMPRODUCT($C$4:$X$4,'batch tool'!$B2581:$W2581)+$Y$4</f>
        <v>-44.639843068043824</v>
      </c>
      <c r="E2587" s="7">
        <f>SUMPRODUCT($C$5:$X$5,'batch tool'!$B2581:$W2581)+$Y$5</f>
        <v>-51.578889182477603</v>
      </c>
      <c r="F2587" s="7">
        <f>SUMPRODUCT($C$6:$X$6,'batch tool'!$B2581:$W2581)+$Y$6</f>
        <v>-47.741473633885199</v>
      </c>
      <c r="G2587" s="7">
        <f>SUMPRODUCT($C$7:$X$7,'batch tool'!$B2581:$W2581)+$Y$7</f>
        <v>-19.739516238059196</v>
      </c>
      <c r="H2587" s="7">
        <f t="shared" ref="H2587:H2650" si="82">MAX(B2587:G2587)</f>
        <v>-19.739516238059196</v>
      </c>
      <c r="I2587">
        <f t="shared" ref="I2587:I2650" si="83">MATCH(H2587,B2587:G2587,0)</f>
        <v>6</v>
      </c>
      <c r="J2587" t="str" cm="1">
        <f t="array" ref="J2587">INDEX($A$2:$A$7,I2587)</f>
        <v>Segment 6- Self-Conscious Male</v>
      </c>
    </row>
    <row r="2588" spans="1:10" x14ac:dyDescent="0.25">
      <c r="A2588" s="1">
        <f>'batch tool'!A2582</f>
        <v>0</v>
      </c>
      <c r="B2588" s="7">
        <f>SUMPRODUCT($C$2:$X$2,'batch tool'!$B2582:$W2582)+$Y$2</f>
        <v>-49.12272534143483</v>
      </c>
      <c r="C2588" s="7">
        <f>SUMPRODUCT($C$3:$X$3,'batch tool'!$B2582:$W2582)+$Y$3</f>
        <v>-36.514029388465531</v>
      </c>
      <c r="D2588" s="7">
        <f>SUMPRODUCT($C$4:$X$4,'batch tool'!$B2582:$W2582)+$Y$4</f>
        <v>-44.639843068043824</v>
      </c>
      <c r="E2588" s="7">
        <f>SUMPRODUCT($C$5:$X$5,'batch tool'!$B2582:$W2582)+$Y$5</f>
        <v>-51.578889182477603</v>
      </c>
      <c r="F2588" s="7">
        <f>SUMPRODUCT($C$6:$X$6,'batch tool'!$B2582:$W2582)+$Y$6</f>
        <v>-47.741473633885199</v>
      </c>
      <c r="G2588" s="7">
        <f>SUMPRODUCT($C$7:$X$7,'batch tool'!$B2582:$W2582)+$Y$7</f>
        <v>-19.739516238059196</v>
      </c>
      <c r="H2588" s="7">
        <f t="shared" si="82"/>
        <v>-19.739516238059196</v>
      </c>
      <c r="I2588">
        <f t="shared" si="83"/>
        <v>6</v>
      </c>
      <c r="J2588" t="str" cm="1">
        <f t="array" ref="J2588">INDEX($A$2:$A$7,I2588)</f>
        <v>Segment 6- Self-Conscious Male</v>
      </c>
    </row>
    <row r="2589" spans="1:10" x14ac:dyDescent="0.25">
      <c r="A2589" s="1">
        <f>'batch tool'!A2583</f>
        <v>0</v>
      </c>
      <c r="B2589" s="7">
        <f>SUMPRODUCT($C$2:$X$2,'batch tool'!$B2583:$W2583)+$Y$2</f>
        <v>-49.12272534143483</v>
      </c>
      <c r="C2589" s="7">
        <f>SUMPRODUCT($C$3:$X$3,'batch tool'!$B2583:$W2583)+$Y$3</f>
        <v>-36.514029388465531</v>
      </c>
      <c r="D2589" s="7">
        <f>SUMPRODUCT($C$4:$X$4,'batch tool'!$B2583:$W2583)+$Y$4</f>
        <v>-44.639843068043824</v>
      </c>
      <c r="E2589" s="7">
        <f>SUMPRODUCT($C$5:$X$5,'batch tool'!$B2583:$W2583)+$Y$5</f>
        <v>-51.578889182477603</v>
      </c>
      <c r="F2589" s="7">
        <f>SUMPRODUCT($C$6:$X$6,'batch tool'!$B2583:$W2583)+$Y$6</f>
        <v>-47.741473633885199</v>
      </c>
      <c r="G2589" s="7">
        <f>SUMPRODUCT($C$7:$X$7,'batch tool'!$B2583:$W2583)+$Y$7</f>
        <v>-19.739516238059196</v>
      </c>
      <c r="H2589" s="7">
        <f t="shared" si="82"/>
        <v>-19.739516238059196</v>
      </c>
      <c r="I2589">
        <f t="shared" si="83"/>
        <v>6</v>
      </c>
      <c r="J2589" t="str" cm="1">
        <f t="array" ref="J2589">INDEX($A$2:$A$7,I2589)</f>
        <v>Segment 6- Self-Conscious Male</v>
      </c>
    </row>
    <row r="2590" spans="1:10" x14ac:dyDescent="0.25">
      <c r="A2590" s="1">
        <f>'batch tool'!A2584</f>
        <v>0</v>
      </c>
      <c r="B2590" s="7">
        <f>SUMPRODUCT($C$2:$X$2,'batch tool'!$B2584:$W2584)+$Y$2</f>
        <v>-49.12272534143483</v>
      </c>
      <c r="C2590" s="7">
        <f>SUMPRODUCT($C$3:$X$3,'batch tool'!$B2584:$W2584)+$Y$3</f>
        <v>-36.514029388465531</v>
      </c>
      <c r="D2590" s="7">
        <f>SUMPRODUCT($C$4:$X$4,'batch tool'!$B2584:$W2584)+$Y$4</f>
        <v>-44.639843068043824</v>
      </c>
      <c r="E2590" s="7">
        <f>SUMPRODUCT($C$5:$X$5,'batch tool'!$B2584:$W2584)+$Y$5</f>
        <v>-51.578889182477603</v>
      </c>
      <c r="F2590" s="7">
        <f>SUMPRODUCT($C$6:$X$6,'batch tool'!$B2584:$W2584)+$Y$6</f>
        <v>-47.741473633885199</v>
      </c>
      <c r="G2590" s="7">
        <f>SUMPRODUCT($C$7:$X$7,'batch tool'!$B2584:$W2584)+$Y$7</f>
        <v>-19.739516238059196</v>
      </c>
      <c r="H2590" s="7">
        <f t="shared" si="82"/>
        <v>-19.739516238059196</v>
      </c>
      <c r="I2590">
        <f t="shared" si="83"/>
        <v>6</v>
      </c>
      <c r="J2590" t="str" cm="1">
        <f t="array" ref="J2590">INDEX($A$2:$A$7,I2590)</f>
        <v>Segment 6- Self-Conscious Male</v>
      </c>
    </row>
    <row r="2591" spans="1:10" x14ac:dyDescent="0.25">
      <c r="A2591" s="1">
        <f>'batch tool'!A2585</f>
        <v>0</v>
      </c>
      <c r="B2591" s="7">
        <f>SUMPRODUCT($C$2:$X$2,'batch tool'!$B2585:$W2585)+$Y$2</f>
        <v>-49.12272534143483</v>
      </c>
      <c r="C2591" s="7">
        <f>SUMPRODUCT($C$3:$X$3,'batch tool'!$B2585:$W2585)+$Y$3</f>
        <v>-36.514029388465531</v>
      </c>
      <c r="D2591" s="7">
        <f>SUMPRODUCT($C$4:$X$4,'batch tool'!$B2585:$W2585)+$Y$4</f>
        <v>-44.639843068043824</v>
      </c>
      <c r="E2591" s="7">
        <f>SUMPRODUCT($C$5:$X$5,'batch tool'!$B2585:$W2585)+$Y$5</f>
        <v>-51.578889182477603</v>
      </c>
      <c r="F2591" s="7">
        <f>SUMPRODUCT($C$6:$X$6,'batch tool'!$B2585:$W2585)+$Y$6</f>
        <v>-47.741473633885199</v>
      </c>
      <c r="G2591" s="7">
        <f>SUMPRODUCT($C$7:$X$7,'batch tool'!$B2585:$W2585)+$Y$7</f>
        <v>-19.739516238059196</v>
      </c>
      <c r="H2591" s="7">
        <f t="shared" si="82"/>
        <v>-19.739516238059196</v>
      </c>
      <c r="I2591">
        <f t="shared" si="83"/>
        <v>6</v>
      </c>
      <c r="J2591" t="str" cm="1">
        <f t="array" ref="J2591">INDEX($A$2:$A$7,I2591)</f>
        <v>Segment 6- Self-Conscious Male</v>
      </c>
    </row>
    <row r="2592" spans="1:10" x14ac:dyDescent="0.25">
      <c r="A2592" s="1">
        <f>'batch tool'!A2586</f>
        <v>0</v>
      </c>
      <c r="B2592" s="7">
        <f>SUMPRODUCT($C$2:$X$2,'batch tool'!$B2586:$W2586)+$Y$2</f>
        <v>-49.12272534143483</v>
      </c>
      <c r="C2592" s="7">
        <f>SUMPRODUCT($C$3:$X$3,'batch tool'!$B2586:$W2586)+$Y$3</f>
        <v>-36.514029388465531</v>
      </c>
      <c r="D2592" s="7">
        <f>SUMPRODUCT($C$4:$X$4,'batch tool'!$B2586:$W2586)+$Y$4</f>
        <v>-44.639843068043824</v>
      </c>
      <c r="E2592" s="7">
        <f>SUMPRODUCT($C$5:$X$5,'batch tool'!$B2586:$W2586)+$Y$5</f>
        <v>-51.578889182477603</v>
      </c>
      <c r="F2592" s="7">
        <f>SUMPRODUCT($C$6:$X$6,'batch tool'!$B2586:$W2586)+$Y$6</f>
        <v>-47.741473633885199</v>
      </c>
      <c r="G2592" s="7">
        <f>SUMPRODUCT($C$7:$X$7,'batch tool'!$B2586:$W2586)+$Y$7</f>
        <v>-19.739516238059196</v>
      </c>
      <c r="H2592" s="7">
        <f t="shared" si="82"/>
        <v>-19.739516238059196</v>
      </c>
      <c r="I2592">
        <f t="shared" si="83"/>
        <v>6</v>
      </c>
      <c r="J2592" t="str" cm="1">
        <f t="array" ref="J2592">INDEX($A$2:$A$7,I2592)</f>
        <v>Segment 6- Self-Conscious Male</v>
      </c>
    </row>
    <row r="2593" spans="1:10" x14ac:dyDescent="0.25">
      <c r="A2593" s="1">
        <f>'batch tool'!A2587</f>
        <v>0</v>
      </c>
      <c r="B2593" s="7">
        <f>SUMPRODUCT($C$2:$X$2,'batch tool'!$B2587:$W2587)+$Y$2</f>
        <v>-49.12272534143483</v>
      </c>
      <c r="C2593" s="7">
        <f>SUMPRODUCT($C$3:$X$3,'batch tool'!$B2587:$W2587)+$Y$3</f>
        <v>-36.514029388465531</v>
      </c>
      <c r="D2593" s="7">
        <f>SUMPRODUCT($C$4:$X$4,'batch tool'!$B2587:$W2587)+$Y$4</f>
        <v>-44.639843068043824</v>
      </c>
      <c r="E2593" s="7">
        <f>SUMPRODUCT($C$5:$X$5,'batch tool'!$B2587:$W2587)+$Y$5</f>
        <v>-51.578889182477603</v>
      </c>
      <c r="F2593" s="7">
        <f>SUMPRODUCT($C$6:$X$6,'batch tool'!$B2587:$W2587)+$Y$6</f>
        <v>-47.741473633885199</v>
      </c>
      <c r="G2593" s="7">
        <f>SUMPRODUCT($C$7:$X$7,'batch tool'!$B2587:$W2587)+$Y$7</f>
        <v>-19.739516238059196</v>
      </c>
      <c r="H2593" s="7">
        <f t="shared" si="82"/>
        <v>-19.739516238059196</v>
      </c>
      <c r="I2593">
        <f t="shared" si="83"/>
        <v>6</v>
      </c>
      <c r="J2593" t="str" cm="1">
        <f t="array" ref="J2593">INDEX($A$2:$A$7,I2593)</f>
        <v>Segment 6- Self-Conscious Male</v>
      </c>
    </row>
    <row r="2594" spans="1:10" x14ac:dyDescent="0.25">
      <c r="A2594" s="1">
        <f>'batch tool'!A2588</f>
        <v>0</v>
      </c>
      <c r="B2594" s="7">
        <f>SUMPRODUCT($C$2:$X$2,'batch tool'!$B2588:$W2588)+$Y$2</f>
        <v>-49.12272534143483</v>
      </c>
      <c r="C2594" s="7">
        <f>SUMPRODUCT($C$3:$X$3,'batch tool'!$B2588:$W2588)+$Y$3</f>
        <v>-36.514029388465531</v>
      </c>
      <c r="D2594" s="7">
        <f>SUMPRODUCT($C$4:$X$4,'batch tool'!$B2588:$W2588)+$Y$4</f>
        <v>-44.639843068043824</v>
      </c>
      <c r="E2594" s="7">
        <f>SUMPRODUCT($C$5:$X$5,'batch tool'!$B2588:$W2588)+$Y$5</f>
        <v>-51.578889182477603</v>
      </c>
      <c r="F2594" s="7">
        <f>SUMPRODUCT($C$6:$X$6,'batch tool'!$B2588:$W2588)+$Y$6</f>
        <v>-47.741473633885199</v>
      </c>
      <c r="G2594" s="7">
        <f>SUMPRODUCT($C$7:$X$7,'batch tool'!$B2588:$W2588)+$Y$7</f>
        <v>-19.739516238059196</v>
      </c>
      <c r="H2594" s="7">
        <f t="shared" si="82"/>
        <v>-19.739516238059196</v>
      </c>
      <c r="I2594">
        <f t="shared" si="83"/>
        <v>6</v>
      </c>
      <c r="J2594" t="str" cm="1">
        <f t="array" ref="J2594">INDEX($A$2:$A$7,I2594)</f>
        <v>Segment 6- Self-Conscious Male</v>
      </c>
    </row>
    <row r="2595" spans="1:10" x14ac:dyDescent="0.25">
      <c r="A2595" s="1">
        <f>'batch tool'!A2589</f>
        <v>0</v>
      </c>
      <c r="B2595" s="7">
        <f>SUMPRODUCT($C$2:$X$2,'batch tool'!$B2589:$W2589)+$Y$2</f>
        <v>-49.12272534143483</v>
      </c>
      <c r="C2595" s="7">
        <f>SUMPRODUCT($C$3:$X$3,'batch tool'!$B2589:$W2589)+$Y$3</f>
        <v>-36.514029388465531</v>
      </c>
      <c r="D2595" s="7">
        <f>SUMPRODUCT($C$4:$X$4,'batch tool'!$B2589:$W2589)+$Y$4</f>
        <v>-44.639843068043824</v>
      </c>
      <c r="E2595" s="7">
        <f>SUMPRODUCT($C$5:$X$5,'batch tool'!$B2589:$W2589)+$Y$5</f>
        <v>-51.578889182477603</v>
      </c>
      <c r="F2595" s="7">
        <f>SUMPRODUCT($C$6:$X$6,'batch tool'!$B2589:$W2589)+$Y$6</f>
        <v>-47.741473633885199</v>
      </c>
      <c r="G2595" s="7">
        <f>SUMPRODUCT($C$7:$X$7,'batch tool'!$B2589:$W2589)+$Y$7</f>
        <v>-19.739516238059196</v>
      </c>
      <c r="H2595" s="7">
        <f t="shared" si="82"/>
        <v>-19.739516238059196</v>
      </c>
      <c r="I2595">
        <f t="shared" si="83"/>
        <v>6</v>
      </c>
      <c r="J2595" t="str" cm="1">
        <f t="array" ref="J2595">INDEX($A$2:$A$7,I2595)</f>
        <v>Segment 6- Self-Conscious Male</v>
      </c>
    </row>
    <row r="2596" spans="1:10" x14ac:dyDescent="0.25">
      <c r="A2596" s="1">
        <f>'batch tool'!A2590</f>
        <v>0</v>
      </c>
      <c r="B2596" s="7">
        <f>SUMPRODUCT($C$2:$X$2,'batch tool'!$B2590:$W2590)+$Y$2</f>
        <v>-49.12272534143483</v>
      </c>
      <c r="C2596" s="7">
        <f>SUMPRODUCT($C$3:$X$3,'batch tool'!$B2590:$W2590)+$Y$3</f>
        <v>-36.514029388465531</v>
      </c>
      <c r="D2596" s="7">
        <f>SUMPRODUCT($C$4:$X$4,'batch tool'!$B2590:$W2590)+$Y$4</f>
        <v>-44.639843068043824</v>
      </c>
      <c r="E2596" s="7">
        <f>SUMPRODUCT($C$5:$X$5,'batch tool'!$B2590:$W2590)+$Y$5</f>
        <v>-51.578889182477603</v>
      </c>
      <c r="F2596" s="7">
        <f>SUMPRODUCT($C$6:$X$6,'batch tool'!$B2590:$W2590)+$Y$6</f>
        <v>-47.741473633885199</v>
      </c>
      <c r="G2596" s="7">
        <f>SUMPRODUCT($C$7:$X$7,'batch tool'!$B2590:$W2590)+$Y$7</f>
        <v>-19.739516238059196</v>
      </c>
      <c r="H2596" s="7">
        <f t="shared" si="82"/>
        <v>-19.739516238059196</v>
      </c>
      <c r="I2596">
        <f t="shared" si="83"/>
        <v>6</v>
      </c>
      <c r="J2596" t="str" cm="1">
        <f t="array" ref="J2596">INDEX($A$2:$A$7,I2596)</f>
        <v>Segment 6- Self-Conscious Male</v>
      </c>
    </row>
    <row r="2597" spans="1:10" x14ac:dyDescent="0.25">
      <c r="A2597" s="1">
        <f>'batch tool'!A2591</f>
        <v>0</v>
      </c>
      <c r="B2597" s="7">
        <f>SUMPRODUCT($C$2:$X$2,'batch tool'!$B2591:$W2591)+$Y$2</f>
        <v>-49.12272534143483</v>
      </c>
      <c r="C2597" s="7">
        <f>SUMPRODUCT($C$3:$X$3,'batch tool'!$B2591:$W2591)+$Y$3</f>
        <v>-36.514029388465531</v>
      </c>
      <c r="D2597" s="7">
        <f>SUMPRODUCT($C$4:$X$4,'batch tool'!$B2591:$W2591)+$Y$4</f>
        <v>-44.639843068043824</v>
      </c>
      <c r="E2597" s="7">
        <f>SUMPRODUCT($C$5:$X$5,'batch tool'!$B2591:$W2591)+$Y$5</f>
        <v>-51.578889182477603</v>
      </c>
      <c r="F2597" s="7">
        <f>SUMPRODUCT($C$6:$X$6,'batch tool'!$B2591:$W2591)+$Y$6</f>
        <v>-47.741473633885199</v>
      </c>
      <c r="G2597" s="7">
        <f>SUMPRODUCT($C$7:$X$7,'batch tool'!$B2591:$W2591)+$Y$7</f>
        <v>-19.739516238059196</v>
      </c>
      <c r="H2597" s="7">
        <f t="shared" si="82"/>
        <v>-19.739516238059196</v>
      </c>
      <c r="I2597">
        <f t="shared" si="83"/>
        <v>6</v>
      </c>
      <c r="J2597" t="str" cm="1">
        <f t="array" ref="J2597">INDEX($A$2:$A$7,I2597)</f>
        <v>Segment 6- Self-Conscious Male</v>
      </c>
    </row>
    <row r="2598" spans="1:10" x14ac:dyDescent="0.25">
      <c r="A2598" s="1">
        <f>'batch tool'!A2592</f>
        <v>0</v>
      </c>
      <c r="B2598" s="7">
        <f>SUMPRODUCT($C$2:$X$2,'batch tool'!$B2592:$W2592)+$Y$2</f>
        <v>-49.12272534143483</v>
      </c>
      <c r="C2598" s="7">
        <f>SUMPRODUCT($C$3:$X$3,'batch tool'!$B2592:$W2592)+$Y$3</f>
        <v>-36.514029388465531</v>
      </c>
      <c r="D2598" s="7">
        <f>SUMPRODUCT($C$4:$X$4,'batch tool'!$B2592:$W2592)+$Y$4</f>
        <v>-44.639843068043824</v>
      </c>
      <c r="E2598" s="7">
        <f>SUMPRODUCT($C$5:$X$5,'batch tool'!$B2592:$W2592)+$Y$5</f>
        <v>-51.578889182477603</v>
      </c>
      <c r="F2598" s="7">
        <f>SUMPRODUCT($C$6:$X$6,'batch tool'!$B2592:$W2592)+$Y$6</f>
        <v>-47.741473633885199</v>
      </c>
      <c r="G2598" s="7">
        <f>SUMPRODUCT($C$7:$X$7,'batch tool'!$B2592:$W2592)+$Y$7</f>
        <v>-19.739516238059196</v>
      </c>
      <c r="H2598" s="7">
        <f t="shared" si="82"/>
        <v>-19.739516238059196</v>
      </c>
      <c r="I2598">
        <f t="shared" si="83"/>
        <v>6</v>
      </c>
      <c r="J2598" t="str" cm="1">
        <f t="array" ref="J2598">INDEX($A$2:$A$7,I2598)</f>
        <v>Segment 6- Self-Conscious Male</v>
      </c>
    </row>
    <row r="2599" spans="1:10" x14ac:dyDescent="0.25">
      <c r="A2599" s="1">
        <f>'batch tool'!A2593</f>
        <v>0</v>
      </c>
      <c r="B2599" s="7">
        <f>SUMPRODUCT($C$2:$X$2,'batch tool'!$B2593:$W2593)+$Y$2</f>
        <v>-49.12272534143483</v>
      </c>
      <c r="C2599" s="7">
        <f>SUMPRODUCT($C$3:$X$3,'batch tool'!$B2593:$W2593)+$Y$3</f>
        <v>-36.514029388465531</v>
      </c>
      <c r="D2599" s="7">
        <f>SUMPRODUCT($C$4:$X$4,'batch tool'!$B2593:$W2593)+$Y$4</f>
        <v>-44.639843068043824</v>
      </c>
      <c r="E2599" s="7">
        <f>SUMPRODUCT($C$5:$X$5,'batch tool'!$B2593:$W2593)+$Y$5</f>
        <v>-51.578889182477603</v>
      </c>
      <c r="F2599" s="7">
        <f>SUMPRODUCT($C$6:$X$6,'batch tool'!$B2593:$W2593)+$Y$6</f>
        <v>-47.741473633885199</v>
      </c>
      <c r="G2599" s="7">
        <f>SUMPRODUCT($C$7:$X$7,'batch tool'!$B2593:$W2593)+$Y$7</f>
        <v>-19.739516238059196</v>
      </c>
      <c r="H2599" s="7">
        <f t="shared" si="82"/>
        <v>-19.739516238059196</v>
      </c>
      <c r="I2599">
        <f t="shared" si="83"/>
        <v>6</v>
      </c>
      <c r="J2599" t="str" cm="1">
        <f t="array" ref="J2599">INDEX($A$2:$A$7,I2599)</f>
        <v>Segment 6- Self-Conscious Male</v>
      </c>
    </row>
    <row r="2600" spans="1:10" x14ac:dyDescent="0.25">
      <c r="A2600" s="1">
        <f>'batch tool'!A2594</f>
        <v>0</v>
      </c>
      <c r="B2600" s="7">
        <f>SUMPRODUCT($C$2:$X$2,'batch tool'!$B2594:$W2594)+$Y$2</f>
        <v>-49.12272534143483</v>
      </c>
      <c r="C2600" s="7">
        <f>SUMPRODUCT($C$3:$X$3,'batch tool'!$B2594:$W2594)+$Y$3</f>
        <v>-36.514029388465531</v>
      </c>
      <c r="D2600" s="7">
        <f>SUMPRODUCT($C$4:$X$4,'batch tool'!$B2594:$W2594)+$Y$4</f>
        <v>-44.639843068043824</v>
      </c>
      <c r="E2600" s="7">
        <f>SUMPRODUCT($C$5:$X$5,'batch tool'!$B2594:$W2594)+$Y$5</f>
        <v>-51.578889182477603</v>
      </c>
      <c r="F2600" s="7">
        <f>SUMPRODUCT($C$6:$X$6,'batch tool'!$B2594:$W2594)+$Y$6</f>
        <v>-47.741473633885199</v>
      </c>
      <c r="G2600" s="7">
        <f>SUMPRODUCT($C$7:$X$7,'batch tool'!$B2594:$W2594)+$Y$7</f>
        <v>-19.739516238059196</v>
      </c>
      <c r="H2600" s="7">
        <f t="shared" si="82"/>
        <v>-19.739516238059196</v>
      </c>
      <c r="I2600">
        <f t="shared" si="83"/>
        <v>6</v>
      </c>
      <c r="J2600" t="str" cm="1">
        <f t="array" ref="J2600">INDEX($A$2:$A$7,I2600)</f>
        <v>Segment 6- Self-Conscious Male</v>
      </c>
    </row>
    <row r="2601" spans="1:10" x14ac:dyDescent="0.25">
      <c r="A2601" s="1">
        <f>'batch tool'!A2595</f>
        <v>0</v>
      </c>
      <c r="B2601" s="7">
        <f>SUMPRODUCT($C$2:$X$2,'batch tool'!$B2595:$W2595)+$Y$2</f>
        <v>-49.12272534143483</v>
      </c>
      <c r="C2601" s="7">
        <f>SUMPRODUCT($C$3:$X$3,'batch tool'!$B2595:$W2595)+$Y$3</f>
        <v>-36.514029388465531</v>
      </c>
      <c r="D2601" s="7">
        <f>SUMPRODUCT($C$4:$X$4,'batch tool'!$B2595:$W2595)+$Y$4</f>
        <v>-44.639843068043824</v>
      </c>
      <c r="E2601" s="7">
        <f>SUMPRODUCT($C$5:$X$5,'batch tool'!$B2595:$W2595)+$Y$5</f>
        <v>-51.578889182477603</v>
      </c>
      <c r="F2601" s="7">
        <f>SUMPRODUCT($C$6:$X$6,'batch tool'!$B2595:$W2595)+$Y$6</f>
        <v>-47.741473633885199</v>
      </c>
      <c r="G2601" s="7">
        <f>SUMPRODUCT($C$7:$X$7,'batch tool'!$B2595:$W2595)+$Y$7</f>
        <v>-19.739516238059196</v>
      </c>
      <c r="H2601" s="7">
        <f t="shared" si="82"/>
        <v>-19.739516238059196</v>
      </c>
      <c r="I2601">
        <f t="shared" si="83"/>
        <v>6</v>
      </c>
      <c r="J2601" t="str" cm="1">
        <f t="array" ref="J2601">INDEX($A$2:$A$7,I2601)</f>
        <v>Segment 6- Self-Conscious Male</v>
      </c>
    </row>
    <row r="2602" spans="1:10" x14ac:dyDescent="0.25">
      <c r="A2602" s="1">
        <f>'batch tool'!A2596</f>
        <v>0</v>
      </c>
      <c r="B2602" s="7">
        <f>SUMPRODUCT($C$2:$X$2,'batch tool'!$B2596:$W2596)+$Y$2</f>
        <v>-49.12272534143483</v>
      </c>
      <c r="C2602" s="7">
        <f>SUMPRODUCT($C$3:$X$3,'batch tool'!$B2596:$W2596)+$Y$3</f>
        <v>-36.514029388465531</v>
      </c>
      <c r="D2602" s="7">
        <f>SUMPRODUCT($C$4:$X$4,'batch tool'!$B2596:$W2596)+$Y$4</f>
        <v>-44.639843068043824</v>
      </c>
      <c r="E2602" s="7">
        <f>SUMPRODUCT($C$5:$X$5,'batch tool'!$B2596:$W2596)+$Y$5</f>
        <v>-51.578889182477603</v>
      </c>
      <c r="F2602" s="7">
        <f>SUMPRODUCT($C$6:$X$6,'batch tool'!$B2596:$W2596)+$Y$6</f>
        <v>-47.741473633885199</v>
      </c>
      <c r="G2602" s="7">
        <f>SUMPRODUCT($C$7:$X$7,'batch tool'!$B2596:$W2596)+$Y$7</f>
        <v>-19.739516238059196</v>
      </c>
      <c r="H2602" s="7">
        <f t="shared" si="82"/>
        <v>-19.739516238059196</v>
      </c>
      <c r="I2602">
        <f t="shared" si="83"/>
        <v>6</v>
      </c>
      <c r="J2602" t="str" cm="1">
        <f t="array" ref="J2602">INDEX($A$2:$A$7,I2602)</f>
        <v>Segment 6- Self-Conscious Male</v>
      </c>
    </row>
    <row r="2603" spans="1:10" x14ac:dyDescent="0.25">
      <c r="A2603" s="1">
        <f>'batch tool'!A2597</f>
        <v>0</v>
      </c>
      <c r="B2603" s="7">
        <f>SUMPRODUCT($C$2:$X$2,'batch tool'!$B2597:$W2597)+$Y$2</f>
        <v>-49.12272534143483</v>
      </c>
      <c r="C2603" s="7">
        <f>SUMPRODUCT($C$3:$X$3,'batch tool'!$B2597:$W2597)+$Y$3</f>
        <v>-36.514029388465531</v>
      </c>
      <c r="D2603" s="7">
        <f>SUMPRODUCT($C$4:$X$4,'batch tool'!$B2597:$W2597)+$Y$4</f>
        <v>-44.639843068043824</v>
      </c>
      <c r="E2603" s="7">
        <f>SUMPRODUCT($C$5:$X$5,'batch tool'!$B2597:$W2597)+$Y$5</f>
        <v>-51.578889182477603</v>
      </c>
      <c r="F2603" s="7">
        <f>SUMPRODUCT($C$6:$X$6,'batch tool'!$B2597:$W2597)+$Y$6</f>
        <v>-47.741473633885199</v>
      </c>
      <c r="G2603" s="7">
        <f>SUMPRODUCT($C$7:$X$7,'batch tool'!$B2597:$W2597)+$Y$7</f>
        <v>-19.739516238059196</v>
      </c>
      <c r="H2603" s="7">
        <f t="shared" si="82"/>
        <v>-19.739516238059196</v>
      </c>
      <c r="I2603">
        <f t="shared" si="83"/>
        <v>6</v>
      </c>
      <c r="J2603" t="str" cm="1">
        <f t="array" ref="J2603">INDEX($A$2:$A$7,I2603)</f>
        <v>Segment 6- Self-Conscious Male</v>
      </c>
    </row>
    <row r="2604" spans="1:10" x14ac:dyDescent="0.25">
      <c r="A2604" s="1">
        <f>'batch tool'!A2598</f>
        <v>0</v>
      </c>
      <c r="B2604" s="7">
        <f>SUMPRODUCT($C$2:$X$2,'batch tool'!$B2598:$W2598)+$Y$2</f>
        <v>-49.12272534143483</v>
      </c>
      <c r="C2604" s="7">
        <f>SUMPRODUCT($C$3:$X$3,'batch tool'!$B2598:$W2598)+$Y$3</f>
        <v>-36.514029388465531</v>
      </c>
      <c r="D2604" s="7">
        <f>SUMPRODUCT($C$4:$X$4,'batch tool'!$B2598:$W2598)+$Y$4</f>
        <v>-44.639843068043824</v>
      </c>
      <c r="E2604" s="7">
        <f>SUMPRODUCT($C$5:$X$5,'batch tool'!$B2598:$W2598)+$Y$5</f>
        <v>-51.578889182477603</v>
      </c>
      <c r="F2604" s="7">
        <f>SUMPRODUCT($C$6:$X$6,'batch tool'!$B2598:$W2598)+$Y$6</f>
        <v>-47.741473633885199</v>
      </c>
      <c r="G2604" s="7">
        <f>SUMPRODUCT($C$7:$X$7,'batch tool'!$B2598:$W2598)+$Y$7</f>
        <v>-19.739516238059196</v>
      </c>
      <c r="H2604" s="7">
        <f t="shared" si="82"/>
        <v>-19.739516238059196</v>
      </c>
      <c r="I2604">
        <f t="shared" si="83"/>
        <v>6</v>
      </c>
      <c r="J2604" t="str" cm="1">
        <f t="array" ref="J2604">INDEX($A$2:$A$7,I2604)</f>
        <v>Segment 6- Self-Conscious Male</v>
      </c>
    </row>
    <row r="2605" spans="1:10" x14ac:dyDescent="0.25">
      <c r="A2605" s="1">
        <f>'batch tool'!A2599</f>
        <v>0</v>
      </c>
      <c r="B2605" s="7">
        <f>SUMPRODUCT($C$2:$X$2,'batch tool'!$B2599:$W2599)+$Y$2</f>
        <v>-49.12272534143483</v>
      </c>
      <c r="C2605" s="7">
        <f>SUMPRODUCT($C$3:$X$3,'batch tool'!$B2599:$W2599)+$Y$3</f>
        <v>-36.514029388465531</v>
      </c>
      <c r="D2605" s="7">
        <f>SUMPRODUCT($C$4:$X$4,'batch tool'!$B2599:$W2599)+$Y$4</f>
        <v>-44.639843068043824</v>
      </c>
      <c r="E2605" s="7">
        <f>SUMPRODUCT($C$5:$X$5,'batch tool'!$B2599:$W2599)+$Y$5</f>
        <v>-51.578889182477603</v>
      </c>
      <c r="F2605" s="7">
        <f>SUMPRODUCT($C$6:$X$6,'batch tool'!$B2599:$W2599)+$Y$6</f>
        <v>-47.741473633885199</v>
      </c>
      <c r="G2605" s="7">
        <f>SUMPRODUCT($C$7:$X$7,'batch tool'!$B2599:$W2599)+$Y$7</f>
        <v>-19.739516238059196</v>
      </c>
      <c r="H2605" s="7">
        <f t="shared" si="82"/>
        <v>-19.739516238059196</v>
      </c>
      <c r="I2605">
        <f t="shared" si="83"/>
        <v>6</v>
      </c>
      <c r="J2605" t="str" cm="1">
        <f t="array" ref="J2605">INDEX($A$2:$A$7,I2605)</f>
        <v>Segment 6- Self-Conscious Male</v>
      </c>
    </row>
    <row r="2606" spans="1:10" x14ac:dyDescent="0.25">
      <c r="A2606" s="1">
        <f>'batch tool'!A2600</f>
        <v>0</v>
      </c>
      <c r="B2606" s="7">
        <f>SUMPRODUCT($C$2:$X$2,'batch tool'!$B2600:$W2600)+$Y$2</f>
        <v>-49.12272534143483</v>
      </c>
      <c r="C2606" s="7">
        <f>SUMPRODUCT($C$3:$X$3,'batch tool'!$B2600:$W2600)+$Y$3</f>
        <v>-36.514029388465531</v>
      </c>
      <c r="D2606" s="7">
        <f>SUMPRODUCT($C$4:$X$4,'batch tool'!$B2600:$W2600)+$Y$4</f>
        <v>-44.639843068043824</v>
      </c>
      <c r="E2606" s="7">
        <f>SUMPRODUCT($C$5:$X$5,'batch tool'!$B2600:$W2600)+$Y$5</f>
        <v>-51.578889182477603</v>
      </c>
      <c r="F2606" s="7">
        <f>SUMPRODUCT($C$6:$X$6,'batch tool'!$B2600:$W2600)+$Y$6</f>
        <v>-47.741473633885199</v>
      </c>
      <c r="G2606" s="7">
        <f>SUMPRODUCT($C$7:$X$7,'batch tool'!$B2600:$W2600)+$Y$7</f>
        <v>-19.739516238059196</v>
      </c>
      <c r="H2606" s="7">
        <f t="shared" si="82"/>
        <v>-19.739516238059196</v>
      </c>
      <c r="I2606">
        <f t="shared" si="83"/>
        <v>6</v>
      </c>
      <c r="J2606" t="str" cm="1">
        <f t="array" ref="J2606">INDEX($A$2:$A$7,I2606)</f>
        <v>Segment 6- Self-Conscious Male</v>
      </c>
    </row>
    <row r="2607" spans="1:10" x14ac:dyDescent="0.25">
      <c r="A2607" s="1">
        <f>'batch tool'!A2601</f>
        <v>0</v>
      </c>
      <c r="B2607" s="7">
        <f>SUMPRODUCT($C$2:$X$2,'batch tool'!$B2601:$W2601)+$Y$2</f>
        <v>-49.12272534143483</v>
      </c>
      <c r="C2607" s="7">
        <f>SUMPRODUCT($C$3:$X$3,'batch tool'!$B2601:$W2601)+$Y$3</f>
        <v>-36.514029388465531</v>
      </c>
      <c r="D2607" s="7">
        <f>SUMPRODUCT($C$4:$X$4,'batch tool'!$B2601:$W2601)+$Y$4</f>
        <v>-44.639843068043824</v>
      </c>
      <c r="E2607" s="7">
        <f>SUMPRODUCT($C$5:$X$5,'batch tool'!$B2601:$W2601)+$Y$5</f>
        <v>-51.578889182477603</v>
      </c>
      <c r="F2607" s="7">
        <f>SUMPRODUCT($C$6:$X$6,'batch tool'!$B2601:$W2601)+$Y$6</f>
        <v>-47.741473633885199</v>
      </c>
      <c r="G2607" s="7">
        <f>SUMPRODUCT($C$7:$X$7,'batch tool'!$B2601:$W2601)+$Y$7</f>
        <v>-19.739516238059196</v>
      </c>
      <c r="H2607" s="7">
        <f t="shared" si="82"/>
        <v>-19.739516238059196</v>
      </c>
      <c r="I2607">
        <f t="shared" si="83"/>
        <v>6</v>
      </c>
      <c r="J2607" t="str" cm="1">
        <f t="array" ref="J2607">INDEX($A$2:$A$7,I2607)</f>
        <v>Segment 6- Self-Conscious Male</v>
      </c>
    </row>
    <row r="2608" spans="1:10" x14ac:dyDescent="0.25">
      <c r="A2608" s="1">
        <f>'batch tool'!A2602</f>
        <v>0</v>
      </c>
      <c r="B2608" s="7">
        <f>SUMPRODUCT($C$2:$X$2,'batch tool'!$B2602:$W2602)+$Y$2</f>
        <v>-49.12272534143483</v>
      </c>
      <c r="C2608" s="7">
        <f>SUMPRODUCT($C$3:$X$3,'batch tool'!$B2602:$W2602)+$Y$3</f>
        <v>-36.514029388465531</v>
      </c>
      <c r="D2608" s="7">
        <f>SUMPRODUCT($C$4:$X$4,'batch tool'!$B2602:$W2602)+$Y$4</f>
        <v>-44.639843068043824</v>
      </c>
      <c r="E2608" s="7">
        <f>SUMPRODUCT($C$5:$X$5,'batch tool'!$B2602:$W2602)+$Y$5</f>
        <v>-51.578889182477603</v>
      </c>
      <c r="F2608" s="7">
        <f>SUMPRODUCT($C$6:$X$6,'batch tool'!$B2602:$W2602)+$Y$6</f>
        <v>-47.741473633885199</v>
      </c>
      <c r="G2608" s="7">
        <f>SUMPRODUCT($C$7:$X$7,'batch tool'!$B2602:$W2602)+$Y$7</f>
        <v>-19.739516238059196</v>
      </c>
      <c r="H2608" s="7">
        <f t="shared" si="82"/>
        <v>-19.739516238059196</v>
      </c>
      <c r="I2608">
        <f t="shared" si="83"/>
        <v>6</v>
      </c>
      <c r="J2608" t="str" cm="1">
        <f t="array" ref="J2608">INDEX($A$2:$A$7,I2608)</f>
        <v>Segment 6- Self-Conscious Male</v>
      </c>
    </row>
    <row r="2609" spans="1:10" x14ac:dyDescent="0.25">
      <c r="A2609" s="1">
        <f>'batch tool'!A2603</f>
        <v>0</v>
      </c>
      <c r="B2609" s="7">
        <f>SUMPRODUCT($C$2:$X$2,'batch tool'!$B2603:$W2603)+$Y$2</f>
        <v>-49.12272534143483</v>
      </c>
      <c r="C2609" s="7">
        <f>SUMPRODUCT($C$3:$X$3,'batch tool'!$B2603:$W2603)+$Y$3</f>
        <v>-36.514029388465531</v>
      </c>
      <c r="D2609" s="7">
        <f>SUMPRODUCT($C$4:$X$4,'batch tool'!$B2603:$W2603)+$Y$4</f>
        <v>-44.639843068043824</v>
      </c>
      <c r="E2609" s="7">
        <f>SUMPRODUCT($C$5:$X$5,'batch tool'!$B2603:$W2603)+$Y$5</f>
        <v>-51.578889182477603</v>
      </c>
      <c r="F2609" s="7">
        <f>SUMPRODUCT($C$6:$X$6,'batch tool'!$B2603:$W2603)+$Y$6</f>
        <v>-47.741473633885199</v>
      </c>
      <c r="G2609" s="7">
        <f>SUMPRODUCT($C$7:$X$7,'batch tool'!$B2603:$W2603)+$Y$7</f>
        <v>-19.739516238059196</v>
      </c>
      <c r="H2609" s="7">
        <f t="shared" si="82"/>
        <v>-19.739516238059196</v>
      </c>
      <c r="I2609">
        <f t="shared" si="83"/>
        <v>6</v>
      </c>
      <c r="J2609" t="str" cm="1">
        <f t="array" ref="J2609">INDEX($A$2:$A$7,I2609)</f>
        <v>Segment 6- Self-Conscious Male</v>
      </c>
    </row>
    <row r="2610" spans="1:10" x14ac:dyDescent="0.25">
      <c r="A2610" s="1">
        <f>'batch tool'!A2604</f>
        <v>0</v>
      </c>
      <c r="B2610" s="7">
        <f>SUMPRODUCT($C$2:$X$2,'batch tool'!$B2604:$W2604)+$Y$2</f>
        <v>-49.12272534143483</v>
      </c>
      <c r="C2610" s="7">
        <f>SUMPRODUCT($C$3:$X$3,'batch tool'!$B2604:$W2604)+$Y$3</f>
        <v>-36.514029388465531</v>
      </c>
      <c r="D2610" s="7">
        <f>SUMPRODUCT($C$4:$X$4,'batch tool'!$B2604:$W2604)+$Y$4</f>
        <v>-44.639843068043824</v>
      </c>
      <c r="E2610" s="7">
        <f>SUMPRODUCT($C$5:$X$5,'batch tool'!$B2604:$W2604)+$Y$5</f>
        <v>-51.578889182477603</v>
      </c>
      <c r="F2610" s="7">
        <f>SUMPRODUCT($C$6:$X$6,'batch tool'!$B2604:$W2604)+$Y$6</f>
        <v>-47.741473633885199</v>
      </c>
      <c r="G2610" s="7">
        <f>SUMPRODUCT($C$7:$X$7,'batch tool'!$B2604:$W2604)+$Y$7</f>
        <v>-19.739516238059196</v>
      </c>
      <c r="H2610" s="7">
        <f t="shared" si="82"/>
        <v>-19.739516238059196</v>
      </c>
      <c r="I2610">
        <f t="shared" si="83"/>
        <v>6</v>
      </c>
      <c r="J2610" t="str" cm="1">
        <f t="array" ref="J2610">INDEX($A$2:$A$7,I2610)</f>
        <v>Segment 6- Self-Conscious Male</v>
      </c>
    </row>
    <row r="2611" spans="1:10" x14ac:dyDescent="0.25">
      <c r="A2611" s="1">
        <f>'batch tool'!A2605</f>
        <v>0</v>
      </c>
      <c r="B2611" s="7">
        <f>SUMPRODUCT($C$2:$X$2,'batch tool'!$B2605:$W2605)+$Y$2</f>
        <v>-49.12272534143483</v>
      </c>
      <c r="C2611" s="7">
        <f>SUMPRODUCT($C$3:$X$3,'batch tool'!$B2605:$W2605)+$Y$3</f>
        <v>-36.514029388465531</v>
      </c>
      <c r="D2611" s="7">
        <f>SUMPRODUCT($C$4:$X$4,'batch tool'!$B2605:$W2605)+$Y$4</f>
        <v>-44.639843068043824</v>
      </c>
      <c r="E2611" s="7">
        <f>SUMPRODUCT($C$5:$X$5,'batch tool'!$B2605:$W2605)+$Y$5</f>
        <v>-51.578889182477603</v>
      </c>
      <c r="F2611" s="7">
        <f>SUMPRODUCT($C$6:$X$6,'batch tool'!$B2605:$W2605)+$Y$6</f>
        <v>-47.741473633885199</v>
      </c>
      <c r="G2611" s="7">
        <f>SUMPRODUCT($C$7:$X$7,'batch tool'!$B2605:$W2605)+$Y$7</f>
        <v>-19.739516238059196</v>
      </c>
      <c r="H2611" s="7">
        <f t="shared" si="82"/>
        <v>-19.739516238059196</v>
      </c>
      <c r="I2611">
        <f t="shared" si="83"/>
        <v>6</v>
      </c>
      <c r="J2611" t="str" cm="1">
        <f t="array" ref="J2611">INDEX($A$2:$A$7,I2611)</f>
        <v>Segment 6- Self-Conscious Male</v>
      </c>
    </row>
    <row r="2612" spans="1:10" x14ac:dyDescent="0.25">
      <c r="A2612" s="1">
        <f>'batch tool'!A2606</f>
        <v>0</v>
      </c>
      <c r="B2612" s="7">
        <f>SUMPRODUCT($C$2:$X$2,'batch tool'!$B2606:$W2606)+$Y$2</f>
        <v>-49.12272534143483</v>
      </c>
      <c r="C2612" s="7">
        <f>SUMPRODUCT($C$3:$X$3,'batch tool'!$B2606:$W2606)+$Y$3</f>
        <v>-36.514029388465531</v>
      </c>
      <c r="D2612" s="7">
        <f>SUMPRODUCT($C$4:$X$4,'batch tool'!$B2606:$W2606)+$Y$4</f>
        <v>-44.639843068043824</v>
      </c>
      <c r="E2612" s="7">
        <f>SUMPRODUCT($C$5:$X$5,'batch tool'!$B2606:$W2606)+$Y$5</f>
        <v>-51.578889182477603</v>
      </c>
      <c r="F2612" s="7">
        <f>SUMPRODUCT($C$6:$X$6,'batch tool'!$B2606:$W2606)+$Y$6</f>
        <v>-47.741473633885199</v>
      </c>
      <c r="G2612" s="7">
        <f>SUMPRODUCT($C$7:$X$7,'batch tool'!$B2606:$W2606)+$Y$7</f>
        <v>-19.739516238059196</v>
      </c>
      <c r="H2612" s="7">
        <f t="shared" si="82"/>
        <v>-19.739516238059196</v>
      </c>
      <c r="I2612">
        <f t="shared" si="83"/>
        <v>6</v>
      </c>
      <c r="J2612" t="str" cm="1">
        <f t="array" ref="J2612">INDEX($A$2:$A$7,I2612)</f>
        <v>Segment 6- Self-Conscious Male</v>
      </c>
    </row>
    <row r="2613" spans="1:10" x14ac:dyDescent="0.25">
      <c r="A2613" s="1">
        <f>'batch tool'!A2607</f>
        <v>0</v>
      </c>
      <c r="B2613" s="7">
        <f>SUMPRODUCT($C$2:$X$2,'batch tool'!$B2607:$W2607)+$Y$2</f>
        <v>-49.12272534143483</v>
      </c>
      <c r="C2613" s="7">
        <f>SUMPRODUCT($C$3:$X$3,'batch tool'!$B2607:$W2607)+$Y$3</f>
        <v>-36.514029388465531</v>
      </c>
      <c r="D2613" s="7">
        <f>SUMPRODUCT($C$4:$X$4,'batch tool'!$B2607:$W2607)+$Y$4</f>
        <v>-44.639843068043824</v>
      </c>
      <c r="E2613" s="7">
        <f>SUMPRODUCT($C$5:$X$5,'batch tool'!$B2607:$W2607)+$Y$5</f>
        <v>-51.578889182477603</v>
      </c>
      <c r="F2613" s="7">
        <f>SUMPRODUCT($C$6:$X$6,'batch tool'!$B2607:$W2607)+$Y$6</f>
        <v>-47.741473633885199</v>
      </c>
      <c r="G2613" s="7">
        <f>SUMPRODUCT($C$7:$X$7,'batch tool'!$B2607:$W2607)+$Y$7</f>
        <v>-19.739516238059196</v>
      </c>
      <c r="H2613" s="7">
        <f t="shared" si="82"/>
        <v>-19.739516238059196</v>
      </c>
      <c r="I2613">
        <f t="shared" si="83"/>
        <v>6</v>
      </c>
      <c r="J2613" t="str" cm="1">
        <f t="array" ref="J2613">INDEX($A$2:$A$7,I2613)</f>
        <v>Segment 6- Self-Conscious Male</v>
      </c>
    </row>
    <row r="2614" spans="1:10" x14ac:dyDescent="0.25">
      <c r="A2614" s="1">
        <f>'batch tool'!A2608</f>
        <v>0</v>
      </c>
      <c r="B2614" s="7">
        <f>SUMPRODUCT($C$2:$X$2,'batch tool'!$B2608:$W2608)+$Y$2</f>
        <v>-49.12272534143483</v>
      </c>
      <c r="C2614" s="7">
        <f>SUMPRODUCT($C$3:$X$3,'batch tool'!$B2608:$W2608)+$Y$3</f>
        <v>-36.514029388465531</v>
      </c>
      <c r="D2614" s="7">
        <f>SUMPRODUCT($C$4:$X$4,'batch tool'!$B2608:$W2608)+$Y$4</f>
        <v>-44.639843068043824</v>
      </c>
      <c r="E2614" s="7">
        <f>SUMPRODUCT($C$5:$X$5,'batch tool'!$B2608:$W2608)+$Y$5</f>
        <v>-51.578889182477603</v>
      </c>
      <c r="F2614" s="7">
        <f>SUMPRODUCT($C$6:$X$6,'batch tool'!$B2608:$W2608)+$Y$6</f>
        <v>-47.741473633885199</v>
      </c>
      <c r="G2614" s="7">
        <f>SUMPRODUCT($C$7:$X$7,'batch tool'!$B2608:$W2608)+$Y$7</f>
        <v>-19.739516238059196</v>
      </c>
      <c r="H2614" s="7">
        <f t="shared" si="82"/>
        <v>-19.739516238059196</v>
      </c>
      <c r="I2614">
        <f t="shared" si="83"/>
        <v>6</v>
      </c>
      <c r="J2614" t="str" cm="1">
        <f t="array" ref="J2614">INDEX($A$2:$A$7,I2614)</f>
        <v>Segment 6- Self-Conscious Male</v>
      </c>
    </row>
    <row r="2615" spans="1:10" x14ac:dyDescent="0.25">
      <c r="A2615" s="1">
        <f>'batch tool'!A2609</f>
        <v>0</v>
      </c>
      <c r="B2615" s="7">
        <f>SUMPRODUCT($C$2:$X$2,'batch tool'!$B2609:$W2609)+$Y$2</f>
        <v>-49.12272534143483</v>
      </c>
      <c r="C2615" s="7">
        <f>SUMPRODUCT($C$3:$X$3,'batch tool'!$B2609:$W2609)+$Y$3</f>
        <v>-36.514029388465531</v>
      </c>
      <c r="D2615" s="7">
        <f>SUMPRODUCT($C$4:$X$4,'batch tool'!$B2609:$W2609)+$Y$4</f>
        <v>-44.639843068043824</v>
      </c>
      <c r="E2615" s="7">
        <f>SUMPRODUCT($C$5:$X$5,'batch tool'!$B2609:$W2609)+$Y$5</f>
        <v>-51.578889182477603</v>
      </c>
      <c r="F2615" s="7">
        <f>SUMPRODUCT($C$6:$X$6,'batch tool'!$B2609:$W2609)+$Y$6</f>
        <v>-47.741473633885199</v>
      </c>
      <c r="G2615" s="7">
        <f>SUMPRODUCT($C$7:$X$7,'batch tool'!$B2609:$W2609)+$Y$7</f>
        <v>-19.739516238059196</v>
      </c>
      <c r="H2615" s="7">
        <f t="shared" si="82"/>
        <v>-19.739516238059196</v>
      </c>
      <c r="I2615">
        <f t="shared" si="83"/>
        <v>6</v>
      </c>
      <c r="J2615" t="str" cm="1">
        <f t="array" ref="J2615">INDEX($A$2:$A$7,I2615)</f>
        <v>Segment 6- Self-Conscious Male</v>
      </c>
    </row>
    <row r="2616" spans="1:10" x14ac:dyDescent="0.25">
      <c r="A2616" s="1">
        <f>'batch tool'!A2610</f>
        <v>0</v>
      </c>
      <c r="B2616" s="7">
        <f>SUMPRODUCT($C$2:$X$2,'batch tool'!$B2610:$W2610)+$Y$2</f>
        <v>-49.12272534143483</v>
      </c>
      <c r="C2616" s="7">
        <f>SUMPRODUCT($C$3:$X$3,'batch tool'!$B2610:$W2610)+$Y$3</f>
        <v>-36.514029388465531</v>
      </c>
      <c r="D2616" s="7">
        <f>SUMPRODUCT($C$4:$X$4,'batch tool'!$B2610:$W2610)+$Y$4</f>
        <v>-44.639843068043824</v>
      </c>
      <c r="E2616" s="7">
        <f>SUMPRODUCT($C$5:$X$5,'batch tool'!$B2610:$W2610)+$Y$5</f>
        <v>-51.578889182477603</v>
      </c>
      <c r="F2616" s="7">
        <f>SUMPRODUCT($C$6:$X$6,'batch tool'!$B2610:$W2610)+$Y$6</f>
        <v>-47.741473633885199</v>
      </c>
      <c r="G2616" s="7">
        <f>SUMPRODUCT($C$7:$X$7,'batch tool'!$B2610:$W2610)+$Y$7</f>
        <v>-19.739516238059196</v>
      </c>
      <c r="H2616" s="7">
        <f t="shared" si="82"/>
        <v>-19.739516238059196</v>
      </c>
      <c r="I2616">
        <f t="shared" si="83"/>
        <v>6</v>
      </c>
      <c r="J2616" t="str" cm="1">
        <f t="array" ref="J2616">INDEX($A$2:$A$7,I2616)</f>
        <v>Segment 6- Self-Conscious Male</v>
      </c>
    </row>
    <row r="2617" spans="1:10" x14ac:dyDescent="0.25">
      <c r="A2617" s="1">
        <f>'batch tool'!A2611</f>
        <v>0</v>
      </c>
      <c r="B2617" s="7">
        <f>SUMPRODUCT($C$2:$X$2,'batch tool'!$B2611:$W2611)+$Y$2</f>
        <v>-49.12272534143483</v>
      </c>
      <c r="C2617" s="7">
        <f>SUMPRODUCT($C$3:$X$3,'batch tool'!$B2611:$W2611)+$Y$3</f>
        <v>-36.514029388465531</v>
      </c>
      <c r="D2617" s="7">
        <f>SUMPRODUCT($C$4:$X$4,'batch tool'!$B2611:$W2611)+$Y$4</f>
        <v>-44.639843068043824</v>
      </c>
      <c r="E2617" s="7">
        <f>SUMPRODUCT($C$5:$X$5,'batch tool'!$B2611:$W2611)+$Y$5</f>
        <v>-51.578889182477603</v>
      </c>
      <c r="F2617" s="7">
        <f>SUMPRODUCT($C$6:$X$6,'batch tool'!$B2611:$W2611)+$Y$6</f>
        <v>-47.741473633885199</v>
      </c>
      <c r="G2617" s="7">
        <f>SUMPRODUCT($C$7:$X$7,'batch tool'!$B2611:$W2611)+$Y$7</f>
        <v>-19.739516238059196</v>
      </c>
      <c r="H2617" s="7">
        <f t="shared" si="82"/>
        <v>-19.739516238059196</v>
      </c>
      <c r="I2617">
        <f t="shared" si="83"/>
        <v>6</v>
      </c>
      <c r="J2617" t="str" cm="1">
        <f t="array" ref="J2617">INDEX($A$2:$A$7,I2617)</f>
        <v>Segment 6- Self-Conscious Male</v>
      </c>
    </row>
    <row r="2618" spans="1:10" x14ac:dyDescent="0.25">
      <c r="A2618" s="1">
        <f>'batch tool'!A2612</f>
        <v>0</v>
      </c>
      <c r="B2618" s="7">
        <f>SUMPRODUCT($C$2:$X$2,'batch tool'!$B2612:$W2612)+$Y$2</f>
        <v>-49.12272534143483</v>
      </c>
      <c r="C2618" s="7">
        <f>SUMPRODUCT($C$3:$X$3,'batch tool'!$B2612:$W2612)+$Y$3</f>
        <v>-36.514029388465531</v>
      </c>
      <c r="D2618" s="7">
        <f>SUMPRODUCT($C$4:$X$4,'batch tool'!$B2612:$W2612)+$Y$4</f>
        <v>-44.639843068043824</v>
      </c>
      <c r="E2618" s="7">
        <f>SUMPRODUCT($C$5:$X$5,'batch tool'!$B2612:$W2612)+$Y$5</f>
        <v>-51.578889182477603</v>
      </c>
      <c r="F2618" s="7">
        <f>SUMPRODUCT($C$6:$X$6,'batch tool'!$B2612:$W2612)+$Y$6</f>
        <v>-47.741473633885199</v>
      </c>
      <c r="G2618" s="7">
        <f>SUMPRODUCT($C$7:$X$7,'batch tool'!$B2612:$W2612)+$Y$7</f>
        <v>-19.739516238059196</v>
      </c>
      <c r="H2618" s="7">
        <f t="shared" si="82"/>
        <v>-19.739516238059196</v>
      </c>
      <c r="I2618">
        <f t="shared" si="83"/>
        <v>6</v>
      </c>
      <c r="J2618" t="str" cm="1">
        <f t="array" ref="J2618">INDEX($A$2:$A$7,I2618)</f>
        <v>Segment 6- Self-Conscious Male</v>
      </c>
    </row>
    <row r="2619" spans="1:10" x14ac:dyDescent="0.25">
      <c r="A2619" s="1">
        <f>'batch tool'!A2613</f>
        <v>0</v>
      </c>
      <c r="B2619" s="7">
        <f>SUMPRODUCT($C$2:$X$2,'batch tool'!$B2613:$W2613)+$Y$2</f>
        <v>-49.12272534143483</v>
      </c>
      <c r="C2619" s="7">
        <f>SUMPRODUCT($C$3:$X$3,'batch tool'!$B2613:$W2613)+$Y$3</f>
        <v>-36.514029388465531</v>
      </c>
      <c r="D2619" s="7">
        <f>SUMPRODUCT($C$4:$X$4,'batch tool'!$B2613:$W2613)+$Y$4</f>
        <v>-44.639843068043824</v>
      </c>
      <c r="E2619" s="7">
        <f>SUMPRODUCT($C$5:$X$5,'batch tool'!$B2613:$W2613)+$Y$5</f>
        <v>-51.578889182477603</v>
      </c>
      <c r="F2619" s="7">
        <f>SUMPRODUCT($C$6:$X$6,'batch tool'!$B2613:$W2613)+$Y$6</f>
        <v>-47.741473633885199</v>
      </c>
      <c r="G2619" s="7">
        <f>SUMPRODUCT($C$7:$X$7,'batch tool'!$B2613:$W2613)+$Y$7</f>
        <v>-19.739516238059196</v>
      </c>
      <c r="H2619" s="7">
        <f t="shared" si="82"/>
        <v>-19.739516238059196</v>
      </c>
      <c r="I2619">
        <f t="shared" si="83"/>
        <v>6</v>
      </c>
      <c r="J2619" t="str" cm="1">
        <f t="array" ref="J2619">INDEX($A$2:$A$7,I2619)</f>
        <v>Segment 6- Self-Conscious Male</v>
      </c>
    </row>
    <row r="2620" spans="1:10" x14ac:dyDescent="0.25">
      <c r="A2620" s="1">
        <f>'batch tool'!A2614</f>
        <v>0</v>
      </c>
      <c r="B2620" s="7">
        <f>SUMPRODUCT($C$2:$X$2,'batch tool'!$B2614:$W2614)+$Y$2</f>
        <v>-49.12272534143483</v>
      </c>
      <c r="C2620" s="7">
        <f>SUMPRODUCT($C$3:$X$3,'batch tool'!$B2614:$W2614)+$Y$3</f>
        <v>-36.514029388465531</v>
      </c>
      <c r="D2620" s="7">
        <f>SUMPRODUCT($C$4:$X$4,'batch tool'!$B2614:$W2614)+$Y$4</f>
        <v>-44.639843068043824</v>
      </c>
      <c r="E2620" s="7">
        <f>SUMPRODUCT($C$5:$X$5,'batch tool'!$B2614:$W2614)+$Y$5</f>
        <v>-51.578889182477603</v>
      </c>
      <c r="F2620" s="7">
        <f>SUMPRODUCT($C$6:$X$6,'batch tool'!$B2614:$W2614)+$Y$6</f>
        <v>-47.741473633885199</v>
      </c>
      <c r="G2620" s="7">
        <f>SUMPRODUCT($C$7:$X$7,'batch tool'!$B2614:$W2614)+$Y$7</f>
        <v>-19.739516238059196</v>
      </c>
      <c r="H2620" s="7">
        <f t="shared" si="82"/>
        <v>-19.739516238059196</v>
      </c>
      <c r="I2620">
        <f t="shared" si="83"/>
        <v>6</v>
      </c>
      <c r="J2620" t="str" cm="1">
        <f t="array" ref="J2620">INDEX($A$2:$A$7,I2620)</f>
        <v>Segment 6- Self-Conscious Male</v>
      </c>
    </row>
    <row r="2621" spans="1:10" x14ac:dyDescent="0.25">
      <c r="A2621" s="1">
        <f>'batch tool'!A2615</f>
        <v>0</v>
      </c>
      <c r="B2621" s="7">
        <f>SUMPRODUCT($C$2:$X$2,'batch tool'!$B2615:$W2615)+$Y$2</f>
        <v>-49.12272534143483</v>
      </c>
      <c r="C2621" s="7">
        <f>SUMPRODUCT($C$3:$X$3,'batch tool'!$B2615:$W2615)+$Y$3</f>
        <v>-36.514029388465531</v>
      </c>
      <c r="D2621" s="7">
        <f>SUMPRODUCT($C$4:$X$4,'batch tool'!$B2615:$W2615)+$Y$4</f>
        <v>-44.639843068043824</v>
      </c>
      <c r="E2621" s="7">
        <f>SUMPRODUCT($C$5:$X$5,'batch tool'!$B2615:$W2615)+$Y$5</f>
        <v>-51.578889182477603</v>
      </c>
      <c r="F2621" s="7">
        <f>SUMPRODUCT($C$6:$X$6,'batch tool'!$B2615:$W2615)+$Y$6</f>
        <v>-47.741473633885199</v>
      </c>
      <c r="G2621" s="7">
        <f>SUMPRODUCT($C$7:$X$7,'batch tool'!$B2615:$W2615)+$Y$7</f>
        <v>-19.739516238059196</v>
      </c>
      <c r="H2621" s="7">
        <f t="shared" si="82"/>
        <v>-19.739516238059196</v>
      </c>
      <c r="I2621">
        <f t="shared" si="83"/>
        <v>6</v>
      </c>
      <c r="J2621" t="str" cm="1">
        <f t="array" ref="J2621">INDEX($A$2:$A$7,I2621)</f>
        <v>Segment 6- Self-Conscious Male</v>
      </c>
    </row>
    <row r="2622" spans="1:10" x14ac:dyDescent="0.25">
      <c r="A2622" s="1">
        <f>'batch tool'!A2616</f>
        <v>0</v>
      </c>
      <c r="B2622" s="7">
        <f>SUMPRODUCT($C$2:$X$2,'batch tool'!$B2616:$W2616)+$Y$2</f>
        <v>-49.12272534143483</v>
      </c>
      <c r="C2622" s="7">
        <f>SUMPRODUCT($C$3:$X$3,'batch tool'!$B2616:$W2616)+$Y$3</f>
        <v>-36.514029388465531</v>
      </c>
      <c r="D2622" s="7">
        <f>SUMPRODUCT($C$4:$X$4,'batch tool'!$B2616:$W2616)+$Y$4</f>
        <v>-44.639843068043824</v>
      </c>
      <c r="E2622" s="7">
        <f>SUMPRODUCT($C$5:$X$5,'batch tool'!$B2616:$W2616)+$Y$5</f>
        <v>-51.578889182477603</v>
      </c>
      <c r="F2622" s="7">
        <f>SUMPRODUCT($C$6:$X$6,'batch tool'!$B2616:$W2616)+$Y$6</f>
        <v>-47.741473633885199</v>
      </c>
      <c r="G2622" s="7">
        <f>SUMPRODUCT($C$7:$X$7,'batch tool'!$B2616:$W2616)+$Y$7</f>
        <v>-19.739516238059196</v>
      </c>
      <c r="H2622" s="7">
        <f t="shared" si="82"/>
        <v>-19.739516238059196</v>
      </c>
      <c r="I2622">
        <f t="shared" si="83"/>
        <v>6</v>
      </c>
      <c r="J2622" t="str" cm="1">
        <f t="array" ref="J2622">INDEX($A$2:$A$7,I2622)</f>
        <v>Segment 6- Self-Conscious Male</v>
      </c>
    </row>
    <row r="2623" spans="1:10" x14ac:dyDescent="0.25">
      <c r="A2623" s="1">
        <f>'batch tool'!A2617</f>
        <v>0</v>
      </c>
      <c r="B2623" s="7">
        <f>SUMPRODUCT($C$2:$X$2,'batch tool'!$B2617:$W2617)+$Y$2</f>
        <v>-49.12272534143483</v>
      </c>
      <c r="C2623" s="7">
        <f>SUMPRODUCT($C$3:$X$3,'batch tool'!$B2617:$W2617)+$Y$3</f>
        <v>-36.514029388465531</v>
      </c>
      <c r="D2623" s="7">
        <f>SUMPRODUCT($C$4:$X$4,'batch tool'!$B2617:$W2617)+$Y$4</f>
        <v>-44.639843068043824</v>
      </c>
      <c r="E2623" s="7">
        <f>SUMPRODUCT($C$5:$X$5,'batch tool'!$B2617:$W2617)+$Y$5</f>
        <v>-51.578889182477603</v>
      </c>
      <c r="F2623" s="7">
        <f>SUMPRODUCT($C$6:$X$6,'batch tool'!$B2617:$W2617)+$Y$6</f>
        <v>-47.741473633885199</v>
      </c>
      <c r="G2623" s="7">
        <f>SUMPRODUCT($C$7:$X$7,'batch tool'!$B2617:$W2617)+$Y$7</f>
        <v>-19.739516238059196</v>
      </c>
      <c r="H2623" s="7">
        <f t="shared" si="82"/>
        <v>-19.739516238059196</v>
      </c>
      <c r="I2623">
        <f t="shared" si="83"/>
        <v>6</v>
      </c>
      <c r="J2623" t="str" cm="1">
        <f t="array" ref="J2623">INDEX($A$2:$A$7,I2623)</f>
        <v>Segment 6- Self-Conscious Male</v>
      </c>
    </row>
    <row r="2624" spans="1:10" x14ac:dyDescent="0.25">
      <c r="A2624" s="1">
        <f>'batch tool'!A2618</f>
        <v>0</v>
      </c>
      <c r="B2624" s="7">
        <f>SUMPRODUCT($C$2:$X$2,'batch tool'!$B2618:$W2618)+$Y$2</f>
        <v>-49.12272534143483</v>
      </c>
      <c r="C2624" s="7">
        <f>SUMPRODUCT($C$3:$X$3,'batch tool'!$B2618:$W2618)+$Y$3</f>
        <v>-36.514029388465531</v>
      </c>
      <c r="D2624" s="7">
        <f>SUMPRODUCT($C$4:$X$4,'batch tool'!$B2618:$W2618)+$Y$4</f>
        <v>-44.639843068043824</v>
      </c>
      <c r="E2624" s="7">
        <f>SUMPRODUCT($C$5:$X$5,'batch tool'!$B2618:$W2618)+$Y$5</f>
        <v>-51.578889182477603</v>
      </c>
      <c r="F2624" s="7">
        <f>SUMPRODUCT($C$6:$X$6,'batch tool'!$B2618:$W2618)+$Y$6</f>
        <v>-47.741473633885199</v>
      </c>
      <c r="G2624" s="7">
        <f>SUMPRODUCT($C$7:$X$7,'batch tool'!$B2618:$W2618)+$Y$7</f>
        <v>-19.739516238059196</v>
      </c>
      <c r="H2624" s="7">
        <f t="shared" si="82"/>
        <v>-19.739516238059196</v>
      </c>
      <c r="I2624">
        <f t="shared" si="83"/>
        <v>6</v>
      </c>
      <c r="J2624" t="str" cm="1">
        <f t="array" ref="J2624">INDEX($A$2:$A$7,I2624)</f>
        <v>Segment 6- Self-Conscious Male</v>
      </c>
    </row>
    <row r="2625" spans="1:10" x14ac:dyDescent="0.25">
      <c r="A2625" s="1">
        <f>'batch tool'!A2619</f>
        <v>0</v>
      </c>
      <c r="B2625" s="7">
        <f>SUMPRODUCT($C$2:$X$2,'batch tool'!$B2619:$W2619)+$Y$2</f>
        <v>-49.12272534143483</v>
      </c>
      <c r="C2625" s="7">
        <f>SUMPRODUCT($C$3:$X$3,'batch tool'!$B2619:$W2619)+$Y$3</f>
        <v>-36.514029388465531</v>
      </c>
      <c r="D2625" s="7">
        <f>SUMPRODUCT($C$4:$X$4,'batch tool'!$B2619:$W2619)+$Y$4</f>
        <v>-44.639843068043824</v>
      </c>
      <c r="E2625" s="7">
        <f>SUMPRODUCT($C$5:$X$5,'batch tool'!$B2619:$W2619)+$Y$5</f>
        <v>-51.578889182477603</v>
      </c>
      <c r="F2625" s="7">
        <f>SUMPRODUCT($C$6:$X$6,'batch tool'!$B2619:$W2619)+$Y$6</f>
        <v>-47.741473633885199</v>
      </c>
      <c r="G2625" s="7">
        <f>SUMPRODUCT($C$7:$X$7,'batch tool'!$B2619:$W2619)+$Y$7</f>
        <v>-19.739516238059196</v>
      </c>
      <c r="H2625" s="7">
        <f t="shared" si="82"/>
        <v>-19.739516238059196</v>
      </c>
      <c r="I2625">
        <f t="shared" si="83"/>
        <v>6</v>
      </c>
      <c r="J2625" t="str" cm="1">
        <f t="array" ref="J2625">INDEX($A$2:$A$7,I2625)</f>
        <v>Segment 6- Self-Conscious Male</v>
      </c>
    </row>
    <row r="2626" spans="1:10" x14ac:dyDescent="0.25">
      <c r="A2626" s="1">
        <f>'batch tool'!A2620</f>
        <v>0</v>
      </c>
      <c r="B2626" s="7">
        <f>SUMPRODUCT($C$2:$X$2,'batch tool'!$B2620:$W2620)+$Y$2</f>
        <v>-49.12272534143483</v>
      </c>
      <c r="C2626" s="7">
        <f>SUMPRODUCT($C$3:$X$3,'batch tool'!$B2620:$W2620)+$Y$3</f>
        <v>-36.514029388465531</v>
      </c>
      <c r="D2626" s="7">
        <f>SUMPRODUCT($C$4:$X$4,'batch tool'!$B2620:$W2620)+$Y$4</f>
        <v>-44.639843068043824</v>
      </c>
      <c r="E2626" s="7">
        <f>SUMPRODUCT($C$5:$X$5,'batch tool'!$B2620:$W2620)+$Y$5</f>
        <v>-51.578889182477603</v>
      </c>
      <c r="F2626" s="7">
        <f>SUMPRODUCT($C$6:$X$6,'batch tool'!$B2620:$W2620)+$Y$6</f>
        <v>-47.741473633885199</v>
      </c>
      <c r="G2626" s="7">
        <f>SUMPRODUCT($C$7:$X$7,'batch tool'!$B2620:$W2620)+$Y$7</f>
        <v>-19.739516238059196</v>
      </c>
      <c r="H2626" s="7">
        <f t="shared" si="82"/>
        <v>-19.739516238059196</v>
      </c>
      <c r="I2626">
        <f t="shared" si="83"/>
        <v>6</v>
      </c>
      <c r="J2626" t="str" cm="1">
        <f t="array" ref="J2626">INDEX($A$2:$A$7,I2626)</f>
        <v>Segment 6- Self-Conscious Male</v>
      </c>
    </row>
    <row r="2627" spans="1:10" x14ac:dyDescent="0.25">
      <c r="A2627" s="1">
        <f>'batch tool'!A2621</f>
        <v>0</v>
      </c>
      <c r="B2627" s="7">
        <f>SUMPRODUCT($C$2:$X$2,'batch tool'!$B2621:$W2621)+$Y$2</f>
        <v>-49.12272534143483</v>
      </c>
      <c r="C2627" s="7">
        <f>SUMPRODUCT($C$3:$X$3,'batch tool'!$B2621:$W2621)+$Y$3</f>
        <v>-36.514029388465531</v>
      </c>
      <c r="D2627" s="7">
        <f>SUMPRODUCT($C$4:$X$4,'batch tool'!$B2621:$W2621)+$Y$4</f>
        <v>-44.639843068043824</v>
      </c>
      <c r="E2627" s="7">
        <f>SUMPRODUCT($C$5:$X$5,'batch tool'!$B2621:$W2621)+$Y$5</f>
        <v>-51.578889182477603</v>
      </c>
      <c r="F2627" s="7">
        <f>SUMPRODUCT($C$6:$X$6,'batch tool'!$B2621:$W2621)+$Y$6</f>
        <v>-47.741473633885199</v>
      </c>
      <c r="G2627" s="7">
        <f>SUMPRODUCT($C$7:$X$7,'batch tool'!$B2621:$W2621)+$Y$7</f>
        <v>-19.739516238059196</v>
      </c>
      <c r="H2627" s="7">
        <f t="shared" si="82"/>
        <v>-19.739516238059196</v>
      </c>
      <c r="I2627">
        <f t="shared" si="83"/>
        <v>6</v>
      </c>
      <c r="J2627" t="str" cm="1">
        <f t="array" ref="J2627">INDEX($A$2:$A$7,I2627)</f>
        <v>Segment 6- Self-Conscious Male</v>
      </c>
    </row>
    <row r="2628" spans="1:10" x14ac:dyDescent="0.25">
      <c r="A2628" s="1">
        <f>'batch tool'!A2622</f>
        <v>0</v>
      </c>
      <c r="B2628" s="7">
        <f>SUMPRODUCT($C$2:$X$2,'batch tool'!$B2622:$W2622)+$Y$2</f>
        <v>-49.12272534143483</v>
      </c>
      <c r="C2628" s="7">
        <f>SUMPRODUCT($C$3:$X$3,'batch tool'!$B2622:$W2622)+$Y$3</f>
        <v>-36.514029388465531</v>
      </c>
      <c r="D2628" s="7">
        <f>SUMPRODUCT($C$4:$X$4,'batch tool'!$B2622:$W2622)+$Y$4</f>
        <v>-44.639843068043824</v>
      </c>
      <c r="E2628" s="7">
        <f>SUMPRODUCT($C$5:$X$5,'batch tool'!$B2622:$W2622)+$Y$5</f>
        <v>-51.578889182477603</v>
      </c>
      <c r="F2628" s="7">
        <f>SUMPRODUCT($C$6:$X$6,'batch tool'!$B2622:$W2622)+$Y$6</f>
        <v>-47.741473633885199</v>
      </c>
      <c r="G2628" s="7">
        <f>SUMPRODUCT($C$7:$X$7,'batch tool'!$B2622:$W2622)+$Y$7</f>
        <v>-19.739516238059196</v>
      </c>
      <c r="H2628" s="7">
        <f t="shared" si="82"/>
        <v>-19.739516238059196</v>
      </c>
      <c r="I2628">
        <f t="shared" si="83"/>
        <v>6</v>
      </c>
      <c r="J2628" t="str" cm="1">
        <f t="array" ref="J2628">INDEX($A$2:$A$7,I2628)</f>
        <v>Segment 6- Self-Conscious Male</v>
      </c>
    </row>
    <row r="2629" spans="1:10" x14ac:dyDescent="0.25">
      <c r="A2629" s="1">
        <f>'batch tool'!A2623</f>
        <v>0</v>
      </c>
      <c r="B2629" s="7">
        <f>SUMPRODUCT($C$2:$X$2,'batch tool'!$B2623:$W2623)+$Y$2</f>
        <v>-49.12272534143483</v>
      </c>
      <c r="C2629" s="7">
        <f>SUMPRODUCT($C$3:$X$3,'batch tool'!$B2623:$W2623)+$Y$3</f>
        <v>-36.514029388465531</v>
      </c>
      <c r="D2629" s="7">
        <f>SUMPRODUCT($C$4:$X$4,'batch tool'!$B2623:$W2623)+$Y$4</f>
        <v>-44.639843068043824</v>
      </c>
      <c r="E2629" s="7">
        <f>SUMPRODUCT($C$5:$X$5,'batch tool'!$B2623:$W2623)+$Y$5</f>
        <v>-51.578889182477603</v>
      </c>
      <c r="F2629" s="7">
        <f>SUMPRODUCT($C$6:$X$6,'batch tool'!$B2623:$W2623)+$Y$6</f>
        <v>-47.741473633885199</v>
      </c>
      <c r="G2629" s="7">
        <f>SUMPRODUCT($C$7:$X$7,'batch tool'!$B2623:$W2623)+$Y$7</f>
        <v>-19.739516238059196</v>
      </c>
      <c r="H2629" s="7">
        <f t="shared" si="82"/>
        <v>-19.739516238059196</v>
      </c>
      <c r="I2629">
        <f t="shared" si="83"/>
        <v>6</v>
      </c>
      <c r="J2629" t="str" cm="1">
        <f t="array" ref="J2629">INDEX($A$2:$A$7,I2629)</f>
        <v>Segment 6- Self-Conscious Male</v>
      </c>
    </row>
    <row r="2630" spans="1:10" x14ac:dyDescent="0.25">
      <c r="A2630" s="1">
        <f>'batch tool'!A2624</f>
        <v>0</v>
      </c>
      <c r="B2630" s="7">
        <f>SUMPRODUCT($C$2:$X$2,'batch tool'!$B2624:$W2624)+$Y$2</f>
        <v>-49.12272534143483</v>
      </c>
      <c r="C2630" s="7">
        <f>SUMPRODUCT($C$3:$X$3,'batch tool'!$B2624:$W2624)+$Y$3</f>
        <v>-36.514029388465531</v>
      </c>
      <c r="D2630" s="7">
        <f>SUMPRODUCT($C$4:$X$4,'batch tool'!$B2624:$W2624)+$Y$4</f>
        <v>-44.639843068043824</v>
      </c>
      <c r="E2630" s="7">
        <f>SUMPRODUCT($C$5:$X$5,'batch tool'!$B2624:$W2624)+$Y$5</f>
        <v>-51.578889182477603</v>
      </c>
      <c r="F2630" s="7">
        <f>SUMPRODUCT($C$6:$X$6,'batch tool'!$B2624:$W2624)+$Y$6</f>
        <v>-47.741473633885199</v>
      </c>
      <c r="G2630" s="7">
        <f>SUMPRODUCT($C$7:$X$7,'batch tool'!$B2624:$W2624)+$Y$7</f>
        <v>-19.739516238059196</v>
      </c>
      <c r="H2630" s="7">
        <f t="shared" si="82"/>
        <v>-19.739516238059196</v>
      </c>
      <c r="I2630">
        <f t="shared" si="83"/>
        <v>6</v>
      </c>
      <c r="J2630" t="str" cm="1">
        <f t="array" ref="J2630">INDEX($A$2:$A$7,I2630)</f>
        <v>Segment 6- Self-Conscious Male</v>
      </c>
    </row>
    <row r="2631" spans="1:10" x14ac:dyDescent="0.25">
      <c r="A2631" s="1">
        <f>'batch tool'!A2625</f>
        <v>0</v>
      </c>
      <c r="B2631" s="7">
        <f>SUMPRODUCT($C$2:$X$2,'batch tool'!$B2625:$W2625)+$Y$2</f>
        <v>-49.12272534143483</v>
      </c>
      <c r="C2631" s="7">
        <f>SUMPRODUCT($C$3:$X$3,'batch tool'!$B2625:$W2625)+$Y$3</f>
        <v>-36.514029388465531</v>
      </c>
      <c r="D2631" s="7">
        <f>SUMPRODUCT($C$4:$X$4,'batch tool'!$B2625:$W2625)+$Y$4</f>
        <v>-44.639843068043824</v>
      </c>
      <c r="E2631" s="7">
        <f>SUMPRODUCT($C$5:$X$5,'batch tool'!$B2625:$W2625)+$Y$5</f>
        <v>-51.578889182477603</v>
      </c>
      <c r="F2631" s="7">
        <f>SUMPRODUCT($C$6:$X$6,'batch tool'!$B2625:$W2625)+$Y$6</f>
        <v>-47.741473633885199</v>
      </c>
      <c r="G2631" s="7">
        <f>SUMPRODUCT($C$7:$X$7,'batch tool'!$B2625:$W2625)+$Y$7</f>
        <v>-19.739516238059196</v>
      </c>
      <c r="H2631" s="7">
        <f t="shared" si="82"/>
        <v>-19.739516238059196</v>
      </c>
      <c r="I2631">
        <f t="shared" si="83"/>
        <v>6</v>
      </c>
      <c r="J2631" t="str" cm="1">
        <f t="array" ref="J2631">INDEX($A$2:$A$7,I2631)</f>
        <v>Segment 6- Self-Conscious Male</v>
      </c>
    </row>
    <row r="2632" spans="1:10" x14ac:dyDescent="0.25">
      <c r="A2632" s="1">
        <f>'batch tool'!A2626</f>
        <v>0</v>
      </c>
      <c r="B2632" s="7">
        <f>SUMPRODUCT($C$2:$X$2,'batch tool'!$B2626:$W2626)+$Y$2</f>
        <v>-49.12272534143483</v>
      </c>
      <c r="C2632" s="7">
        <f>SUMPRODUCT($C$3:$X$3,'batch tool'!$B2626:$W2626)+$Y$3</f>
        <v>-36.514029388465531</v>
      </c>
      <c r="D2632" s="7">
        <f>SUMPRODUCT($C$4:$X$4,'batch tool'!$B2626:$W2626)+$Y$4</f>
        <v>-44.639843068043824</v>
      </c>
      <c r="E2632" s="7">
        <f>SUMPRODUCT($C$5:$X$5,'batch tool'!$B2626:$W2626)+$Y$5</f>
        <v>-51.578889182477603</v>
      </c>
      <c r="F2632" s="7">
        <f>SUMPRODUCT($C$6:$X$6,'batch tool'!$B2626:$W2626)+$Y$6</f>
        <v>-47.741473633885199</v>
      </c>
      <c r="G2632" s="7">
        <f>SUMPRODUCT($C$7:$X$7,'batch tool'!$B2626:$W2626)+$Y$7</f>
        <v>-19.739516238059196</v>
      </c>
      <c r="H2632" s="7">
        <f t="shared" si="82"/>
        <v>-19.739516238059196</v>
      </c>
      <c r="I2632">
        <f t="shared" si="83"/>
        <v>6</v>
      </c>
      <c r="J2632" t="str" cm="1">
        <f t="array" ref="J2632">INDEX($A$2:$A$7,I2632)</f>
        <v>Segment 6- Self-Conscious Male</v>
      </c>
    </row>
    <row r="2633" spans="1:10" x14ac:dyDescent="0.25">
      <c r="A2633" s="1">
        <f>'batch tool'!A2627</f>
        <v>0</v>
      </c>
      <c r="B2633" s="7">
        <f>SUMPRODUCT($C$2:$X$2,'batch tool'!$B2627:$W2627)+$Y$2</f>
        <v>-49.12272534143483</v>
      </c>
      <c r="C2633" s="7">
        <f>SUMPRODUCT($C$3:$X$3,'batch tool'!$B2627:$W2627)+$Y$3</f>
        <v>-36.514029388465531</v>
      </c>
      <c r="D2633" s="7">
        <f>SUMPRODUCT($C$4:$X$4,'batch tool'!$B2627:$W2627)+$Y$4</f>
        <v>-44.639843068043824</v>
      </c>
      <c r="E2633" s="7">
        <f>SUMPRODUCT($C$5:$X$5,'batch tool'!$B2627:$W2627)+$Y$5</f>
        <v>-51.578889182477603</v>
      </c>
      <c r="F2633" s="7">
        <f>SUMPRODUCT($C$6:$X$6,'batch tool'!$B2627:$W2627)+$Y$6</f>
        <v>-47.741473633885199</v>
      </c>
      <c r="G2633" s="7">
        <f>SUMPRODUCT($C$7:$X$7,'batch tool'!$B2627:$W2627)+$Y$7</f>
        <v>-19.739516238059196</v>
      </c>
      <c r="H2633" s="7">
        <f t="shared" si="82"/>
        <v>-19.739516238059196</v>
      </c>
      <c r="I2633">
        <f t="shared" si="83"/>
        <v>6</v>
      </c>
      <c r="J2633" t="str" cm="1">
        <f t="array" ref="J2633">INDEX($A$2:$A$7,I2633)</f>
        <v>Segment 6- Self-Conscious Male</v>
      </c>
    </row>
    <row r="2634" spans="1:10" x14ac:dyDescent="0.25">
      <c r="A2634" s="1">
        <f>'batch tool'!A2628</f>
        <v>0</v>
      </c>
      <c r="B2634" s="7">
        <f>SUMPRODUCT($C$2:$X$2,'batch tool'!$B2628:$W2628)+$Y$2</f>
        <v>-49.12272534143483</v>
      </c>
      <c r="C2634" s="7">
        <f>SUMPRODUCT($C$3:$X$3,'batch tool'!$B2628:$W2628)+$Y$3</f>
        <v>-36.514029388465531</v>
      </c>
      <c r="D2634" s="7">
        <f>SUMPRODUCT($C$4:$X$4,'batch tool'!$B2628:$W2628)+$Y$4</f>
        <v>-44.639843068043824</v>
      </c>
      <c r="E2634" s="7">
        <f>SUMPRODUCT($C$5:$X$5,'batch tool'!$B2628:$W2628)+$Y$5</f>
        <v>-51.578889182477603</v>
      </c>
      <c r="F2634" s="7">
        <f>SUMPRODUCT($C$6:$X$6,'batch tool'!$B2628:$W2628)+$Y$6</f>
        <v>-47.741473633885199</v>
      </c>
      <c r="G2634" s="7">
        <f>SUMPRODUCT($C$7:$X$7,'batch tool'!$B2628:$W2628)+$Y$7</f>
        <v>-19.739516238059196</v>
      </c>
      <c r="H2634" s="7">
        <f t="shared" si="82"/>
        <v>-19.739516238059196</v>
      </c>
      <c r="I2634">
        <f t="shared" si="83"/>
        <v>6</v>
      </c>
      <c r="J2634" t="str" cm="1">
        <f t="array" ref="J2634">INDEX($A$2:$A$7,I2634)</f>
        <v>Segment 6- Self-Conscious Male</v>
      </c>
    </row>
    <row r="2635" spans="1:10" x14ac:dyDescent="0.25">
      <c r="A2635" s="1">
        <f>'batch tool'!A2629</f>
        <v>0</v>
      </c>
      <c r="B2635" s="7">
        <f>SUMPRODUCT($C$2:$X$2,'batch tool'!$B2629:$W2629)+$Y$2</f>
        <v>-49.12272534143483</v>
      </c>
      <c r="C2635" s="7">
        <f>SUMPRODUCT($C$3:$X$3,'batch tool'!$B2629:$W2629)+$Y$3</f>
        <v>-36.514029388465531</v>
      </c>
      <c r="D2635" s="7">
        <f>SUMPRODUCT($C$4:$X$4,'batch tool'!$B2629:$W2629)+$Y$4</f>
        <v>-44.639843068043824</v>
      </c>
      <c r="E2635" s="7">
        <f>SUMPRODUCT($C$5:$X$5,'batch tool'!$B2629:$W2629)+$Y$5</f>
        <v>-51.578889182477603</v>
      </c>
      <c r="F2635" s="7">
        <f>SUMPRODUCT($C$6:$X$6,'batch tool'!$B2629:$W2629)+$Y$6</f>
        <v>-47.741473633885199</v>
      </c>
      <c r="G2635" s="7">
        <f>SUMPRODUCT($C$7:$X$7,'batch tool'!$B2629:$W2629)+$Y$7</f>
        <v>-19.739516238059196</v>
      </c>
      <c r="H2635" s="7">
        <f t="shared" si="82"/>
        <v>-19.739516238059196</v>
      </c>
      <c r="I2635">
        <f t="shared" si="83"/>
        <v>6</v>
      </c>
      <c r="J2635" t="str" cm="1">
        <f t="array" ref="J2635">INDEX($A$2:$A$7,I2635)</f>
        <v>Segment 6- Self-Conscious Male</v>
      </c>
    </row>
    <row r="2636" spans="1:10" x14ac:dyDescent="0.25">
      <c r="A2636" s="1">
        <f>'batch tool'!A2630</f>
        <v>0</v>
      </c>
      <c r="B2636" s="7">
        <f>SUMPRODUCT($C$2:$X$2,'batch tool'!$B2630:$W2630)+$Y$2</f>
        <v>-49.12272534143483</v>
      </c>
      <c r="C2636" s="7">
        <f>SUMPRODUCT($C$3:$X$3,'batch tool'!$B2630:$W2630)+$Y$3</f>
        <v>-36.514029388465531</v>
      </c>
      <c r="D2636" s="7">
        <f>SUMPRODUCT($C$4:$X$4,'batch tool'!$B2630:$W2630)+$Y$4</f>
        <v>-44.639843068043824</v>
      </c>
      <c r="E2636" s="7">
        <f>SUMPRODUCT($C$5:$X$5,'batch tool'!$B2630:$W2630)+$Y$5</f>
        <v>-51.578889182477603</v>
      </c>
      <c r="F2636" s="7">
        <f>SUMPRODUCT($C$6:$X$6,'batch tool'!$B2630:$W2630)+$Y$6</f>
        <v>-47.741473633885199</v>
      </c>
      <c r="G2636" s="7">
        <f>SUMPRODUCT($C$7:$X$7,'batch tool'!$B2630:$W2630)+$Y$7</f>
        <v>-19.739516238059196</v>
      </c>
      <c r="H2636" s="7">
        <f t="shared" si="82"/>
        <v>-19.739516238059196</v>
      </c>
      <c r="I2636">
        <f t="shared" si="83"/>
        <v>6</v>
      </c>
      <c r="J2636" t="str" cm="1">
        <f t="array" ref="J2636">INDEX($A$2:$A$7,I2636)</f>
        <v>Segment 6- Self-Conscious Male</v>
      </c>
    </row>
    <row r="2637" spans="1:10" x14ac:dyDescent="0.25">
      <c r="A2637" s="1">
        <f>'batch tool'!A2631</f>
        <v>0</v>
      </c>
      <c r="B2637" s="7">
        <f>SUMPRODUCT($C$2:$X$2,'batch tool'!$B2631:$W2631)+$Y$2</f>
        <v>-49.12272534143483</v>
      </c>
      <c r="C2637" s="7">
        <f>SUMPRODUCT($C$3:$X$3,'batch tool'!$B2631:$W2631)+$Y$3</f>
        <v>-36.514029388465531</v>
      </c>
      <c r="D2637" s="7">
        <f>SUMPRODUCT($C$4:$X$4,'batch tool'!$B2631:$W2631)+$Y$4</f>
        <v>-44.639843068043824</v>
      </c>
      <c r="E2637" s="7">
        <f>SUMPRODUCT($C$5:$X$5,'batch tool'!$B2631:$W2631)+$Y$5</f>
        <v>-51.578889182477603</v>
      </c>
      <c r="F2637" s="7">
        <f>SUMPRODUCT($C$6:$X$6,'batch tool'!$B2631:$W2631)+$Y$6</f>
        <v>-47.741473633885199</v>
      </c>
      <c r="G2637" s="7">
        <f>SUMPRODUCT($C$7:$X$7,'batch tool'!$B2631:$W2631)+$Y$7</f>
        <v>-19.739516238059196</v>
      </c>
      <c r="H2637" s="7">
        <f t="shared" si="82"/>
        <v>-19.739516238059196</v>
      </c>
      <c r="I2637">
        <f t="shared" si="83"/>
        <v>6</v>
      </c>
      <c r="J2637" t="str" cm="1">
        <f t="array" ref="J2637">INDEX($A$2:$A$7,I2637)</f>
        <v>Segment 6- Self-Conscious Male</v>
      </c>
    </row>
    <row r="2638" spans="1:10" x14ac:dyDescent="0.25">
      <c r="A2638" s="1">
        <f>'batch tool'!A2632</f>
        <v>0</v>
      </c>
      <c r="B2638" s="7">
        <f>SUMPRODUCT($C$2:$X$2,'batch tool'!$B2632:$W2632)+$Y$2</f>
        <v>-49.12272534143483</v>
      </c>
      <c r="C2638" s="7">
        <f>SUMPRODUCT($C$3:$X$3,'batch tool'!$B2632:$W2632)+$Y$3</f>
        <v>-36.514029388465531</v>
      </c>
      <c r="D2638" s="7">
        <f>SUMPRODUCT($C$4:$X$4,'batch tool'!$B2632:$W2632)+$Y$4</f>
        <v>-44.639843068043824</v>
      </c>
      <c r="E2638" s="7">
        <f>SUMPRODUCT($C$5:$X$5,'batch tool'!$B2632:$W2632)+$Y$5</f>
        <v>-51.578889182477603</v>
      </c>
      <c r="F2638" s="7">
        <f>SUMPRODUCT($C$6:$X$6,'batch tool'!$B2632:$W2632)+$Y$6</f>
        <v>-47.741473633885199</v>
      </c>
      <c r="G2638" s="7">
        <f>SUMPRODUCT($C$7:$X$7,'batch tool'!$B2632:$W2632)+$Y$7</f>
        <v>-19.739516238059196</v>
      </c>
      <c r="H2638" s="7">
        <f t="shared" si="82"/>
        <v>-19.739516238059196</v>
      </c>
      <c r="I2638">
        <f t="shared" si="83"/>
        <v>6</v>
      </c>
      <c r="J2638" t="str" cm="1">
        <f t="array" ref="J2638">INDEX($A$2:$A$7,I2638)</f>
        <v>Segment 6- Self-Conscious Male</v>
      </c>
    </row>
    <row r="2639" spans="1:10" x14ac:dyDescent="0.25">
      <c r="A2639" s="1">
        <f>'batch tool'!A2633</f>
        <v>0</v>
      </c>
      <c r="B2639" s="7">
        <f>SUMPRODUCT($C$2:$X$2,'batch tool'!$B2633:$W2633)+$Y$2</f>
        <v>-49.12272534143483</v>
      </c>
      <c r="C2639" s="7">
        <f>SUMPRODUCT($C$3:$X$3,'batch tool'!$B2633:$W2633)+$Y$3</f>
        <v>-36.514029388465531</v>
      </c>
      <c r="D2639" s="7">
        <f>SUMPRODUCT($C$4:$X$4,'batch tool'!$B2633:$W2633)+$Y$4</f>
        <v>-44.639843068043824</v>
      </c>
      <c r="E2639" s="7">
        <f>SUMPRODUCT($C$5:$X$5,'batch tool'!$B2633:$W2633)+$Y$5</f>
        <v>-51.578889182477603</v>
      </c>
      <c r="F2639" s="7">
        <f>SUMPRODUCT($C$6:$X$6,'batch tool'!$B2633:$W2633)+$Y$6</f>
        <v>-47.741473633885199</v>
      </c>
      <c r="G2639" s="7">
        <f>SUMPRODUCT($C$7:$X$7,'batch tool'!$B2633:$W2633)+$Y$7</f>
        <v>-19.739516238059196</v>
      </c>
      <c r="H2639" s="7">
        <f t="shared" si="82"/>
        <v>-19.739516238059196</v>
      </c>
      <c r="I2639">
        <f t="shared" si="83"/>
        <v>6</v>
      </c>
      <c r="J2639" t="str" cm="1">
        <f t="array" ref="J2639">INDEX($A$2:$A$7,I2639)</f>
        <v>Segment 6- Self-Conscious Male</v>
      </c>
    </row>
    <row r="2640" spans="1:10" x14ac:dyDescent="0.25">
      <c r="A2640" s="1">
        <f>'batch tool'!A2634</f>
        <v>0</v>
      </c>
      <c r="B2640" s="7">
        <f>SUMPRODUCT($C$2:$X$2,'batch tool'!$B2634:$W2634)+$Y$2</f>
        <v>-49.12272534143483</v>
      </c>
      <c r="C2640" s="7">
        <f>SUMPRODUCT($C$3:$X$3,'batch tool'!$B2634:$W2634)+$Y$3</f>
        <v>-36.514029388465531</v>
      </c>
      <c r="D2640" s="7">
        <f>SUMPRODUCT($C$4:$X$4,'batch tool'!$B2634:$W2634)+$Y$4</f>
        <v>-44.639843068043824</v>
      </c>
      <c r="E2640" s="7">
        <f>SUMPRODUCT($C$5:$X$5,'batch tool'!$B2634:$W2634)+$Y$5</f>
        <v>-51.578889182477603</v>
      </c>
      <c r="F2640" s="7">
        <f>SUMPRODUCT($C$6:$X$6,'batch tool'!$B2634:$W2634)+$Y$6</f>
        <v>-47.741473633885199</v>
      </c>
      <c r="G2640" s="7">
        <f>SUMPRODUCT($C$7:$X$7,'batch tool'!$B2634:$W2634)+$Y$7</f>
        <v>-19.739516238059196</v>
      </c>
      <c r="H2640" s="7">
        <f t="shared" si="82"/>
        <v>-19.739516238059196</v>
      </c>
      <c r="I2640">
        <f t="shared" si="83"/>
        <v>6</v>
      </c>
      <c r="J2640" t="str" cm="1">
        <f t="array" ref="J2640">INDEX($A$2:$A$7,I2640)</f>
        <v>Segment 6- Self-Conscious Male</v>
      </c>
    </row>
    <row r="2641" spans="1:10" x14ac:dyDescent="0.25">
      <c r="A2641" s="1">
        <f>'batch tool'!A2635</f>
        <v>0</v>
      </c>
      <c r="B2641" s="7">
        <f>SUMPRODUCT($C$2:$X$2,'batch tool'!$B2635:$W2635)+$Y$2</f>
        <v>-49.12272534143483</v>
      </c>
      <c r="C2641" s="7">
        <f>SUMPRODUCT($C$3:$X$3,'batch tool'!$B2635:$W2635)+$Y$3</f>
        <v>-36.514029388465531</v>
      </c>
      <c r="D2641" s="7">
        <f>SUMPRODUCT($C$4:$X$4,'batch tool'!$B2635:$W2635)+$Y$4</f>
        <v>-44.639843068043824</v>
      </c>
      <c r="E2641" s="7">
        <f>SUMPRODUCT($C$5:$X$5,'batch tool'!$B2635:$W2635)+$Y$5</f>
        <v>-51.578889182477603</v>
      </c>
      <c r="F2641" s="7">
        <f>SUMPRODUCT($C$6:$X$6,'batch tool'!$B2635:$W2635)+$Y$6</f>
        <v>-47.741473633885199</v>
      </c>
      <c r="G2641" s="7">
        <f>SUMPRODUCT($C$7:$X$7,'batch tool'!$B2635:$W2635)+$Y$7</f>
        <v>-19.739516238059196</v>
      </c>
      <c r="H2641" s="7">
        <f t="shared" si="82"/>
        <v>-19.739516238059196</v>
      </c>
      <c r="I2641">
        <f t="shared" si="83"/>
        <v>6</v>
      </c>
      <c r="J2641" t="str" cm="1">
        <f t="array" ref="J2641">INDEX($A$2:$A$7,I2641)</f>
        <v>Segment 6- Self-Conscious Male</v>
      </c>
    </row>
    <row r="2642" spans="1:10" x14ac:dyDescent="0.25">
      <c r="A2642" s="1">
        <f>'batch tool'!A2636</f>
        <v>0</v>
      </c>
      <c r="B2642" s="7">
        <f>SUMPRODUCT($C$2:$X$2,'batch tool'!$B2636:$W2636)+$Y$2</f>
        <v>-49.12272534143483</v>
      </c>
      <c r="C2642" s="7">
        <f>SUMPRODUCT($C$3:$X$3,'batch tool'!$B2636:$W2636)+$Y$3</f>
        <v>-36.514029388465531</v>
      </c>
      <c r="D2642" s="7">
        <f>SUMPRODUCT($C$4:$X$4,'batch tool'!$B2636:$W2636)+$Y$4</f>
        <v>-44.639843068043824</v>
      </c>
      <c r="E2642" s="7">
        <f>SUMPRODUCT($C$5:$X$5,'batch tool'!$B2636:$W2636)+$Y$5</f>
        <v>-51.578889182477603</v>
      </c>
      <c r="F2642" s="7">
        <f>SUMPRODUCT($C$6:$X$6,'batch tool'!$B2636:$W2636)+$Y$6</f>
        <v>-47.741473633885199</v>
      </c>
      <c r="G2642" s="7">
        <f>SUMPRODUCT($C$7:$X$7,'batch tool'!$B2636:$W2636)+$Y$7</f>
        <v>-19.739516238059196</v>
      </c>
      <c r="H2642" s="7">
        <f t="shared" si="82"/>
        <v>-19.739516238059196</v>
      </c>
      <c r="I2642">
        <f t="shared" si="83"/>
        <v>6</v>
      </c>
      <c r="J2642" t="str" cm="1">
        <f t="array" ref="J2642">INDEX($A$2:$A$7,I2642)</f>
        <v>Segment 6- Self-Conscious Male</v>
      </c>
    </row>
    <row r="2643" spans="1:10" x14ac:dyDescent="0.25">
      <c r="A2643" s="1">
        <f>'batch tool'!A2637</f>
        <v>0</v>
      </c>
      <c r="B2643" s="7">
        <f>SUMPRODUCT($C$2:$X$2,'batch tool'!$B2637:$W2637)+$Y$2</f>
        <v>-49.12272534143483</v>
      </c>
      <c r="C2643" s="7">
        <f>SUMPRODUCT($C$3:$X$3,'batch tool'!$B2637:$W2637)+$Y$3</f>
        <v>-36.514029388465531</v>
      </c>
      <c r="D2643" s="7">
        <f>SUMPRODUCT($C$4:$X$4,'batch tool'!$B2637:$W2637)+$Y$4</f>
        <v>-44.639843068043824</v>
      </c>
      <c r="E2643" s="7">
        <f>SUMPRODUCT($C$5:$X$5,'batch tool'!$B2637:$W2637)+$Y$5</f>
        <v>-51.578889182477603</v>
      </c>
      <c r="F2643" s="7">
        <f>SUMPRODUCT($C$6:$X$6,'batch tool'!$B2637:$W2637)+$Y$6</f>
        <v>-47.741473633885199</v>
      </c>
      <c r="G2643" s="7">
        <f>SUMPRODUCT($C$7:$X$7,'batch tool'!$B2637:$W2637)+$Y$7</f>
        <v>-19.739516238059196</v>
      </c>
      <c r="H2643" s="7">
        <f t="shared" si="82"/>
        <v>-19.739516238059196</v>
      </c>
      <c r="I2643">
        <f t="shared" si="83"/>
        <v>6</v>
      </c>
      <c r="J2643" t="str" cm="1">
        <f t="array" ref="J2643">INDEX($A$2:$A$7,I2643)</f>
        <v>Segment 6- Self-Conscious Male</v>
      </c>
    </row>
    <row r="2644" spans="1:10" x14ac:dyDescent="0.25">
      <c r="A2644" s="1">
        <f>'batch tool'!A2638</f>
        <v>0</v>
      </c>
      <c r="B2644" s="7">
        <f>SUMPRODUCT($C$2:$X$2,'batch tool'!$B2638:$W2638)+$Y$2</f>
        <v>-49.12272534143483</v>
      </c>
      <c r="C2644" s="7">
        <f>SUMPRODUCT($C$3:$X$3,'batch tool'!$B2638:$W2638)+$Y$3</f>
        <v>-36.514029388465531</v>
      </c>
      <c r="D2644" s="7">
        <f>SUMPRODUCT($C$4:$X$4,'batch tool'!$B2638:$W2638)+$Y$4</f>
        <v>-44.639843068043824</v>
      </c>
      <c r="E2644" s="7">
        <f>SUMPRODUCT($C$5:$X$5,'batch tool'!$B2638:$W2638)+$Y$5</f>
        <v>-51.578889182477603</v>
      </c>
      <c r="F2644" s="7">
        <f>SUMPRODUCT($C$6:$X$6,'batch tool'!$B2638:$W2638)+$Y$6</f>
        <v>-47.741473633885199</v>
      </c>
      <c r="G2644" s="7">
        <f>SUMPRODUCT($C$7:$X$7,'batch tool'!$B2638:$W2638)+$Y$7</f>
        <v>-19.739516238059196</v>
      </c>
      <c r="H2644" s="7">
        <f t="shared" si="82"/>
        <v>-19.739516238059196</v>
      </c>
      <c r="I2644">
        <f t="shared" si="83"/>
        <v>6</v>
      </c>
      <c r="J2644" t="str" cm="1">
        <f t="array" ref="J2644">INDEX($A$2:$A$7,I2644)</f>
        <v>Segment 6- Self-Conscious Male</v>
      </c>
    </row>
    <row r="2645" spans="1:10" x14ac:dyDescent="0.25">
      <c r="A2645" s="1">
        <f>'batch tool'!A2639</f>
        <v>0</v>
      </c>
      <c r="B2645" s="7">
        <f>SUMPRODUCT($C$2:$X$2,'batch tool'!$B2639:$W2639)+$Y$2</f>
        <v>-49.12272534143483</v>
      </c>
      <c r="C2645" s="7">
        <f>SUMPRODUCT($C$3:$X$3,'batch tool'!$B2639:$W2639)+$Y$3</f>
        <v>-36.514029388465531</v>
      </c>
      <c r="D2645" s="7">
        <f>SUMPRODUCT($C$4:$X$4,'batch tool'!$B2639:$W2639)+$Y$4</f>
        <v>-44.639843068043824</v>
      </c>
      <c r="E2645" s="7">
        <f>SUMPRODUCT($C$5:$X$5,'batch tool'!$B2639:$W2639)+$Y$5</f>
        <v>-51.578889182477603</v>
      </c>
      <c r="F2645" s="7">
        <f>SUMPRODUCT($C$6:$X$6,'batch tool'!$B2639:$W2639)+$Y$6</f>
        <v>-47.741473633885199</v>
      </c>
      <c r="G2645" s="7">
        <f>SUMPRODUCT($C$7:$X$7,'batch tool'!$B2639:$W2639)+$Y$7</f>
        <v>-19.739516238059196</v>
      </c>
      <c r="H2645" s="7">
        <f t="shared" si="82"/>
        <v>-19.739516238059196</v>
      </c>
      <c r="I2645">
        <f t="shared" si="83"/>
        <v>6</v>
      </c>
      <c r="J2645" t="str" cm="1">
        <f t="array" ref="J2645">INDEX($A$2:$A$7,I2645)</f>
        <v>Segment 6- Self-Conscious Male</v>
      </c>
    </row>
    <row r="2646" spans="1:10" x14ac:dyDescent="0.25">
      <c r="A2646" s="1">
        <f>'batch tool'!A2640</f>
        <v>0</v>
      </c>
      <c r="B2646" s="7">
        <f>SUMPRODUCT($C$2:$X$2,'batch tool'!$B2640:$W2640)+$Y$2</f>
        <v>-49.12272534143483</v>
      </c>
      <c r="C2646" s="7">
        <f>SUMPRODUCT($C$3:$X$3,'batch tool'!$B2640:$W2640)+$Y$3</f>
        <v>-36.514029388465531</v>
      </c>
      <c r="D2646" s="7">
        <f>SUMPRODUCT($C$4:$X$4,'batch tool'!$B2640:$W2640)+$Y$4</f>
        <v>-44.639843068043824</v>
      </c>
      <c r="E2646" s="7">
        <f>SUMPRODUCT($C$5:$X$5,'batch tool'!$B2640:$W2640)+$Y$5</f>
        <v>-51.578889182477603</v>
      </c>
      <c r="F2646" s="7">
        <f>SUMPRODUCT($C$6:$X$6,'batch tool'!$B2640:$W2640)+$Y$6</f>
        <v>-47.741473633885199</v>
      </c>
      <c r="G2646" s="7">
        <f>SUMPRODUCT($C$7:$X$7,'batch tool'!$B2640:$W2640)+$Y$7</f>
        <v>-19.739516238059196</v>
      </c>
      <c r="H2646" s="7">
        <f t="shared" si="82"/>
        <v>-19.739516238059196</v>
      </c>
      <c r="I2646">
        <f t="shared" si="83"/>
        <v>6</v>
      </c>
      <c r="J2646" t="str" cm="1">
        <f t="array" ref="J2646">INDEX($A$2:$A$7,I2646)</f>
        <v>Segment 6- Self-Conscious Male</v>
      </c>
    </row>
    <row r="2647" spans="1:10" x14ac:dyDescent="0.25">
      <c r="A2647" s="1">
        <f>'batch tool'!A2641</f>
        <v>0</v>
      </c>
      <c r="B2647" s="7">
        <f>SUMPRODUCT($C$2:$X$2,'batch tool'!$B2641:$W2641)+$Y$2</f>
        <v>-49.12272534143483</v>
      </c>
      <c r="C2647" s="7">
        <f>SUMPRODUCT($C$3:$X$3,'batch tool'!$B2641:$W2641)+$Y$3</f>
        <v>-36.514029388465531</v>
      </c>
      <c r="D2647" s="7">
        <f>SUMPRODUCT($C$4:$X$4,'batch tool'!$B2641:$W2641)+$Y$4</f>
        <v>-44.639843068043824</v>
      </c>
      <c r="E2647" s="7">
        <f>SUMPRODUCT($C$5:$X$5,'batch tool'!$B2641:$W2641)+$Y$5</f>
        <v>-51.578889182477603</v>
      </c>
      <c r="F2647" s="7">
        <f>SUMPRODUCT($C$6:$X$6,'batch tool'!$B2641:$W2641)+$Y$6</f>
        <v>-47.741473633885199</v>
      </c>
      <c r="G2647" s="7">
        <f>SUMPRODUCT($C$7:$X$7,'batch tool'!$B2641:$W2641)+$Y$7</f>
        <v>-19.739516238059196</v>
      </c>
      <c r="H2647" s="7">
        <f t="shared" si="82"/>
        <v>-19.739516238059196</v>
      </c>
      <c r="I2647">
        <f t="shared" si="83"/>
        <v>6</v>
      </c>
      <c r="J2647" t="str" cm="1">
        <f t="array" ref="J2647">INDEX($A$2:$A$7,I2647)</f>
        <v>Segment 6- Self-Conscious Male</v>
      </c>
    </row>
    <row r="2648" spans="1:10" x14ac:dyDescent="0.25">
      <c r="A2648" s="1">
        <f>'batch tool'!A2642</f>
        <v>0</v>
      </c>
      <c r="B2648" s="7">
        <f>SUMPRODUCT($C$2:$X$2,'batch tool'!$B2642:$W2642)+$Y$2</f>
        <v>-49.12272534143483</v>
      </c>
      <c r="C2648" s="7">
        <f>SUMPRODUCT($C$3:$X$3,'batch tool'!$B2642:$W2642)+$Y$3</f>
        <v>-36.514029388465531</v>
      </c>
      <c r="D2648" s="7">
        <f>SUMPRODUCT($C$4:$X$4,'batch tool'!$B2642:$W2642)+$Y$4</f>
        <v>-44.639843068043824</v>
      </c>
      <c r="E2648" s="7">
        <f>SUMPRODUCT($C$5:$X$5,'batch tool'!$B2642:$W2642)+$Y$5</f>
        <v>-51.578889182477603</v>
      </c>
      <c r="F2648" s="7">
        <f>SUMPRODUCT($C$6:$X$6,'batch tool'!$B2642:$W2642)+$Y$6</f>
        <v>-47.741473633885199</v>
      </c>
      <c r="G2648" s="7">
        <f>SUMPRODUCT($C$7:$X$7,'batch tool'!$B2642:$W2642)+$Y$7</f>
        <v>-19.739516238059196</v>
      </c>
      <c r="H2648" s="7">
        <f t="shared" si="82"/>
        <v>-19.739516238059196</v>
      </c>
      <c r="I2648">
        <f t="shared" si="83"/>
        <v>6</v>
      </c>
      <c r="J2648" t="str" cm="1">
        <f t="array" ref="J2648">INDEX($A$2:$A$7,I2648)</f>
        <v>Segment 6- Self-Conscious Male</v>
      </c>
    </row>
    <row r="2649" spans="1:10" x14ac:dyDescent="0.25">
      <c r="A2649" s="1">
        <f>'batch tool'!A2643</f>
        <v>0</v>
      </c>
      <c r="B2649" s="7">
        <f>SUMPRODUCT($C$2:$X$2,'batch tool'!$B2643:$W2643)+$Y$2</f>
        <v>-49.12272534143483</v>
      </c>
      <c r="C2649" s="7">
        <f>SUMPRODUCT($C$3:$X$3,'batch tool'!$B2643:$W2643)+$Y$3</f>
        <v>-36.514029388465531</v>
      </c>
      <c r="D2649" s="7">
        <f>SUMPRODUCT($C$4:$X$4,'batch tool'!$B2643:$W2643)+$Y$4</f>
        <v>-44.639843068043824</v>
      </c>
      <c r="E2649" s="7">
        <f>SUMPRODUCT($C$5:$X$5,'batch tool'!$B2643:$W2643)+$Y$5</f>
        <v>-51.578889182477603</v>
      </c>
      <c r="F2649" s="7">
        <f>SUMPRODUCT($C$6:$X$6,'batch tool'!$B2643:$W2643)+$Y$6</f>
        <v>-47.741473633885199</v>
      </c>
      <c r="G2649" s="7">
        <f>SUMPRODUCT($C$7:$X$7,'batch tool'!$B2643:$W2643)+$Y$7</f>
        <v>-19.739516238059196</v>
      </c>
      <c r="H2649" s="7">
        <f t="shared" si="82"/>
        <v>-19.739516238059196</v>
      </c>
      <c r="I2649">
        <f t="shared" si="83"/>
        <v>6</v>
      </c>
      <c r="J2649" t="str" cm="1">
        <f t="array" ref="J2649">INDEX($A$2:$A$7,I2649)</f>
        <v>Segment 6- Self-Conscious Male</v>
      </c>
    </row>
    <row r="2650" spans="1:10" x14ac:dyDescent="0.25">
      <c r="A2650" s="1">
        <f>'batch tool'!A2644</f>
        <v>0</v>
      </c>
      <c r="B2650" s="7">
        <f>SUMPRODUCT($C$2:$X$2,'batch tool'!$B2644:$W2644)+$Y$2</f>
        <v>-49.12272534143483</v>
      </c>
      <c r="C2650" s="7">
        <f>SUMPRODUCT($C$3:$X$3,'batch tool'!$B2644:$W2644)+$Y$3</f>
        <v>-36.514029388465531</v>
      </c>
      <c r="D2650" s="7">
        <f>SUMPRODUCT($C$4:$X$4,'batch tool'!$B2644:$W2644)+$Y$4</f>
        <v>-44.639843068043824</v>
      </c>
      <c r="E2650" s="7">
        <f>SUMPRODUCT($C$5:$X$5,'batch tool'!$B2644:$W2644)+$Y$5</f>
        <v>-51.578889182477603</v>
      </c>
      <c r="F2650" s="7">
        <f>SUMPRODUCT($C$6:$X$6,'batch tool'!$B2644:$W2644)+$Y$6</f>
        <v>-47.741473633885199</v>
      </c>
      <c r="G2650" s="7">
        <f>SUMPRODUCT($C$7:$X$7,'batch tool'!$B2644:$W2644)+$Y$7</f>
        <v>-19.739516238059196</v>
      </c>
      <c r="H2650" s="7">
        <f t="shared" si="82"/>
        <v>-19.739516238059196</v>
      </c>
      <c r="I2650">
        <f t="shared" si="83"/>
        <v>6</v>
      </c>
      <c r="J2650" t="str" cm="1">
        <f t="array" ref="J2650">INDEX($A$2:$A$7,I2650)</f>
        <v>Segment 6- Self-Conscious Male</v>
      </c>
    </row>
    <row r="2651" spans="1:10" x14ac:dyDescent="0.25">
      <c r="A2651" s="1">
        <f>'batch tool'!A2645</f>
        <v>0</v>
      </c>
      <c r="B2651" s="7">
        <f>SUMPRODUCT($C$2:$X$2,'batch tool'!$B2645:$W2645)+$Y$2</f>
        <v>-49.12272534143483</v>
      </c>
      <c r="C2651" s="7">
        <f>SUMPRODUCT($C$3:$X$3,'batch tool'!$B2645:$W2645)+$Y$3</f>
        <v>-36.514029388465531</v>
      </c>
      <c r="D2651" s="7">
        <f>SUMPRODUCT($C$4:$X$4,'batch tool'!$B2645:$W2645)+$Y$4</f>
        <v>-44.639843068043824</v>
      </c>
      <c r="E2651" s="7">
        <f>SUMPRODUCT($C$5:$X$5,'batch tool'!$B2645:$W2645)+$Y$5</f>
        <v>-51.578889182477603</v>
      </c>
      <c r="F2651" s="7">
        <f>SUMPRODUCT($C$6:$X$6,'batch tool'!$B2645:$W2645)+$Y$6</f>
        <v>-47.741473633885199</v>
      </c>
      <c r="G2651" s="7">
        <f>SUMPRODUCT($C$7:$X$7,'batch tool'!$B2645:$W2645)+$Y$7</f>
        <v>-19.739516238059196</v>
      </c>
      <c r="H2651" s="7">
        <f t="shared" ref="H2651:H2714" si="84">MAX(B2651:G2651)</f>
        <v>-19.739516238059196</v>
      </c>
      <c r="I2651">
        <f t="shared" ref="I2651:I2714" si="85">MATCH(H2651,B2651:G2651,0)</f>
        <v>6</v>
      </c>
      <c r="J2651" t="str" cm="1">
        <f t="array" ref="J2651">INDEX($A$2:$A$7,I2651)</f>
        <v>Segment 6- Self-Conscious Male</v>
      </c>
    </row>
    <row r="2652" spans="1:10" x14ac:dyDescent="0.25">
      <c r="A2652" s="1">
        <f>'batch tool'!A2646</f>
        <v>0</v>
      </c>
      <c r="B2652" s="7">
        <f>SUMPRODUCT($C$2:$X$2,'batch tool'!$B2646:$W2646)+$Y$2</f>
        <v>-49.12272534143483</v>
      </c>
      <c r="C2652" s="7">
        <f>SUMPRODUCT($C$3:$X$3,'batch tool'!$B2646:$W2646)+$Y$3</f>
        <v>-36.514029388465531</v>
      </c>
      <c r="D2652" s="7">
        <f>SUMPRODUCT($C$4:$X$4,'batch tool'!$B2646:$W2646)+$Y$4</f>
        <v>-44.639843068043824</v>
      </c>
      <c r="E2652" s="7">
        <f>SUMPRODUCT($C$5:$X$5,'batch tool'!$B2646:$W2646)+$Y$5</f>
        <v>-51.578889182477603</v>
      </c>
      <c r="F2652" s="7">
        <f>SUMPRODUCT($C$6:$X$6,'batch tool'!$B2646:$W2646)+$Y$6</f>
        <v>-47.741473633885199</v>
      </c>
      <c r="G2652" s="7">
        <f>SUMPRODUCT($C$7:$X$7,'batch tool'!$B2646:$W2646)+$Y$7</f>
        <v>-19.739516238059196</v>
      </c>
      <c r="H2652" s="7">
        <f t="shared" si="84"/>
        <v>-19.739516238059196</v>
      </c>
      <c r="I2652">
        <f t="shared" si="85"/>
        <v>6</v>
      </c>
      <c r="J2652" t="str" cm="1">
        <f t="array" ref="J2652">INDEX($A$2:$A$7,I2652)</f>
        <v>Segment 6- Self-Conscious Male</v>
      </c>
    </row>
    <row r="2653" spans="1:10" x14ac:dyDescent="0.25">
      <c r="A2653" s="1">
        <f>'batch tool'!A2647</f>
        <v>0</v>
      </c>
      <c r="B2653" s="7">
        <f>SUMPRODUCT($C$2:$X$2,'batch tool'!$B2647:$W2647)+$Y$2</f>
        <v>-49.12272534143483</v>
      </c>
      <c r="C2653" s="7">
        <f>SUMPRODUCT($C$3:$X$3,'batch tool'!$B2647:$W2647)+$Y$3</f>
        <v>-36.514029388465531</v>
      </c>
      <c r="D2653" s="7">
        <f>SUMPRODUCT($C$4:$X$4,'batch tool'!$B2647:$W2647)+$Y$4</f>
        <v>-44.639843068043824</v>
      </c>
      <c r="E2653" s="7">
        <f>SUMPRODUCT($C$5:$X$5,'batch tool'!$B2647:$W2647)+$Y$5</f>
        <v>-51.578889182477603</v>
      </c>
      <c r="F2653" s="7">
        <f>SUMPRODUCT($C$6:$X$6,'batch tool'!$B2647:$W2647)+$Y$6</f>
        <v>-47.741473633885199</v>
      </c>
      <c r="G2653" s="7">
        <f>SUMPRODUCT($C$7:$X$7,'batch tool'!$B2647:$W2647)+$Y$7</f>
        <v>-19.739516238059196</v>
      </c>
      <c r="H2653" s="7">
        <f t="shared" si="84"/>
        <v>-19.739516238059196</v>
      </c>
      <c r="I2653">
        <f t="shared" si="85"/>
        <v>6</v>
      </c>
      <c r="J2653" t="str" cm="1">
        <f t="array" ref="J2653">INDEX($A$2:$A$7,I2653)</f>
        <v>Segment 6- Self-Conscious Male</v>
      </c>
    </row>
    <row r="2654" spans="1:10" x14ac:dyDescent="0.25">
      <c r="A2654" s="1">
        <f>'batch tool'!A2648</f>
        <v>0</v>
      </c>
      <c r="B2654" s="7">
        <f>SUMPRODUCT($C$2:$X$2,'batch tool'!$B2648:$W2648)+$Y$2</f>
        <v>-49.12272534143483</v>
      </c>
      <c r="C2654" s="7">
        <f>SUMPRODUCT($C$3:$X$3,'batch tool'!$B2648:$W2648)+$Y$3</f>
        <v>-36.514029388465531</v>
      </c>
      <c r="D2654" s="7">
        <f>SUMPRODUCT($C$4:$X$4,'batch tool'!$B2648:$W2648)+$Y$4</f>
        <v>-44.639843068043824</v>
      </c>
      <c r="E2654" s="7">
        <f>SUMPRODUCT($C$5:$X$5,'batch tool'!$B2648:$W2648)+$Y$5</f>
        <v>-51.578889182477603</v>
      </c>
      <c r="F2654" s="7">
        <f>SUMPRODUCT($C$6:$X$6,'batch tool'!$B2648:$W2648)+$Y$6</f>
        <v>-47.741473633885199</v>
      </c>
      <c r="G2654" s="7">
        <f>SUMPRODUCT($C$7:$X$7,'batch tool'!$B2648:$W2648)+$Y$7</f>
        <v>-19.739516238059196</v>
      </c>
      <c r="H2654" s="7">
        <f t="shared" si="84"/>
        <v>-19.739516238059196</v>
      </c>
      <c r="I2654">
        <f t="shared" si="85"/>
        <v>6</v>
      </c>
      <c r="J2654" t="str" cm="1">
        <f t="array" ref="J2654">INDEX($A$2:$A$7,I2654)</f>
        <v>Segment 6- Self-Conscious Male</v>
      </c>
    </row>
    <row r="2655" spans="1:10" x14ac:dyDescent="0.25">
      <c r="A2655" s="1">
        <f>'batch tool'!A2649</f>
        <v>0</v>
      </c>
      <c r="B2655" s="7">
        <f>SUMPRODUCT($C$2:$X$2,'batch tool'!$B2649:$W2649)+$Y$2</f>
        <v>-49.12272534143483</v>
      </c>
      <c r="C2655" s="7">
        <f>SUMPRODUCT($C$3:$X$3,'batch tool'!$B2649:$W2649)+$Y$3</f>
        <v>-36.514029388465531</v>
      </c>
      <c r="D2655" s="7">
        <f>SUMPRODUCT($C$4:$X$4,'batch tool'!$B2649:$W2649)+$Y$4</f>
        <v>-44.639843068043824</v>
      </c>
      <c r="E2655" s="7">
        <f>SUMPRODUCT($C$5:$X$5,'batch tool'!$B2649:$W2649)+$Y$5</f>
        <v>-51.578889182477603</v>
      </c>
      <c r="F2655" s="7">
        <f>SUMPRODUCT($C$6:$X$6,'batch tool'!$B2649:$W2649)+$Y$6</f>
        <v>-47.741473633885199</v>
      </c>
      <c r="G2655" s="7">
        <f>SUMPRODUCT($C$7:$X$7,'batch tool'!$B2649:$W2649)+$Y$7</f>
        <v>-19.739516238059196</v>
      </c>
      <c r="H2655" s="7">
        <f t="shared" si="84"/>
        <v>-19.739516238059196</v>
      </c>
      <c r="I2655">
        <f t="shared" si="85"/>
        <v>6</v>
      </c>
      <c r="J2655" t="str" cm="1">
        <f t="array" ref="J2655">INDEX($A$2:$A$7,I2655)</f>
        <v>Segment 6- Self-Conscious Male</v>
      </c>
    </row>
    <row r="2656" spans="1:10" x14ac:dyDescent="0.25">
      <c r="A2656" s="1">
        <f>'batch tool'!A2650</f>
        <v>0</v>
      </c>
      <c r="B2656" s="7">
        <f>SUMPRODUCT($C$2:$X$2,'batch tool'!$B2650:$W2650)+$Y$2</f>
        <v>-49.12272534143483</v>
      </c>
      <c r="C2656" s="7">
        <f>SUMPRODUCT($C$3:$X$3,'batch tool'!$B2650:$W2650)+$Y$3</f>
        <v>-36.514029388465531</v>
      </c>
      <c r="D2656" s="7">
        <f>SUMPRODUCT($C$4:$X$4,'batch tool'!$B2650:$W2650)+$Y$4</f>
        <v>-44.639843068043824</v>
      </c>
      <c r="E2656" s="7">
        <f>SUMPRODUCT($C$5:$X$5,'batch tool'!$B2650:$W2650)+$Y$5</f>
        <v>-51.578889182477603</v>
      </c>
      <c r="F2656" s="7">
        <f>SUMPRODUCT($C$6:$X$6,'batch tool'!$B2650:$W2650)+$Y$6</f>
        <v>-47.741473633885199</v>
      </c>
      <c r="G2656" s="7">
        <f>SUMPRODUCT($C$7:$X$7,'batch tool'!$B2650:$W2650)+$Y$7</f>
        <v>-19.739516238059196</v>
      </c>
      <c r="H2656" s="7">
        <f t="shared" si="84"/>
        <v>-19.739516238059196</v>
      </c>
      <c r="I2656">
        <f t="shared" si="85"/>
        <v>6</v>
      </c>
      <c r="J2656" t="str" cm="1">
        <f t="array" ref="J2656">INDEX($A$2:$A$7,I2656)</f>
        <v>Segment 6- Self-Conscious Male</v>
      </c>
    </row>
    <row r="2657" spans="1:10" x14ac:dyDescent="0.25">
      <c r="A2657" s="1">
        <f>'batch tool'!A2651</f>
        <v>0</v>
      </c>
      <c r="B2657" s="7">
        <f>SUMPRODUCT($C$2:$X$2,'batch tool'!$B2651:$W2651)+$Y$2</f>
        <v>-49.12272534143483</v>
      </c>
      <c r="C2657" s="7">
        <f>SUMPRODUCT($C$3:$X$3,'batch tool'!$B2651:$W2651)+$Y$3</f>
        <v>-36.514029388465531</v>
      </c>
      <c r="D2657" s="7">
        <f>SUMPRODUCT($C$4:$X$4,'batch tool'!$B2651:$W2651)+$Y$4</f>
        <v>-44.639843068043824</v>
      </c>
      <c r="E2657" s="7">
        <f>SUMPRODUCT($C$5:$X$5,'batch tool'!$B2651:$W2651)+$Y$5</f>
        <v>-51.578889182477603</v>
      </c>
      <c r="F2657" s="7">
        <f>SUMPRODUCT($C$6:$X$6,'batch tool'!$B2651:$W2651)+$Y$6</f>
        <v>-47.741473633885199</v>
      </c>
      <c r="G2657" s="7">
        <f>SUMPRODUCT($C$7:$X$7,'batch tool'!$B2651:$W2651)+$Y$7</f>
        <v>-19.739516238059196</v>
      </c>
      <c r="H2657" s="7">
        <f t="shared" si="84"/>
        <v>-19.739516238059196</v>
      </c>
      <c r="I2657">
        <f t="shared" si="85"/>
        <v>6</v>
      </c>
      <c r="J2657" t="str" cm="1">
        <f t="array" ref="J2657">INDEX($A$2:$A$7,I2657)</f>
        <v>Segment 6- Self-Conscious Male</v>
      </c>
    </row>
    <row r="2658" spans="1:10" x14ac:dyDescent="0.25">
      <c r="A2658" s="1">
        <f>'batch tool'!A2652</f>
        <v>0</v>
      </c>
      <c r="B2658" s="7">
        <f>SUMPRODUCT($C$2:$X$2,'batch tool'!$B2652:$W2652)+$Y$2</f>
        <v>-49.12272534143483</v>
      </c>
      <c r="C2658" s="7">
        <f>SUMPRODUCT($C$3:$X$3,'batch tool'!$B2652:$W2652)+$Y$3</f>
        <v>-36.514029388465531</v>
      </c>
      <c r="D2658" s="7">
        <f>SUMPRODUCT($C$4:$X$4,'batch tool'!$B2652:$W2652)+$Y$4</f>
        <v>-44.639843068043824</v>
      </c>
      <c r="E2658" s="7">
        <f>SUMPRODUCT($C$5:$X$5,'batch tool'!$B2652:$W2652)+$Y$5</f>
        <v>-51.578889182477603</v>
      </c>
      <c r="F2658" s="7">
        <f>SUMPRODUCT($C$6:$X$6,'batch tool'!$B2652:$W2652)+$Y$6</f>
        <v>-47.741473633885199</v>
      </c>
      <c r="G2658" s="7">
        <f>SUMPRODUCT($C$7:$X$7,'batch tool'!$B2652:$W2652)+$Y$7</f>
        <v>-19.739516238059196</v>
      </c>
      <c r="H2658" s="7">
        <f t="shared" si="84"/>
        <v>-19.739516238059196</v>
      </c>
      <c r="I2658">
        <f t="shared" si="85"/>
        <v>6</v>
      </c>
      <c r="J2658" t="str" cm="1">
        <f t="array" ref="J2658">INDEX($A$2:$A$7,I2658)</f>
        <v>Segment 6- Self-Conscious Male</v>
      </c>
    </row>
    <row r="2659" spans="1:10" x14ac:dyDescent="0.25">
      <c r="A2659" s="1">
        <f>'batch tool'!A2653</f>
        <v>0</v>
      </c>
      <c r="B2659" s="7">
        <f>SUMPRODUCT($C$2:$X$2,'batch tool'!$B2653:$W2653)+$Y$2</f>
        <v>-49.12272534143483</v>
      </c>
      <c r="C2659" s="7">
        <f>SUMPRODUCT($C$3:$X$3,'batch tool'!$B2653:$W2653)+$Y$3</f>
        <v>-36.514029388465531</v>
      </c>
      <c r="D2659" s="7">
        <f>SUMPRODUCT($C$4:$X$4,'batch tool'!$B2653:$W2653)+$Y$4</f>
        <v>-44.639843068043824</v>
      </c>
      <c r="E2659" s="7">
        <f>SUMPRODUCT($C$5:$X$5,'batch tool'!$B2653:$W2653)+$Y$5</f>
        <v>-51.578889182477603</v>
      </c>
      <c r="F2659" s="7">
        <f>SUMPRODUCT($C$6:$X$6,'batch tool'!$B2653:$W2653)+$Y$6</f>
        <v>-47.741473633885199</v>
      </c>
      <c r="G2659" s="7">
        <f>SUMPRODUCT($C$7:$X$7,'batch tool'!$B2653:$W2653)+$Y$7</f>
        <v>-19.739516238059196</v>
      </c>
      <c r="H2659" s="7">
        <f t="shared" si="84"/>
        <v>-19.739516238059196</v>
      </c>
      <c r="I2659">
        <f t="shared" si="85"/>
        <v>6</v>
      </c>
      <c r="J2659" t="str" cm="1">
        <f t="array" ref="J2659">INDEX($A$2:$A$7,I2659)</f>
        <v>Segment 6- Self-Conscious Male</v>
      </c>
    </row>
    <row r="2660" spans="1:10" x14ac:dyDescent="0.25">
      <c r="A2660" s="1">
        <f>'batch tool'!A2654</f>
        <v>0</v>
      </c>
      <c r="B2660" s="7">
        <f>SUMPRODUCT($C$2:$X$2,'batch tool'!$B2654:$W2654)+$Y$2</f>
        <v>-49.12272534143483</v>
      </c>
      <c r="C2660" s="7">
        <f>SUMPRODUCT($C$3:$X$3,'batch tool'!$B2654:$W2654)+$Y$3</f>
        <v>-36.514029388465531</v>
      </c>
      <c r="D2660" s="7">
        <f>SUMPRODUCT($C$4:$X$4,'batch tool'!$B2654:$W2654)+$Y$4</f>
        <v>-44.639843068043824</v>
      </c>
      <c r="E2660" s="7">
        <f>SUMPRODUCT($C$5:$X$5,'batch tool'!$B2654:$W2654)+$Y$5</f>
        <v>-51.578889182477603</v>
      </c>
      <c r="F2660" s="7">
        <f>SUMPRODUCT($C$6:$X$6,'batch tool'!$B2654:$W2654)+$Y$6</f>
        <v>-47.741473633885199</v>
      </c>
      <c r="G2660" s="7">
        <f>SUMPRODUCT($C$7:$X$7,'batch tool'!$B2654:$W2654)+$Y$7</f>
        <v>-19.739516238059196</v>
      </c>
      <c r="H2660" s="7">
        <f t="shared" si="84"/>
        <v>-19.739516238059196</v>
      </c>
      <c r="I2660">
        <f t="shared" si="85"/>
        <v>6</v>
      </c>
      <c r="J2660" t="str" cm="1">
        <f t="array" ref="J2660">INDEX($A$2:$A$7,I2660)</f>
        <v>Segment 6- Self-Conscious Male</v>
      </c>
    </row>
    <row r="2661" spans="1:10" x14ac:dyDescent="0.25">
      <c r="A2661" s="1">
        <f>'batch tool'!A2655</f>
        <v>0</v>
      </c>
      <c r="B2661" s="7">
        <f>SUMPRODUCT($C$2:$X$2,'batch tool'!$B2655:$W2655)+$Y$2</f>
        <v>-49.12272534143483</v>
      </c>
      <c r="C2661" s="7">
        <f>SUMPRODUCT($C$3:$X$3,'batch tool'!$B2655:$W2655)+$Y$3</f>
        <v>-36.514029388465531</v>
      </c>
      <c r="D2661" s="7">
        <f>SUMPRODUCT($C$4:$X$4,'batch tool'!$B2655:$W2655)+$Y$4</f>
        <v>-44.639843068043824</v>
      </c>
      <c r="E2661" s="7">
        <f>SUMPRODUCT($C$5:$X$5,'batch tool'!$B2655:$W2655)+$Y$5</f>
        <v>-51.578889182477603</v>
      </c>
      <c r="F2661" s="7">
        <f>SUMPRODUCT($C$6:$X$6,'batch tool'!$B2655:$W2655)+$Y$6</f>
        <v>-47.741473633885199</v>
      </c>
      <c r="G2661" s="7">
        <f>SUMPRODUCT($C$7:$X$7,'batch tool'!$B2655:$W2655)+$Y$7</f>
        <v>-19.739516238059196</v>
      </c>
      <c r="H2661" s="7">
        <f t="shared" si="84"/>
        <v>-19.739516238059196</v>
      </c>
      <c r="I2661">
        <f t="shared" si="85"/>
        <v>6</v>
      </c>
      <c r="J2661" t="str" cm="1">
        <f t="array" ref="J2661">INDEX($A$2:$A$7,I2661)</f>
        <v>Segment 6- Self-Conscious Male</v>
      </c>
    </row>
    <row r="2662" spans="1:10" x14ac:dyDescent="0.25">
      <c r="A2662" s="1">
        <f>'batch tool'!A2656</f>
        <v>0</v>
      </c>
      <c r="B2662" s="7">
        <f>SUMPRODUCT($C$2:$X$2,'batch tool'!$B2656:$W2656)+$Y$2</f>
        <v>-49.12272534143483</v>
      </c>
      <c r="C2662" s="7">
        <f>SUMPRODUCT($C$3:$X$3,'batch tool'!$B2656:$W2656)+$Y$3</f>
        <v>-36.514029388465531</v>
      </c>
      <c r="D2662" s="7">
        <f>SUMPRODUCT($C$4:$X$4,'batch tool'!$B2656:$W2656)+$Y$4</f>
        <v>-44.639843068043824</v>
      </c>
      <c r="E2662" s="7">
        <f>SUMPRODUCT($C$5:$X$5,'batch tool'!$B2656:$W2656)+$Y$5</f>
        <v>-51.578889182477603</v>
      </c>
      <c r="F2662" s="7">
        <f>SUMPRODUCT($C$6:$X$6,'batch tool'!$B2656:$W2656)+$Y$6</f>
        <v>-47.741473633885199</v>
      </c>
      <c r="G2662" s="7">
        <f>SUMPRODUCT($C$7:$X$7,'batch tool'!$B2656:$W2656)+$Y$7</f>
        <v>-19.739516238059196</v>
      </c>
      <c r="H2662" s="7">
        <f t="shared" si="84"/>
        <v>-19.739516238059196</v>
      </c>
      <c r="I2662">
        <f t="shared" si="85"/>
        <v>6</v>
      </c>
      <c r="J2662" t="str" cm="1">
        <f t="array" ref="J2662">INDEX($A$2:$A$7,I2662)</f>
        <v>Segment 6- Self-Conscious Male</v>
      </c>
    </row>
    <row r="2663" spans="1:10" x14ac:dyDescent="0.25">
      <c r="A2663" s="1">
        <f>'batch tool'!A2657</f>
        <v>0</v>
      </c>
      <c r="B2663" s="7">
        <f>SUMPRODUCT($C$2:$X$2,'batch tool'!$B2657:$W2657)+$Y$2</f>
        <v>-49.12272534143483</v>
      </c>
      <c r="C2663" s="7">
        <f>SUMPRODUCT($C$3:$X$3,'batch tool'!$B2657:$W2657)+$Y$3</f>
        <v>-36.514029388465531</v>
      </c>
      <c r="D2663" s="7">
        <f>SUMPRODUCT($C$4:$X$4,'batch tool'!$B2657:$W2657)+$Y$4</f>
        <v>-44.639843068043824</v>
      </c>
      <c r="E2663" s="7">
        <f>SUMPRODUCT($C$5:$X$5,'batch tool'!$B2657:$W2657)+$Y$5</f>
        <v>-51.578889182477603</v>
      </c>
      <c r="F2663" s="7">
        <f>SUMPRODUCT($C$6:$X$6,'batch tool'!$B2657:$W2657)+$Y$6</f>
        <v>-47.741473633885199</v>
      </c>
      <c r="G2663" s="7">
        <f>SUMPRODUCT($C$7:$X$7,'batch tool'!$B2657:$W2657)+$Y$7</f>
        <v>-19.739516238059196</v>
      </c>
      <c r="H2663" s="7">
        <f t="shared" si="84"/>
        <v>-19.739516238059196</v>
      </c>
      <c r="I2663">
        <f t="shared" si="85"/>
        <v>6</v>
      </c>
      <c r="J2663" t="str" cm="1">
        <f t="array" ref="J2663">INDEX($A$2:$A$7,I2663)</f>
        <v>Segment 6- Self-Conscious Male</v>
      </c>
    </row>
    <row r="2664" spans="1:10" x14ac:dyDescent="0.25">
      <c r="A2664" s="1">
        <f>'batch tool'!A2658</f>
        <v>0</v>
      </c>
      <c r="B2664" s="7">
        <f>SUMPRODUCT($C$2:$X$2,'batch tool'!$B2658:$W2658)+$Y$2</f>
        <v>-49.12272534143483</v>
      </c>
      <c r="C2664" s="7">
        <f>SUMPRODUCT($C$3:$X$3,'batch tool'!$B2658:$W2658)+$Y$3</f>
        <v>-36.514029388465531</v>
      </c>
      <c r="D2664" s="7">
        <f>SUMPRODUCT($C$4:$X$4,'batch tool'!$B2658:$W2658)+$Y$4</f>
        <v>-44.639843068043824</v>
      </c>
      <c r="E2664" s="7">
        <f>SUMPRODUCT($C$5:$X$5,'batch tool'!$B2658:$W2658)+$Y$5</f>
        <v>-51.578889182477603</v>
      </c>
      <c r="F2664" s="7">
        <f>SUMPRODUCT($C$6:$X$6,'batch tool'!$B2658:$W2658)+$Y$6</f>
        <v>-47.741473633885199</v>
      </c>
      <c r="G2664" s="7">
        <f>SUMPRODUCT($C$7:$X$7,'batch tool'!$B2658:$W2658)+$Y$7</f>
        <v>-19.739516238059196</v>
      </c>
      <c r="H2664" s="7">
        <f t="shared" si="84"/>
        <v>-19.739516238059196</v>
      </c>
      <c r="I2664">
        <f t="shared" si="85"/>
        <v>6</v>
      </c>
      <c r="J2664" t="str" cm="1">
        <f t="array" ref="J2664">INDEX($A$2:$A$7,I2664)</f>
        <v>Segment 6- Self-Conscious Male</v>
      </c>
    </row>
    <row r="2665" spans="1:10" x14ac:dyDescent="0.25">
      <c r="A2665" s="1">
        <f>'batch tool'!A2659</f>
        <v>0</v>
      </c>
      <c r="B2665" s="7">
        <f>SUMPRODUCT($C$2:$X$2,'batch tool'!$B2659:$W2659)+$Y$2</f>
        <v>-49.12272534143483</v>
      </c>
      <c r="C2665" s="7">
        <f>SUMPRODUCT($C$3:$X$3,'batch tool'!$B2659:$W2659)+$Y$3</f>
        <v>-36.514029388465531</v>
      </c>
      <c r="D2665" s="7">
        <f>SUMPRODUCT($C$4:$X$4,'batch tool'!$B2659:$W2659)+$Y$4</f>
        <v>-44.639843068043824</v>
      </c>
      <c r="E2665" s="7">
        <f>SUMPRODUCT($C$5:$X$5,'batch tool'!$B2659:$W2659)+$Y$5</f>
        <v>-51.578889182477603</v>
      </c>
      <c r="F2665" s="7">
        <f>SUMPRODUCT($C$6:$X$6,'batch tool'!$B2659:$W2659)+$Y$6</f>
        <v>-47.741473633885199</v>
      </c>
      <c r="G2665" s="7">
        <f>SUMPRODUCT($C$7:$X$7,'batch tool'!$B2659:$W2659)+$Y$7</f>
        <v>-19.739516238059196</v>
      </c>
      <c r="H2665" s="7">
        <f t="shared" si="84"/>
        <v>-19.739516238059196</v>
      </c>
      <c r="I2665">
        <f t="shared" si="85"/>
        <v>6</v>
      </c>
      <c r="J2665" t="str" cm="1">
        <f t="array" ref="J2665">INDEX($A$2:$A$7,I2665)</f>
        <v>Segment 6- Self-Conscious Male</v>
      </c>
    </row>
    <row r="2666" spans="1:10" x14ac:dyDescent="0.25">
      <c r="A2666" s="1">
        <f>'batch tool'!A2660</f>
        <v>0</v>
      </c>
      <c r="B2666" s="7">
        <f>SUMPRODUCT($C$2:$X$2,'batch tool'!$B2660:$W2660)+$Y$2</f>
        <v>-49.12272534143483</v>
      </c>
      <c r="C2666" s="7">
        <f>SUMPRODUCT($C$3:$X$3,'batch tool'!$B2660:$W2660)+$Y$3</f>
        <v>-36.514029388465531</v>
      </c>
      <c r="D2666" s="7">
        <f>SUMPRODUCT($C$4:$X$4,'batch tool'!$B2660:$W2660)+$Y$4</f>
        <v>-44.639843068043824</v>
      </c>
      <c r="E2666" s="7">
        <f>SUMPRODUCT($C$5:$X$5,'batch tool'!$B2660:$W2660)+$Y$5</f>
        <v>-51.578889182477603</v>
      </c>
      <c r="F2666" s="7">
        <f>SUMPRODUCT($C$6:$X$6,'batch tool'!$B2660:$W2660)+$Y$6</f>
        <v>-47.741473633885199</v>
      </c>
      <c r="G2666" s="7">
        <f>SUMPRODUCT($C$7:$X$7,'batch tool'!$B2660:$W2660)+$Y$7</f>
        <v>-19.739516238059196</v>
      </c>
      <c r="H2666" s="7">
        <f t="shared" si="84"/>
        <v>-19.739516238059196</v>
      </c>
      <c r="I2666">
        <f t="shared" si="85"/>
        <v>6</v>
      </c>
      <c r="J2666" t="str" cm="1">
        <f t="array" ref="J2666">INDEX($A$2:$A$7,I2666)</f>
        <v>Segment 6- Self-Conscious Male</v>
      </c>
    </row>
    <row r="2667" spans="1:10" x14ac:dyDescent="0.25">
      <c r="A2667" s="1">
        <f>'batch tool'!A2661</f>
        <v>0</v>
      </c>
      <c r="B2667" s="7">
        <f>SUMPRODUCT($C$2:$X$2,'batch tool'!$B2661:$W2661)+$Y$2</f>
        <v>-49.12272534143483</v>
      </c>
      <c r="C2667" s="7">
        <f>SUMPRODUCT($C$3:$X$3,'batch tool'!$B2661:$W2661)+$Y$3</f>
        <v>-36.514029388465531</v>
      </c>
      <c r="D2667" s="7">
        <f>SUMPRODUCT($C$4:$X$4,'batch tool'!$B2661:$W2661)+$Y$4</f>
        <v>-44.639843068043824</v>
      </c>
      <c r="E2667" s="7">
        <f>SUMPRODUCT($C$5:$X$5,'batch tool'!$B2661:$W2661)+$Y$5</f>
        <v>-51.578889182477603</v>
      </c>
      <c r="F2667" s="7">
        <f>SUMPRODUCT($C$6:$X$6,'batch tool'!$B2661:$W2661)+$Y$6</f>
        <v>-47.741473633885199</v>
      </c>
      <c r="G2667" s="7">
        <f>SUMPRODUCT($C$7:$X$7,'batch tool'!$B2661:$W2661)+$Y$7</f>
        <v>-19.739516238059196</v>
      </c>
      <c r="H2667" s="7">
        <f t="shared" si="84"/>
        <v>-19.739516238059196</v>
      </c>
      <c r="I2667">
        <f t="shared" si="85"/>
        <v>6</v>
      </c>
      <c r="J2667" t="str" cm="1">
        <f t="array" ref="J2667">INDEX($A$2:$A$7,I2667)</f>
        <v>Segment 6- Self-Conscious Male</v>
      </c>
    </row>
    <row r="2668" spans="1:10" x14ac:dyDescent="0.25">
      <c r="A2668" s="1">
        <f>'batch tool'!A2662</f>
        <v>0</v>
      </c>
      <c r="B2668" s="7">
        <f>SUMPRODUCT($C$2:$X$2,'batch tool'!$B2662:$W2662)+$Y$2</f>
        <v>-49.12272534143483</v>
      </c>
      <c r="C2668" s="7">
        <f>SUMPRODUCT($C$3:$X$3,'batch tool'!$B2662:$W2662)+$Y$3</f>
        <v>-36.514029388465531</v>
      </c>
      <c r="D2668" s="7">
        <f>SUMPRODUCT($C$4:$X$4,'batch tool'!$B2662:$W2662)+$Y$4</f>
        <v>-44.639843068043824</v>
      </c>
      <c r="E2668" s="7">
        <f>SUMPRODUCT($C$5:$X$5,'batch tool'!$B2662:$W2662)+$Y$5</f>
        <v>-51.578889182477603</v>
      </c>
      <c r="F2668" s="7">
        <f>SUMPRODUCT($C$6:$X$6,'batch tool'!$B2662:$W2662)+$Y$6</f>
        <v>-47.741473633885199</v>
      </c>
      <c r="G2668" s="7">
        <f>SUMPRODUCT($C$7:$X$7,'batch tool'!$B2662:$W2662)+$Y$7</f>
        <v>-19.739516238059196</v>
      </c>
      <c r="H2668" s="7">
        <f t="shared" si="84"/>
        <v>-19.739516238059196</v>
      </c>
      <c r="I2668">
        <f t="shared" si="85"/>
        <v>6</v>
      </c>
      <c r="J2668" t="str" cm="1">
        <f t="array" ref="J2668">INDEX($A$2:$A$7,I2668)</f>
        <v>Segment 6- Self-Conscious Male</v>
      </c>
    </row>
    <row r="2669" spans="1:10" x14ac:dyDescent="0.25">
      <c r="A2669" s="1">
        <f>'batch tool'!A2663</f>
        <v>0</v>
      </c>
      <c r="B2669" s="7">
        <f>SUMPRODUCT($C$2:$X$2,'batch tool'!$B2663:$W2663)+$Y$2</f>
        <v>-49.12272534143483</v>
      </c>
      <c r="C2669" s="7">
        <f>SUMPRODUCT($C$3:$X$3,'batch tool'!$B2663:$W2663)+$Y$3</f>
        <v>-36.514029388465531</v>
      </c>
      <c r="D2669" s="7">
        <f>SUMPRODUCT($C$4:$X$4,'batch tool'!$B2663:$W2663)+$Y$4</f>
        <v>-44.639843068043824</v>
      </c>
      <c r="E2669" s="7">
        <f>SUMPRODUCT($C$5:$X$5,'batch tool'!$B2663:$W2663)+$Y$5</f>
        <v>-51.578889182477603</v>
      </c>
      <c r="F2669" s="7">
        <f>SUMPRODUCT($C$6:$X$6,'batch tool'!$B2663:$W2663)+$Y$6</f>
        <v>-47.741473633885199</v>
      </c>
      <c r="G2669" s="7">
        <f>SUMPRODUCT($C$7:$X$7,'batch tool'!$B2663:$W2663)+$Y$7</f>
        <v>-19.739516238059196</v>
      </c>
      <c r="H2669" s="7">
        <f t="shared" si="84"/>
        <v>-19.739516238059196</v>
      </c>
      <c r="I2669">
        <f t="shared" si="85"/>
        <v>6</v>
      </c>
      <c r="J2669" t="str" cm="1">
        <f t="array" ref="J2669">INDEX($A$2:$A$7,I2669)</f>
        <v>Segment 6- Self-Conscious Male</v>
      </c>
    </row>
    <row r="2670" spans="1:10" x14ac:dyDescent="0.25">
      <c r="A2670" s="1">
        <f>'batch tool'!A2664</f>
        <v>0</v>
      </c>
      <c r="B2670" s="7">
        <f>SUMPRODUCT($C$2:$X$2,'batch tool'!$B2664:$W2664)+$Y$2</f>
        <v>-49.12272534143483</v>
      </c>
      <c r="C2670" s="7">
        <f>SUMPRODUCT($C$3:$X$3,'batch tool'!$B2664:$W2664)+$Y$3</f>
        <v>-36.514029388465531</v>
      </c>
      <c r="D2670" s="7">
        <f>SUMPRODUCT($C$4:$X$4,'batch tool'!$B2664:$W2664)+$Y$4</f>
        <v>-44.639843068043824</v>
      </c>
      <c r="E2670" s="7">
        <f>SUMPRODUCT($C$5:$X$5,'batch tool'!$B2664:$W2664)+$Y$5</f>
        <v>-51.578889182477603</v>
      </c>
      <c r="F2670" s="7">
        <f>SUMPRODUCT($C$6:$X$6,'batch tool'!$B2664:$W2664)+$Y$6</f>
        <v>-47.741473633885199</v>
      </c>
      <c r="G2670" s="7">
        <f>SUMPRODUCT($C$7:$X$7,'batch tool'!$B2664:$W2664)+$Y$7</f>
        <v>-19.739516238059196</v>
      </c>
      <c r="H2670" s="7">
        <f t="shared" si="84"/>
        <v>-19.739516238059196</v>
      </c>
      <c r="I2670">
        <f t="shared" si="85"/>
        <v>6</v>
      </c>
      <c r="J2670" t="str" cm="1">
        <f t="array" ref="J2670">INDEX($A$2:$A$7,I2670)</f>
        <v>Segment 6- Self-Conscious Male</v>
      </c>
    </row>
    <row r="2671" spans="1:10" x14ac:dyDescent="0.25">
      <c r="A2671" s="1">
        <f>'batch tool'!A2665</f>
        <v>0</v>
      </c>
      <c r="B2671" s="7">
        <f>SUMPRODUCT($C$2:$X$2,'batch tool'!$B2665:$W2665)+$Y$2</f>
        <v>-49.12272534143483</v>
      </c>
      <c r="C2671" s="7">
        <f>SUMPRODUCT($C$3:$X$3,'batch tool'!$B2665:$W2665)+$Y$3</f>
        <v>-36.514029388465531</v>
      </c>
      <c r="D2671" s="7">
        <f>SUMPRODUCT($C$4:$X$4,'batch tool'!$B2665:$W2665)+$Y$4</f>
        <v>-44.639843068043824</v>
      </c>
      <c r="E2671" s="7">
        <f>SUMPRODUCT($C$5:$X$5,'batch tool'!$B2665:$W2665)+$Y$5</f>
        <v>-51.578889182477603</v>
      </c>
      <c r="F2671" s="7">
        <f>SUMPRODUCT($C$6:$X$6,'batch tool'!$B2665:$W2665)+$Y$6</f>
        <v>-47.741473633885199</v>
      </c>
      <c r="G2671" s="7">
        <f>SUMPRODUCT($C$7:$X$7,'batch tool'!$B2665:$W2665)+$Y$7</f>
        <v>-19.739516238059196</v>
      </c>
      <c r="H2671" s="7">
        <f t="shared" si="84"/>
        <v>-19.739516238059196</v>
      </c>
      <c r="I2671">
        <f t="shared" si="85"/>
        <v>6</v>
      </c>
      <c r="J2671" t="str" cm="1">
        <f t="array" ref="J2671">INDEX($A$2:$A$7,I2671)</f>
        <v>Segment 6- Self-Conscious Male</v>
      </c>
    </row>
    <row r="2672" spans="1:10" x14ac:dyDescent="0.25">
      <c r="A2672" s="1">
        <f>'batch tool'!A2666</f>
        <v>0</v>
      </c>
      <c r="B2672" s="7">
        <f>SUMPRODUCT($C$2:$X$2,'batch tool'!$B2666:$W2666)+$Y$2</f>
        <v>-49.12272534143483</v>
      </c>
      <c r="C2672" s="7">
        <f>SUMPRODUCT($C$3:$X$3,'batch tool'!$B2666:$W2666)+$Y$3</f>
        <v>-36.514029388465531</v>
      </c>
      <c r="D2672" s="7">
        <f>SUMPRODUCT($C$4:$X$4,'batch tool'!$B2666:$W2666)+$Y$4</f>
        <v>-44.639843068043824</v>
      </c>
      <c r="E2672" s="7">
        <f>SUMPRODUCT($C$5:$X$5,'batch tool'!$B2666:$W2666)+$Y$5</f>
        <v>-51.578889182477603</v>
      </c>
      <c r="F2672" s="7">
        <f>SUMPRODUCT($C$6:$X$6,'batch tool'!$B2666:$W2666)+$Y$6</f>
        <v>-47.741473633885199</v>
      </c>
      <c r="G2672" s="7">
        <f>SUMPRODUCT($C$7:$X$7,'batch tool'!$B2666:$W2666)+$Y$7</f>
        <v>-19.739516238059196</v>
      </c>
      <c r="H2672" s="7">
        <f t="shared" si="84"/>
        <v>-19.739516238059196</v>
      </c>
      <c r="I2672">
        <f t="shared" si="85"/>
        <v>6</v>
      </c>
      <c r="J2672" t="str" cm="1">
        <f t="array" ref="J2672">INDEX($A$2:$A$7,I2672)</f>
        <v>Segment 6- Self-Conscious Male</v>
      </c>
    </row>
    <row r="2673" spans="1:10" x14ac:dyDescent="0.25">
      <c r="A2673" s="1">
        <f>'batch tool'!A2667</f>
        <v>0</v>
      </c>
      <c r="B2673" s="7">
        <f>SUMPRODUCT($C$2:$X$2,'batch tool'!$B2667:$W2667)+$Y$2</f>
        <v>-49.12272534143483</v>
      </c>
      <c r="C2673" s="7">
        <f>SUMPRODUCT($C$3:$X$3,'batch tool'!$B2667:$W2667)+$Y$3</f>
        <v>-36.514029388465531</v>
      </c>
      <c r="D2673" s="7">
        <f>SUMPRODUCT($C$4:$X$4,'batch tool'!$B2667:$W2667)+$Y$4</f>
        <v>-44.639843068043824</v>
      </c>
      <c r="E2673" s="7">
        <f>SUMPRODUCT($C$5:$X$5,'batch tool'!$B2667:$W2667)+$Y$5</f>
        <v>-51.578889182477603</v>
      </c>
      <c r="F2673" s="7">
        <f>SUMPRODUCT($C$6:$X$6,'batch tool'!$B2667:$W2667)+$Y$6</f>
        <v>-47.741473633885199</v>
      </c>
      <c r="G2673" s="7">
        <f>SUMPRODUCT($C$7:$X$7,'batch tool'!$B2667:$W2667)+$Y$7</f>
        <v>-19.739516238059196</v>
      </c>
      <c r="H2673" s="7">
        <f t="shared" si="84"/>
        <v>-19.739516238059196</v>
      </c>
      <c r="I2673">
        <f t="shared" si="85"/>
        <v>6</v>
      </c>
      <c r="J2673" t="str" cm="1">
        <f t="array" ref="J2673">INDEX($A$2:$A$7,I2673)</f>
        <v>Segment 6- Self-Conscious Male</v>
      </c>
    </row>
    <row r="2674" spans="1:10" x14ac:dyDescent="0.25">
      <c r="A2674" s="1">
        <f>'batch tool'!A2668</f>
        <v>0</v>
      </c>
      <c r="B2674" s="7">
        <f>SUMPRODUCT($C$2:$X$2,'batch tool'!$B2668:$W2668)+$Y$2</f>
        <v>-49.12272534143483</v>
      </c>
      <c r="C2674" s="7">
        <f>SUMPRODUCT($C$3:$X$3,'batch tool'!$B2668:$W2668)+$Y$3</f>
        <v>-36.514029388465531</v>
      </c>
      <c r="D2674" s="7">
        <f>SUMPRODUCT($C$4:$X$4,'batch tool'!$B2668:$W2668)+$Y$4</f>
        <v>-44.639843068043824</v>
      </c>
      <c r="E2674" s="7">
        <f>SUMPRODUCT($C$5:$X$5,'batch tool'!$B2668:$W2668)+$Y$5</f>
        <v>-51.578889182477603</v>
      </c>
      <c r="F2674" s="7">
        <f>SUMPRODUCT($C$6:$X$6,'batch tool'!$B2668:$W2668)+$Y$6</f>
        <v>-47.741473633885199</v>
      </c>
      <c r="G2674" s="7">
        <f>SUMPRODUCT($C$7:$X$7,'batch tool'!$B2668:$W2668)+$Y$7</f>
        <v>-19.739516238059196</v>
      </c>
      <c r="H2674" s="7">
        <f t="shared" si="84"/>
        <v>-19.739516238059196</v>
      </c>
      <c r="I2674">
        <f t="shared" si="85"/>
        <v>6</v>
      </c>
      <c r="J2674" t="str" cm="1">
        <f t="array" ref="J2674">INDEX($A$2:$A$7,I2674)</f>
        <v>Segment 6- Self-Conscious Male</v>
      </c>
    </row>
    <row r="2675" spans="1:10" x14ac:dyDescent="0.25">
      <c r="A2675" s="1">
        <f>'batch tool'!A2669</f>
        <v>0</v>
      </c>
      <c r="B2675" s="7">
        <f>SUMPRODUCT($C$2:$X$2,'batch tool'!$B2669:$W2669)+$Y$2</f>
        <v>-49.12272534143483</v>
      </c>
      <c r="C2675" s="7">
        <f>SUMPRODUCT($C$3:$X$3,'batch tool'!$B2669:$W2669)+$Y$3</f>
        <v>-36.514029388465531</v>
      </c>
      <c r="D2675" s="7">
        <f>SUMPRODUCT($C$4:$X$4,'batch tool'!$B2669:$W2669)+$Y$4</f>
        <v>-44.639843068043824</v>
      </c>
      <c r="E2675" s="7">
        <f>SUMPRODUCT($C$5:$X$5,'batch tool'!$B2669:$W2669)+$Y$5</f>
        <v>-51.578889182477603</v>
      </c>
      <c r="F2675" s="7">
        <f>SUMPRODUCT($C$6:$X$6,'batch tool'!$B2669:$W2669)+$Y$6</f>
        <v>-47.741473633885199</v>
      </c>
      <c r="G2675" s="7">
        <f>SUMPRODUCT($C$7:$X$7,'batch tool'!$B2669:$W2669)+$Y$7</f>
        <v>-19.739516238059196</v>
      </c>
      <c r="H2675" s="7">
        <f t="shared" si="84"/>
        <v>-19.739516238059196</v>
      </c>
      <c r="I2675">
        <f t="shared" si="85"/>
        <v>6</v>
      </c>
      <c r="J2675" t="str" cm="1">
        <f t="array" ref="J2675">INDEX($A$2:$A$7,I2675)</f>
        <v>Segment 6- Self-Conscious Male</v>
      </c>
    </row>
    <row r="2676" spans="1:10" x14ac:dyDescent="0.25">
      <c r="A2676" s="1">
        <f>'batch tool'!A2670</f>
        <v>0</v>
      </c>
      <c r="B2676" s="7">
        <f>SUMPRODUCT($C$2:$X$2,'batch tool'!$B2670:$W2670)+$Y$2</f>
        <v>-49.12272534143483</v>
      </c>
      <c r="C2676" s="7">
        <f>SUMPRODUCT($C$3:$X$3,'batch tool'!$B2670:$W2670)+$Y$3</f>
        <v>-36.514029388465531</v>
      </c>
      <c r="D2676" s="7">
        <f>SUMPRODUCT($C$4:$X$4,'batch tool'!$B2670:$W2670)+$Y$4</f>
        <v>-44.639843068043824</v>
      </c>
      <c r="E2676" s="7">
        <f>SUMPRODUCT($C$5:$X$5,'batch tool'!$B2670:$W2670)+$Y$5</f>
        <v>-51.578889182477603</v>
      </c>
      <c r="F2676" s="7">
        <f>SUMPRODUCT($C$6:$X$6,'batch tool'!$B2670:$W2670)+$Y$6</f>
        <v>-47.741473633885199</v>
      </c>
      <c r="G2676" s="7">
        <f>SUMPRODUCT($C$7:$X$7,'batch tool'!$B2670:$W2670)+$Y$7</f>
        <v>-19.739516238059196</v>
      </c>
      <c r="H2676" s="7">
        <f t="shared" si="84"/>
        <v>-19.739516238059196</v>
      </c>
      <c r="I2676">
        <f t="shared" si="85"/>
        <v>6</v>
      </c>
      <c r="J2676" t="str" cm="1">
        <f t="array" ref="J2676">INDEX($A$2:$A$7,I2676)</f>
        <v>Segment 6- Self-Conscious Male</v>
      </c>
    </row>
    <row r="2677" spans="1:10" x14ac:dyDescent="0.25">
      <c r="A2677" s="1">
        <f>'batch tool'!A2671</f>
        <v>0</v>
      </c>
      <c r="B2677" s="7">
        <f>SUMPRODUCT($C$2:$X$2,'batch tool'!$B2671:$W2671)+$Y$2</f>
        <v>-49.12272534143483</v>
      </c>
      <c r="C2677" s="7">
        <f>SUMPRODUCT($C$3:$X$3,'batch tool'!$B2671:$W2671)+$Y$3</f>
        <v>-36.514029388465531</v>
      </c>
      <c r="D2677" s="7">
        <f>SUMPRODUCT($C$4:$X$4,'batch tool'!$B2671:$W2671)+$Y$4</f>
        <v>-44.639843068043824</v>
      </c>
      <c r="E2677" s="7">
        <f>SUMPRODUCT($C$5:$X$5,'batch tool'!$B2671:$W2671)+$Y$5</f>
        <v>-51.578889182477603</v>
      </c>
      <c r="F2677" s="7">
        <f>SUMPRODUCT($C$6:$X$6,'batch tool'!$B2671:$W2671)+$Y$6</f>
        <v>-47.741473633885199</v>
      </c>
      <c r="G2677" s="7">
        <f>SUMPRODUCT($C$7:$X$7,'batch tool'!$B2671:$W2671)+$Y$7</f>
        <v>-19.739516238059196</v>
      </c>
      <c r="H2677" s="7">
        <f t="shared" si="84"/>
        <v>-19.739516238059196</v>
      </c>
      <c r="I2677">
        <f t="shared" si="85"/>
        <v>6</v>
      </c>
      <c r="J2677" t="str" cm="1">
        <f t="array" ref="J2677">INDEX($A$2:$A$7,I2677)</f>
        <v>Segment 6- Self-Conscious Male</v>
      </c>
    </row>
    <row r="2678" spans="1:10" x14ac:dyDescent="0.25">
      <c r="A2678" s="1">
        <f>'batch tool'!A2672</f>
        <v>0</v>
      </c>
      <c r="B2678" s="7">
        <f>SUMPRODUCT($C$2:$X$2,'batch tool'!$B2672:$W2672)+$Y$2</f>
        <v>-49.12272534143483</v>
      </c>
      <c r="C2678" s="7">
        <f>SUMPRODUCT($C$3:$X$3,'batch tool'!$B2672:$W2672)+$Y$3</f>
        <v>-36.514029388465531</v>
      </c>
      <c r="D2678" s="7">
        <f>SUMPRODUCT($C$4:$X$4,'batch tool'!$B2672:$W2672)+$Y$4</f>
        <v>-44.639843068043824</v>
      </c>
      <c r="E2678" s="7">
        <f>SUMPRODUCT($C$5:$X$5,'batch tool'!$B2672:$W2672)+$Y$5</f>
        <v>-51.578889182477603</v>
      </c>
      <c r="F2678" s="7">
        <f>SUMPRODUCT($C$6:$X$6,'batch tool'!$B2672:$W2672)+$Y$6</f>
        <v>-47.741473633885199</v>
      </c>
      <c r="G2678" s="7">
        <f>SUMPRODUCT($C$7:$X$7,'batch tool'!$B2672:$W2672)+$Y$7</f>
        <v>-19.739516238059196</v>
      </c>
      <c r="H2678" s="7">
        <f t="shared" si="84"/>
        <v>-19.739516238059196</v>
      </c>
      <c r="I2678">
        <f t="shared" si="85"/>
        <v>6</v>
      </c>
      <c r="J2678" t="str" cm="1">
        <f t="array" ref="J2678">INDEX($A$2:$A$7,I2678)</f>
        <v>Segment 6- Self-Conscious Male</v>
      </c>
    </row>
    <row r="2679" spans="1:10" x14ac:dyDescent="0.25">
      <c r="A2679" s="1">
        <f>'batch tool'!A2673</f>
        <v>0</v>
      </c>
      <c r="B2679" s="7">
        <f>SUMPRODUCT($C$2:$X$2,'batch tool'!$B2673:$W2673)+$Y$2</f>
        <v>-49.12272534143483</v>
      </c>
      <c r="C2679" s="7">
        <f>SUMPRODUCT($C$3:$X$3,'batch tool'!$B2673:$W2673)+$Y$3</f>
        <v>-36.514029388465531</v>
      </c>
      <c r="D2679" s="7">
        <f>SUMPRODUCT($C$4:$X$4,'batch tool'!$B2673:$W2673)+$Y$4</f>
        <v>-44.639843068043824</v>
      </c>
      <c r="E2679" s="7">
        <f>SUMPRODUCT($C$5:$X$5,'batch tool'!$B2673:$W2673)+$Y$5</f>
        <v>-51.578889182477603</v>
      </c>
      <c r="F2679" s="7">
        <f>SUMPRODUCT($C$6:$X$6,'batch tool'!$B2673:$W2673)+$Y$6</f>
        <v>-47.741473633885199</v>
      </c>
      <c r="G2679" s="7">
        <f>SUMPRODUCT($C$7:$X$7,'batch tool'!$B2673:$W2673)+$Y$7</f>
        <v>-19.739516238059196</v>
      </c>
      <c r="H2679" s="7">
        <f t="shared" si="84"/>
        <v>-19.739516238059196</v>
      </c>
      <c r="I2679">
        <f t="shared" si="85"/>
        <v>6</v>
      </c>
      <c r="J2679" t="str" cm="1">
        <f t="array" ref="J2679">INDEX($A$2:$A$7,I2679)</f>
        <v>Segment 6- Self-Conscious Male</v>
      </c>
    </row>
    <row r="2680" spans="1:10" x14ac:dyDescent="0.25">
      <c r="A2680" s="1">
        <f>'batch tool'!A2674</f>
        <v>0</v>
      </c>
      <c r="B2680" s="7">
        <f>SUMPRODUCT($C$2:$X$2,'batch tool'!$B2674:$W2674)+$Y$2</f>
        <v>-49.12272534143483</v>
      </c>
      <c r="C2680" s="7">
        <f>SUMPRODUCT($C$3:$X$3,'batch tool'!$B2674:$W2674)+$Y$3</f>
        <v>-36.514029388465531</v>
      </c>
      <c r="D2680" s="7">
        <f>SUMPRODUCT($C$4:$X$4,'batch tool'!$B2674:$W2674)+$Y$4</f>
        <v>-44.639843068043824</v>
      </c>
      <c r="E2680" s="7">
        <f>SUMPRODUCT($C$5:$X$5,'batch tool'!$B2674:$W2674)+$Y$5</f>
        <v>-51.578889182477603</v>
      </c>
      <c r="F2680" s="7">
        <f>SUMPRODUCT($C$6:$X$6,'batch tool'!$B2674:$W2674)+$Y$6</f>
        <v>-47.741473633885199</v>
      </c>
      <c r="G2680" s="7">
        <f>SUMPRODUCT($C$7:$X$7,'batch tool'!$B2674:$W2674)+$Y$7</f>
        <v>-19.739516238059196</v>
      </c>
      <c r="H2680" s="7">
        <f t="shared" si="84"/>
        <v>-19.739516238059196</v>
      </c>
      <c r="I2680">
        <f t="shared" si="85"/>
        <v>6</v>
      </c>
      <c r="J2680" t="str" cm="1">
        <f t="array" ref="J2680">INDEX($A$2:$A$7,I2680)</f>
        <v>Segment 6- Self-Conscious Male</v>
      </c>
    </row>
    <row r="2681" spans="1:10" x14ac:dyDescent="0.25">
      <c r="A2681" s="1">
        <f>'batch tool'!A2675</f>
        <v>0</v>
      </c>
      <c r="B2681" s="7">
        <f>SUMPRODUCT($C$2:$X$2,'batch tool'!$B2675:$W2675)+$Y$2</f>
        <v>-49.12272534143483</v>
      </c>
      <c r="C2681" s="7">
        <f>SUMPRODUCT($C$3:$X$3,'batch tool'!$B2675:$W2675)+$Y$3</f>
        <v>-36.514029388465531</v>
      </c>
      <c r="D2681" s="7">
        <f>SUMPRODUCT($C$4:$X$4,'batch tool'!$B2675:$W2675)+$Y$4</f>
        <v>-44.639843068043824</v>
      </c>
      <c r="E2681" s="7">
        <f>SUMPRODUCT($C$5:$X$5,'batch tool'!$B2675:$W2675)+$Y$5</f>
        <v>-51.578889182477603</v>
      </c>
      <c r="F2681" s="7">
        <f>SUMPRODUCT($C$6:$X$6,'batch tool'!$B2675:$W2675)+$Y$6</f>
        <v>-47.741473633885199</v>
      </c>
      <c r="G2681" s="7">
        <f>SUMPRODUCT($C$7:$X$7,'batch tool'!$B2675:$W2675)+$Y$7</f>
        <v>-19.739516238059196</v>
      </c>
      <c r="H2681" s="7">
        <f t="shared" si="84"/>
        <v>-19.739516238059196</v>
      </c>
      <c r="I2681">
        <f t="shared" si="85"/>
        <v>6</v>
      </c>
      <c r="J2681" t="str" cm="1">
        <f t="array" ref="J2681">INDEX($A$2:$A$7,I2681)</f>
        <v>Segment 6- Self-Conscious Male</v>
      </c>
    </row>
    <row r="2682" spans="1:10" x14ac:dyDescent="0.25">
      <c r="A2682" s="1">
        <f>'batch tool'!A2676</f>
        <v>0</v>
      </c>
      <c r="B2682" s="7">
        <f>SUMPRODUCT($C$2:$X$2,'batch tool'!$B2676:$W2676)+$Y$2</f>
        <v>-49.12272534143483</v>
      </c>
      <c r="C2682" s="7">
        <f>SUMPRODUCT($C$3:$X$3,'batch tool'!$B2676:$W2676)+$Y$3</f>
        <v>-36.514029388465531</v>
      </c>
      <c r="D2682" s="7">
        <f>SUMPRODUCT($C$4:$X$4,'batch tool'!$B2676:$W2676)+$Y$4</f>
        <v>-44.639843068043824</v>
      </c>
      <c r="E2682" s="7">
        <f>SUMPRODUCT($C$5:$X$5,'batch tool'!$B2676:$W2676)+$Y$5</f>
        <v>-51.578889182477603</v>
      </c>
      <c r="F2682" s="7">
        <f>SUMPRODUCT($C$6:$X$6,'batch tool'!$B2676:$W2676)+$Y$6</f>
        <v>-47.741473633885199</v>
      </c>
      <c r="G2682" s="7">
        <f>SUMPRODUCT($C$7:$X$7,'batch tool'!$B2676:$W2676)+$Y$7</f>
        <v>-19.739516238059196</v>
      </c>
      <c r="H2682" s="7">
        <f t="shared" si="84"/>
        <v>-19.739516238059196</v>
      </c>
      <c r="I2682">
        <f t="shared" si="85"/>
        <v>6</v>
      </c>
      <c r="J2682" t="str" cm="1">
        <f t="array" ref="J2682">INDEX($A$2:$A$7,I2682)</f>
        <v>Segment 6- Self-Conscious Male</v>
      </c>
    </row>
    <row r="2683" spans="1:10" x14ac:dyDescent="0.25">
      <c r="A2683" s="1">
        <f>'batch tool'!A2677</f>
        <v>0</v>
      </c>
      <c r="B2683" s="7">
        <f>SUMPRODUCT($C$2:$X$2,'batch tool'!$B2677:$W2677)+$Y$2</f>
        <v>-49.12272534143483</v>
      </c>
      <c r="C2683" s="7">
        <f>SUMPRODUCT($C$3:$X$3,'batch tool'!$B2677:$W2677)+$Y$3</f>
        <v>-36.514029388465531</v>
      </c>
      <c r="D2683" s="7">
        <f>SUMPRODUCT($C$4:$X$4,'batch tool'!$B2677:$W2677)+$Y$4</f>
        <v>-44.639843068043824</v>
      </c>
      <c r="E2683" s="7">
        <f>SUMPRODUCT($C$5:$X$5,'batch tool'!$B2677:$W2677)+$Y$5</f>
        <v>-51.578889182477603</v>
      </c>
      <c r="F2683" s="7">
        <f>SUMPRODUCT($C$6:$X$6,'batch tool'!$B2677:$W2677)+$Y$6</f>
        <v>-47.741473633885199</v>
      </c>
      <c r="G2683" s="7">
        <f>SUMPRODUCT($C$7:$X$7,'batch tool'!$B2677:$W2677)+$Y$7</f>
        <v>-19.739516238059196</v>
      </c>
      <c r="H2683" s="7">
        <f t="shared" si="84"/>
        <v>-19.739516238059196</v>
      </c>
      <c r="I2683">
        <f t="shared" si="85"/>
        <v>6</v>
      </c>
      <c r="J2683" t="str" cm="1">
        <f t="array" ref="J2683">INDEX($A$2:$A$7,I2683)</f>
        <v>Segment 6- Self-Conscious Male</v>
      </c>
    </row>
    <row r="2684" spans="1:10" x14ac:dyDescent="0.25">
      <c r="A2684" s="1">
        <f>'batch tool'!A2678</f>
        <v>0</v>
      </c>
      <c r="B2684" s="7">
        <f>SUMPRODUCT($C$2:$X$2,'batch tool'!$B2678:$W2678)+$Y$2</f>
        <v>-49.12272534143483</v>
      </c>
      <c r="C2684" s="7">
        <f>SUMPRODUCT($C$3:$X$3,'batch tool'!$B2678:$W2678)+$Y$3</f>
        <v>-36.514029388465531</v>
      </c>
      <c r="D2684" s="7">
        <f>SUMPRODUCT($C$4:$X$4,'batch tool'!$B2678:$W2678)+$Y$4</f>
        <v>-44.639843068043824</v>
      </c>
      <c r="E2684" s="7">
        <f>SUMPRODUCT($C$5:$X$5,'batch tool'!$B2678:$W2678)+$Y$5</f>
        <v>-51.578889182477603</v>
      </c>
      <c r="F2684" s="7">
        <f>SUMPRODUCT($C$6:$X$6,'batch tool'!$B2678:$W2678)+$Y$6</f>
        <v>-47.741473633885199</v>
      </c>
      <c r="G2684" s="7">
        <f>SUMPRODUCT($C$7:$X$7,'batch tool'!$B2678:$W2678)+$Y$7</f>
        <v>-19.739516238059196</v>
      </c>
      <c r="H2684" s="7">
        <f t="shared" si="84"/>
        <v>-19.739516238059196</v>
      </c>
      <c r="I2684">
        <f t="shared" si="85"/>
        <v>6</v>
      </c>
      <c r="J2684" t="str" cm="1">
        <f t="array" ref="J2684">INDEX($A$2:$A$7,I2684)</f>
        <v>Segment 6- Self-Conscious Male</v>
      </c>
    </row>
    <row r="2685" spans="1:10" x14ac:dyDescent="0.25">
      <c r="A2685" s="1">
        <f>'batch tool'!A2679</f>
        <v>0</v>
      </c>
      <c r="B2685" s="7">
        <f>SUMPRODUCT($C$2:$X$2,'batch tool'!$B2679:$W2679)+$Y$2</f>
        <v>-49.12272534143483</v>
      </c>
      <c r="C2685" s="7">
        <f>SUMPRODUCT($C$3:$X$3,'batch tool'!$B2679:$W2679)+$Y$3</f>
        <v>-36.514029388465531</v>
      </c>
      <c r="D2685" s="7">
        <f>SUMPRODUCT($C$4:$X$4,'batch tool'!$B2679:$W2679)+$Y$4</f>
        <v>-44.639843068043824</v>
      </c>
      <c r="E2685" s="7">
        <f>SUMPRODUCT($C$5:$X$5,'batch tool'!$B2679:$W2679)+$Y$5</f>
        <v>-51.578889182477603</v>
      </c>
      <c r="F2685" s="7">
        <f>SUMPRODUCT($C$6:$X$6,'batch tool'!$B2679:$W2679)+$Y$6</f>
        <v>-47.741473633885199</v>
      </c>
      <c r="G2685" s="7">
        <f>SUMPRODUCT($C$7:$X$7,'batch tool'!$B2679:$W2679)+$Y$7</f>
        <v>-19.739516238059196</v>
      </c>
      <c r="H2685" s="7">
        <f t="shared" si="84"/>
        <v>-19.739516238059196</v>
      </c>
      <c r="I2685">
        <f t="shared" si="85"/>
        <v>6</v>
      </c>
      <c r="J2685" t="str" cm="1">
        <f t="array" ref="J2685">INDEX($A$2:$A$7,I2685)</f>
        <v>Segment 6- Self-Conscious Male</v>
      </c>
    </row>
    <row r="2686" spans="1:10" x14ac:dyDescent="0.25">
      <c r="A2686" s="1">
        <f>'batch tool'!A2680</f>
        <v>0</v>
      </c>
      <c r="B2686" s="7">
        <f>SUMPRODUCT($C$2:$X$2,'batch tool'!$B2680:$W2680)+$Y$2</f>
        <v>-49.12272534143483</v>
      </c>
      <c r="C2686" s="7">
        <f>SUMPRODUCT($C$3:$X$3,'batch tool'!$B2680:$W2680)+$Y$3</f>
        <v>-36.514029388465531</v>
      </c>
      <c r="D2686" s="7">
        <f>SUMPRODUCT($C$4:$X$4,'batch tool'!$B2680:$W2680)+$Y$4</f>
        <v>-44.639843068043824</v>
      </c>
      <c r="E2686" s="7">
        <f>SUMPRODUCT($C$5:$X$5,'batch tool'!$B2680:$W2680)+$Y$5</f>
        <v>-51.578889182477603</v>
      </c>
      <c r="F2686" s="7">
        <f>SUMPRODUCT($C$6:$X$6,'batch tool'!$B2680:$W2680)+$Y$6</f>
        <v>-47.741473633885199</v>
      </c>
      <c r="G2686" s="7">
        <f>SUMPRODUCT($C$7:$X$7,'batch tool'!$B2680:$W2680)+$Y$7</f>
        <v>-19.739516238059196</v>
      </c>
      <c r="H2686" s="7">
        <f t="shared" si="84"/>
        <v>-19.739516238059196</v>
      </c>
      <c r="I2686">
        <f t="shared" si="85"/>
        <v>6</v>
      </c>
      <c r="J2686" t="str" cm="1">
        <f t="array" ref="J2686">INDEX($A$2:$A$7,I2686)</f>
        <v>Segment 6- Self-Conscious Male</v>
      </c>
    </row>
    <row r="2687" spans="1:10" x14ac:dyDescent="0.25">
      <c r="A2687" s="1">
        <f>'batch tool'!A2681</f>
        <v>0</v>
      </c>
      <c r="B2687" s="7">
        <f>SUMPRODUCT($C$2:$X$2,'batch tool'!$B2681:$W2681)+$Y$2</f>
        <v>-49.12272534143483</v>
      </c>
      <c r="C2687" s="7">
        <f>SUMPRODUCT($C$3:$X$3,'batch tool'!$B2681:$W2681)+$Y$3</f>
        <v>-36.514029388465531</v>
      </c>
      <c r="D2687" s="7">
        <f>SUMPRODUCT($C$4:$X$4,'batch tool'!$B2681:$W2681)+$Y$4</f>
        <v>-44.639843068043824</v>
      </c>
      <c r="E2687" s="7">
        <f>SUMPRODUCT($C$5:$X$5,'batch tool'!$B2681:$W2681)+$Y$5</f>
        <v>-51.578889182477603</v>
      </c>
      <c r="F2687" s="7">
        <f>SUMPRODUCT($C$6:$X$6,'batch tool'!$B2681:$W2681)+$Y$6</f>
        <v>-47.741473633885199</v>
      </c>
      <c r="G2687" s="7">
        <f>SUMPRODUCT($C$7:$X$7,'batch tool'!$B2681:$W2681)+$Y$7</f>
        <v>-19.739516238059196</v>
      </c>
      <c r="H2687" s="7">
        <f t="shared" si="84"/>
        <v>-19.739516238059196</v>
      </c>
      <c r="I2687">
        <f t="shared" si="85"/>
        <v>6</v>
      </c>
      <c r="J2687" t="str" cm="1">
        <f t="array" ref="J2687">INDEX($A$2:$A$7,I2687)</f>
        <v>Segment 6- Self-Conscious Male</v>
      </c>
    </row>
    <row r="2688" spans="1:10" x14ac:dyDescent="0.25">
      <c r="A2688" s="1">
        <f>'batch tool'!A2682</f>
        <v>0</v>
      </c>
      <c r="B2688" s="7">
        <f>SUMPRODUCT($C$2:$X$2,'batch tool'!$B2682:$W2682)+$Y$2</f>
        <v>-49.12272534143483</v>
      </c>
      <c r="C2688" s="7">
        <f>SUMPRODUCT($C$3:$X$3,'batch tool'!$B2682:$W2682)+$Y$3</f>
        <v>-36.514029388465531</v>
      </c>
      <c r="D2688" s="7">
        <f>SUMPRODUCT($C$4:$X$4,'batch tool'!$B2682:$W2682)+$Y$4</f>
        <v>-44.639843068043824</v>
      </c>
      <c r="E2688" s="7">
        <f>SUMPRODUCT($C$5:$X$5,'batch tool'!$B2682:$W2682)+$Y$5</f>
        <v>-51.578889182477603</v>
      </c>
      <c r="F2688" s="7">
        <f>SUMPRODUCT($C$6:$X$6,'batch tool'!$B2682:$W2682)+$Y$6</f>
        <v>-47.741473633885199</v>
      </c>
      <c r="G2688" s="7">
        <f>SUMPRODUCT($C$7:$X$7,'batch tool'!$B2682:$W2682)+$Y$7</f>
        <v>-19.739516238059196</v>
      </c>
      <c r="H2688" s="7">
        <f t="shared" si="84"/>
        <v>-19.739516238059196</v>
      </c>
      <c r="I2688">
        <f t="shared" si="85"/>
        <v>6</v>
      </c>
      <c r="J2688" t="str" cm="1">
        <f t="array" ref="J2688">INDEX($A$2:$A$7,I2688)</f>
        <v>Segment 6- Self-Conscious Male</v>
      </c>
    </row>
    <row r="2689" spans="1:10" x14ac:dyDescent="0.25">
      <c r="A2689" s="1">
        <f>'batch tool'!A2683</f>
        <v>0</v>
      </c>
      <c r="B2689" s="7">
        <f>SUMPRODUCT($C$2:$X$2,'batch tool'!$B2683:$W2683)+$Y$2</f>
        <v>-49.12272534143483</v>
      </c>
      <c r="C2689" s="7">
        <f>SUMPRODUCT($C$3:$X$3,'batch tool'!$B2683:$W2683)+$Y$3</f>
        <v>-36.514029388465531</v>
      </c>
      <c r="D2689" s="7">
        <f>SUMPRODUCT($C$4:$X$4,'batch tool'!$B2683:$W2683)+$Y$4</f>
        <v>-44.639843068043824</v>
      </c>
      <c r="E2689" s="7">
        <f>SUMPRODUCT($C$5:$X$5,'batch tool'!$B2683:$W2683)+$Y$5</f>
        <v>-51.578889182477603</v>
      </c>
      <c r="F2689" s="7">
        <f>SUMPRODUCT($C$6:$X$6,'batch tool'!$B2683:$W2683)+$Y$6</f>
        <v>-47.741473633885199</v>
      </c>
      <c r="G2689" s="7">
        <f>SUMPRODUCT($C$7:$X$7,'batch tool'!$B2683:$W2683)+$Y$7</f>
        <v>-19.739516238059196</v>
      </c>
      <c r="H2689" s="7">
        <f t="shared" si="84"/>
        <v>-19.739516238059196</v>
      </c>
      <c r="I2689">
        <f t="shared" si="85"/>
        <v>6</v>
      </c>
      <c r="J2689" t="str" cm="1">
        <f t="array" ref="J2689">INDEX($A$2:$A$7,I2689)</f>
        <v>Segment 6- Self-Conscious Male</v>
      </c>
    </row>
    <row r="2690" spans="1:10" x14ac:dyDescent="0.25">
      <c r="A2690" s="1">
        <f>'batch tool'!A2684</f>
        <v>0</v>
      </c>
      <c r="B2690" s="7">
        <f>SUMPRODUCT($C$2:$X$2,'batch tool'!$B2684:$W2684)+$Y$2</f>
        <v>-49.12272534143483</v>
      </c>
      <c r="C2690" s="7">
        <f>SUMPRODUCT($C$3:$X$3,'batch tool'!$B2684:$W2684)+$Y$3</f>
        <v>-36.514029388465531</v>
      </c>
      <c r="D2690" s="7">
        <f>SUMPRODUCT($C$4:$X$4,'batch tool'!$B2684:$W2684)+$Y$4</f>
        <v>-44.639843068043824</v>
      </c>
      <c r="E2690" s="7">
        <f>SUMPRODUCT($C$5:$X$5,'batch tool'!$B2684:$W2684)+$Y$5</f>
        <v>-51.578889182477603</v>
      </c>
      <c r="F2690" s="7">
        <f>SUMPRODUCT($C$6:$X$6,'batch tool'!$B2684:$W2684)+$Y$6</f>
        <v>-47.741473633885199</v>
      </c>
      <c r="G2690" s="7">
        <f>SUMPRODUCT($C$7:$X$7,'batch tool'!$B2684:$W2684)+$Y$7</f>
        <v>-19.739516238059196</v>
      </c>
      <c r="H2690" s="7">
        <f t="shared" si="84"/>
        <v>-19.739516238059196</v>
      </c>
      <c r="I2690">
        <f t="shared" si="85"/>
        <v>6</v>
      </c>
      <c r="J2690" t="str" cm="1">
        <f t="array" ref="J2690">INDEX($A$2:$A$7,I2690)</f>
        <v>Segment 6- Self-Conscious Male</v>
      </c>
    </row>
    <row r="2691" spans="1:10" x14ac:dyDescent="0.25">
      <c r="A2691" s="1">
        <f>'batch tool'!A2685</f>
        <v>0</v>
      </c>
      <c r="B2691" s="7">
        <f>SUMPRODUCT($C$2:$X$2,'batch tool'!$B2685:$W2685)+$Y$2</f>
        <v>-49.12272534143483</v>
      </c>
      <c r="C2691" s="7">
        <f>SUMPRODUCT($C$3:$X$3,'batch tool'!$B2685:$W2685)+$Y$3</f>
        <v>-36.514029388465531</v>
      </c>
      <c r="D2691" s="7">
        <f>SUMPRODUCT($C$4:$X$4,'batch tool'!$B2685:$W2685)+$Y$4</f>
        <v>-44.639843068043824</v>
      </c>
      <c r="E2691" s="7">
        <f>SUMPRODUCT($C$5:$X$5,'batch tool'!$B2685:$W2685)+$Y$5</f>
        <v>-51.578889182477603</v>
      </c>
      <c r="F2691" s="7">
        <f>SUMPRODUCT($C$6:$X$6,'batch tool'!$B2685:$W2685)+$Y$6</f>
        <v>-47.741473633885199</v>
      </c>
      <c r="G2691" s="7">
        <f>SUMPRODUCT($C$7:$X$7,'batch tool'!$B2685:$W2685)+$Y$7</f>
        <v>-19.739516238059196</v>
      </c>
      <c r="H2691" s="7">
        <f t="shared" si="84"/>
        <v>-19.739516238059196</v>
      </c>
      <c r="I2691">
        <f t="shared" si="85"/>
        <v>6</v>
      </c>
      <c r="J2691" t="str" cm="1">
        <f t="array" ref="J2691">INDEX($A$2:$A$7,I2691)</f>
        <v>Segment 6- Self-Conscious Male</v>
      </c>
    </row>
    <row r="2692" spans="1:10" x14ac:dyDescent="0.25">
      <c r="A2692" s="1">
        <f>'batch tool'!A2686</f>
        <v>0</v>
      </c>
      <c r="B2692" s="7">
        <f>SUMPRODUCT($C$2:$X$2,'batch tool'!$B2686:$W2686)+$Y$2</f>
        <v>-49.12272534143483</v>
      </c>
      <c r="C2692" s="7">
        <f>SUMPRODUCT($C$3:$X$3,'batch tool'!$B2686:$W2686)+$Y$3</f>
        <v>-36.514029388465531</v>
      </c>
      <c r="D2692" s="7">
        <f>SUMPRODUCT($C$4:$X$4,'batch tool'!$B2686:$W2686)+$Y$4</f>
        <v>-44.639843068043824</v>
      </c>
      <c r="E2692" s="7">
        <f>SUMPRODUCT($C$5:$X$5,'batch tool'!$B2686:$W2686)+$Y$5</f>
        <v>-51.578889182477603</v>
      </c>
      <c r="F2692" s="7">
        <f>SUMPRODUCT($C$6:$X$6,'batch tool'!$B2686:$W2686)+$Y$6</f>
        <v>-47.741473633885199</v>
      </c>
      <c r="G2692" s="7">
        <f>SUMPRODUCT($C$7:$X$7,'batch tool'!$B2686:$W2686)+$Y$7</f>
        <v>-19.739516238059196</v>
      </c>
      <c r="H2692" s="7">
        <f t="shared" si="84"/>
        <v>-19.739516238059196</v>
      </c>
      <c r="I2692">
        <f t="shared" si="85"/>
        <v>6</v>
      </c>
      <c r="J2692" t="str" cm="1">
        <f t="array" ref="J2692">INDEX($A$2:$A$7,I2692)</f>
        <v>Segment 6- Self-Conscious Male</v>
      </c>
    </row>
    <row r="2693" spans="1:10" x14ac:dyDescent="0.25">
      <c r="A2693" s="1">
        <f>'batch tool'!A2687</f>
        <v>0</v>
      </c>
      <c r="B2693" s="7">
        <f>SUMPRODUCT($C$2:$X$2,'batch tool'!$B2687:$W2687)+$Y$2</f>
        <v>-49.12272534143483</v>
      </c>
      <c r="C2693" s="7">
        <f>SUMPRODUCT($C$3:$X$3,'batch tool'!$B2687:$W2687)+$Y$3</f>
        <v>-36.514029388465531</v>
      </c>
      <c r="D2693" s="7">
        <f>SUMPRODUCT($C$4:$X$4,'batch tool'!$B2687:$W2687)+$Y$4</f>
        <v>-44.639843068043824</v>
      </c>
      <c r="E2693" s="7">
        <f>SUMPRODUCT($C$5:$X$5,'batch tool'!$B2687:$W2687)+$Y$5</f>
        <v>-51.578889182477603</v>
      </c>
      <c r="F2693" s="7">
        <f>SUMPRODUCT($C$6:$X$6,'batch tool'!$B2687:$W2687)+$Y$6</f>
        <v>-47.741473633885199</v>
      </c>
      <c r="G2693" s="7">
        <f>SUMPRODUCT($C$7:$X$7,'batch tool'!$B2687:$W2687)+$Y$7</f>
        <v>-19.739516238059196</v>
      </c>
      <c r="H2693" s="7">
        <f t="shared" si="84"/>
        <v>-19.739516238059196</v>
      </c>
      <c r="I2693">
        <f t="shared" si="85"/>
        <v>6</v>
      </c>
      <c r="J2693" t="str" cm="1">
        <f t="array" ref="J2693">INDEX($A$2:$A$7,I2693)</f>
        <v>Segment 6- Self-Conscious Male</v>
      </c>
    </row>
    <row r="2694" spans="1:10" x14ac:dyDescent="0.25">
      <c r="A2694" s="1">
        <f>'batch tool'!A2688</f>
        <v>0</v>
      </c>
      <c r="B2694" s="7">
        <f>SUMPRODUCT($C$2:$X$2,'batch tool'!$B2688:$W2688)+$Y$2</f>
        <v>-49.12272534143483</v>
      </c>
      <c r="C2694" s="7">
        <f>SUMPRODUCT($C$3:$X$3,'batch tool'!$B2688:$W2688)+$Y$3</f>
        <v>-36.514029388465531</v>
      </c>
      <c r="D2694" s="7">
        <f>SUMPRODUCT($C$4:$X$4,'batch tool'!$B2688:$W2688)+$Y$4</f>
        <v>-44.639843068043824</v>
      </c>
      <c r="E2694" s="7">
        <f>SUMPRODUCT($C$5:$X$5,'batch tool'!$B2688:$W2688)+$Y$5</f>
        <v>-51.578889182477603</v>
      </c>
      <c r="F2694" s="7">
        <f>SUMPRODUCT($C$6:$X$6,'batch tool'!$B2688:$W2688)+$Y$6</f>
        <v>-47.741473633885199</v>
      </c>
      <c r="G2694" s="7">
        <f>SUMPRODUCT($C$7:$X$7,'batch tool'!$B2688:$W2688)+$Y$7</f>
        <v>-19.739516238059196</v>
      </c>
      <c r="H2694" s="7">
        <f t="shared" si="84"/>
        <v>-19.739516238059196</v>
      </c>
      <c r="I2694">
        <f t="shared" si="85"/>
        <v>6</v>
      </c>
      <c r="J2694" t="str" cm="1">
        <f t="array" ref="J2694">INDEX($A$2:$A$7,I2694)</f>
        <v>Segment 6- Self-Conscious Male</v>
      </c>
    </row>
    <row r="2695" spans="1:10" x14ac:dyDescent="0.25">
      <c r="A2695" s="1">
        <f>'batch tool'!A2689</f>
        <v>0</v>
      </c>
      <c r="B2695" s="7">
        <f>SUMPRODUCT($C$2:$X$2,'batch tool'!$B2689:$W2689)+$Y$2</f>
        <v>-49.12272534143483</v>
      </c>
      <c r="C2695" s="7">
        <f>SUMPRODUCT($C$3:$X$3,'batch tool'!$B2689:$W2689)+$Y$3</f>
        <v>-36.514029388465531</v>
      </c>
      <c r="D2695" s="7">
        <f>SUMPRODUCT($C$4:$X$4,'batch tool'!$B2689:$W2689)+$Y$4</f>
        <v>-44.639843068043824</v>
      </c>
      <c r="E2695" s="7">
        <f>SUMPRODUCT($C$5:$X$5,'batch tool'!$B2689:$W2689)+$Y$5</f>
        <v>-51.578889182477603</v>
      </c>
      <c r="F2695" s="7">
        <f>SUMPRODUCT($C$6:$X$6,'batch tool'!$B2689:$W2689)+$Y$6</f>
        <v>-47.741473633885199</v>
      </c>
      <c r="G2695" s="7">
        <f>SUMPRODUCT($C$7:$X$7,'batch tool'!$B2689:$W2689)+$Y$7</f>
        <v>-19.739516238059196</v>
      </c>
      <c r="H2695" s="7">
        <f t="shared" si="84"/>
        <v>-19.739516238059196</v>
      </c>
      <c r="I2695">
        <f t="shared" si="85"/>
        <v>6</v>
      </c>
      <c r="J2695" t="str" cm="1">
        <f t="array" ref="J2695">INDEX($A$2:$A$7,I2695)</f>
        <v>Segment 6- Self-Conscious Male</v>
      </c>
    </row>
    <row r="2696" spans="1:10" x14ac:dyDescent="0.25">
      <c r="A2696" s="1">
        <f>'batch tool'!A2690</f>
        <v>0</v>
      </c>
      <c r="B2696" s="7">
        <f>SUMPRODUCT($C$2:$X$2,'batch tool'!$B2690:$W2690)+$Y$2</f>
        <v>-49.12272534143483</v>
      </c>
      <c r="C2696" s="7">
        <f>SUMPRODUCT($C$3:$X$3,'batch tool'!$B2690:$W2690)+$Y$3</f>
        <v>-36.514029388465531</v>
      </c>
      <c r="D2696" s="7">
        <f>SUMPRODUCT($C$4:$X$4,'batch tool'!$B2690:$W2690)+$Y$4</f>
        <v>-44.639843068043824</v>
      </c>
      <c r="E2696" s="7">
        <f>SUMPRODUCT($C$5:$X$5,'batch tool'!$B2690:$W2690)+$Y$5</f>
        <v>-51.578889182477603</v>
      </c>
      <c r="F2696" s="7">
        <f>SUMPRODUCT($C$6:$X$6,'batch tool'!$B2690:$W2690)+$Y$6</f>
        <v>-47.741473633885199</v>
      </c>
      <c r="G2696" s="7">
        <f>SUMPRODUCT($C$7:$X$7,'batch tool'!$B2690:$W2690)+$Y$7</f>
        <v>-19.739516238059196</v>
      </c>
      <c r="H2696" s="7">
        <f t="shared" si="84"/>
        <v>-19.739516238059196</v>
      </c>
      <c r="I2696">
        <f t="shared" si="85"/>
        <v>6</v>
      </c>
      <c r="J2696" t="str" cm="1">
        <f t="array" ref="J2696">INDEX($A$2:$A$7,I2696)</f>
        <v>Segment 6- Self-Conscious Male</v>
      </c>
    </row>
    <row r="2697" spans="1:10" x14ac:dyDescent="0.25">
      <c r="A2697" s="1">
        <f>'batch tool'!A2691</f>
        <v>0</v>
      </c>
      <c r="B2697" s="7">
        <f>SUMPRODUCT($C$2:$X$2,'batch tool'!$B2691:$W2691)+$Y$2</f>
        <v>-49.12272534143483</v>
      </c>
      <c r="C2697" s="7">
        <f>SUMPRODUCT($C$3:$X$3,'batch tool'!$B2691:$W2691)+$Y$3</f>
        <v>-36.514029388465531</v>
      </c>
      <c r="D2697" s="7">
        <f>SUMPRODUCT($C$4:$X$4,'batch tool'!$B2691:$W2691)+$Y$4</f>
        <v>-44.639843068043824</v>
      </c>
      <c r="E2697" s="7">
        <f>SUMPRODUCT($C$5:$X$5,'batch tool'!$B2691:$W2691)+$Y$5</f>
        <v>-51.578889182477603</v>
      </c>
      <c r="F2697" s="7">
        <f>SUMPRODUCT($C$6:$X$6,'batch tool'!$B2691:$W2691)+$Y$6</f>
        <v>-47.741473633885199</v>
      </c>
      <c r="G2697" s="7">
        <f>SUMPRODUCT($C$7:$X$7,'batch tool'!$B2691:$W2691)+$Y$7</f>
        <v>-19.739516238059196</v>
      </c>
      <c r="H2697" s="7">
        <f t="shared" si="84"/>
        <v>-19.739516238059196</v>
      </c>
      <c r="I2697">
        <f t="shared" si="85"/>
        <v>6</v>
      </c>
      <c r="J2697" t="str" cm="1">
        <f t="array" ref="J2697">INDEX($A$2:$A$7,I2697)</f>
        <v>Segment 6- Self-Conscious Male</v>
      </c>
    </row>
    <row r="2698" spans="1:10" x14ac:dyDescent="0.25">
      <c r="A2698" s="1">
        <f>'batch tool'!A2692</f>
        <v>0</v>
      </c>
      <c r="B2698" s="7">
        <f>SUMPRODUCT($C$2:$X$2,'batch tool'!$B2692:$W2692)+$Y$2</f>
        <v>-49.12272534143483</v>
      </c>
      <c r="C2698" s="7">
        <f>SUMPRODUCT($C$3:$X$3,'batch tool'!$B2692:$W2692)+$Y$3</f>
        <v>-36.514029388465531</v>
      </c>
      <c r="D2698" s="7">
        <f>SUMPRODUCT($C$4:$X$4,'batch tool'!$B2692:$W2692)+$Y$4</f>
        <v>-44.639843068043824</v>
      </c>
      <c r="E2698" s="7">
        <f>SUMPRODUCT($C$5:$X$5,'batch tool'!$B2692:$W2692)+$Y$5</f>
        <v>-51.578889182477603</v>
      </c>
      <c r="F2698" s="7">
        <f>SUMPRODUCT($C$6:$X$6,'batch tool'!$B2692:$W2692)+$Y$6</f>
        <v>-47.741473633885199</v>
      </c>
      <c r="G2698" s="7">
        <f>SUMPRODUCT($C$7:$X$7,'batch tool'!$B2692:$W2692)+$Y$7</f>
        <v>-19.739516238059196</v>
      </c>
      <c r="H2698" s="7">
        <f t="shared" si="84"/>
        <v>-19.739516238059196</v>
      </c>
      <c r="I2698">
        <f t="shared" si="85"/>
        <v>6</v>
      </c>
      <c r="J2698" t="str" cm="1">
        <f t="array" ref="J2698">INDEX($A$2:$A$7,I2698)</f>
        <v>Segment 6- Self-Conscious Male</v>
      </c>
    </row>
    <row r="2699" spans="1:10" x14ac:dyDescent="0.25">
      <c r="A2699" s="1">
        <f>'batch tool'!A2693</f>
        <v>0</v>
      </c>
      <c r="B2699" s="7">
        <f>SUMPRODUCT($C$2:$X$2,'batch tool'!$B2693:$W2693)+$Y$2</f>
        <v>-49.12272534143483</v>
      </c>
      <c r="C2699" s="7">
        <f>SUMPRODUCT($C$3:$X$3,'batch tool'!$B2693:$W2693)+$Y$3</f>
        <v>-36.514029388465531</v>
      </c>
      <c r="D2699" s="7">
        <f>SUMPRODUCT($C$4:$X$4,'batch tool'!$B2693:$W2693)+$Y$4</f>
        <v>-44.639843068043824</v>
      </c>
      <c r="E2699" s="7">
        <f>SUMPRODUCT($C$5:$X$5,'batch tool'!$B2693:$W2693)+$Y$5</f>
        <v>-51.578889182477603</v>
      </c>
      <c r="F2699" s="7">
        <f>SUMPRODUCT($C$6:$X$6,'batch tool'!$B2693:$W2693)+$Y$6</f>
        <v>-47.741473633885199</v>
      </c>
      <c r="G2699" s="7">
        <f>SUMPRODUCT($C$7:$X$7,'batch tool'!$B2693:$W2693)+$Y$7</f>
        <v>-19.739516238059196</v>
      </c>
      <c r="H2699" s="7">
        <f t="shared" si="84"/>
        <v>-19.739516238059196</v>
      </c>
      <c r="I2699">
        <f t="shared" si="85"/>
        <v>6</v>
      </c>
      <c r="J2699" t="str" cm="1">
        <f t="array" ref="J2699">INDEX($A$2:$A$7,I2699)</f>
        <v>Segment 6- Self-Conscious Male</v>
      </c>
    </row>
    <row r="2700" spans="1:10" x14ac:dyDescent="0.25">
      <c r="A2700" s="1">
        <f>'batch tool'!A2694</f>
        <v>0</v>
      </c>
      <c r="B2700" s="7">
        <f>SUMPRODUCT($C$2:$X$2,'batch tool'!$B2694:$W2694)+$Y$2</f>
        <v>-49.12272534143483</v>
      </c>
      <c r="C2700" s="7">
        <f>SUMPRODUCT($C$3:$X$3,'batch tool'!$B2694:$W2694)+$Y$3</f>
        <v>-36.514029388465531</v>
      </c>
      <c r="D2700" s="7">
        <f>SUMPRODUCT($C$4:$X$4,'batch tool'!$B2694:$W2694)+$Y$4</f>
        <v>-44.639843068043824</v>
      </c>
      <c r="E2700" s="7">
        <f>SUMPRODUCT($C$5:$X$5,'batch tool'!$B2694:$W2694)+$Y$5</f>
        <v>-51.578889182477603</v>
      </c>
      <c r="F2700" s="7">
        <f>SUMPRODUCT($C$6:$X$6,'batch tool'!$B2694:$W2694)+$Y$6</f>
        <v>-47.741473633885199</v>
      </c>
      <c r="G2700" s="7">
        <f>SUMPRODUCT($C$7:$X$7,'batch tool'!$B2694:$W2694)+$Y$7</f>
        <v>-19.739516238059196</v>
      </c>
      <c r="H2700" s="7">
        <f t="shared" si="84"/>
        <v>-19.739516238059196</v>
      </c>
      <c r="I2700">
        <f t="shared" si="85"/>
        <v>6</v>
      </c>
      <c r="J2700" t="str" cm="1">
        <f t="array" ref="J2700">INDEX($A$2:$A$7,I2700)</f>
        <v>Segment 6- Self-Conscious Male</v>
      </c>
    </row>
    <row r="2701" spans="1:10" x14ac:dyDescent="0.25">
      <c r="A2701" s="1">
        <f>'batch tool'!A2695</f>
        <v>0</v>
      </c>
      <c r="B2701" s="7">
        <f>SUMPRODUCT($C$2:$X$2,'batch tool'!$B2695:$W2695)+$Y$2</f>
        <v>-49.12272534143483</v>
      </c>
      <c r="C2701" s="7">
        <f>SUMPRODUCT($C$3:$X$3,'batch tool'!$B2695:$W2695)+$Y$3</f>
        <v>-36.514029388465531</v>
      </c>
      <c r="D2701" s="7">
        <f>SUMPRODUCT($C$4:$X$4,'batch tool'!$B2695:$W2695)+$Y$4</f>
        <v>-44.639843068043824</v>
      </c>
      <c r="E2701" s="7">
        <f>SUMPRODUCT($C$5:$X$5,'batch tool'!$B2695:$W2695)+$Y$5</f>
        <v>-51.578889182477603</v>
      </c>
      <c r="F2701" s="7">
        <f>SUMPRODUCT($C$6:$X$6,'batch tool'!$B2695:$W2695)+$Y$6</f>
        <v>-47.741473633885199</v>
      </c>
      <c r="G2701" s="7">
        <f>SUMPRODUCT($C$7:$X$7,'batch tool'!$B2695:$W2695)+$Y$7</f>
        <v>-19.739516238059196</v>
      </c>
      <c r="H2701" s="7">
        <f t="shared" si="84"/>
        <v>-19.739516238059196</v>
      </c>
      <c r="I2701">
        <f t="shared" si="85"/>
        <v>6</v>
      </c>
      <c r="J2701" t="str" cm="1">
        <f t="array" ref="J2701">INDEX($A$2:$A$7,I2701)</f>
        <v>Segment 6- Self-Conscious Male</v>
      </c>
    </row>
    <row r="2702" spans="1:10" x14ac:dyDescent="0.25">
      <c r="A2702" s="1">
        <f>'batch tool'!A2696</f>
        <v>0</v>
      </c>
      <c r="B2702" s="7">
        <f>SUMPRODUCT($C$2:$X$2,'batch tool'!$B2696:$W2696)+$Y$2</f>
        <v>-49.12272534143483</v>
      </c>
      <c r="C2702" s="7">
        <f>SUMPRODUCT($C$3:$X$3,'batch tool'!$B2696:$W2696)+$Y$3</f>
        <v>-36.514029388465531</v>
      </c>
      <c r="D2702" s="7">
        <f>SUMPRODUCT($C$4:$X$4,'batch tool'!$B2696:$W2696)+$Y$4</f>
        <v>-44.639843068043824</v>
      </c>
      <c r="E2702" s="7">
        <f>SUMPRODUCT($C$5:$X$5,'batch tool'!$B2696:$W2696)+$Y$5</f>
        <v>-51.578889182477603</v>
      </c>
      <c r="F2702" s="7">
        <f>SUMPRODUCT($C$6:$X$6,'batch tool'!$B2696:$W2696)+$Y$6</f>
        <v>-47.741473633885199</v>
      </c>
      <c r="G2702" s="7">
        <f>SUMPRODUCT($C$7:$X$7,'batch tool'!$B2696:$W2696)+$Y$7</f>
        <v>-19.739516238059196</v>
      </c>
      <c r="H2702" s="7">
        <f t="shared" si="84"/>
        <v>-19.739516238059196</v>
      </c>
      <c r="I2702">
        <f t="shared" si="85"/>
        <v>6</v>
      </c>
      <c r="J2702" t="str" cm="1">
        <f t="array" ref="J2702">INDEX($A$2:$A$7,I2702)</f>
        <v>Segment 6- Self-Conscious Male</v>
      </c>
    </row>
    <row r="2703" spans="1:10" x14ac:dyDescent="0.25">
      <c r="A2703" s="1">
        <f>'batch tool'!A2697</f>
        <v>0</v>
      </c>
      <c r="B2703" s="7">
        <f>SUMPRODUCT($C$2:$X$2,'batch tool'!$B2697:$W2697)+$Y$2</f>
        <v>-49.12272534143483</v>
      </c>
      <c r="C2703" s="7">
        <f>SUMPRODUCT($C$3:$X$3,'batch tool'!$B2697:$W2697)+$Y$3</f>
        <v>-36.514029388465531</v>
      </c>
      <c r="D2703" s="7">
        <f>SUMPRODUCT($C$4:$X$4,'batch tool'!$B2697:$W2697)+$Y$4</f>
        <v>-44.639843068043824</v>
      </c>
      <c r="E2703" s="7">
        <f>SUMPRODUCT($C$5:$X$5,'batch tool'!$B2697:$W2697)+$Y$5</f>
        <v>-51.578889182477603</v>
      </c>
      <c r="F2703" s="7">
        <f>SUMPRODUCT($C$6:$X$6,'batch tool'!$B2697:$W2697)+$Y$6</f>
        <v>-47.741473633885199</v>
      </c>
      <c r="G2703" s="7">
        <f>SUMPRODUCT($C$7:$X$7,'batch tool'!$B2697:$W2697)+$Y$7</f>
        <v>-19.739516238059196</v>
      </c>
      <c r="H2703" s="7">
        <f t="shared" si="84"/>
        <v>-19.739516238059196</v>
      </c>
      <c r="I2703">
        <f t="shared" si="85"/>
        <v>6</v>
      </c>
      <c r="J2703" t="str" cm="1">
        <f t="array" ref="J2703">INDEX($A$2:$A$7,I2703)</f>
        <v>Segment 6- Self-Conscious Male</v>
      </c>
    </row>
    <row r="2704" spans="1:10" x14ac:dyDescent="0.25">
      <c r="A2704" s="1">
        <f>'batch tool'!A2698</f>
        <v>0</v>
      </c>
      <c r="B2704" s="7">
        <f>SUMPRODUCT($C$2:$X$2,'batch tool'!$B2698:$W2698)+$Y$2</f>
        <v>-49.12272534143483</v>
      </c>
      <c r="C2704" s="7">
        <f>SUMPRODUCT($C$3:$X$3,'batch tool'!$B2698:$W2698)+$Y$3</f>
        <v>-36.514029388465531</v>
      </c>
      <c r="D2704" s="7">
        <f>SUMPRODUCT($C$4:$X$4,'batch tool'!$B2698:$W2698)+$Y$4</f>
        <v>-44.639843068043824</v>
      </c>
      <c r="E2704" s="7">
        <f>SUMPRODUCT($C$5:$X$5,'batch tool'!$B2698:$W2698)+$Y$5</f>
        <v>-51.578889182477603</v>
      </c>
      <c r="F2704" s="7">
        <f>SUMPRODUCT($C$6:$X$6,'batch tool'!$B2698:$W2698)+$Y$6</f>
        <v>-47.741473633885199</v>
      </c>
      <c r="G2704" s="7">
        <f>SUMPRODUCT($C$7:$X$7,'batch tool'!$B2698:$W2698)+$Y$7</f>
        <v>-19.739516238059196</v>
      </c>
      <c r="H2704" s="7">
        <f t="shared" si="84"/>
        <v>-19.739516238059196</v>
      </c>
      <c r="I2704">
        <f t="shared" si="85"/>
        <v>6</v>
      </c>
      <c r="J2704" t="str" cm="1">
        <f t="array" ref="J2704">INDEX($A$2:$A$7,I2704)</f>
        <v>Segment 6- Self-Conscious Male</v>
      </c>
    </row>
    <row r="2705" spans="1:10" x14ac:dyDescent="0.25">
      <c r="A2705" s="1">
        <f>'batch tool'!A2699</f>
        <v>0</v>
      </c>
      <c r="B2705" s="7">
        <f>SUMPRODUCT($C$2:$X$2,'batch tool'!$B2699:$W2699)+$Y$2</f>
        <v>-49.12272534143483</v>
      </c>
      <c r="C2705" s="7">
        <f>SUMPRODUCT($C$3:$X$3,'batch tool'!$B2699:$W2699)+$Y$3</f>
        <v>-36.514029388465531</v>
      </c>
      <c r="D2705" s="7">
        <f>SUMPRODUCT($C$4:$X$4,'batch tool'!$B2699:$W2699)+$Y$4</f>
        <v>-44.639843068043824</v>
      </c>
      <c r="E2705" s="7">
        <f>SUMPRODUCT($C$5:$X$5,'batch tool'!$B2699:$W2699)+$Y$5</f>
        <v>-51.578889182477603</v>
      </c>
      <c r="F2705" s="7">
        <f>SUMPRODUCT($C$6:$X$6,'batch tool'!$B2699:$W2699)+$Y$6</f>
        <v>-47.741473633885199</v>
      </c>
      <c r="G2705" s="7">
        <f>SUMPRODUCT($C$7:$X$7,'batch tool'!$B2699:$W2699)+$Y$7</f>
        <v>-19.739516238059196</v>
      </c>
      <c r="H2705" s="7">
        <f t="shared" si="84"/>
        <v>-19.739516238059196</v>
      </c>
      <c r="I2705">
        <f t="shared" si="85"/>
        <v>6</v>
      </c>
      <c r="J2705" t="str" cm="1">
        <f t="array" ref="J2705">INDEX($A$2:$A$7,I2705)</f>
        <v>Segment 6- Self-Conscious Male</v>
      </c>
    </row>
    <row r="2706" spans="1:10" x14ac:dyDescent="0.25">
      <c r="A2706" s="1">
        <f>'batch tool'!A2700</f>
        <v>0</v>
      </c>
      <c r="B2706" s="7">
        <f>SUMPRODUCT($C$2:$X$2,'batch tool'!$B2700:$W2700)+$Y$2</f>
        <v>-49.12272534143483</v>
      </c>
      <c r="C2706" s="7">
        <f>SUMPRODUCT($C$3:$X$3,'batch tool'!$B2700:$W2700)+$Y$3</f>
        <v>-36.514029388465531</v>
      </c>
      <c r="D2706" s="7">
        <f>SUMPRODUCT($C$4:$X$4,'batch tool'!$B2700:$W2700)+$Y$4</f>
        <v>-44.639843068043824</v>
      </c>
      <c r="E2706" s="7">
        <f>SUMPRODUCT($C$5:$X$5,'batch tool'!$B2700:$W2700)+$Y$5</f>
        <v>-51.578889182477603</v>
      </c>
      <c r="F2706" s="7">
        <f>SUMPRODUCT($C$6:$X$6,'batch tool'!$B2700:$W2700)+$Y$6</f>
        <v>-47.741473633885199</v>
      </c>
      <c r="G2706" s="7">
        <f>SUMPRODUCT($C$7:$X$7,'batch tool'!$B2700:$W2700)+$Y$7</f>
        <v>-19.739516238059196</v>
      </c>
      <c r="H2706" s="7">
        <f t="shared" si="84"/>
        <v>-19.739516238059196</v>
      </c>
      <c r="I2706">
        <f t="shared" si="85"/>
        <v>6</v>
      </c>
      <c r="J2706" t="str" cm="1">
        <f t="array" ref="J2706">INDEX($A$2:$A$7,I2706)</f>
        <v>Segment 6- Self-Conscious Male</v>
      </c>
    </row>
    <row r="2707" spans="1:10" x14ac:dyDescent="0.25">
      <c r="A2707" s="1">
        <f>'batch tool'!A2701</f>
        <v>0</v>
      </c>
      <c r="B2707" s="7">
        <f>SUMPRODUCT($C$2:$X$2,'batch tool'!$B2701:$W2701)+$Y$2</f>
        <v>-49.12272534143483</v>
      </c>
      <c r="C2707" s="7">
        <f>SUMPRODUCT($C$3:$X$3,'batch tool'!$B2701:$W2701)+$Y$3</f>
        <v>-36.514029388465531</v>
      </c>
      <c r="D2707" s="7">
        <f>SUMPRODUCT($C$4:$X$4,'batch tool'!$B2701:$W2701)+$Y$4</f>
        <v>-44.639843068043824</v>
      </c>
      <c r="E2707" s="7">
        <f>SUMPRODUCT($C$5:$X$5,'batch tool'!$B2701:$W2701)+$Y$5</f>
        <v>-51.578889182477603</v>
      </c>
      <c r="F2707" s="7">
        <f>SUMPRODUCT($C$6:$X$6,'batch tool'!$B2701:$W2701)+$Y$6</f>
        <v>-47.741473633885199</v>
      </c>
      <c r="G2707" s="7">
        <f>SUMPRODUCT($C$7:$X$7,'batch tool'!$B2701:$W2701)+$Y$7</f>
        <v>-19.739516238059196</v>
      </c>
      <c r="H2707" s="7">
        <f t="shared" si="84"/>
        <v>-19.739516238059196</v>
      </c>
      <c r="I2707">
        <f t="shared" si="85"/>
        <v>6</v>
      </c>
      <c r="J2707" t="str" cm="1">
        <f t="array" ref="J2707">INDEX($A$2:$A$7,I2707)</f>
        <v>Segment 6- Self-Conscious Male</v>
      </c>
    </row>
    <row r="2708" spans="1:10" x14ac:dyDescent="0.25">
      <c r="A2708" s="1">
        <f>'batch tool'!A2702</f>
        <v>0</v>
      </c>
      <c r="B2708" s="7">
        <f>SUMPRODUCT($C$2:$X$2,'batch tool'!$B2702:$W2702)+$Y$2</f>
        <v>-49.12272534143483</v>
      </c>
      <c r="C2708" s="7">
        <f>SUMPRODUCT($C$3:$X$3,'batch tool'!$B2702:$W2702)+$Y$3</f>
        <v>-36.514029388465531</v>
      </c>
      <c r="D2708" s="7">
        <f>SUMPRODUCT($C$4:$X$4,'batch tool'!$B2702:$W2702)+$Y$4</f>
        <v>-44.639843068043824</v>
      </c>
      <c r="E2708" s="7">
        <f>SUMPRODUCT($C$5:$X$5,'batch tool'!$B2702:$W2702)+$Y$5</f>
        <v>-51.578889182477603</v>
      </c>
      <c r="F2708" s="7">
        <f>SUMPRODUCT($C$6:$X$6,'batch tool'!$B2702:$W2702)+$Y$6</f>
        <v>-47.741473633885199</v>
      </c>
      <c r="G2708" s="7">
        <f>SUMPRODUCT($C$7:$X$7,'batch tool'!$B2702:$W2702)+$Y$7</f>
        <v>-19.739516238059196</v>
      </c>
      <c r="H2708" s="7">
        <f t="shared" si="84"/>
        <v>-19.739516238059196</v>
      </c>
      <c r="I2708">
        <f t="shared" si="85"/>
        <v>6</v>
      </c>
      <c r="J2708" t="str" cm="1">
        <f t="array" ref="J2708">INDEX($A$2:$A$7,I2708)</f>
        <v>Segment 6- Self-Conscious Male</v>
      </c>
    </row>
    <row r="2709" spans="1:10" x14ac:dyDescent="0.25">
      <c r="A2709" s="1">
        <f>'batch tool'!A2703</f>
        <v>0</v>
      </c>
      <c r="B2709" s="7">
        <f>SUMPRODUCT($C$2:$X$2,'batch tool'!$B2703:$W2703)+$Y$2</f>
        <v>-49.12272534143483</v>
      </c>
      <c r="C2709" s="7">
        <f>SUMPRODUCT($C$3:$X$3,'batch tool'!$B2703:$W2703)+$Y$3</f>
        <v>-36.514029388465531</v>
      </c>
      <c r="D2709" s="7">
        <f>SUMPRODUCT($C$4:$X$4,'batch tool'!$B2703:$W2703)+$Y$4</f>
        <v>-44.639843068043824</v>
      </c>
      <c r="E2709" s="7">
        <f>SUMPRODUCT($C$5:$X$5,'batch tool'!$B2703:$W2703)+$Y$5</f>
        <v>-51.578889182477603</v>
      </c>
      <c r="F2709" s="7">
        <f>SUMPRODUCT($C$6:$X$6,'batch tool'!$B2703:$W2703)+$Y$6</f>
        <v>-47.741473633885199</v>
      </c>
      <c r="G2709" s="7">
        <f>SUMPRODUCT($C$7:$X$7,'batch tool'!$B2703:$W2703)+$Y$7</f>
        <v>-19.739516238059196</v>
      </c>
      <c r="H2709" s="7">
        <f t="shared" si="84"/>
        <v>-19.739516238059196</v>
      </c>
      <c r="I2709">
        <f t="shared" si="85"/>
        <v>6</v>
      </c>
      <c r="J2709" t="str" cm="1">
        <f t="array" ref="J2709">INDEX($A$2:$A$7,I2709)</f>
        <v>Segment 6- Self-Conscious Male</v>
      </c>
    </row>
    <row r="2710" spans="1:10" x14ac:dyDescent="0.25">
      <c r="A2710" s="1">
        <f>'batch tool'!A2704</f>
        <v>0</v>
      </c>
      <c r="B2710" s="7">
        <f>SUMPRODUCT($C$2:$X$2,'batch tool'!$B2704:$W2704)+$Y$2</f>
        <v>-49.12272534143483</v>
      </c>
      <c r="C2710" s="7">
        <f>SUMPRODUCT($C$3:$X$3,'batch tool'!$B2704:$W2704)+$Y$3</f>
        <v>-36.514029388465531</v>
      </c>
      <c r="D2710" s="7">
        <f>SUMPRODUCT($C$4:$X$4,'batch tool'!$B2704:$W2704)+$Y$4</f>
        <v>-44.639843068043824</v>
      </c>
      <c r="E2710" s="7">
        <f>SUMPRODUCT($C$5:$X$5,'batch tool'!$B2704:$W2704)+$Y$5</f>
        <v>-51.578889182477603</v>
      </c>
      <c r="F2710" s="7">
        <f>SUMPRODUCT($C$6:$X$6,'batch tool'!$B2704:$W2704)+$Y$6</f>
        <v>-47.741473633885199</v>
      </c>
      <c r="G2710" s="7">
        <f>SUMPRODUCT($C$7:$X$7,'batch tool'!$B2704:$W2704)+$Y$7</f>
        <v>-19.739516238059196</v>
      </c>
      <c r="H2710" s="7">
        <f t="shared" si="84"/>
        <v>-19.739516238059196</v>
      </c>
      <c r="I2710">
        <f t="shared" si="85"/>
        <v>6</v>
      </c>
      <c r="J2710" t="str" cm="1">
        <f t="array" ref="J2710">INDEX($A$2:$A$7,I2710)</f>
        <v>Segment 6- Self-Conscious Male</v>
      </c>
    </row>
    <row r="2711" spans="1:10" x14ac:dyDescent="0.25">
      <c r="A2711" s="1">
        <f>'batch tool'!A2705</f>
        <v>0</v>
      </c>
      <c r="B2711" s="7">
        <f>SUMPRODUCT($C$2:$X$2,'batch tool'!$B2705:$W2705)+$Y$2</f>
        <v>-49.12272534143483</v>
      </c>
      <c r="C2711" s="7">
        <f>SUMPRODUCT($C$3:$X$3,'batch tool'!$B2705:$W2705)+$Y$3</f>
        <v>-36.514029388465531</v>
      </c>
      <c r="D2711" s="7">
        <f>SUMPRODUCT($C$4:$X$4,'batch tool'!$B2705:$W2705)+$Y$4</f>
        <v>-44.639843068043824</v>
      </c>
      <c r="E2711" s="7">
        <f>SUMPRODUCT($C$5:$X$5,'batch tool'!$B2705:$W2705)+$Y$5</f>
        <v>-51.578889182477603</v>
      </c>
      <c r="F2711" s="7">
        <f>SUMPRODUCT($C$6:$X$6,'batch tool'!$B2705:$W2705)+$Y$6</f>
        <v>-47.741473633885199</v>
      </c>
      <c r="G2711" s="7">
        <f>SUMPRODUCT($C$7:$X$7,'batch tool'!$B2705:$W2705)+$Y$7</f>
        <v>-19.739516238059196</v>
      </c>
      <c r="H2711" s="7">
        <f t="shared" si="84"/>
        <v>-19.739516238059196</v>
      </c>
      <c r="I2711">
        <f t="shared" si="85"/>
        <v>6</v>
      </c>
      <c r="J2711" t="str" cm="1">
        <f t="array" ref="J2711">INDEX($A$2:$A$7,I2711)</f>
        <v>Segment 6- Self-Conscious Male</v>
      </c>
    </row>
    <row r="2712" spans="1:10" x14ac:dyDescent="0.25">
      <c r="A2712" s="1">
        <f>'batch tool'!A2706</f>
        <v>0</v>
      </c>
      <c r="B2712" s="7">
        <f>SUMPRODUCT($C$2:$X$2,'batch tool'!$B2706:$W2706)+$Y$2</f>
        <v>-49.12272534143483</v>
      </c>
      <c r="C2712" s="7">
        <f>SUMPRODUCT($C$3:$X$3,'batch tool'!$B2706:$W2706)+$Y$3</f>
        <v>-36.514029388465531</v>
      </c>
      <c r="D2712" s="7">
        <f>SUMPRODUCT($C$4:$X$4,'batch tool'!$B2706:$W2706)+$Y$4</f>
        <v>-44.639843068043824</v>
      </c>
      <c r="E2712" s="7">
        <f>SUMPRODUCT($C$5:$X$5,'batch tool'!$B2706:$W2706)+$Y$5</f>
        <v>-51.578889182477603</v>
      </c>
      <c r="F2712" s="7">
        <f>SUMPRODUCT($C$6:$X$6,'batch tool'!$B2706:$W2706)+$Y$6</f>
        <v>-47.741473633885199</v>
      </c>
      <c r="G2712" s="7">
        <f>SUMPRODUCT($C$7:$X$7,'batch tool'!$B2706:$W2706)+$Y$7</f>
        <v>-19.739516238059196</v>
      </c>
      <c r="H2712" s="7">
        <f t="shared" si="84"/>
        <v>-19.739516238059196</v>
      </c>
      <c r="I2712">
        <f t="shared" si="85"/>
        <v>6</v>
      </c>
      <c r="J2712" t="str" cm="1">
        <f t="array" ref="J2712">INDEX($A$2:$A$7,I2712)</f>
        <v>Segment 6- Self-Conscious Male</v>
      </c>
    </row>
    <row r="2713" spans="1:10" x14ac:dyDescent="0.25">
      <c r="A2713" s="1">
        <f>'batch tool'!A2707</f>
        <v>0</v>
      </c>
      <c r="B2713" s="7">
        <f>SUMPRODUCT($C$2:$X$2,'batch tool'!$B2707:$W2707)+$Y$2</f>
        <v>-49.12272534143483</v>
      </c>
      <c r="C2713" s="7">
        <f>SUMPRODUCT($C$3:$X$3,'batch tool'!$B2707:$W2707)+$Y$3</f>
        <v>-36.514029388465531</v>
      </c>
      <c r="D2713" s="7">
        <f>SUMPRODUCT($C$4:$X$4,'batch tool'!$B2707:$W2707)+$Y$4</f>
        <v>-44.639843068043824</v>
      </c>
      <c r="E2713" s="7">
        <f>SUMPRODUCT($C$5:$X$5,'batch tool'!$B2707:$W2707)+$Y$5</f>
        <v>-51.578889182477603</v>
      </c>
      <c r="F2713" s="7">
        <f>SUMPRODUCT($C$6:$X$6,'batch tool'!$B2707:$W2707)+$Y$6</f>
        <v>-47.741473633885199</v>
      </c>
      <c r="G2713" s="7">
        <f>SUMPRODUCT($C$7:$X$7,'batch tool'!$B2707:$W2707)+$Y$7</f>
        <v>-19.739516238059196</v>
      </c>
      <c r="H2713" s="7">
        <f t="shared" si="84"/>
        <v>-19.739516238059196</v>
      </c>
      <c r="I2713">
        <f t="shared" si="85"/>
        <v>6</v>
      </c>
      <c r="J2713" t="str" cm="1">
        <f t="array" ref="J2713">INDEX($A$2:$A$7,I2713)</f>
        <v>Segment 6- Self-Conscious Male</v>
      </c>
    </row>
    <row r="2714" spans="1:10" x14ac:dyDescent="0.25">
      <c r="A2714" s="1">
        <f>'batch tool'!A2708</f>
        <v>0</v>
      </c>
      <c r="B2714" s="7">
        <f>SUMPRODUCT($C$2:$X$2,'batch tool'!$B2708:$W2708)+$Y$2</f>
        <v>-49.12272534143483</v>
      </c>
      <c r="C2714" s="7">
        <f>SUMPRODUCT($C$3:$X$3,'batch tool'!$B2708:$W2708)+$Y$3</f>
        <v>-36.514029388465531</v>
      </c>
      <c r="D2714" s="7">
        <f>SUMPRODUCT($C$4:$X$4,'batch tool'!$B2708:$W2708)+$Y$4</f>
        <v>-44.639843068043824</v>
      </c>
      <c r="E2714" s="7">
        <f>SUMPRODUCT($C$5:$X$5,'batch tool'!$B2708:$W2708)+$Y$5</f>
        <v>-51.578889182477603</v>
      </c>
      <c r="F2714" s="7">
        <f>SUMPRODUCT($C$6:$X$6,'batch tool'!$B2708:$W2708)+$Y$6</f>
        <v>-47.741473633885199</v>
      </c>
      <c r="G2714" s="7">
        <f>SUMPRODUCT($C$7:$X$7,'batch tool'!$B2708:$W2708)+$Y$7</f>
        <v>-19.739516238059196</v>
      </c>
      <c r="H2714" s="7">
        <f t="shared" si="84"/>
        <v>-19.739516238059196</v>
      </c>
      <c r="I2714">
        <f t="shared" si="85"/>
        <v>6</v>
      </c>
      <c r="J2714" t="str" cm="1">
        <f t="array" ref="J2714">INDEX($A$2:$A$7,I2714)</f>
        <v>Segment 6- Self-Conscious Male</v>
      </c>
    </row>
    <row r="2715" spans="1:10" x14ac:dyDescent="0.25">
      <c r="A2715" s="1">
        <f>'batch tool'!A2709</f>
        <v>0</v>
      </c>
      <c r="B2715" s="7">
        <f>SUMPRODUCT($C$2:$X$2,'batch tool'!$B2709:$W2709)+$Y$2</f>
        <v>-49.12272534143483</v>
      </c>
      <c r="C2715" s="7">
        <f>SUMPRODUCT($C$3:$X$3,'batch tool'!$B2709:$W2709)+$Y$3</f>
        <v>-36.514029388465531</v>
      </c>
      <c r="D2715" s="7">
        <f>SUMPRODUCT($C$4:$X$4,'batch tool'!$B2709:$W2709)+$Y$4</f>
        <v>-44.639843068043824</v>
      </c>
      <c r="E2715" s="7">
        <f>SUMPRODUCT($C$5:$X$5,'batch tool'!$B2709:$W2709)+$Y$5</f>
        <v>-51.578889182477603</v>
      </c>
      <c r="F2715" s="7">
        <f>SUMPRODUCT($C$6:$X$6,'batch tool'!$B2709:$W2709)+$Y$6</f>
        <v>-47.741473633885199</v>
      </c>
      <c r="G2715" s="7">
        <f>SUMPRODUCT($C$7:$X$7,'batch tool'!$B2709:$W2709)+$Y$7</f>
        <v>-19.739516238059196</v>
      </c>
      <c r="H2715" s="7">
        <f t="shared" ref="H2715:H2778" si="86">MAX(B2715:G2715)</f>
        <v>-19.739516238059196</v>
      </c>
      <c r="I2715">
        <f t="shared" ref="I2715:I2778" si="87">MATCH(H2715,B2715:G2715,0)</f>
        <v>6</v>
      </c>
      <c r="J2715" t="str" cm="1">
        <f t="array" ref="J2715">INDEX($A$2:$A$7,I2715)</f>
        <v>Segment 6- Self-Conscious Male</v>
      </c>
    </row>
    <row r="2716" spans="1:10" x14ac:dyDescent="0.25">
      <c r="A2716" s="1">
        <f>'batch tool'!A2710</f>
        <v>0</v>
      </c>
      <c r="B2716" s="7">
        <f>SUMPRODUCT($C$2:$X$2,'batch tool'!$B2710:$W2710)+$Y$2</f>
        <v>-49.12272534143483</v>
      </c>
      <c r="C2716" s="7">
        <f>SUMPRODUCT($C$3:$X$3,'batch tool'!$B2710:$W2710)+$Y$3</f>
        <v>-36.514029388465531</v>
      </c>
      <c r="D2716" s="7">
        <f>SUMPRODUCT($C$4:$X$4,'batch tool'!$B2710:$W2710)+$Y$4</f>
        <v>-44.639843068043824</v>
      </c>
      <c r="E2716" s="7">
        <f>SUMPRODUCT($C$5:$X$5,'batch tool'!$B2710:$W2710)+$Y$5</f>
        <v>-51.578889182477603</v>
      </c>
      <c r="F2716" s="7">
        <f>SUMPRODUCT($C$6:$X$6,'batch tool'!$B2710:$W2710)+$Y$6</f>
        <v>-47.741473633885199</v>
      </c>
      <c r="G2716" s="7">
        <f>SUMPRODUCT($C$7:$X$7,'batch tool'!$B2710:$W2710)+$Y$7</f>
        <v>-19.739516238059196</v>
      </c>
      <c r="H2716" s="7">
        <f t="shared" si="86"/>
        <v>-19.739516238059196</v>
      </c>
      <c r="I2716">
        <f t="shared" si="87"/>
        <v>6</v>
      </c>
      <c r="J2716" t="str" cm="1">
        <f t="array" ref="J2716">INDEX($A$2:$A$7,I2716)</f>
        <v>Segment 6- Self-Conscious Male</v>
      </c>
    </row>
    <row r="2717" spans="1:10" x14ac:dyDescent="0.25">
      <c r="A2717" s="1">
        <f>'batch tool'!A2711</f>
        <v>0</v>
      </c>
      <c r="B2717" s="7">
        <f>SUMPRODUCT($C$2:$X$2,'batch tool'!$B2711:$W2711)+$Y$2</f>
        <v>-49.12272534143483</v>
      </c>
      <c r="C2717" s="7">
        <f>SUMPRODUCT($C$3:$X$3,'batch tool'!$B2711:$W2711)+$Y$3</f>
        <v>-36.514029388465531</v>
      </c>
      <c r="D2717" s="7">
        <f>SUMPRODUCT($C$4:$X$4,'batch tool'!$B2711:$W2711)+$Y$4</f>
        <v>-44.639843068043824</v>
      </c>
      <c r="E2717" s="7">
        <f>SUMPRODUCT($C$5:$X$5,'batch tool'!$B2711:$W2711)+$Y$5</f>
        <v>-51.578889182477603</v>
      </c>
      <c r="F2717" s="7">
        <f>SUMPRODUCT($C$6:$X$6,'batch tool'!$B2711:$W2711)+$Y$6</f>
        <v>-47.741473633885199</v>
      </c>
      <c r="G2717" s="7">
        <f>SUMPRODUCT($C$7:$X$7,'batch tool'!$B2711:$W2711)+$Y$7</f>
        <v>-19.739516238059196</v>
      </c>
      <c r="H2717" s="7">
        <f t="shared" si="86"/>
        <v>-19.739516238059196</v>
      </c>
      <c r="I2717">
        <f t="shared" si="87"/>
        <v>6</v>
      </c>
      <c r="J2717" t="str" cm="1">
        <f t="array" ref="J2717">INDEX($A$2:$A$7,I2717)</f>
        <v>Segment 6- Self-Conscious Male</v>
      </c>
    </row>
    <row r="2718" spans="1:10" x14ac:dyDescent="0.25">
      <c r="A2718" s="1">
        <f>'batch tool'!A2712</f>
        <v>0</v>
      </c>
      <c r="B2718" s="7">
        <f>SUMPRODUCT($C$2:$X$2,'batch tool'!$B2712:$W2712)+$Y$2</f>
        <v>-49.12272534143483</v>
      </c>
      <c r="C2718" s="7">
        <f>SUMPRODUCT($C$3:$X$3,'batch tool'!$B2712:$W2712)+$Y$3</f>
        <v>-36.514029388465531</v>
      </c>
      <c r="D2718" s="7">
        <f>SUMPRODUCT($C$4:$X$4,'batch tool'!$B2712:$W2712)+$Y$4</f>
        <v>-44.639843068043824</v>
      </c>
      <c r="E2718" s="7">
        <f>SUMPRODUCT($C$5:$X$5,'batch tool'!$B2712:$W2712)+$Y$5</f>
        <v>-51.578889182477603</v>
      </c>
      <c r="F2718" s="7">
        <f>SUMPRODUCT($C$6:$X$6,'batch tool'!$B2712:$W2712)+$Y$6</f>
        <v>-47.741473633885199</v>
      </c>
      <c r="G2718" s="7">
        <f>SUMPRODUCT($C$7:$X$7,'batch tool'!$B2712:$W2712)+$Y$7</f>
        <v>-19.739516238059196</v>
      </c>
      <c r="H2718" s="7">
        <f t="shared" si="86"/>
        <v>-19.739516238059196</v>
      </c>
      <c r="I2718">
        <f t="shared" si="87"/>
        <v>6</v>
      </c>
      <c r="J2718" t="str" cm="1">
        <f t="array" ref="J2718">INDEX($A$2:$A$7,I2718)</f>
        <v>Segment 6- Self-Conscious Male</v>
      </c>
    </row>
    <row r="2719" spans="1:10" x14ac:dyDescent="0.25">
      <c r="A2719" s="1">
        <f>'batch tool'!A2713</f>
        <v>0</v>
      </c>
      <c r="B2719" s="7">
        <f>SUMPRODUCT($C$2:$X$2,'batch tool'!$B2713:$W2713)+$Y$2</f>
        <v>-49.12272534143483</v>
      </c>
      <c r="C2719" s="7">
        <f>SUMPRODUCT($C$3:$X$3,'batch tool'!$B2713:$W2713)+$Y$3</f>
        <v>-36.514029388465531</v>
      </c>
      <c r="D2719" s="7">
        <f>SUMPRODUCT($C$4:$X$4,'batch tool'!$B2713:$W2713)+$Y$4</f>
        <v>-44.639843068043824</v>
      </c>
      <c r="E2719" s="7">
        <f>SUMPRODUCT($C$5:$X$5,'batch tool'!$B2713:$W2713)+$Y$5</f>
        <v>-51.578889182477603</v>
      </c>
      <c r="F2719" s="7">
        <f>SUMPRODUCT($C$6:$X$6,'batch tool'!$B2713:$W2713)+$Y$6</f>
        <v>-47.741473633885199</v>
      </c>
      <c r="G2719" s="7">
        <f>SUMPRODUCT($C$7:$X$7,'batch tool'!$B2713:$W2713)+$Y$7</f>
        <v>-19.739516238059196</v>
      </c>
      <c r="H2719" s="7">
        <f t="shared" si="86"/>
        <v>-19.739516238059196</v>
      </c>
      <c r="I2719">
        <f t="shared" si="87"/>
        <v>6</v>
      </c>
      <c r="J2719" t="str" cm="1">
        <f t="array" ref="J2719">INDEX($A$2:$A$7,I2719)</f>
        <v>Segment 6- Self-Conscious Male</v>
      </c>
    </row>
    <row r="2720" spans="1:10" x14ac:dyDescent="0.25">
      <c r="A2720" s="1">
        <f>'batch tool'!A2714</f>
        <v>0</v>
      </c>
      <c r="B2720" s="7">
        <f>SUMPRODUCT($C$2:$X$2,'batch tool'!$B2714:$W2714)+$Y$2</f>
        <v>-49.12272534143483</v>
      </c>
      <c r="C2720" s="7">
        <f>SUMPRODUCT($C$3:$X$3,'batch tool'!$B2714:$W2714)+$Y$3</f>
        <v>-36.514029388465531</v>
      </c>
      <c r="D2720" s="7">
        <f>SUMPRODUCT($C$4:$X$4,'batch tool'!$B2714:$W2714)+$Y$4</f>
        <v>-44.639843068043824</v>
      </c>
      <c r="E2720" s="7">
        <f>SUMPRODUCT($C$5:$X$5,'batch tool'!$B2714:$W2714)+$Y$5</f>
        <v>-51.578889182477603</v>
      </c>
      <c r="F2720" s="7">
        <f>SUMPRODUCT($C$6:$X$6,'batch tool'!$B2714:$W2714)+$Y$6</f>
        <v>-47.741473633885199</v>
      </c>
      <c r="G2720" s="7">
        <f>SUMPRODUCT($C$7:$X$7,'batch tool'!$B2714:$W2714)+$Y$7</f>
        <v>-19.739516238059196</v>
      </c>
      <c r="H2720" s="7">
        <f t="shared" si="86"/>
        <v>-19.739516238059196</v>
      </c>
      <c r="I2720">
        <f t="shared" si="87"/>
        <v>6</v>
      </c>
      <c r="J2720" t="str" cm="1">
        <f t="array" ref="J2720">INDEX($A$2:$A$7,I2720)</f>
        <v>Segment 6- Self-Conscious Male</v>
      </c>
    </row>
    <row r="2721" spans="1:10" x14ac:dyDescent="0.25">
      <c r="A2721" s="1">
        <f>'batch tool'!A2715</f>
        <v>0</v>
      </c>
      <c r="B2721" s="7">
        <f>SUMPRODUCT($C$2:$X$2,'batch tool'!$B2715:$W2715)+$Y$2</f>
        <v>-49.12272534143483</v>
      </c>
      <c r="C2721" s="7">
        <f>SUMPRODUCT($C$3:$X$3,'batch tool'!$B2715:$W2715)+$Y$3</f>
        <v>-36.514029388465531</v>
      </c>
      <c r="D2721" s="7">
        <f>SUMPRODUCT($C$4:$X$4,'batch tool'!$B2715:$W2715)+$Y$4</f>
        <v>-44.639843068043824</v>
      </c>
      <c r="E2721" s="7">
        <f>SUMPRODUCT($C$5:$X$5,'batch tool'!$B2715:$W2715)+$Y$5</f>
        <v>-51.578889182477603</v>
      </c>
      <c r="F2721" s="7">
        <f>SUMPRODUCT($C$6:$X$6,'batch tool'!$B2715:$W2715)+$Y$6</f>
        <v>-47.741473633885199</v>
      </c>
      <c r="G2721" s="7">
        <f>SUMPRODUCT($C$7:$X$7,'batch tool'!$B2715:$W2715)+$Y$7</f>
        <v>-19.739516238059196</v>
      </c>
      <c r="H2721" s="7">
        <f t="shared" si="86"/>
        <v>-19.739516238059196</v>
      </c>
      <c r="I2721">
        <f t="shared" si="87"/>
        <v>6</v>
      </c>
      <c r="J2721" t="str" cm="1">
        <f t="array" ref="J2721">INDEX($A$2:$A$7,I2721)</f>
        <v>Segment 6- Self-Conscious Male</v>
      </c>
    </row>
    <row r="2722" spans="1:10" x14ac:dyDescent="0.25">
      <c r="A2722" s="1">
        <f>'batch tool'!A2716</f>
        <v>0</v>
      </c>
      <c r="B2722" s="7">
        <f>SUMPRODUCT($C$2:$X$2,'batch tool'!$B2716:$W2716)+$Y$2</f>
        <v>-49.12272534143483</v>
      </c>
      <c r="C2722" s="7">
        <f>SUMPRODUCT($C$3:$X$3,'batch tool'!$B2716:$W2716)+$Y$3</f>
        <v>-36.514029388465531</v>
      </c>
      <c r="D2722" s="7">
        <f>SUMPRODUCT($C$4:$X$4,'batch tool'!$B2716:$W2716)+$Y$4</f>
        <v>-44.639843068043824</v>
      </c>
      <c r="E2722" s="7">
        <f>SUMPRODUCT($C$5:$X$5,'batch tool'!$B2716:$W2716)+$Y$5</f>
        <v>-51.578889182477603</v>
      </c>
      <c r="F2722" s="7">
        <f>SUMPRODUCT($C$6:$X$6,'batch tool'!$B2716:$W2716)+$Y$6</f>
        <v>-47.741473633885199</v>
      </c>
      <c r="G2722" s="7">
        <f>SUMPRODUCT($C$7:$X$7,'batch tool'!$B2716:$W2716)+$Y$7</f>
        <v>-19.739516238059196</v>
      </c>
      <c r="H2722" s="7">
        <f t="shared" si="86"/>
        <v>-19.739516238059196</v>
      </c>
      <c r="I2722">
        <f t="shared" si="87"/>
        <v>6</v>
      </c>
      <c r="J2722" t="str" cm="1">
        <f t="array" ref="J2722">INDEX($A$2:$A$7,I2722)</f>
        <v>Segment 6- Self-Conscious Male</v>
      </c>
    </row>
    <row r="2723" spans="1:10" x14ac:dyDescent="0.25">
      <c r="A2723" s="1">
        <f>'batch tool'!A2717</f>
        <v>0</v>
      </c>
      <c r="B2723" s="7">
        <f>SUMPRODUCT($C$2:$X$2,'batch tool'!$B2717:$W2717)+$Y$2</f>
        <v>-49.12272534143483</v>
      </c>
      <c r="C2723" s="7">
        <f>SUMPRODUCT($C$3:$X$3,'batch tool'!$B2717:$W2717)+$Y$3</f>
        <v>-36.514029388465531</v>
      </c>
      <c r="D2723" s="7">
        <f>SUMPRODUCT($C$4:$X$4,'batch tool'!$B2717:$W2717)+$Y$4</f>
        <v>-44.639843068043824</v>
      </c>
      <c r="E2723" s="7">
        <f>SUMPRODUCT($C$5:$X$5,'batch tool'!$B2717:$W2717)+$Y$5</f>
        <v>-51.578889182477603</v>
      </c>
      <c r="F2723" s="7">
        <f>SUMPRODUCT($C$6:$X$6,'batch tool'!$B2717:$W2717)+$Y$6</f>
        <v>-47.741473633885199</v>
      </c>
      <c r="G2723" s="7">
        <f>SUMPRODUCT($C$7:$X$7,'batch tool'!$B2717:$W2717)+$Y$7</f>
        <v>-19.739516238059196</v>
      </c>
      <c r="H2723" s="7">
        <f t="shared" si="86"/>
        <v>-19.739516238059196</v>
      </c>
      <c r="I2723">
        <f t="shared" si="87"/>
        <v>6</v>
      </c>
      <c r="J2723" t="str" cm="1">
        <f t="array" ref="J2723">INDEX($A$2:$A$7,I2723)</f>
        <v>Segment 6- Self-Conscious Male</v>
      </c>
    </row>
    <row r="2724" spans="1:10" x14ac:dyDescent="0.25">
      <c r="A2724" s="1">
        <f>'batch tool'!A2718</f>
        <v>0</v>
      </c>
      <c r="B2724" s="7">
        <f>SUMPRODUCT($C$2:$X$2,'batch tool'!$B2718:$W2718)+$Y$2</f>
        <v>-49.12272534143483</v>
      </c>
      <c r="C2724" s="7">
        <f>SUMPRODUCT($C$3:$X$3,'batch tool'!$B2718:$W2718)+$Y$3</f>
        <v>-36.514029388465531</v>
      </c>
      <c r="D2724" s="7">
        <f>SUMPRODUCT($C$4:$X$4,'batch tool'!$B2718:$W2718)+$Y$4</f>
        <v>-44.639843068043824</v>
      </c>
      <c r="E2724" s="7">
        <f>SUMPRODUCT($C$5:$X$5,'batch tool'!$B2718:$W2718)+$Y$5</f>
        <v>-51.578889182477603</v>
      </c>
      <c r="F2724" s="7">
        <f>SUMPRODUCT($C$6:$X$6,'batch tool'!$B2718:$W2718)+$Y$6</f>
        <v>-47.741473633885199</v>
      </c>
      <c r="G2724" s="7">
        <f>SUMPRODUCT($C$7:$X$7,'batch tool'!$B2718:$W2718)+$Y$7</f>
        <v>-19.739516238059196</v>
      </c>
      <c r="H2724" s="7">
        <f t="shared" si="86"/>
        <v>-19.739516238059196</v>
      </c>
      <c r="I2724">
        <f t="shared" si="87"/>
        <v>6</v>
      </c>
      <c r="J2724" t="str" cm="1">
        <f t="array" ref="J2724">INDEX($A$2:$A$7,I2724)</f>
        <v>Segment 6- Self-Conscious Male</v>
      </c>
    </row>
    <row r="2725" spans="1:10" x14ac:dyDescent="0.25">
      <c r="A2725" s="1">
        <f>'batch tool'!A2719</f>
        <v>0</v>
      </c>
      <c r="B2725" s="7">
        <f>SUMPRODUCT($C$2:$X$2,'batch tool'!$B2719:$W2719)+$Y$2</f>
        <v>-49.12272534143483</v>
      </c>
      <c r="C2725" s="7">
        <f>SUMPRODUCT($C$3:$X$3,'batch tool'!$B2719:$W2719)+$Y$3</f>
        <v>-36.514029388465531</v>
      </c>
      <c r="D2725" s="7">
        <f>SUMPRODUCT($C$4:$X$4,'batch tool'!$B2719:$W2719)+$Y$4</f>
        <v>-44.639843068043824</v>
      </c>
      <c r="E2725" s="7">
        <f>SUMPRODUCT($C$5:$X$5,'batch tool'!$B2719:$W2719)+$Y$5</f>
        <v>-51.578889182477603</v>
      </c>
      <c r="F2725" s="7">
        <f>SUMPRODUCT($C$6:$X$6,'batch tool'!$B2719:$W2719)+$Y$6</f>
        <v>-47.741473633885199</v>
      </c>
      <c r="G2725" s="7">
        <f>SUMPRODUCT($C$7:$X$7,'batch tool'!$B2719:$W2719)+$Y$7</f>
        <v>-19.739516238059196</v>
      </c>
      <c r="H2725" s="7">
        <f t="shared" si="86"/>
        <v>-19.739516238059196</v>
      </c>
      <c r="I2725">
        <f t="shared" si="87"/>
        <v>6</v>
      </c>
      <c r="J2725" t="str" cm="1">
        <f t="array" ref="J2725">INDEX($A$2:$A$7,I2725)</f>
        <v>Segment 6- Self-Conscious Male</v>
      </c>
    </row>
    <row r="2726" spans="1:10" x14ac:dyDescent="0.25">
      <c r="A2726" s="1">
        <f>'batch tool'!A2720</f>
        <v>0</v>
      </c>
      <c r="B2726" s="7">
        <f>SUMPRODUCT($C$2:$X$2,'batch tool'!$B2720:$W2720)+$Y$2</f>
        <v>-49.12272534143483</v>
      </c>
      <c r="C2726" s="7">
        <f>SUMPRODUCT($C$3:$X$3,'batch tool'!$B2720:$W2720)+$Y$3</f>
        <v>-36.514029388465531</v>
      </c>
      <c r="D2726" s="7">
        <f>SUMPRODUCT($C$4:$X$4,'batch tool'!$B2720:$W2720)+$Y$4</f>
        <v>-44.639843068043824</v>
      </c>
      <c r="E2726" s="7">
        <f>SUMPRODUCT($C$5:$X$5,'batch tool'!$B2720:$W2720)+$Y$5</f>
        <v>-51.578889182477603</v>
      </c>
      <c r="F2726" s="7">
        <f>SUMPRODUCT($C$6:$X$6,'batch tool'!$B2720:$W2720)+$Y$6</f>
        <v>-47.741473633885199</v>
      </c>
      <c r="G2726" s="7">
        <f>SUMPRODUCT($C$7:$X$7,'batch tool'!$B2720:$W2720)+$Y$7</f>
        <v>-19.739516238059196</v>
      </c>
      <c r="H2726" s="7">
        <f t="shared" si="86"/>
        <v>-19.739516238059196</v>
      </c>
      <c r="I2726">
        <f t="shared" si="87"/>
        <v>6</v>
      </c>
      <c r="J2726" t="str" cm="1">
        <f t="array" ref="J2726">INDEX($A$2:$A$7,I2726)</f>
        <v>Segment 6- Self-Conscious Male</v>
      </c>
    </row>
    <row r="2727" spans="1:10" x14ac:dyDescent="0.25">
      <c r="A2727" s="1">
        <f>'batch tool'!A2721</f>
        <v>0</v>
      </c>
      <c r="B2727" s="7">
        <f>SUMPRODUCT($C$2:$X$2,'batch tool'!$B2721:$W2721)+$Y$2</f>
        <v>-49.12272534143483</v>
      </c>
      <c r="C2727" s="7">
        <f>SUMPRODUCT($C$3:$X$3,'batch tool'!$B2721:$W2721)+$Y$3</f>
        <v>-36.514029388465531</v>
      </c>
      <c r="D2727" s="7">
        <f>SUMPRODUCT($C$4:$X$4,'batch tool'!$B2721:$W2721)+$Y$4</f>
        <v>-44.639843068043824</v>
      </c>
      <c r="E2727" s="7">
        <f>SUMPRODUCT($C$5:$X$5,'batch tool'!$B2721:$W2721)+$Y$5</f>
        <v>-51.578889182477603</v>
      </c>
      <c r="F2727" s="7">
        <f>SUMPRODUCT($C$6:$X$6,'batch tool'!$B2721:$W2721)+$Y$6</f>
        <v>-47.741473633885199</v>
      </c>
      <c r="G2727" s="7">
        <f>SUMPRODUCT($C$7:$X$7,'batch tool'!$B2721:$W2721)+$Y$7</f>
        <v>-19.739516238059196</v>
      </c>
      <c r="H2727" s="7">
        <f t="shared" si="86"/>
        <v>-19.739516238059196</v>
      </c>
      <c r="I2727">
        <f t="shared" si="87"/>
        <v>6</v>
      </c>
      <c r="J2727" t="str" cm="1">
        <f t="array" ref="J2727">INDEX($A$2:$A$7,I2727)</f>
        <v>Segment 6- Self-Conscious Male</v>
      </c>
    </row>
    <row r="2728" spans="1:10" x14ac:dyDescent="0.25">
      <c r="A2728" s="1">
        <f>'batch tool'!A2722</f>
        <v>0</v>
      </c>
      <c r="B2728" s="7">
        <f>SUMPRODUCT($C$2:$X$2,'batch tool'!$B2722:$W2722)+$Y$2</f>
        <v>-49.12272534143483</v>
      </c>
      <c r="C2728" s="7">
        <f>SUMPRODUCT($C$3:$X$3,'batch tool'!$B2722:$W2722)+$Y$3</f>
        <v>-36.514029388465531</v>
      </c>
      <c r="D2728" s="7">
        <f>SUMPRODUCT($C$4:$X$4,'batch tool'!$B2722:$W2722)+$Y$4</f>
        <v>-44.639843068043824</v>
      </c>
      <c r="E2728" s="7">
        <f>SUMPRODUCT($C$5:$X$5,'batch tool'!$B2722:$W2722)+$Y$5</f>
        <v>-51.578889182477603</v>
      </c>
      <c r="F2728" s="7">
        <f>SUMPRODUCT($C$6:$X$6,'batch tool'!$B2722:$W2722)+$Y$6</f>
        <v>-47.741473633885199</v>
      </c>
      <c r="G2728" s="7">
        <f>SUMPRODUCT($C$7:$X$7,'batch tool'!$B2722:$W2722)+$Y$7</f>
        <v>-19.739516238059196</v>
      </c>
      <c r="H2728" s="7">
        <f t="shared" si="86"/>
        <v>-19.739516238059196</v>
      </c>
      <c r="I2728">
        <f t="shared" si="87"/>
        <v>6</v>
      </c>
      <c r="J2728" t="str" cm="1">
        <f t="array" ref="J2728">INDEX($A$2:$A$7,I2728)</f>
        <v>Segment 6- Self-Conscious Male</v>
      </c>
    </row>
    <row r="2729" spans="1:10" x14ac:dyDescent="0.25">
      <c r="A2729" s="1">
        <f>'batch tool'!A2723</f>
        <v>0</v>
      </c>
      <c r="B2729" s="7">
        <f>SUMPRODUCT($C$2:$X$2,'batch tool'!$B2723:$W2723)+$Y$2</f>
        <v>-49.12272534143483</v>
      </c>
      <c r="C2729" s="7">
        <f>SUMPRODUCT($C$3:$X$3,'batch tool'!$B2723:$W2723)+$Y$3</f>
        <v>-36.514029388465531</v>
      </c>
      <c r="D2729" s="7">
        <f>SUMPRODUCT($C$4:$X$4,'batch tool'!$B2723:$W2723)+$Y$4</f>
        <v>-44.639843068043824</v>
      </c>
      <c r="E2729" s="7">
        <f>SUMPRODUCT($C$5:$X$5,'batch tool'!$B2723:$W2723)+$Y$5</f>
        <v>-51.578889182477603</v>
      </c>
      <c r="F2729" s="7">
        <f>SUMPRODUCT($C$6:$X$6,'batch tool'!$B2723:$W2723)+$Y$6</f>
        <v>-47.741473633885199</v>
      </c>
      <c r="G2729" s="7">
        <f>SUMPRODUCT($C$7:$X$7,'batch tool'!$B2723:$W2723)+$Y$7</f>
        <v>-19.739516238059196</v>
      </c>
      <c r="H2729" s="7">
        <f t="shared" si="86"/>
        <v>-19.739516238059196</v>
      </c>
      <c r="I2729">
        <f t="shared" si="87"/>
        <v>6</v>
      </c>
      <c r="J2729" t="str" cm="1">
        <f t="array" ref="J2729">INDEX($A$2:$A$7,I2729)</f>
        <v>Segment 6- Self-Conscious Male</v>
      </c>
    </row>
    <row r="2730" spans="1:10" x14ac:dyDescent="0.25">
      <c r="A2730" s="1">
        <f>'batch tool'!A2724</f>
        <v>0</v>
      </c>
      <c r="B2730" s="7">
        <f>SUMPRODUCT($C$2:$X$2,'batch tool'!$B2724:$W2724)+$Y$2</f>
        <v>-49.12272534143483</v>
      </c>
      <c r="C2730" s="7">
        <f>SUMPRODUCT($C$3:$X$3,'batch tool'!$B2724:$W2724)+$Y$3</f>
        <v>-36.514029388465531</v>
      </c>
      <c r="D2730" s="7">
        <f>SUMPRODUCT($C$4:$X$4,'batch tool'!$B2724:$W2724)+$Y$4</f>
        <v>-44.639843068043824</v>
      </c>
      <c r="E2730" s="7">
        <f>SUMPRODUCT($C$5:$X$5,'batch tool'!$B2724:$W2724)+$Y$5</f>
        <v>-51.578889182477603</v>
      </c>
      <c r="F2730" s="7">
        <f>SUMPRODUCT($C$6:$X$6,'batch tool'!$B2724:$W2724)+$Y$6</f>
        <v>-47.741473633885199</v>
      </c>
      <c r="G2730" s="7">
        <f>SUMPRODUCT($C$7:$X$7,'batch tool'!$B2724:$W2724)+$Y$7</f>
        <v>-19.739516238059196</v>
      </c>
      <c r="H2730" s="7">
        <f t="shared" si="86"/>
        <v>-19.739516238059196</v>
      </c>
      <c r="I2730">
        <f t="shared" si="87"/>
        <v>6</v>
      </c>
      <c r="J2730" t="str" cm="1">
        <f t="array" ref="J2730">INDEX($A$2:$A$7,I2730)</f>
        <v>Segment 6- Self-Conscious Male</v>
      </c>
    </row>
    <row r="2731" spans="1:10" x14ac:dyDescent="0.25">
      <c r="A2731" s="1">
        <f>'batch tool'!A2725</f>
        <v>0</v>
      </c>
      <c r="B2731" s="7">
        <f>SUMPRODUCT($C$2:$X$2,'batch tool'!$B2725:$W2725)+$Y$2</f>
        <v>-49.12272534143483</v>
      </c>
      <c r="C2731" s="7">
        <f>SUMPRODUCT($C$3:$X$3,'batch tool'!$B2725:$W2725)+$Y$3</f>
        <v>-36.514029388465531</v>
      </c>
      <c r="D2731" s="7">
        <f>SUMPRODUCT($C$4:$X$4,'batch tool'!$B2725:$W2725)+$Y$4</f>
        <v>-44.639843068043824</v>
      </c>
      <c r="E2731" s="7">
        <f>SUMPRODUCT($C$5:$X$5,'batch tool'!$B2725:$W2725)+$Y$5</f>
        <v>-51.578889182477603</v>
      </c>
      <c r="F2731" s="7">
        <f>SUMPRODUCT($C$6:$X$6,'batch tool'!$B2725:$W2725)+$Y$6</f>
        <v>-47.741473633885199</v>
      </c>
      <c r="G2731" s="7">
        <f>SUMPRODUCT($C$7:$X$7,'batch tool'!$B2725:$W2725)+$Y$7</f>
        <v>-19.739516238059196</v>
      </c>
      <c r="H2731" s="7">
        <f t="shared" si="86"/>
        <v>-19.739516238059196</v>
      </c>
      <c r="I2731">
        <f t="shared" si="87"/>
        <v>6</v>
      </c>
      <c r="J2731" t="str" cm="1">
        <f t="array" ref="J2731">INDEX($A$2:$A$7,I2731)</f>
        <v>Segment 6- Self-Conscious Male</v>
      </c>
    </row>
    <row r="2732" spans="1:10" x14ac:dyDescent="0.25">
      <c r="A2732" s="1">
        <f>'batch tool'!A2726</f>
        <v>0</v>
      </c>
      <c r="B2732" s="7">
        <f>SUMPRODUCT($C$2:$X$2,'batch tool'!$B2726:$W2726)+$Y$2</f>
        <v>-49.12272534143483</v>
      </c>
      <c r="C2732" s="7">
        <f>SUMPRODUCT($C$3:$X$3,'batch tool'!$B2726:$W2726)+$Y$3</f>
        <v>-36.514029388465531</v>
      </c>
      <c r="D2732" s="7">
        <f>SUMPRODUCT($C$4:$X$4,'batch tool'!$B2726:$W2726)+$Y$4</f>
        <v>-44.639843068043824</v>
      </c>
      <c r="E2732" s="7">
        <f>SUMPRODUCT($C$5:$X$5,'batch tool'!$B2726:$W2726)+$Y$5</f>
        <v>-51.578889182477603</v>
      </c>
      <c r="F2732" s="7">
        <f>SUMPRODUCT($C$6:$X$6,'batch tool'!$B2726:$W2726)+$Y$6</f>
        <v>-47.741473633885199</v>
      </c>
      <c r="G2732" s="7">
        <f>SUMPRODUCT($C$7:$X$7,'batch tool'!$B2726:$W2726)+$Y$7</f>
        <v>-19.739516238059196</v>
      </c>
      <c r="H2732" s="7">
        <f t="shared" si="86"/>
        <v>-19.739516238059196</v>
      </c>
      <c r="I2732">
        <f t="shared" si="87"/>
        <v>6</v>
      </c>
      <c r="J2732" t="str" cm="1">
        <f t="array" ref="J2732">INDEX($A$2:$A$7,I2732)</f>
        <v>Segment 6- Self-Conscious Male</v>
      </c>
    </row>
    <row r="2733" spans="1:10" x14ac:dyDescent="0.25">
      <c r="A2733" s="1">
        <f>'batch tool'!A2727</f>
        <v>0</v>
      </c>
      <c r="B2733" s="7">
        <f>SUMPRODUCT($C$2:$X$2,'batch tool'!$B2727:$W2727)+$Y$2</f>
        <v>-49.12272534143483</v>
      </c>
      <c r="C2733" s="7">
        <f>SUMPRODUCT($C$3:$X$3,'batch tool'!$B2727:$W2727)+$Y$3</f>
        <v>-36.514029388465531</v>
      </c>
      <c r="D2733" s="7">
        <f>SUMPRODUCT($C$4:$X$4,'batch tool'!$B2727:$W2727)+$Y$4</f>
        <v>-44.639843068043824</v>
      </c>
      <c r="E2733" s="7">
        <f>SUMPRODUCT($C$5:$X$5,'batch tool'!$B2727:$W2727)+$Y$5</f>
        <v>-51.578889182477603</v>
      </c>
      <c r="F2733" s="7">
        <f>SUMPRODUCT($C$6:$X$6,'batch tool'!$B2727:$W2727)+$Y$6</f>
        <v>-47.741473633885199</v>
      </c>
      <c r="G2733" s="7">
        <f>SUMPRODUCT($C$7:$X$7,'batch tool'!$B2727:$W2727)+$Y$7</f>
        <v>-19.739516238059196</v>
      </c>
      <c r="H2733" s="7">
        <f t="shared" si="86"/>
        <v>-19.739516238059196</v>
      </c>
      <c r="I2733">
        <f t="shared" si="87"/>
        <v>6</v>
      </c>
      <c r="J2733" t="str" cm="1">
        <f t="array" ref="J2733">INDEX($A$2:$A$7,I2733)</f>
        <v>Segment 6- Self-Conscious Male</v>
      </c>
    </row>
    <row r="2734" spans="1:10" x14ac:dyDescent="0.25">
      <c r="A2734" s="1">
        <f>'batch tool'!A2728</f>
        <v>0</v>
      </c>
      <c r="B2734" s="7">
        <f>SUMPRODUCT($C$2:$X$2,'batch tool'!$B2728:$W2728)+$Y$2</f>
        <v>-49.12272534143483</v>
      </c>
      <c r="C2734" s="7">
        <f>SUMPRODUCT($C$3:$X$3,'batch tool'!$B2728:$W2728)+$Y$3</f>
        <v>-36.514029388465531</v>
      </c>
      <c r="D2734" s="7">
        <f>SUMPRODUCT($C$4:$X$4,'batch tool'!$B2728:$W2728)+$Y$4</f>
        <v>-44.639843068043824</v>
      </c>
      <c r="E2734" s="7">
        <f>SUMPRODUCT($C$5:$X$5,'batch tool'!$B2728:$W2728)+$Y$5</f>
        <v>-51.578889182477603</v>
      </c>
      <c r="F2734" s="7">
        <f>SUMPRODUCT($C$6:$X$6,'batch tool'!$B2728:$W2728)+$Y$6</f>
        <v>-47.741473633885199</v>
      </c>
      <c r="G2734" s="7">
        <f>SUMPRODUCT($C$7:$X$7,'batch tool'!$B2728:$W2728)+$Y$7</f>
        <v>-19.739516238059196</v>
      </c>
      <c r="H2734" s="7">
        <f t="shared" si="86"/>
        <v>-19.739516238059196</v>
      </c>
      <c r="I2734">
        <f t="shared" si="87"/>
        <v>6</v>
      </c>
      <c r="J2734" t="str" cm="1">
        <f t="array" ref="J2734">INDEX($A$2:$A$7,I2734)</f>
        <v>Segment 6- Self-Conscious Male</v>
      </c>
    </row>
    <row r="2735" spans="1:10" x14ac:dyDescent="0.25">
      <c r="A2735" s="1">
        <f>'batch tool'!A2729</f>
        <v>0</v>
      </c>
      <c r="B2735" s="7">
        <f>SUMPRODUCT($C$2:$X$2,'batch tool'!$B2729:$W2729)+$Y$2</f>
        <v>-49.12272534143483</v>
      </c>
      <c r="C2735" s="7">
        <f>SUMPRODUCT($C$3:$X$3,'batch tool'!$B2729:$W2729)+$Y$3</f>
        <v>-36.514029388465531</v>
      </c>
      <c r="D2735" s="7">
        <f>SUMPRODUCT($C$4:$X$4,'batch tool'!$B2729:$W2729)+$Y$4</f>
        <v>-44.639843068043824</v>
      </c>
      <c r="E2735" s="7">
        <f>SUMPRODUCT($C$5:$X$5,'batch tool'!$B2729:$W2729)+$Y$5</f>
        <v>-51.578889182477603</v>
      </c>
      <c r="F2735" s="7">
        <f>SUMPRODUCT($C$6:$X$6,'batch tool'!$B2729:$W2729)+$Y$6</f>
        <v>-47.741473633885199</v>
      </c>
      <c r="G2735" s="7">
        <f>SUMPRODUCT($C$7:$X$7,'batch tool'!$B2729:$W2729)+$Y$7</f>
        <v>-19.739516238059196</v>
      </c>
      <c r="H2735" s="7">
        <f t="shared" si="86"/>
        <v>-19.739516238059196</v>
      </c>
      <c r="I2735">
        <f t="shared" si="87"/>
        <v>6</v>
      </c>
      <c r="J2735" t="str" cm="1">
        <f t="array" ref="J2735">INDEX($A$2:$A$7,I2735)</f>
        <v>Segment 6- Self-Conscious Male</v>
      </c>
    </row>
    <row r="2736" spans="1:10" x14ac:dyDescent="0.25">
      <c r="A2736" s="1">
        <f>'batch tool'!A2730</f>
        <v>0</v>
      </c>
      <c r="B2736" s="7">
        <f>SUMPRODUCT($C$2:$X$2,'batch tool'!$B2730:$W2730)+$Y$2</f>
        <v>-49.12272534143483</v>
      </c>
      <c r="C2736" s="7">
        <f>SUMPRODUCT($C$3:$X$3,'batch tool'!$B2730:$W2730)+$Y$3</f>
        <v>-36.514029388465531</v>
      </c>
      <c r="D2736" s="7">
        <f>SUMPRODUCT($C$4:$X$4,'batch tool'!$B2730:$W2730)+$Y$4</f>
        <v>-44.639843068043824</v>
      </c>
      <c r="E2736" s="7">
        <f>SUMPRODUCT($C$5:$X$5,'batch tool'!$B2730:$W2730)+$Y$5</f>
        <v>-51.578889182477603</v>
      </c>
      <c r="F2736" s="7">
        <f>SUMPRODUCT($C$6:$X$6,'batch tool'!$B2730:$W2730)+$Y$6</f>
        <v>-47.741473633885199</v>
      </c>
      <c r="G2736" s="7">
        <f>SUMPRODUCT($C$7:$X$7,'batch tool'!$B2730:$W2730)+$Y$7</f>
        <v>-19.739516238059196</v>
      </c>
      <c r="H2736" s="7">
        <f t="shared" si="86"/>
        <v>-19.739516238059196</v>
      </c>
      <c r="I2736">
        <f t="shared" si="87"/>
        <v>6</v>
      </c>
      <c r="J2736" t="str" cm="1">
        <f t="array" ref="J2736">INDEX($A$2:$A$7,I2736)</f>
        <v>Segment 6- Self-Conscious Male</v>
      </c>
    </row>
    <row r="2737" spans="1:10" x14ac:dyDescent="0.25">
      <c r="A2737" s="1">
        <f>'batch tool'!A2731</f>
        <v>0</v>
      </c>
      <c r="B2737" s="7">
        <f>SUMPRODUCT($C$2:$X$2,'batch tool'!$B2731:$W2731)+$Y$2</f>
        <v>-49.12272534143483</v>
      </c>
      <c r="C2737" s="7">
        <f>SUMPRODUCT($C$3:$X$3,'batch tool'!$B2731:$W2731)+$Y$3</f>
        <v>-36.514029388465531</v>
      </c>
      <c r="D2737" s="7">
        <f>SUMPRODUCT($C$4:$X$4,'batch tool'!$B2731:$W2731)+$Y$4</f>
        <v>-44.639843068043824</v>
      </c>
      <c r="E2737" s="7">
        <f>SUMPRODUCT($C$5:$X$5,'batch tool'!$B2731:$W2731)+$Y$5</f>
        <v>-51.578889182477603</v>
      </c>
      <c r="F2737" s="7">
        <f>SUMPRODUCT($C$6:$X$6,'batch tool'!$B2731:$W2731)+$Y$6</f>
        <v>-47.741473633885199</v>
      </c>
      <c r="G2737" s="7">
        <f>SUMPRODUCT($C$7:$X$7,'batch tool'!$B2731:$W2731)+$Y$7</f>
        <v>-19.739516238059196</v>
      </c>
      <c r="H2737" s="7">
        <f t="shared" si="86"/>
        <v>-19.739516238059196</v>
      </c>
      <c r="I2737">
        <f t="shared" si="87"/>
        <v>6</v>
      </c>
      <c r="J2737" t="str" cm="1">
        <f t="array" ref="J2737">INDEX($A$2:$A$7,I2737)</f>
        <v>Segment 6- Self-Conscious Male</v>
      </c>
    </row>
    <row r="2738" spans="1:10" x14ac:dyDescent="0.25">
      <c r="A2738" s="1">
        <f>'batch tool'!A2732</f>
        <v>0</v>
      </c>
      <c r="B2738" s="7">
        <f>SUMPRODUCT($C$2:$X$2,'batch tool'!$B2732:$W2732)+$Y$2</f>
        <v>-49.12272534143483</v>
      </c>
      <c r="C2738" s="7">
        <f>SUMPRODUCT($C$3:$X$3,'batch tool'!$B2732:$W2732)+$Y$3</f>
        <v>-36.514029388465531</v>
      </c>
      <c r="D2738" s="7">
        <f>SUMPRODUCT($C$4:$X$4,'batch tool'!$B2732:$W2732)+$Y$4</f>
        <v>-44.639843068043824</v>
      </c>
      <c r="E2738" s="7">
        <f>SUMPRODUCT($C$5:$X$5,'batch tool'!$B2732:$W2732)+$Y$5</f>
        <v>-51.578889182477603</v>
      </c>
      <c r="F2738" s="7">
        <f>SUMPRODUCT($C$6:$X$6,'batch tool'!$B2732:$W2732)+$Y$6</f>
        <v>-47.741473633885199</v>
      </c>
      <c r="G2738" s="7">
        <f>SUMPRODUCT($C$7:$X$7,'batch tool'!$B2732:$W2732)+$Y$7</f>
        <v>-19.739516238059196</v>
      </c>
      <c r="H2738" s="7">
        <f t="shared" si="86"/>
        <v>-19.739516238059196</v>
      </c>
      <c r="I2738">
        <f t="shared" si="87"/>
        <v>6</v>
      </c>
      <c r="J2738" t="str" cm="1">
        <f t="array" ref="J2738">INDEX($A$2:$A$7,I2738)</f>
        <v>Segment 6- Self-Conscious Male</v>
      </c>
    </row>
    <row r="2739" spans="1:10" x14ac:dyDescent="0.25">
      <c r="A2739" s="1">
        <f>'batch tool'!A2733</f>
        <v>0</v>
      </c>
      <c r="B2739" s="7">
        <f>SUMPRODUCT($C$2:$X$2,'batch tool'!$B2733:$W2733)+$Y$2</f>
        <v>-49.12272534143483</v>
      </c>
      <c r="C2739" s="7">
        <f>SUMPRODUCT($C$3:$X$3,'batch tool'!$B2733:$W2733)+$Y$3</f>
        <v>-36.514029388465531</v>
      </c>
      <c r="D2739" s="7">
        <f>SUMPRODUCT($C$4:$X$4,'batch tool'!$B2733:$W2733)+$Y$4</f>
        <v>-44.639843068043824</v>
      </c>
      <c r="E2739" s="7">
        <f>SUMPRODUCT($C$5:$X$5,'batch tool'!$B2733:$W2733)+$Y$5</f>
        <v>-51.578889182477603</v>
      </c>
      <c r="F2739" s="7">
        <f>SUMPRODUCT($C$6:$X$6,'batch tool'!$B2733:$W2733)+$Y$6</f>
        <v>-47.741473633885199</v>
      </c>
      <c r="G2739" s="7">
        <f>SUMPRODUCT($C$7:$X$7,'batch tool'!$B2733:$W2733)+$Y$7</f>
        <v>-19.739516238059196</v>
      </c>
      <c r="H2739" s="7">
        <f t="shared" si="86"/>
        <v>-19.739516238059196</v>
      </c>
      <c r="I2739">
        <f t="shared" si="87"/>
        <v>6</v>
      </c>
      <c r="J2739" t="str" cm="1">
        <f t="array" ref="J2739">INDEX($A$2:$A$7,I2739)</f>
        <v>Segment 6- Self-Conscious Male</v>
      </c>
    </row>
    <row r="2740" spans="1:10" x14ac:dyDescent="0.25">
      <c r="A2740" s="1">
        <f>'batch tool'!A2734</f>
        <v>0</v>
      </c>
      <c r="B2740" s="7">
        <f>SUMPRODUCT($C$2:$X$2,'batch tool'!$B2734:$W2734)+$Y$2</f>
        <v>-49.12272534143483</v>
      </c>
      <c r="C2740" s="7">
        <f>SUMPRODUCT($C$3:$X$3,'batch tool'!$B2734:$W2734)+$Y$3</f>
        <v>-36.514029388465531</v>
      </c>
      <c r="D2740" s="7">
        <f>SUMPRODUCT($C$4:$X$4,'batch tool'!$B2734:$W2734)+$Y$4</f>
        <v>-44.639843068043824</v>
      </c>
      <c r="E2740" s="7">
        <f>SUMPRODUCT($C$5:$X$5,'batch tool'!$B2734:$W2734)+$Y$5</f>
        <v>-51.578889182477603</v>
      </c>
      <c r="F2740" s="7">
        <f>SUMPRODUCT($C$6:$X$6,'batch tool'!$B2734:$W2734)+$Y$6</f>
        <v>-47.741473633885199</v>
      </c>
      <c r="G2740" s="7">
        <f>SUMPRODUCT($C$7:$X$7,'batch tool'!$B2734:$W2734)+$Y$7</f>
        <v>-19.739516238059196</v>
      </c>
      <c r="H2740" s="7">
        <f t="shared" si="86"/>
        <v>-19.739516238059196</v>
      </c>
      <c r="I2740">
        <f t="shared" si="87"/>
        <v>6</v>
      </c>
      <c r="J2740" t="str" cm="1">
        <f t="array" ref="J2740">INDEX($A$2:$A$7,I2740)</f>
        <v>Segment 6- Self-Conscious Male</v>
      </c>
    </row>
    <row r="2741" spans="1:10" x14ac:dyDescent="0.25">
      <c r="A2741" s="1">
        <f>'batch tool'!A2735</f>
        <v>0</v>
      </c>
      <c r="B2741" s="7">
        <f>SUMPRODUCT($C$2:$X$2,'batch tool'!$B2735:$W2735)+$Y$2</f>
        <v>-49.12272534143483</v>
      </c>
      <c r="C2741" s="7">
        <f>SUMPRODUCT($C$3:$X$3,'batch tool'!$B2735:$W2735)+$Y$3</f>
        <v>-36.514029388465531</v>
      </c>
      <c r="D2741" s="7">
        <f>SUMPRODUCT($C$4:$X$4,'batch tool'!$B2735:$W2735)+$Y$4</f>
        <v>-44.639843068043824</v>
      </c>
      <c r="E2741" s="7">
        <f>SUMPRODUCT($C$5:$X$5,'batch tool'!$B2735:$W2735)+$Y$5</f>
        <v>-51.578889182477603</v>
      </c>
      <c r="F2741" s="7">
        <f>SUMPRODUCT($C$6:$X$6,'batch tool'!$B2735:$W2735)+$Y$6</f>
        <v>-47.741473633885199</v>
      </c>
      <c r="G2741" s="7">
        <f>SUMPRODUCT($C$7:$X$7,'batch tool'!$B2735:$W2735)+$Y$7</f>
        <v>-19.739516238059196</v>
      </c>
      <c r="H2741" s="7">
        <f t="shared" si="86"/>
        <v>-19.739516238059196</v>
      </c>
      <c r="I2741">
        <f t="shared" si="87"/>
        <v>6</v>
      </c>
      <c r="J2741" t="str" cm="1">
        <f t="array" ref="J2741">INDEX($A$2:$A$7,I2741)</f>
        <v>Segment 6- Self-Conscious Male</v>
      </c>
    </row>
    <row r="2742" spans="1:10" x14ac:dyDescent="0.25">
      <c r="A2742" s="1">
        <f>'batch tool'!A2736</f>
        <v>0</v>
      </c>
      <c r="B2742" s="7">
        <f>SUMPRODUCT($C$2:$X$2,'batch tool'!$B2736:$W2736)+$Y$2</f>
        <v>-49.12272534143483</v>
      </c>
      <c r="C2742" s="7">
        <f>SUMPRODUCT($C$3:$X$3,'batch tool'!$B2736:$W2736)+$Y$3</f>
        <v>-36.514029388465531</v>
      </c>
      <c r="D2742" s="7">
        <f>SUMPRODUCT($C$4:$X$4,'batch tool'!$B2736:$W2736)+$Y$4</f>
        <v>-44.639843068043824</v>
      </c>
      <c r="E2742" s="7">
        <f>SUMPRODUCT($C$5:$X$5,'batch tool'!$B2736:$W2736)+$Y$5</f>
        <v>-51.578889182477603</v>
      </c>
      <c r="F2742" s="7">
        <f>SUMPRODUCT($C$6:$X$6,'batch tool'!$B2736:$W2736)+$Y$6</f>
        <v>-47.741473633885199</v>
      </c>
      <c r="G2742" s="7">
        <f>SUMPRODUCT($C$7:$X$7,'batch tool'!$B2736:$W2736)+$Y$7</f>
        <v>-19.739516238059196</v>
      </c>
      <c r="H2742" s="7">
        <f t="shared" si="86"/>
        <v>-19.739516238059196</v>
      </c>
      <c r="I2742">
        <f t="shared" si="87"/>
        <v>6</v>
      </c>
      <c r="J2742" t="str" cm="1">
        <f t="array" ref="J2742">INDEX($A$2:$A$7,I2742)</f>
        <v>Segment 6- Self-Conscious Male</v>
      </c>
    </row>
    <row r="2743" spans="1:10" x14ac:dyDescent="0.25">
      <c r="A2743" s="1">
        <f>'batch tool'!A2737</f>
        <v>0</v>
      </c>
      <c r="B2743" s="7">
        <f>SUMPRODUCT($C$2:$X$2,'batch tool'!$B2737:$W2737)+$Y$2</f>
        <v>-49.12272534143483</v>
      </c>
      <c r="C2743" s="7">
        <f>SUMPRODUCT($C$3:$X$3,'batch tool'!$B2737:$W2737)+$Y$3</f>
        <v>-36.514029388465531</v>
      </c>
      <c r="D2743" s="7">
        <f>SUMPRODUCT($C$4:$X$4,'batch tool'!$B2737:$W2737)+$Y$4</f>
        <v>-44.639843068043824</v>
      </c>
      <c r="E2743" s="7">
        <f>SUMPRODUCT($C$5:$X$5,'batch tool'!$B2737:$W2737)+$Y$5</f>
        <v>-51.578889182477603</v>
      </c>
      <c r="F2743" s="7">
        <f>SUMPRODUCT($C$6:$X$6,'batch tool'!$B2737:$W2737)+$Y$6</f>
        <v>-47.741473633885199</v>
      </c>
      <c r="G2743" s="7">
        <f>SUMPRODUCT($C$7:$X$7,'batch tool'!$B2737:$W2737)+$Y$7</f>
        <v>-19.739516238059196</v>
      </c>
      <c r="H2743" s="7">
        <f t="shared" si="86"/>
        <v>-19.739516238059196</v>
      </c>
      <c r="I2743">
        <f t="shared" si="87"/>
        <v>6</v>
      </c>
      <c r="J2743" t="str" cm="1">
        <f t="array" ref="J2743">INDEX($A$2:$A$7,I2743)</f>
        <v>Segment 6- Self-Conscious Male</v>
      </c>
    </row>
    <row r="2744" spans="1:10" x14ac:dyDescent="0.25">
      <c r="A2744" s="1">
        <f>'batch tool'!A2738</f>
        <v>0</v>
      </c>
      <c r="B2744" s="7">
        <f>SUMPRODUCT($C$2:$X$2,'batch tool'!$B2738:$W2738)+$Y$2</f>
        <v>-49.12272534143483</v>
      </c>
      <c r="C2744" s="7">
        <f>SUMPRODUCT($C$3:$X$3,'batch tool'!$B2738:$W2738)+$Y$3</f>
        <v>-36.514029388465531</v>
      </c>
      <c r="D2744" s="7">
        <f>SUMPRODUCT($C$4:$X$4,'batch tool'!$B2738:$W2738)+$Y$4</f>
        <v>-44.639843068043824</v>
      </c>
      <c r="E2744" s="7">
        <f>SUMPRODUCT($C$5:$X$5,'batch tool'!$B2738:$W2738)+$Y$5</f>
        <v>-51.578889182477603</v>
      </c>
      <c r="F2744" s="7">
        <f>SUMPRODUCT($C$6:$X$6,'batch tool'!$B2738:$W2738)+$Y$6</f>
        <v>-47.741473633885199</v>
      </c>
      <c r="G2744" s="7">
        <f>SUMPRODUCT($C$7:$X$7,'batch tool'!$B2738:$W2738)+$Y$7</f>
        <v>-19.739516238059196</v>
      </c>
      <c r="H2744" s="7">
        <f t="shared" si="86"/>
        <v>-19.739516238059196</v>
      </c>
      <c r="I2744">
        <f t="shared" si="87"/>
        <v>6</v>
      </c>
      <c r="J2744" t="str" cm="1">
        <f t="array" ref="J2744">INDEX($A$2:$A$7,I2744)</f>
        <v>Segment 6- Self-Conscious Male</v>
      </c>
    </row>
    <row r="2745" spans="1:10" x14ac:dyDescent="0.25">
      <c r="A2745" s="1">
        <f>'batch tool'!A2739</f>
        <v>0</v>
      </c>
      <c r="B2745" s="7">
        <f>SUMPRODUCT($C$2:$X$2,'batch tool'!$B2739:$W2739)+$Y$2</f>
        <v>-49.12272534143483</v>
      </c>
      <c r="C2745" s="7">
        <f>SUMPRODUCT($C$3:$X$3,'batch tool'!$B2739:$W2739)+$Y$3</f>
        <v>-36.514029388465531</v>
      </c>
      <c r="D2745" s="7">
        <f>SUMPRODUCT($C$4:$X$4,'batch tool'!$B2739:$W2739)+$Y$4</f>
        <v>-44.639843068043824</v>
      </c>
      <c r="E2745" s="7">
        <f>SUMPRODUCT($C$5:$X$5,'batch tool'!$B2739:$W2739)+$Y$5</f>
        <v>-51.578889182477603</v>
      </c>
      <c r="F2745" s="7">
        <f>SUMPRODUCT($C$6:$X$6,'batch tool'!$B2739:$W2739)+$Y$6</f>
        <v>-47.741473633885199</v>
      </c>
      <c r="G2745" s="7">
        <f>SUMPRODUCT($C$7:$X$7,'batch tool'!$B2739:$W2739)+$Y$7</f>
        <v>-19.739516238059196</v>
      </c>
      <c r="H2745" s="7">
        <f t="shared" si="86"/>
        <v>-19.739516238059196</v>
      </c>
      <c r="I2745">
        <f t="shared" si="87"/>
        <v>6</v>
      </c>
      <c r="J2745" t="str" cm="1">
        <f t="array" ref="J2745">INDEX($A$2:$A$7,I2745)</f>
        <v>Segment 6- Self-Conscious Male</v>
      </c>
    </row>
    <row r="2746" spans="1:10" x14ac:dyDescent="0.25">
      <c r="A2746" s="1">
        <f>'batch tool'!A2740</f>
        <v>0</v>
      </c>
      <c r="B2746" s="7">
        <f>SUMPRODUCT($C$2:$X$2,'batch tool'!$B2740:$W2740)+$Y$2</f>
        <v>-49.12272534143483</v>
      </c>
      <c r="C2746" s="7">
        <f>SUMPRODUCT($C$3:$X$3,'batch tool'!$B2740:$W2740)+$Y$3</f>
        <v>-36.514029388465531</v>
      </c>
      <c r="D2746" s="7">
        <f>SUMPRODUCT($C$4:$X$4,'batch tool'!$B2740:$W2740)+$Y$4</f>
        <v>-44.639843068043824</v>
      </c>
      <c r="E2746" s="7">
        <f>SUMPRODUCT($C$5:$X$5,'batch tool'!$B2740:$W2740)+$Y$5</f>
        <v>-51.578889182477603</v>
      </c>
      <c r="F2746" s="7">
        <f>SUMPRODUCT($C$6:$X$6,'batch tool'!$B2740:$W2740)+$Y$6</f>
        <v>-47.741473633885199</v>
      </c>
      <c r="G2746" s="7">
        <f>SUMPRODUCT($C$7:$X$7,'batch tool'!$B2740:$W2740)+$Y$7</f>
        <v>-19.739516238059196</v>
      </c>
      <c r="H2746" s="7">
        <f t="shared" si="86"/>
        <v>-19.739516238059196</v>
      </c>
      <c r="I2746">
        <f t="shared" si="87"/>
        <v>6</v>
      </c>
      <c r="J2746" t="str" cm="1">
        <f t="array" ref="J2746">INDEX($A$2:$A$7,I2746)</f>
        <v>Segment 6- Self-Conscious Male</v>
      </c>
    </row>
    <row r="2747" spans="1:10" x14ac:dyDescent="0.25">
      <c r="A2747" s="1">
        <f>'batch tool'!A2741</f>
        <v>0</v>
      </c>
      <c r="B2747" s="7">
        <f>SUMPRODUCT($C$2:$X$2,'batch tool'!$B2741:$W2741)+$Y$2</f>
        <v>-49.12272534143483</v>
      </c>
      <c r="C2747" s="7">
        <f>SUMPRODUCT($C$3:$X$3,'batch tool'!$B2741:$W2741)+$Y$3</f>
        <v>-36.514029388465531</v>
      </c>
      <c r="D2747" s="7">
        <f>SUMPRODUCT($C$4:$X$4,'batch tool'!$B2741:$W2741)+$Y$4</f>
        <v>-44.639843068043824</v>
      </c>
      <c r="E2747" s="7">
        <f>SUMPRODUCT($C$5:$X$5,'batch tool'!$B2741:$W2741)+$Y$5</f>
        <v>-51.578889182477603</v>
      </c>
      <c r="F2747" s="7">
        <f>SUMPRODUCT($C$6:$X$6,'batch tool'!$B2741:$W2741)+$Y$6</f>
        <v>-47.741473633885199</v>
      </c>
      <c r="G2747" s="7">
        <f>SUMPRODUCT($C$7:$X$7,'batch tool'!$B2741:$W2741)+$Y$7</f>
        <v>-19.739516238059196</v>
      </c>
      <c r="H2747" s="7">
        <f t="shared" si="86"/>
        <v>-19.739516238059196</v>
      </c>
      <c r="I2747">
        <f t="shared" si="87"/>
        <v>6</v>
      </c>
      <c r="J2747" t="str" cm="1">
        <f t="array" ref="J2747">INDEX($A$2:$A$7,I2747)</f>
        <v>Segment 6- Self-Conscious Male</v>
      </c>
    </row>
    <row r="2748" spans="1:10" x14ac:dyDescent="0.25">
      <c r="A2748" s="1">
        <f>'batch tool'!A2742</f>
        <v>0</v>
      </c>
      <c r="B2748" s="7">
        <f>SUMPRODUCT($C$2:$X$2,'batch tool'!$B2742:$W2742)+$Y$2</f>
        <v>-49.12272534143483</v>
      </c>
      <c r="C2748" s="7">
        <f>SUMPRODUCT($C$3:$X$3,'batch tool'!$B2742:$W2742)+$Y$3</f>
        <v>-36.514029388465531</v>
      </c>
      <c r="D2748" s="7">
        <f>SUMPRODUCT($C$4:$X$4,'batch tool'!$B2742:$W2742)+$Y$4</f>
        <v>-44.639843068043824</v>
      </c>
      <c r="E2748" s="7">
        <f>SUMPRODUCT($C$5:$X$5,'batch tool'!$B2742:$W2742)+$Y$5</f>
        <v>-51.578889182477603</v>
      </c>
      <c r="F2748" s="7">
        <f>SUMPRODUCT($C$6:$X$6,'batch tool'!$B2742:$W2742)+$Y$6</f>
        <v>-47.741473633885199</v>
      </c>
      <c r="G2748" s="7">
        <f>SUMPRODUCT($C$7:$X$7,'batch tool'!$B2742:$W2742)+$Y$7</f>
        <v>-19.739516238059196</v>
      </c>
      <c r="H2748" s="7">
        <f t="shared" si="86"/>
        <v>-19.739516238059196</v>
      </c>
      <c r="I2748">
        <f t="shared" si="87"/>
        <v>6</v>
      </c>
      <c r="J2748" t="str" cm="1">
        <f t="array" ref="J2748">INDEX($A$2:$A$7,I2748)</f>
        <v>Segment 6- Self-Conscious Male</v>
      </c>
    </row>
    <row r="2749" spans="1:10" x14ac:dyDescent="0.25">
      <c r="A2749" s="1">
        <f>'batch tool'!A2743</f>
        <v>0</v>
      </c>
      <c r="B2749" s="7">
        <f>SUMPRODUCT($C$2:$X$2,'batch tool'!$B2743:$W2743)+$Y$2</f>
        <v>-49.12272534143483</v>
      </c>
      <c r="C2749" s="7">
        <f>SUMPRODUCT($C$3:$X$3,'batch tool'!$B2743:$W2743)+$Y$3</f>
        <v>-36.514029388465531</v>
      </c>
      <c r="D2749" s="7">
        <f>SUMPRODUCT($C$4:$X$4,'batch tool'!$B2743:$W2743)+$Y$4</f>
        <v>-44.639843068043824</v>
      </c>
      <c r="E2749" s="7">
        <f>SUMPRODUCT($C$5:$X$5,'batch tool'!$B2743:$W2743)+$Y$5</f>
        <v>-51.578889182477603</v>
      </c>
      <c r="F2749" s="7">
        <f>SUMPRODUCT($C$6:$X$6,'batch tool'!$B2743:$W2743)+$Y$6</f>
        <v>-47.741473633885199</v>
      </c>
      <c r="G2749" s="7">
        <f>SUMPRODUCT($C$7:$X$7,'batch tool'!$B2743:$W2743)+$Y$7</f>
        <v>-19.739516238059196</v>
      </c>
      <c r="H2749" s="7">
        <f t="shared" si="86"/>
        <v>-19.739516238059196</v>
      </c>
      <c r="I2749">
        <f t="shared" si="87"/>
        <v>6</v>
      </c>
      <c r="J2749" t="str" cm="1">
        <f t="array" ref="J2749">INDEX($A$2:$A$7,I2749)</f>
        <v>Segment 6- Self-Conscious Male</v>
      </c>
    </row>
    <row r="2750" spans="1:10" x14ac:dyDescent="0.25">
      <c r="A2750" s="1">
        <f>'batch tool'!A2744</f>
        <v>0</v>
      </c>
      <c r="B2750" s="7">
        <f>SUMPRODUCT($C$2:$X$2,'batch tool'!$B2744:$W2744)+$Y$2</f>
        <v>-49.12272534143483</v>
      </c>
      <c r="C2750" s="7">
        <f>SUMPRODUCT($C$3:$X$3,'batch tool'!$B2744:$W2744)+$Y$3</f>
        <v>-36.514029388465531</v>
      </c>
      <c r="D2750" s="7">
        <f>SUMPRODUCT($C$4:$X$4,'batch tool'!$B2744:$W2744)+$Y$4</f>
        <v>-44.639843068043824</v>
      </c>
      <c r="E2750" s="7">
        <f>SUMPRODUCT($C$5:$X$5,'batch tool'!$B2744:$W2744)+$Y$5</f>
        <v>-51.578889182477603</v>
      </c>
      <c r="F2750" s="7">
        <f>SUMPRODUCT($C$6:$X$6,'batch tool'!$B2744:$W2744)+$Y$6</f>
        <v>-47.741473633885199</v>
      </c>
      <c r="G2750" s="7">
        <f>SUMPRODUCT($C$7:$X$7,'batch tool'!$B2744:$W2744)+$Y$7</f>
        <v>-19.739516238059196</v>
      </c>
      <c r="H2750" s="7">
        <f t="shared" si="86"/>
        <v>-19.739516238059196</v>
      </c>
      <c r="I2750">
        <f t="shared" si="87"/>
        <v>6</v>
      </c>
      <c r="J2750" t="str" cm="1">
        <f t="array" ref="J2750">INDEX($A$2:$A$7,I2750)</f>
        <v>Segment 6- Self-Conscious Male</v>
      </c>
    </row>
    <row r="2751" spans="1:10" x14ac:dyDescent="0.25">
      <c r="A2751" s="1">
        <f>'batch tool'!A2745</f>
        <v>0</v>
      </c>
      <c r="B2751" s="7">
        <f>SUMPRODUCT($C$2:$X$2,'batch tool'!$B2745:$W2745)+$Y$2</f>
        <v>-49.12272534143483</v>
      </c>
      <c r="C2751" s="7">
        <f>SUMPRODUCT($C$3:$X$3,'batch tool'!$B2745:$W2745)+$Y$3</f>
        <v>-36.514029388465531</v>
      </c>
      <c r="D2751" s="7">
        <f>SUMPRODUCT($C$4:$X$4,'batch tool'!$B2745:$W2745)+$Y$4</f>
        <v>-44.639843068043824</v>
      </c>
      <c r="E2751" s="7">
        <f>SUMPRODUCT($C$5:$X$5,'batch tool'!$B2745:$W2745)+$Y$5</f>
        <v>-51.578889182477603</v>
      </c>
      <c r="F2751" s="7">
        <f>SUMPRODUCT($C$6:$X$6,'batch tool'!$B2745:$W2745)+$Y$6</f>
        <v>-47.741473633885199</v>
      </c>
      <c r="G2751" s="7">
        <f>SUMPRODUCT($C$7:$X$7,'batch tool'!$B2745:$W2745)+$Y$7</f>
        <v>-19.739516238059196</v>
      </c>
      <c r="H2751" s="7">
        <f t="shared" si="86"/>
        <v>-19.739516238059196</v>
      </c>
      <c r="I2751">
        <f t="shared" si="87"/>
        <v>6</v>
      </c>
      <c r="J2751" t="str" cm="1">
        <f t="array" ref="J2751">INDEX($A$2:$A$7,I2751)</f>
        <v>Segment 6- Self-Conscious Male</v>
      </c>
    </row>
    <row r="2752" spans="1:10" x14ac:dyDescent="0.25">
      <c r="A2752" s="1">
        <f>'batch tool'!A2746</f>
        <v>0</v>
      </c>
      <c r="B2752" s="7">
        <f>SUMPRODUCT($C$2:$X$2,'batch tool'!$B2746:$W2746)+$Y$2</f>
        <v>-49.12272534143483</v>
      </c>
      <c r="C2752" s="7">
        <f>SUMPRODUCT($C$3:$X$3,'batch tool'!$B2746:$W2746)+$Y$3</f>
        <v>-36.514029388465531</v>
      </c>
      <c r="D2752" s="7">
        <f>SUMPRODUCT($C$4:$X$4,'batch tool'!$B2746:$W2746)+$Y$4</f>
        <v>-44.639843068043824</v>
      </c>
      <c r="E2752" s="7">
        <f>SUMPRODUCT($C$5:$X$5,'batch tool'!$B2746:$W2746)+$Y$5</f>
        <v>-51.578889182477603</v>
      </c>
      <c r="F2752" s="7">
        <f>SUMPRODUCT($C$6:$X$6,'batch tool'!$B2746:$W2746)+$Y$6</f>
        <v>-47.741473633885199</v>
      </c>
      <c r="G2752" s="7">
        <f>SUMPRODUCT($C$7:$X$7,'batch tool'!$B2746:$W2746)+$Y$7</f>
        <v>-19.739516238059196</v>
      </c>
      <c r="H2752" s="7">
        <f t="shared" si="86"/>
        <v>-19.739516238059196</v>
      </c>
      <c r="I2752">
        <f t="shared" si="87"/>
        <v>6</v>
      </c>
      <c r="J2752" t="str" cm="1">
        <f t="array" ref="J2752">INDEX($A$2:$A$7,I2752)</f>
        <v>Segment 6- Self-Conscious Male</v>
      </c>
    </row>
    <row r="2753" spans="1:10" x14ac:dyDescent="0.25">
      <c r="A2753" s="1">
        <f>'batch tool'!A2747</f>
        <v>0</v>
      </c>
      <c r="B2753" s="7">
        <f>SUMPRODUCT($C$2:$X$2,'batch tool'!$B2747:$W2747)+$Y$2</f>
        <v>-49.12272534143483</v>
      </c>
      <c r="C2753" s="7">
        <f>SUMPRODUCT($C$3:$X$3,'batch tool'!$B2747:$W2747)+$Y$3</f>
        <v>-36.514029388465531</v>
      </c>
      <c r="D2753" s="7">
        <f>SUMPRODUCT($C$4:$X$4,'batch tool'!$B2747:$W2747)+$Y$4</f>
        <v>-44.639843068043824</v>
      </c>
      <c r="E2753" s="7">
        <f>SUMPRODUCT($C$5:$X$5,'batch tool'!$B2747:$W2747)+$Y$5</f>
        <v>-51.578889182477603</v>
      </c>
      <c r="F2753" s="7">
        <f>SUMPRODUCT($C$6:$X$6,'batch tool'!$B2747:$W2747)+$Y$6</f>
        <v>-47.741473633885199</v>
      </c>
      <c r="G2753" s="7">
        <f>SUMPRODUCT($C$7:$X$7,'batch tool'!$B2747:$W2747)+$Y$7</f>
        <v>-19.739516238059196</v>
      </c>
      <c r="H2753" s="7">
        <f t="shared" si="86"/>
        <v>-19.739516238059196</v>
      </c>
      <c r="I2753">
        <f t="shared" si="87"/>
        <v>6</v>
      </c>
      <c r="J2753" t="str" cm="1">
        <f t="array" ref="J2753">INDEX($A$2:$A$7,I2753)</f>
        <v>Segment 6- Self-Conscious Male</v>
      </c>
    </row>
    <row r="2754" spans="1:10" x14ac:dyDescent="0.25">
      <c r="A2754" s="1">
        <f>'batch tool'!A2748</f>
        <v>0</v>
      </c>
      <c r="B2754" s="7">
        <f>SUMPRODUCT($C$2:$X$2,'batch tool'!$B2748:$W2748)+$Y$2</f>
        <v>-49.12272534143483</v>
      </c>
      <c r="C2754" s="7">
        <f>SUMPRODUCT($C$3:$X$3,'batch tool'!$B2748:$W2748)+$Y$3</f>
        <v>-36.514029388465531</v>
      </c>
      <c r="D2754" s="7">
        <f>SUMPRODUCT($C$4:$X$4,'batch tool'!$B2748:$W2748)+$Y$4</f>
        <v>-44.639843068043824</v>
      </c>
      <c r="E2754" s="7">
        <f>SUMPRODUCT($C$5:$X$5,'batch tool'!$B2748:$W2748)+$Y$5</f>
        <v>-51.578889182477603</v>
      </c>
      <c r="F2754" s="7">
        <f>SUMPRODUCT($C$6:$X$6,'batch tool'!$B2748:$W2748)+$Y$6</f>
        <v>-47.741473633885199</v>
      </c>
      <c r="G2754" s="7">
        <f>SUMPRODUCT($C$7:$X$7,'batch tool'!$B2748:$W2748)+$Y$7</f>
        <v>-19.739516238059196</v>
      </c>
      <c r="H2754" s="7">
        <f t="shared" si="86"/>
        <v>-19.739516238059196</v>
      </c>
      <c r="I2754">
        <f t="shared" si="87"/>
        <v>6</v>
      </c>
      <c r="J2754" t="str" cm="1">
        <f t="array" ref="J2754">INDEX($A$2:$A$7,I2754)</f>
        <v>Segment 6- Self-Conscious Male</v>
      </c>
    </row>
    <row r="2755" spans="1:10" x14ac:dyDescent="0.25">
      <c r="A2755" s="1">
        <f>'batch tool'!A2749</f>
        <v>0</v>
      </c>
      <c r="B2755" s="7">
        <f>SUMPRODUCT($C$2:$X$2,'batch tool'!$B2749:$W2749)+$Y$2</f>
        <v>-49.12272534143483</v>
      </c>
      <c r="C2755" s="7">
        <f>SUMPRODUCT($C$3:$X$3,'batch tool'!$B2749:$W2749)+$Y$3</f>
        <v>-36.514029388465531</v>
      </c>
      <c r="D2755" s="7">
        <f>SUMPRODUCT($C$4:$X$4,'batch tool'!$B2749:$W2749)+$Y$4</f>
        <v>-44.639843068043824</v>
      </c>
      <c r="E2755" s="7">
        <f>SUMPRODUCT($C$5:$X$5,'batch tool'!$B2749:$W2749)+$Y$5</f>
        <v>-51.578889182477603</v>
      </c>
      <c r="F2755" s="7">
        <f>SUMPRODUCT($C$6:$X$6,'batch tool'!$B2749:$W2749)+$Y$6</f>
        <v>-47.741473633885199</v>
      </c>
      <c r="G2755" s="7">
        <f>SUMPRODUCT($C$7:$X$7,'batch tool'!$B2749:$W2749)+$Y$7</f>
        <v>-19.739516238059196</v>
      </c>
      <c r="H2755" s="7">
        <f t="shared" si="86"/>
        <v>-19.739516238059196</v>
      </c>
      <c r="I2755">
        <f t="shared" si="87"/>
        <v>6</v>
      </c>
      <c r="J2755" t="str" cm="1">
        <f t="array" ref="J2755">INDEX($A$2:$A$7,I2755)</f>
        <v>Segment 6- Self-Conscious Male</v>
      </c>
    </row>
    <row r="2756" spans="1:10" x14ac:dyDescent="0.25">
      <c r="A2756" s="1">
        <f>'batch tool'!A2750</f>
        <v>0</v>
      </c>
      <c r="B2756" s="7">
        <f>SUMPRODUCT($C$2:$X$2,'batch tool'!$B2750:$W2750)+$Y$2</f>
        <v>-49.12272534143483</v>
      </c>
      <c r="C2756" s="7">
        <f>SUMPRODUCT($C$3:$X$3,'batch tool'!$B2750:$W2750)+$Y$3</f>
        <v>-36.514029388465531</v>
      </c>
      <c r="D2756" s="7">
        <f>SUMPRODUCT($C$4:$X$4,'batch tool'!$B2750:$W2750)+$Y$4</f>
        <v>-44.639843068043824</v>
      </c>
      <c r="E2756" s="7">
        <f>SUMPRODUCT($C$5:$X$5,'batch tool'!$B2750:$W2750)+$Y$5</f>
        <v>-51.578889182477603</v>
      </c>
      <c r="F2756" s="7">
        <f>SUMPRODUCT($C$6:$X$6,'batch tool'!$B2750:$W2750)+$Y$6</f>
        <v>-47.741473633885199</v>
      </c>
      <c r="G2756" s="7">
        <f>SUMPRODUCT($C$7:$X$7,'batch tool'!$B2750:$W2750)+$Y$7</f>
        <v>-19.739516238059196</v>
      </c>
      <c r="H2756" s="7">
        <f t="shared" si="86"/>
        <v>-19.739516238059196</v>
      </c>
      <c r="I2756">
        <f t="shared" si="87"/>
        <v>6</v>
      </c>
      <c r="J2756" t="str" cm="1">
        <f t="array" ref="J2756">INDEX($A$2:$A$7,I2756)</f>
        <v>Segment 6- Self-Conscious Male</v>
      </c>
    </row>
    <row r="2757" spans="1:10" x14ac:dyDescent="0.25">
      <c r="A2757" s="1">
        <f>'batch tool'!A2751</f>
        <v>0</v>
      </c>
      <c r="B2757" s="7">
        <f>SUMPRODUCT($C$2:$X$2,'batch tool'!$B2751:$W2751)+$Y$2</f>
        <v>-49.12272534143483</v>
      </c>
      <c r="C2757" s="7">
        <f>SUMPRODUCT($C$3:$X$3,'batch tool'!$B2751:$W2751)+$Y$3</f>
        <v>-36.514029388465531</v>
      </c>
      <c r="D2757" s="7">
        <f>SUMPRODUCT($C$4:$X$4,'batch tool'!$B2751:$W2751)+$Y$4</f>
        <v>-44.639843068043824</v>
      </c>
      <c r="E2757" s="7">
        <f>SUMPRODUCT($C$5:$X$5,'batch tool'!$B2751:$W2751)+$Y$5</f>
        <v>-51.578889182477603</v>
      </c>
      <c r="F2757" s="7">
        <f>SUMPRODUCT($C$6:$X$6,'batch tool'!$B2751:$W2751)+$Y$6</f>
        <v>-47.741473633885199</v>
      </c>
      <c r="G2757" s="7">
        <f>SUMPRODUCT($C$7:$X$7,'batch tool'!$B2751:$W2751)+$Y$7</f>
        <v>-19.739516238059196</v>
      </c>
      <c r="H2757" s="7">
        <f t="shared" si="86"/>
        <v>-19.739516238059196</v>
      </c>
      <c r="I2757">
        <f t="shared" si="87"/>
        <v>6</v>
      </c>
      <c r="J2757" t="str" cm="1">
        <f t="array" ref="J2757">INDEX($A$2:$A$7,I2757)</f>
        <v>Segment 6- Self-Conscious Male</v>
      </c>
    </row>
    <row r="2758" spans="1:10" x14ac:dyDescent="0.25">
      <c r="A2758" s="1">
        <f>'batch tool'!A2752</f>
        <v>0</v>
      </c>
      <c r="B2758" s="7">
        <f>SUMPRODUCT($C$2:$X$2,'batch tool'!$B2752:$W2752)+$Y$2</f>
        <v>-49.12272534143483</v>
      </c>
      <c r="C2758" s="7">
        <f>SUMPRODUCT($C$3:$X$3,'batch tool'!$B2752:$W2752)+$Y$3</f>
        <v>-36.514029388465531</v>
      </c>
      <c r="D2758" s="7">
        <f>SUMPRODUCT($C$4:$X$4,'batch tool'!$B2752:$W2752)+$Y$4</f>
        <v>-44.639843068043824</v>
      </c>
      <c r="E2758" s="7">
        <f>SUMPRODUCT($C$5:$X$5,'batch tool'!$B2752:$W2752)+$Y$5</f>
        <v>-51.578889182477603</v>
      </c>
      <c r="F2758" s="7">
        <f>SUMPRODUCT($C$6:$X$6,'batch tool'!$B2752:$W2752)+$Y$6</f>
        <v>-47.741473633885199</v>
      </c>
      <c r="G2758" s="7">
        <f>SUMPRODUCT($C$7:$X$7,'batch tool'!$B2752:$W2752)+$Y$7</f>
        <v>-19.739516238059196</v>
      </c>
      <c r="H2758" s="7">
        <f t="shared" si="86"/>
        <v>-19.739516238059196</v>
      </c>
      <c r="I2758">
        <f t="shared" si="87"/>
        <v>6</v>
      </c>
      <c r="J2758" t="str" cm="1">
        <f t="array" ref="J2758">INDEX($A$2:$A$7,I2758)</f>
        <v>Segment 6- Self-Conscious Male</v>
      </c>
    </row>
    <row r="2759" spans="1:10" x14ac:dyDescent="0.25">
      <c r="A2759" s="1">
        <f>'batch tool'!A2753</f>
        <v>0</v>
      </c>
      <c r="B2759" s="7">
        <f>SUMPRODUCT($C$2:$X$2,'batch tool'!$B2753:$W2753)+$Y$2</f>
        <v>-49.12272534143483</v>
      </c>
      <c r="C2759" s="7">
        <f>SUMPRODUCT($C$3:$X$3,'batch tool'!$B2753:$W2753)+$Y$3</f>
        <v>-36.514029388465531</v>
      </c>
      <c r="D2759" s="7">
        <f>SUMPRODUCT($C$4:$X$4,'batch tool'!$B2753:$W2753)+$Y$4</f>
        <v>-44.639843068043824</v>
      </c>
      <c r="E2759" s="7">
        <f>SUMPRODUCT($C$5:$X$5,'batch tool'!$B2753:$W2753)+$Y$5</f>
        <v>-51.578889182477603</v>
      </c>
      <c r="F2759" s="7">
        <f>SUMPRODUCT($C$6:$X$6,'batch tool'!$B2753:$W2753)+$Y$6</f>
        <v>-47.741473633885199</v>
      </c>
      <c r="G2759" s="7">
        <f>SUMPRODUCT($C$7:$X$7,'batch tool'!$B2753:$W2753)+$Y$7</f>
        <v>-19.739516238059196</v>
      </c>
      <c r="H2759" s="7">
        <f t="shared" si="86"/>
        <v>-19.739516238059196</v>
      </c>
      <c r="I2759">
        <f t="shared" si="87"/>
        <v>6</v>
      </c>
      <c r="J2759" t="str" cm="1">
        <f t="array" ref="J2759">INDEX($A$2:$A$7,I2759)</f>
        <v>Segment 6- Self-Conscious Male</v>
      </c>
    </row>
    <row r="2760" spans="1:10" x14ac:dyDescent="0.25">
      <c r="A2760" s="1">
        <f>'batch tool'!A2754</f>
        <v>0</v>
      </c>
      <c r="B2760" s="7">
        <f>SUMPRODUCT($C$2:$X$2,'batch tool'!$B2754:$W2754)+$Y$2</f>
        <v>-49.12272534143483</v>
      </c>
      <c r="C2760" s="7">
        <f>SUMPRODUCT($C$3:$X$3,'batch tool'!$B2754:$W2754)+$Y$3</f>
        <v>-36.514029388465531</v>
      </c>
      <c r="D2760" s="7">
        <f>SUMPRODUCT($C$4:$X$4,'batch tool'!$B2754:$W2754)+$Y$4</f>
        <v>-44.639843068043824</v>
      </c>
      <c r="E2760" s="7">
        <f>SUMPRODUCT($C$5:$X$5,'batch tool'!$B2754:$W2754)+$Y$5</f>
        <v>-51.578889182477603</v>
      </c>
      <c r="F2760" s="7">
        <f>SUMPRODUCT($C$6:$X$6,'batch tool'!$B2754:$W2754)+$Y$6</f>
        <v>-47.741473633885199</v>
      </c>
      <c r="G2760" s="7">
        <f>SUMPRODUCT($C$7:$X$7,'batch tool'!$B2754:$W2754)+$Y$7</f>
        <v>-19.739516238059196</v>
      </c>
      <c r="H2760" s="7">
        <f t="shared" si="86"/>
        <v>-19.739516238059196</v>
      </c>
      <c r="I2760">
        <f t="shared" si="87"/>
        <v>6</v>
      </c>
      <c r="J2760" t="str" cm="1">
        <f t="array" ref="J2760">INDEX($A$2:$A$7,I2760)</f>
        <v>Segment 6- Self-Conscious Male</v>
      </c>
    </row>
    <row r="2761" spans="1:10" x14ac:dyDescent="0.25">
      <c r="A2761" s="1">
        <f>'batch tool'!A2755</f>
        <v>0</v>
      </c>
      <c r="B2761" s="7">
        <f>SUMPRODUCT($C$2:$X$2,'batch tool'!$B2755:$W2755)+$Y$2</f>
        <v>-49.12272534143483</v>
      </c>
      <c r="C2761" s="7">
        <f>SUMPRODUCT($C$3:$X$3,'batch tool'!$B2755:$W2755)+$Y$3</f>
        <v>-36.514029388465531</v>
      </c>
      <c r="D2761" s="7">
        <f>SUMPRODUCT($C$4:$X$4,'batch tool'!$B2755:$W2755)+$Y$4</f>
        <v>-44.639843068043824</v>
      </c>
      <c r="E2761" s="7">
        <f>SUMPRODUCT($C$5:$X$5,'batch tool'!$B2755:$W2755)+$Y$5</f>
        <v>-51.578889182477603</v>
      </c>
      <c r="F2761" s="7">
        <f>SUMPRODUCT($C$6:$X$6,'batch tool'!$B2755:$W2755)+$Y$6</f>
        <v>-47.741473633885199</v>
      </c>
      <c r="G2761" s="7">
        <f>SUMPRODUCT($C$7:$X$7,'batch tool'!$B2755:$W2755)+$Y$7</f>
        <v>-19.739516238059196</v>
      </c>
      <c r="H2761" s="7">
        <f t="shared" si="86"/>
        <v>-19.739516238059196</v>
      </c>
      <c r="I2761">
        <f t="shared" si="87"/>
        <v>6</v>
      </c>
      <c r="J2761" t="str" cm="1">
        <f t="array" ref="J2761">INDEX($A$2:$A$7,I2761)</f>
        <v>Segment 6- Self-Conscious Male</v>
      </c>
    </row>
    <row r="2762" spans="1:10" x14ac:dyDescent="0.25">
      <c r="A2762" s="1">
        <f>'batch tool'!A2756</f>
        <v>0</v>
      </c>
      <c r="B2762" s="7">
        <f>SUMPRODUCT($C$2:$X$2,'batch tool'!$B2756:$W2756)+$Y$2</f>
        <v>-49.12272534143483</v>
      </c>
      <c r="C2762" s="7">
        <f>SUMPRODUCT($C$3:$X$3,'batch tool'!$B2756:$W2756)+$Y$3</f>
        <v>-36.514029388465531</v>
      </c>
      <c r="D2762" s="7">
        <f>SUMPRODUCT($C$4:$X$4,'batch tool'!$B2756:$W2756)+$Y$4</f>
        <v>-44.639843068043824</v>
      </c>
      <c r="E2762" s="7">
        <f>SUMPRODUCT($C$5:$X$5,'batch tool'!$B2756:$W2756)+$Y$5</f>
        <v>-51.578889182477603</v>
      </c>
      <c r="F2762" s="7">
        <f>SUMPRODUCT($C$6:$X$6,'batch tool'!$B2756:$W2756)+$Y$6</f>
        <v>-47.741473633885199</v>
      </c>
      <c r="G2762" s="7">
        <f>SUMPRODUCT($C$7:$X$7,'batch tool'!$B2756:$W2756)+$Y$7</f>
        <v>-19.739516238059196</v>
      </c>
      <c r="H2762" s="7">
        <f t="shared" si="86"/>
        <v>-19.739516238059196</v>
      </c>
      <c r="I2762">
        <f t="shared" si="87"/>
        <v>6</v>
      </c>
      <c r="J2762" t="str" cm="1">
        <f t="array" ref="J2762">INDEX($A$2:$A$7,I2762)</f>
        <v>Segment 6- Self-Conscious Male</v>
      </c>
    </row>
    <row r="2763" spans="1:10" x14ac:dyDescent="0.25">
      <c r="A2763" s="1">
        <f>'batch tool'!A2757</f>
        <v>0</v>
      </c>
      <c r="B2763" s="7">
        <f>SUMPRODUCT($C$2:$X$2,'batch tool'!$B2757:$W2757)+$Y$2</f>
        <v>-49.12272534143483</v>
      </c>
      <c r="C2763" s="7">
        <f>SUMPRODUCT($C$3:$X$3,'batch tool'!$B2757:$W2757)+$Y$3</f>
        <v>-36.514029388465531</v>
      </c>
      <c r="D2763" s="7">
        <f>SUMPRODUCT($C$4:$X$4,'batch tool'!$B2757:$W2757)+$Y$4</f>
        <v>-44.639843068043824</v>
      </c>
      <c r="E2763" s="7">
        <f>SUMPRODUCT($C$5:$X$5,'batch tool'!$B2757:$W2757)+$Y$5</f>
        <v>-51.578889182477603</v>
      </c>
      <c r="F2763" s="7">
        <f>SUMPRODUCT($C$6:$X$6,'batch tool'!$B2757:$W2757)+$Y$6</f>
        <v>-47.741473633885199</v>
      </c>
      <c r="G2763" s="7">
        <f>SUMPRODUCT($C$7:$X$7,'batch tool'!$B2757:$W2757)+$Y$7</f>
        <v>-19.739516238059196</v>
      </c>
      <c r="H2763" s="7">
        <f t="shared" si="86"/>
        <v>-19.739516238059196</v>
      </c>
      <c r="I2763">
        <f t="shared" si="87"/>
        <v>6</v>
      </c>
      <c r="J2763" t="str" cm="1">
        <f t="array" ref="J2763">INDEX($A$2:$A$7,I2763)</f>
        <v>Segment 6- Self-Conscious Male</v>
      </c>
    </row>
    <row r="2764" spans="1:10" x14ac:dyDescent="0.25">
      <c r="A2764" s="1">
        <f>'batch tool'!A2758</f>
        <v>0</v>
      </c>
      <c r="B2764" s="7">
        <f>SUMPRODUCT($C$2:$X$2,'batch tool'!$B2758:$W2758)+$Y$2</f>
        <v>-49.12272534143483</v>
      </c>
      <c r="C2764" s="7">
        <f>SUMPRODUCT($C$3:$X$3,'batch tool'!$B2758:$W2758)+$Y$3</f>
        <v>-36.514029388465531</v>
      </c>
      <c r="D2764" s="7">
        <f>SUMPRODUCT($C$4:$X$4,'batch tool'!$B2758:$W2758)+$Y$4</f>
        <v>-44.639843068043824</v>
      </c>
      <c r="E2764" s="7">
        <f>SUMPRODUCT($C$5:$X$5,'batch tool'!$B2758:$W2758)+$Y$5</f>
        <v>-51.578889182477603</v>
      </c>
      <c r="F2764" s="7">
        <f>SUMPRODUCT($C$6:$X$6,'batch tool'!$B2758:$W2758)+$Y$6</f>
        <v>-47.741473633885199</v>
      </c>
      <c r="G2764" s="7">
        <f>SUMPRODUCT($C$7:$X$7,'batch tool'!$B2758:$W2758)+$Y$7</f>
        <v>-19.739516238059196</v>
      </c>
      <c r="H2764" s="7">
        <f t="shared" si="86"/>
        <v>-19.739516238059196</v>
      </c>
      <c r="I2764">
        <f t="shared" si="87"/>
        <v>6</v>
      </c>
      <c r="J2764" t="str" cm="1">
        <f t="array" ref="J2764">INDEX($A$2:$A$7,I2764)</f>
        <v>Segment 6- Self-Conscious Male</v>
      </c>
    </row>
    <row r="2765" spans="1:10" x14ac:dyDescent="0.25">
      <c r="A2765" s="1">
        <f>'batch tool'!A2759</f>
        <v>0</v>
      </c>
      <c r="B2765" s="7">
        <f>SUMPRODUCT($C$2:$X$2,'batch tool'!$B2759:$W2759)+$Y$2</f>
        <v>-49.12272534143483</v>
      </c>
      <c r="C2765" s="7">
        <f>SUMPRODUCT($C$3:$X$3,'batch tool'!$B2759:$W2759)+$Y$3</f>
        <v>-36.514029388465531</v>
      </c>
      <c r="D2765" s="7">
        <f>SUMPRODUCT($C$4:$X$4,'batch tool'!$B2759:$W2759)+$Y$4</f>
        <v>-44.639843068043824</v>
      </c>
      <c r="E2765" s="7">
        <f>SUMPRODUCT($C$5:$X$5,'batch tool'!$B2759:$W2759)+$Y$5</f>
        <v>-51.578889182477603</v>
      </c>
      <c r="F2765" s="7">
        <f>SUMPRODUCT($C$6:$X$6,'batch tool'!$B2759:$W2759)+$Y$6</f>
        <v>-47.741473633885199</v>
      </c>
      <c r="G2765" s="7">
        <f>SUMPRODUCT($C$7:$X$7,'batch tool'!$B2759:$W2759)+$Y$7</f>
        <v>-19.739516238059196</v>
      </c>
      <c r="H2765" s="7">
        <f t="shared" si="86"/>
        <v>-19.739516238059196</v>
      </c>
      <c r="I2765">
        <f t="shared" si="87"/>
        <v>6</v>
      </c>
      <c r="J2765" t="str" cm="1">
        <f t="array" ref="J2765">INDEX($A$2:$A$7,I2765)</f>
        <v>Segment 6- Self-Conscious Male</v>
      </c>
    </row>
    <row r="2766" spans="1:10" x14ac:dyDescent="0.25">
      <c r="A2766" s="1">
        <f>'batch tool'!A2760</f>
        <v>0</v>
      </c>
      <c r="B2766" s="7">
        <f>SUMPRODUCT($C$2:$X$2,'batch tool'!$B2760:$W2760)+$Y$2</f>
        <v>-49.12272534143483</v>
      </c>
      <c r="C2766" s="7">
        <f>SUMPRODUCT($C$3:$X$3,'batch tool'!$B2760:$W2760)+$Y$3</f>
        <v>-36.514029388465531</v>
      </c>
      <c r="D2766" s="7">
        <f>SUMPRODUCT($C$4:$X$4,'batch tool'!$B2760:$W2760)+$Y$4</f>
        <v>-44.639843068043824</v>
      </c>
      <c r="E2766" s="7">
        <f>SUMPRODUCT($C$5:$X$5,'batch tool'!$B2760:$W2760)+$Y$5</f>
        <v>-51.578889182477603</v>
      </c>
      <c r="F2766" s="7">
        <f>SUMPRODUCT($C$6:$X$6,'batch tool'!$B2760:$W2760)+$Y$6</f>
        <v>-47.741473633885199</v>
      </c>
      <c r="G2766" s="7">
        <f>SUMPRODUCT($C$7:$X$7,'batch tool'!$B2760:$W2760)+$Y$7</f>
        <v>-19.739516238059196</v>
      </c>
      <c r="H2766" s="7">
        <f t="shared" si="86"/>
        <v>-19.739516238059196</v>
      </c>
      <c r="I2766">
        <f t="shared" si="87"/>
        <v>6</v>
      </c>
      <c r="J2766" t="str" cm="1">
        <f t="array" ref="J2766">INDEX($A$2:$A$7,I2766)</f>
        <v>Segment 6- Self-Conscious Male</v>
      </c>
    </row>
    <row r="2767" spans="1:10" x14ac:dyDescent="0.25">
      <c r="A2767" s="1">
        <f>'batch tool'!A2761</f>
        <v>0</v>
      </c>
      <c r="B2767" s="7">
        <f>SUMPRODUCT($C$2:$X$2,'batch tool'!$B2761:$W2761)+$Y$2</f>
        <v>-49.12272534143483</v>
      </c>
      <c r="C2767" s="7">
        <f>SUMPRODUCT($C$3:$X$3,'batch tool'!$B2761:$W2761)+$Y$3</f>
        <v>-36.514029388465531</v>
      </c>
      <c r="D2767" s="7">
        <f>SUMPRODUCT($C$4:$X$4,'batch tool'!$B2761:$W2761)+$Y$4</f>
        <v>-44.639843068043824</v>
      </c>
      <c r="E2767" s="7">
        <f>SUMPRODUCT($C$5:$X$5,'batch tool'!$B2761:$W2761)+$Y$5</f>
        <v>-51.578889182477603</v>
      </c>
      <c r="F2767" s="7">
        <f>SUMPRODUCT($C$6:$X$6,'batch tool'!$B2761:$W2761)+$Y$6</f>
        <v>-47.741473633885199</v>
      </c>
      <c r="G2767" s="7">
        <f>SUMPRODUCT($C$7:$X$7,'batch tool'!$B2761:$W2761)+$Y$7</f>
        <v>-19.739516238059196</v>
      </c>
      <c r="H2767" s="7">
        <f t="shared" si="86"/>
        <v>-19.739516238059196</v>
      </c>
      <c r="I2767">
        <f t="shared" si="87"/>
        <v>6</v>
      </c>
      <c r="J2767" t="str" cm="1">
        <f t="array" ref="J2767">INDEX($A$2:$A$7,I2767)</f>
        <v>Segment 6- Self-Conscious Male</v>
      </c>
    </row>
    <row r="2768" spans="1:10" x14ac:dyDescent="0.25">
      <c r="A2768" s="1">
        <f>'batch tool'!A2762</f>
        <v>0</v>
      </c>
      <c r="B2768" s="7">
        <f>SUMPRODUCT($C$2:$X$2,'batch tool'!$B2762:$W2762)+$Y$2</f>
        <v>-49.12272534143483</v>
      </c>
      <c r="C2768" s="7">
        <f>SUMPRODUCT($C$3:$X$3,'batch tool'!$B2762:$W2762)+$Y$3</f>
        <v>-36.514029388465531</v>
      </c>
      <c r="D2768" s="7">
        <f>SUMPRODUCT($C$4:$X$4,'batch tool'!$B2762:$W2762)+$Y$4</f>
        <v>-44.639843068043824</v>
      </c>
      <c r="E2768" s="7">
        <f>SUMPRODUCT($C$5:$X$5,'batch tool'!$B2762:$W2762)+$Y$5</f>
        <v>-51.578889182477603</v>
      </c>
      <c r="F2768" s="7">
        <f>SUMPRODUCT($C$6:$X$6,'batch tool'!$B2762:$W2762)+$Y$6</f>
        <v>-47.741473633885199</v>
      </c>
      <c r="G2768" s="7">
        <f>SUMPRODUCT($C$7:$X$7,'batch tool'!$B2762:$W2762)+$Y$7</f>
        <v>-19.739516238059196</v>
      </c>
      <c r="H2768" s="7">
        <f t="shared" si="86"/>
        <v>-19.739516238059196</v>
      </c>
      <c r="I2768">
        <f t="shared" si="87"/>
        <v>6</v>
      </c>
      <c r="J2768" t="str" cm="1">
        <f t="array" ref="J2768">INDEX($A$2:$A$7,I2768)</f>
        <v>Segment 6- Self-Conscious Male</v>
      </c>
    </row>
    <row r="2769" spans="1:10" x14ac:dyDescent="0.25">
      <c r="A2769" s="1">
        <f>'batch tool'!A2763</f>
        <v>0</v>
      </c>
      <c r="B2769" s="7">
        <f>SUMPRODUCT($C$2:$X$2,'batch tool'!$B2763:$W2763)+$Y$2</f>
        <v>-49.12272534143483</v>
      </c>
      <c r="C2769" s="7">
        <f>SUMPRODUCT($C$3:$X$3,'batch tool'!$B2763:$W2763)+$Y$3</f>
        <v>-36.514029388465531</v>
      </c>
      <c r="D2769" s="7">
        <f>SUMPRODUCT($C$4:$X$4,'batch tool'!$B2763:$W2763)+$Y$4</f>
        <v>-44.639843068043824</v>
      </c>
      <c r="E2769" s="7">
        <f>SUMPRODUCT($C$5:$X$5,'batch tool'!$B2763:$W2763)+$Y$5</f>
        <v>-51.578889182477603</v>
      </c>
      <c r="F2769" s="7">
        <f>SUMPRODUCT($C$6:$X$6,'batch tool'!$B2763:$W2763)+$Y$6</f>
        <v>-47.741473633885199</v>
      </c>
      <c r="G2769" s="7">
        <f>SUMPRODUCT($C$7:$X$7,'batch tool'!$B2763:$W2763)+$Y$7</f>
        <v>-19.739516238059196</v>
      </c>
      <c r="H2769" s="7">
        <f t="shared" si="86"/>
        <v>-19.739516238059196</v>
      </c>
      <c r="I2769">
        <f t="shared" si="87"/>
        <v>6</v>
      </c>
      <c r="J2769" t="str" cm="1">
        <f t="array" ref="J2769">INDEX($A$2:$A$7,I2769)</f>
        <v>Segment 6- Self-Conscious Male</v>
      </c>
    </row>
    <row r="2770" spans="1:10" x14ac:dyDescent="0.25">
      <c r="A2770" s="1">
        <f>'batch tool'!A2764</f>
        <v>0</v>
      </c>
      <c r="B2770" s="7">
        <f>SUMPRODUCT($C$2:$X$2,'batch tool'!$B2764:$W2764)+$Y$2</f>
        <v>-49.12272534143483</v>
      </c>
      <c r="C2770" s="7">
        <f>SUMPRODUCT($C$3:$X$3,'batch tool'!$B2764:$W2764)+$Y$3</f>
        <v>-36.514029388465531</v>
      </c>
      <c r="D2770" s="7">
        <f>SUMPRODUCT($C$4:$X$4,'batch tool'!$B2764:$W2764)+$Y$4</f>
        <v>-44.639843068043824</v>
      </c>
      <c r="E2770" s="7">
        <f>SUMPRODUCT($C$5:$X$5,'batch tool'!$B2764:$W2764)+$Y$5</f>
        <v>-51.578889182477603</v>
      </c>
      <c r="F2770" s="7">
        <f>SUMPRODUCT($C$6:$X$6,'batch tool'!$B2764:$W2764)+$Y$6</f>
        <v>-47.741473633885199</v>
      </c>
      <c r="G2770" s="7">
        <f>SUMPRODUCT($C$7:$X$7,'batch tool'!$B2764:$W2764)+$Y$7</f>
        <v>-19.739516238059196</v>
      </c>
      <c r="H2770" s="7">
        <f t="shared" si="86"/>
        <v>-19.739516238059196</v>
      </c>
      <c r="I2770">
        <f t="shared" si="87"/>
        <v>6</v>
      </c>
      <c r="J2770" t="str" cm="1">
        <f t="array" ref="J2770">INDEX($A$2:$A$7,I2770)</f>
        <v>Segment 6- Self-Conscious Male</v>
      </c>
    </row>
    <row r="2771" spans="1:10" x14ac:dyDescent="0.25">
      <c r="A2771" s="1">
        <f>'batch tool'!A2765</f>
        <v>0</v>
      </c>
      <c r="B2771" s="7">
        <f>SUMPRODUCT($C$2:$X$2,'batch tool'!$B2765:$W2765)+$Y$2</f>
        <v>-49.12272534143483</v>
      </c>
      <c r="C2771" s="7">
        <f>SUMPRODUCT($C$3:$X$3,'batch tool'!$B2765:$W2765)+$Y$3</f>
        <v>-36.514029388465531</v>
      </c>
      <c r="D2771" s="7">
        <f>SUMPRODUCT($C$4:$X$4,'batch tool'!$B2765:$W2765)+$Y$4</f>
        <v>-44.639843068043824</v>
      </c>
      <c r="E2771" s="7">
        <f>SUMPRODUCT($C$5:$X$5,'batch tool'!$B2765:$W2765)+$Y$5</f>
        <v>-51.578889182477603</v>
      </c>
      <c r="F2771" s="7">
        <f>SUMPRODUCT($C$6:$X$6,'batch tool'!$B2765:$W2765)+$Y$6</f>
        <v>-47.741473633885199</v>
      </c>
      <c r="G2771" s="7">
        <f>SUMPRODUCT($C$7:$X$7,'batch tool'!$B2765:$W2765)+$Y$7</f>
        <v>-19.739516238059196</v>
      </c>
      <c r="H2771" s="7">
        <f t="shared" si="86"/>
        <v>-19.739516238059196</v>
      </c>
      <c r="I2771">
        <f t="shared" si="87"/>
        <v>6</v>
      </c>
      <c r="J2771" t="str" cm="1">
        <f t="array" ref="J2771">INDEX($A$2:$A$7,I2771)</f>
        <v>Segment 6- Self-Conscious Male</v>
      </c>
    </row>
    <row r="2772" spans="1:10" x14ac:dyDescent="0.25">
      <c r="A2772" s="1">
        <f>'batch tool'!A2766</f>
        <v>0</v>
      </c>
      <c r="B2772" s="7">
        <f>SUMPRODUCT($C$2:$X$2,'batch tool'!$B2766:$W2766)+$Y$2</f>
        <v>-49.12272534143483</v>
      </c>
      <c r="C2772" s="7">
        <f>SUMPRODUCT($C$3:$X$3,'batch tool'!$B2766:$W2766)+$Y$3</f>
        <v>-36.514029388465531</v>
      </c>
      <c r="D2772" s="7">
        <f>SUMPRODUCT($C$4:$X$4,'batch tool'!$B2766:$W2766)+$Y$4</f>
        <v>-44.639843068043824</v>
      </c>
      <c r="E2772" s="7">
        <f>SUMPRODUCT($C$5:$X$5,'batch tool'!$B2766:$W2766)+$Y$5</f>
        <v>-51.578889182477603</v>
      </c>
      <c r="F2772" s="7">
        <f>SUMPRODUCT($C$6:$X$6,'batch tool'!$B2766:$W2766)+$Y$6</f>
        <v>-47.741473633885199</v>
      </c>
      <c r="G2772" s="7">
        <f>SUMPRODUCT($C$7:$X$7,'batch tool'!$B2766:$W2766)+$Y$7</f>
        <v>-19.739516238059196</v>
      </c>
      <c r="H2772" s="7">
        <f t="shared" si="86"/>
        <v>-19.739516238059196</v>
      </c>
      <c r="I2772">
        <f t="shared" si="87"/>
        <v>6</v>
      </c>
      <c r="J2772" t="str" cm="1">
        <f t="array" ref="J2772">INDEX($A$2:$A$7,I2772)</f>
        <v>Segment 6- Self-Conscious Male</v>
      </c>
    </row>
    <row r="2773" spans="1:10" x14ac:dyDescent="0.25">
      <c r="A2773" s="1">
        <f>'batch tool'!A2767</f>
        <v>0</v>
      </c>
      <c r="B2773" s="7">
        <f>SUMPRODUCT($C$2:$X$2,'batch tool'!$B2767:$W2767)+$Y$2</f>
        <v>-49.12272534143483</v>
      </c>
      <c r="C2773" s="7">
        <f>SUMPRODUCT($C$3:$X$3,'batch tool'!$B2767:$W2767)+$Y$3</f>
        <v>-36.514029388465531</v>
      </c>
      <c r="D2773" s="7">
        <f>SUMPRODUCT($C$4:$X$4,'batch tool'!$B2767:$W2767)+$Y$4</f>
        <v>-44.639843068043824</v>
      </c>
      <c r="E2773" s="7">
        <f>SUMPRODUCT($C$5:$X$5,'batch tool'!$B2767:$W2767)+$Y$5</f>
        <v>-51.578889182477603</v>
      </c>
      <c r="F2773" s="7">
        <f>SUMPRODUCT($C$6:$X$6,'batch tool'!$B2767:$W2767)+$Y$6</f>
        <v>-47.741473633885199</v>
      </c>
      <c r="G2773" s="7">
        <f>SUMPRODUCT($C$7:$X$7,'batch tool'!$B2767:$W2767)+$Y$7</f>
        <v>-19.739516238059196</v>
      </c>
      <c r="H2773" s="7">
        <f t="shared" si="86"/>
        <v>-19.739516238059196</v>
      </c>
      <c r="I2773">
        <f t="shared" si="87"/>
        <v>6</v>
      </c>
      <c r="J2773" t="str" cm="1">
        <f t="array" ref="J2773">INDEX($A$2:$A$7,I2773)</f>
        <v>Segment 6- Self-Conscious Male</v>
      </c>
    </row>
    <row r="2774" spans="1:10" x14ac:dyDescent="0.25">
      <c r="A2774" s="1">
        <f>'batch tool'!A2768</f>
        <v>0</v>
      </c>
      <c r="B2774" s="7">
        <f>SUMPRODUCT($C$2:$X$2,'batch tool'!$B2768:$W2768)+$Y$2</f>
        <v>-49.12272534143483</v>
      </c>
      <c r="C2774" s="7">
        <f>SUMPRODUCT($C$3:$X$3,'batch tool'!$B2768:$W2768)+$Y$3</f>
        <v>-36.514029388465531</v>
      </c>
      <c r="D2774" s="7">
        <f>SUMPRODUCT($C$4:$X$4,'batch tool'!$B2768:$W2768)+$Y$4</f>
        <v>-44.639843068043824</v>
      </c>
      <c r="E2774" s="7">
        <f>SUMPRODUCT($C$5:$X$5,'batch tool'!$B2768:$W2768)+$Y$5</f>
        <v>-51.578889182477603</v>
      </c>
      <c r="F2774" s="7">
        <f>SUMPRODUCT($C$6:$X$6,'batch tool'!$B2768:$W2768)+$Y$6</f>
        <v>-47.741473633885199</v>
      </c>
      <c r="G2774" s="7">
        <f>SUMPRODUCT($C$7:$X$7,'batch tool'!$B2768:$W2768)+$Y$7</f>
        <v>-19.739516238059196</v>
      </c>
      <c r="H2774" s="7">
        <f t="shared" si="86"/>
        <v>-19.739516238059196</v>
      </c>
      <c r="I2774">
        <f t="shared" si="87"/>
        <v>6</v>
      </c>
      <c r="J2774" t="str" cm="1">
        <f t="array" ref="J2774">INDEX($A$2:$A$7,I2774)</f>
        <v>Segment 6- Self-Conscious Male</v>
      </c>
    </row>
    <row r="2775" spans="1:10" x14ac:dyDescent="0.25">
      <c r="A2775" s="1">
        <f>'batch tool'!A2769</f>
        <v>0</v>
      </c>
      <c r="B2775" s="7">
        <f>SUMPRODUCT($C$2:$X$2,'batch tool'!$B2769:$W2769)+$Y$2</f>
        <v>-49.12272534143483</v>
      </c>
      <c r="C2775" s="7">
        <f>SUMPRODUCT($C$3:$X$3,'batch tool'!$B2769:$W2769)+$Y$3</f>
        <v>-36.514029388465531</v>
      </c>
      <c r="D2775" s="7">
        <f>SUMPRODUCT($C$4:$X$4,'batch tool'!$B2769:$W2769)+$Y$4</f>
        <v>-44.639843068043824</v>
      </c>
      <c r="E2775" s="7">
        <f>SUMPRODUCT($C$5:$X$5,'batch tool'!$B2769:$W2769)+$Y$5</f>
        <v>-51.578889182477603</v>
      </c>
      <c r="F2775" s="7">
        <f>SUMPRODUCT($C$6:$X$6,'batch tool'!$B2769:$W2769)+$Y$6</f>
        <v>-47.741473633885199</v>
      </c>
      <c r="G2775" s="7">
        <f>SUMPRODUCT($C$7:$X$7,'batch tool'!$B2769:$W2769)+$Y$7</f>
        <v>-19.739516238059196</v>
      </c>
      <c r="H2775" s="7">
        <f t="shared" si="86"/>
        <v>-19.739516238059196</v>
      </c>
      <c r="I2775">
        <f t="shared" si="87"/>
        <v>6</v>
      </c>
      <c r="J2775" t="str" cm="1">
        <f t="array" ref="J2775">INDEX($A$2:$A$7,I2775)</f>
        <v>Segment 6- Self-Conscious Male</v>
      </c>
    </row>
    <row r="2776" spans="1:10" x14ac:dyDescent="0.25">
      <c r="A2776" s="1">
        <f>'batch tool'!A2770</f>
        <v>0</v>
      </c>
      <c r="B2776" s="7">
        <f>SUMPRODUCT($C$2:$X$2,'batch tool'!$B2770:$W2770)+$Y$2</f>
        <v>-49.12272534143483</v>
      </c>
      <c r="C2776" s="7">
        <f>SUMPRODUCT($C$3:$X$3,'batch tool'!$B2770:$W2770)+$Y$3</f>
        <v>-36.514029388465531</v>
      </c>
      <c r="D2776" s="7">
        <f>SUMPRODUCT($C$4:$X$4,'batch tool'!$B2770:$W2770)+$Y$4</f>
        <v>-44.639843068043824</v>
      </c>
      <c r="E2776" s="7">
        <f>SUMPRODUCT($C$5:$X$5,'batch tool'!$B2770:$W2770)+$Y$5</f>
        <v>-51.578889182477603</v>
      </c>
      <c r="F2776" s="7">
        <f>SUMPRODUCT($C$6:$X$6,'batch tool'!$B2770:$W2770)+$Y$6</f>
        <v>-47.741473633885199</v>
      </c>
      <c r="G2776" s="7">
        <f>SUMPRODUCT($C$7:$X$7,'batch tool'!$B2770:$W2770)+$Y$7</f>
        <v>-19.739516238059196</v>
      </c>
      <c r="H2776" s="7">
        <f t="shared" si="86"/>
        <v>-19.739516238059196</v>
      </c>
      <c r="I2776">
        <f t="shared" si="87"/>
        <v>6</v>
      </c>
      <c r="J2776" t="str" cm="1">
        <f t="array" ref="J2776">INDEX($A$2:$A$7,I2776)</f>
        <v>Segment 6- Self-Conscious Male</v>
      </c>
    </row>
    <row r="2777" spans="1:10" x14ac:dyDescent="0.25">
      <c r="A2777" s="1">
        <f>'batch tool'!A2771</f>
        <v>0</v>
      </c>
      <c r="B2777" s="7">
        <f>SUMPRODUCT($C$2:$X$2,'batch tool'!$B2771:$W2771)+$Y$2</f>
        <v>-49.12272534143483</v>
      </c>
      <c r="C2777" s="7">
        <f>SUMPRODUCT($C$3:$X$3,'batch tool'!$B2771:$W2771)+$Y$3</f>
        <v>-36.514029388465531</v>
      </c>
      <c r="D2777" s="7">
        <f>SUMPRODUCT($C$4:$X$4,'batch tool'!$B2771:$W2771)+$Y$4</f>
        <v>-44.639843068043824</v>
      </c>
      <c r="E2777" s="7">
        <f>SUMPRODUCT($C$5:$X$5,'batch tool'!$B2771:$W2771)+$Y$5</f>
        <v>-51.578889182477603</v>
      </c>
      <c r="F2777" s="7">
        <f>SUMPRODUCT($C$6:$X$6,'batch tool'!$B2771:$W2771)+$Y$6</f>
        <v>-47.741473633885199</v>
      </c>
      <c r="G2777" s="7">
        <f>SUMPRODUCT($C$7:$X$7,'batch tool'!$B2771:$W2771)+$Y$7</f>
        <v>-19.739516238059196</v>
      </c>
      <c r="H2777" s="7">
        <f t="shared" si="86"/>
        <v>-19.739516238059196</v>
      </c>
      <c r="I2777">
        <f t="shared" si="87"/>
        <v>6</v>
      </c>
      <c r="J2777" t="str" cm="1">
        <f t="array" ref="J2777">INDEX($A$2:$A$7,I2777)</f>
        <v>Segment 6- Self-Conscious Male</v>
      </c>
    </row>
    <row r="2778" spans="1:10" x14ac:dyDescent="0.25">
      <c r="A2778" s="1">
        <f>'batch tool'!A2772</f>
        <v>0</v>
      </c>
      <c r="B2778" s="7">
        <f>SUMPRODUCT($C$2:$X$2,'batch tool'!$B2772:$W2772)+$Y$2</f>
        <v>-49.12272534143483</v>
      </c>
      <c r="C2778" s="7">
        <f>SUMPRODUCT($C$3:$X$3,'batch tool'!$B2772:$W2772)+$Y$3</f>
        <v>-36.514029388465531</v>
      </c>
      <c r="D2778" s="7">
        <f>SUMPRODUCT($C$4:$X$4,'batch tool'!$B2772:$W2772)+$Y$4</f>
        <v>-44.639843068043824</v>
      </c>
      <c r="E2778" s="7">
        <f>SUMPRODUCT($C$5:$X$5,'batch tool'!$B2772:$W2772)+$Y$5</f>
        <v>-51.578889182477603</v>
      </c>
      <c r="F2778" s="7">
        <f>SUMPRODUCT($C$6:$X$6,'batch tool'!$B2772:$W2772)+$Y$6</f>
        <v>-47.741473633885199</v>
      </c>
      <c r="G2778" s="7">
        <f>SUMPRODUCT($C$7:$X$7,'batch tool'!$B2772:$W2772)+$Y$7</f>
        <v>-19.739516238059196</v>
      </c>
      <c r="H2778" s="7">
        <f t="shared" si="86"/>
        <v>-19.739516238059196</v>
      </c>
      <c r="I2778">
        <f t="shared" si="87"/>
        <v>6</v>
      </c>
      <c r="J2778" t="str" cm="1">
        <f t="array" ref="J2778">INDEX($A$2:$A$7,I2778)</f>
        <v>Segment 6- Self-Conscious Male</v>
      </c>
    </row>
    <row r="2779" spans="1:10" x14ac:dyDescent="0.25">
      <c r="A2779" s="1">
        <f>'batch tool'!A2773</f>
        <v>0</v>
      </c>
      <c r="B2779" s="7">
        <f>SUMPRODUCT($C$2:$X$2,'batch tool'!$B2773:$W2773)+$Y$2</f>
        <v>-49.12272534143483</v>
      </c>
      <c r="C2779" s="7">
        <f>SUMPRODUCT($C$3:$X$3,'batch tool'!$B2773:$W2773)+$Y$3</f>
        <v>-36.514029388465531</v>
      </c>
      <c r="D2779" s="7">
        <f>SUMPRODUCT($C$4:$X$4,'batch tool'!$B2773:$W2773)+$Y$4</f>
        <v>-44.639843068043824</v>
      </c>
      <c r="E2779" s="7">
        <f>SUMPRODUCT($C$5:$X$5,'batch tool'!$B2773:$W2773)+$Y$5</f>
        <v>-51.578889182477603</v>
      </c>
      <c r="F2779" s="7">
        <f>SUMPRODUCT($C$6:$X$6,'batch tool'!$B2773:$W2773)+$Y$6</f>
        <v>-47.741473633885199</v>
      </c>
      <c r="G2779" s="7">
        <f>SUMPRODUCT($C$7:$X$7,'batch tool'!$B2773:$W2773)+$Y$7</f>
        <v>-19.739516238059196</v>
      </c>
      <c r="H2779" s="7">
        <f t="shared" ref="H2779:H2842" si="88">MAX(B2779:G2779)</f>
        <v>-19.739516238059196</v>
      </c>
      <c r="I2779">
        <f t="shared" ref="I2779:I2842" si="89">MATCH(H2779,B2779:G2779,0)</f>
        <v>6</v>
      </c>
      <c r="J2779" t="str" cm="1">
        <f t="array" ref="J2779">INDEX($A$2:$A$7,I2779)</f>
        <v>Segment 6- Self-Conscious Male</v>
      </c>
    </row>
    <row r="2780" spans="1:10" x14ac:dyDescent="0.25">
      <c r="A2780" s="1">
        <f>'batch tool'!A2774</f>
        <v>0</v>
      </c>
      <c r="B2780" s="7">
        <f>SUMPRODUCT($C$2:$X$2,'batch tool'!$B2774:$W2774)+$Y$2</f>
        <v>-49.12272534143483</v>
      </c>
      <c r="C2780" s="7">
        <f>SUMPRODUCT($C$3:$X$3,'batch tool'!$B2774:$W2774)+$Y$3</f>
        <v>-36.514029388465531</v>
      </c>
      <c r="D2780" s="7">
        <f>SUMPRODUCT($C$4:$X$4,'batch tool'!$B2774:$W2774)+$Y$4</f>
        <v>-44.639843068043824</v>
      </c>
      <c r="E2780" s="7">
        <f>SUMPRODUCT($C$5:$X$5,'batch tool'!$B2774:$W2774)+$Y$5</f>
        <v>-51.578889182477603</v>
      </c>
      <c r="F2780" s="7">
        <f>SUMPRODUCT($C$6:$X$6,'batch tool'!$B2774:$W2774)+$Y$6</f>
        <v>-47.741473633885199</v>
      </c>
      <c r="G2780" s="7">
        <f>SUMPRODUCT($C$7:$X$7,'batch tool'!$B2774:$W2774)+$Y$7</f>
        <v>-19.739516238059196</v>
      </c>
      <c r="H2780" s="7">
        <f t="shared" si="88"/>
        <v>-19.739516238059196</v>
      </c>
      <c r="I2780">
        <f t="shared" si="89"/>
        <v>6</v>
      </c>
      <c r="J2780" t="str" cm="1">
        <f t="array" ref="J2780">INDEX($A$2:$A$7,I2780)</f>
        <v>Segment 6- Self-Conscious Male</v>
      </c>
    </row>
    <row r="2781" spans="1:10" x14ac:dyDescent="0.25">
      <c r="A2781" s="1">
        <f>'batch tool'!A2775</f>
        <v>0</v>
      </c>
      <c r="B2781" s="7">
        <f>SUMPRODUCT($C$2:$X$2,'batch tool'!$B2775:$W2775)+$Y$2</f>
        <v>-49.12272534143483</v>
      </c>
      <c r="C2781" s="7">
        <f>SUMPRODUCT($C$3:$X$3,'batch tool'!$B2775:$W2775)+$Y$3</f>
        <v>-36.514029388465531</v>
      </c>
      <c r="D2781" s="7">
        <f>SUMPRODUCT($C$4:$X$4,'batch tool'!$B2775:$W2775)+$Y$4</f>
        <v>-44.639843068043824</v>
      </c>
      <c r="E2781" s="7">
        <f>SUMPRODUCT($C$5:$X$5,'batch tool'!$B2775:$W2775)+$Y$5</f>
        <v>-51.578889182477603</v>
      </c>
      <c r="F2781" s="7">
        <f>SUMPRODUCT($C$6:$X$6,'batch tool'!$B2775:$W2775)+$Y$6</f>
        <v>-47.741473633885199</v>
      </c>
      <c r="G2781" s="7">
        <f>SUMPRODUCT($C$7:$X$7,'batch tool'!$B2775:$W2775)+$Y$7</f>
        <v>-19.739516238059196</v>
      </c>
      <c r="H2781" s="7">
        <f t="shared" si="88"/>
        <v>-19.739516238059196</v>
      </c>
      <c r="I2781">
        <f t="shared" si="89"/>
        <v>6</v>
      </c>
      <c r="J2781" t="str" cm="1">
        <f t="array" ref="J2781">INDEX($A$2:$A$7,I2781)</f>
        <v>Segment 6- Self-Conscious Male</v>
      </c>
    </row>
    <row r="2782" spans="1:10" x14ac:dyDescent="0.25">
      <c r="A2782" s="1">
        <f>'batch tool'!A2776</f>
        <v>0</v>
      </c>
      <c r="B2782" s="7">
        <f>SUMPRODUCT($C$2:$X$2,'batch tool'!$B2776:$W2776)+$Y$2</f>
        <v>-49.12272534143483</v>
      </c>
      <c r="C2782" s="7">
        <f>SUMPRODUCT($C$3:$X$3,'batch tool'!$B2776:$W2776)+$Y$3</f>
        <v>-36.514029388465531</v>
      </c>
      <c r="D2782" s="7">
        <f>SUMPRODUCT($C$4:$X$4,'batch tool'!$B2776:$W2776)+$Y$4</f>
        <v>-44.639843068043824</v>
      </c>
      <c r="E2782" s="7">
        <f>SUMPRODUCT($C$5:$X$5,'batch tool'!$B2776:$W2776)+$Y$5</f>
        <v>-51.578889182477603</v>
      </c>
      <c r="F2782" s="7">
        <f>SUMPRODUCT($C$6:$X$6,'batch tool'!$B2776:$W2776)+$Y$6</f>
        <v>-47.741473633885199</v>
      </c>
      <c r="G2782" s="7">
        <f>SUMPRODUCT($C$7:$X$7,'batch tool'!$B2776:$W2776)+$Y$7</f>
        <v>-19.739516238059196</v>
      </c>
      <c r="H2782" s="7">
        <f t="shared" si="88"/>
        <v>-19.739516238059196</v>
      </c>
      <c r="I2782">
        <f t="shared" si="89"/>
        <v>6</v>
      </c>
      <c r="J2782" t="str" cm="1">
        <f t="array" ref="J2782">INDEX($A$2:$A$7,I2782)</f>
        <v>Segment 6- Self-Conscious Male</v>
      </c>
    </row>
    <row r="2783" spans="1:10" x14ac:dyDescent="0.25">
      <c r="A2783" s="1">
        <f>'batch tool'!A2777</f>
        <v>0</v>
      </c>
      <c r="B2783" s="7">
        <f>SUMPRODUCT($C$2:$X$2,'batch tool'!$B2777:$W2777)+$Y$2</f>
        <v>-49.12272534143483</v>
      </c>
      <c r="C2783" s="7">
        <f>SUMPRODUCT($C$3:$X$3,'batch tool'!$B2777:$W2777)+$Y$3</f>
        <v>-36.514029388465531</v>
      </c>
      <c r="D2783" s="7">
        <f>SUMPRODUCT($C$4:$X$4,'batch tool'!$B2777:$W2777)+$Y$4</f>
        <v>-44.639843068043824</v>
      </c>
      <c r="E2783" s="7">
        <f>SUMPRODUCT($C$5:$X$5,'batch tool'!$B2777:$W2777)+$Y$5</f>
        <v>-51.578889182477603</v>
      </c>
      <c r="F2783" s="7">
        <f>SUMPRODUCT($C$6:$X$6,'batch tool'!$B2777:$W2777)+$Y$6</f>
        <v>-47.741473633885199</v>
      </c>
      <c r="G2783" s="7">
        <f>SUMPRODUCT($C$7:$X$7,'batch tool'!$B2777:$W2777)+$Y$7</f>
        <v>-19.739516238059196</v>
      </c>
      <c r="H2783" s="7">
        <f t="shared" si="88"/>
        <v>-19.739516238059196</v>
      </c>
      <c r="I2783">
        <f t="shared" si="89"/>
        <v>6</v>
      </c>
      <c r="J2783" t="str" cm="1">
        <f t="array" ref="J2783">INDEX($A$2:$A$7,I2783)</f>
        <v>Segment 6- Self-Conscious Male</v>
      </c>
    </row>
    <row r="2784" spans="1:10" x14ac:dyDescent="0.25">
      <c r="A2784" s="1">
        <f>'batch tool'!A2778</f>
        <v>0</v>
      </c>
      <c r="B2784" s="7">
        <f>SUMPRODUCT($C$2:$X$2,'batch tool'!$B2778:$W2778)+$Y$2</f>
        <v>-49.12272534143483</v>
      </c>
      <c r="C2784" s="7">
        <f>SUMPRODUCT($C$3:$X$3,'batch tool'!$B2778:$W2778)+$Y$3</f>
        <v>-36.514029388465531</v>
      </c>
      <c r="D2784" s="7">
        <f>SUMPRODUCT($C$4:$X$4,'batch tool'!$B2778:$W2778)+$Y$4</f>
        <v>-44.639843068043824</v>
      </c>
      <c r="E2784" s="7">
        <f>SUMPRODUCT($C$5:$X$5,'batch tool'!$B2778:$W2778)+$Y$5</f>
        <v>-51.578889182477603</v>
      </c>
      <c r="F2784" s="7">
        <f>SUMPRODUCT($C$6:$X$6,'batch tool'!$B2778:$W2778)+$Y$6</f>
        <v>-47.741473633885199</v>
      </c>
      <c r="G2784" s="7">
        <f>SUMPRODUCT($C$7:$X$7,'batch tool'!$B2778:$W2778)+$Y$7</f>
        <v>-19.739516238059196</v>
      </c>
      <c r="H2784" s="7">
        <f t="shared" si="88"/>
        <v>-19.739516238059196</v>
      </c>
      <c r="I2784">
        <f t="shared" si="89"/>
        <v>6</v>
      </c>
      <c r="J2784" t="str" cm="1">
        <f t="array" ref="J2784">INDEX($A$2:$A$7,I2784)</f>
        <v>Segment 6- Self-Conscious Male</v>
      </c>
    </row>
    <row r="2785" spans="1:10" x14ac:dyDescent="0.25">
      <c r="A2785" s="1">
        <f>'batch tool'!A2779</f>
        <v>0</v>
      </c>
      <c r="B2785" s="7">
        <f>SUMPRODUCT($C$2:$X$2,'batch tool'!$B2779:$W2779)+$Y$2</f>
        <v>-49.12272534143483</v>
      </c>
      <c r="C2785" s="7">
        <f>SUMPRODUCT($C$3:$X$3,'batch tool'!$B2779:$W2779)+$Y$3</f>
        <v>-36.514029388465531</v>
      </c>
      <c r="D2785" s="7">
        <f>SUMPRODUCT($C$4:$X$4,'batch tool'!$B2779:$W2779)+$Y$4</f>
        <v>-44.639843068043824</v>
      </c>
      <c r="E2785" s="7">
        <f>SUMPRODUCT($C$5:$X$5,'batch tool'!$B2779:$W2779)+$Y$5</f>
        <v>-51.578889182477603</v>
      </c>
      <c r="F2785" s="7">
        <f>SUMPRODUCT($C$6:$X$6,'batch tool'!$B2779:$W2779)+$Y$6</f>
        <v>-47.741473633885199</v>
      </c>
      <c r="G2785" s="7">
        <f>SUMPRODUCT($C$7:$X$7,'batch tool'!$B2779:$W2779)+$Y$7</f>
        <v>-19.739516238059196</v>
      </c>
      <c r="H2785" s="7">
        <f t="shared" si="88"/>
        <v>-19.739516238059196</v>
      </c>
      <c r="I2785">
        <f t="shared" si="89"/>
        <v>6</v>
      </c>
      <c r="J2785" t="str" cm="1">
        <f t="array" ref="J2785">INDEX($A$2:$A$7,I2785)</f>
        <v>Segment 6- Self-Conscious Male</v>
      </c>
    </row>
    <row r="2786" spans="1:10" x14ac:dyDescent="0.25">
      <c r="A2786" s="1">
        <f>'batch tool'!A2780</f>
        <v>0</v>
      </c>
      <c r="B2786" s="7">
        <f>SUMPRODUCT($C$2:$X$2,'batch tool'!$B2780:$W2780)+$Y$2</f>
        <v>-49.12272534143483</v>
      </c>
      <c r="C2786" s="7">
        <f>SUMPRODUCT($C$3:$X$3,'batch tool'!$B2780:$W2780)+$Y$3</f>
        <v>-36.514029388465531</v>
      </c>
      <c r="D2786" s="7">
        <f>SUMPRODUCT($C$4:$X$4,'batch tool'!$B2780:$W2780)+$Y$4</f>
        <v>-44.639843068043824</v>
      </c>
      <c r="E2786" s="7">
        <f>SUMPRODUCT($C$5:$X$5,'batch tool'!$B2780:$W2780)+$Y$5</f>
        <v>-51.578889182477603</v>
      </c>
      <c r="F2786" s="7">
        <f>SUMPRODUCT($C$6:$X$6,'batch tool'!$B2780:$W2780)+$Y$6</f>
        <v>-47.741473633885199</v>
      </c>
      <c r="G2786" s="7">
        <f>SUMPRODUCT($C$7:$X$7,'batch tool'!$B2780:$W2780)+$Y$7</f>
        <v>-19.739516238059196</v>
      </c>
      <c r="H2786" s="7">
        <f t="shared" si="88"/>
        <v>-19.739516238059196</v>
      </c>
      <c r="I2786">
        <f t="shared" si="89"/>
        <v>6</v>
      </c>
      <c r="J2786" t="str" cm="1">
        <f t="array" ref="J2786">INDEX($A$2:$A$7,I2786)</f>
        <v>Segment 6- Self-Conscious Male</v>
      </c>
    </row>
    <row r="2787" spans="1:10" x14ac:dyDescent="0.25">
      <c r="A2787" s="1">
        <f>'batch tool'!A2781</f>
        <v>0</v>
      </c>
      <c r="B2787" s="7">
        <f>SUMPRODUCT($C$2:$X$2,'batch tool'!$B2781:$W2781)+$Y$2</f>
        <v>-49.12272534143483</v>
      </c>
      <c r="C2787" s="7">
        <f>SUMPRODUCT($C$3:$X$3,'batch tool'!$B2781:$W2781)+$Y$3</f>
        <v>-36.514029388465531</v>
      </c>
      <c r="D2787" s="7">
        <f>SUMPRODUCT($C$4:$X$4,'batch tool'!$B2781:$W2781)+$Y$4</f>
        <v>-44.639843068043824</v>
      </c>
      <c r="E2787" s="7">
        <f>SUMPRODUCT($C$5:$X$5,'batch tool'!$B2781:$W2781)+$Y$5</f>
        <v>-51.578889182477603</v>
      </c>
      <c r="F2787" s="7">
        <f>SUMPRODUCT($C$6:$X$6,'batch tool'!$B2781:$W2781)+$Y$6</f>
        <v>-47.741473633885199</v>
      </c>
      <c r="G2787" s="7">
        <f>SUMPRODUCT($C$7:$X$7,'batch tool'!$B2781:$W2781)+$Y$7</f>
        <v>-19.739516238059196</v>
      </c>
      <c r="H2787" s="7">
        <f t="shared" si="88"/>
        <v>-19.739516238059196</v>
      </c>
      <c r="I2787">
        <f t="shared" si="89"/>
        <v>6</v>
      </c>
      <c r="J2787" t="str" cm="1">
        <f t="array" ref="J2787">INDEX($A$2:$A$7,I2787)</f>
        <v>Segment 6- Self-Conscious Male</v>
      </c>
    </row>
    <row r="2788" spans="1:10" x14ac:dyDescent="0.25">
      <c r="A2788" s="1">
        <f>'batch tool'!A2782</f>
        <v>0</v>
      </c>
      <c r="B2788" s="7">
        <f>SUMPRODUCT($C$2:$X$2,'batch tool'!$B2782:$W2782)+$Y$2</f>
        <v>-49.12272534143483</v>
      </c>
      <c r="C2788" s="7">
        <f>SUMPRODUCT($C$3:$X$3,'batch tool'!$B2782:$W2782)+$Y$3</f>
        <v>-36.514029388465531</v>
      </c>
      <c r="D2788" s="7">
        <f>SUMPRODUCT($C$4:$X$4,'batch tool'!$B2782:$W2782)+$Y$4</f>
        <v>-44.639843068043824</v>
      </c>
      <c r="E2788" s="7">
        <f>SUMPRODUCT($C$5:$X$5,'batch tool'!$B2782:$W2782)+$Y$5</f>
        <v>-51.578889182477603</v>
      </c>
      <c r="F2788" s="7">
        <f>SUMPRODUCT($C$6:$X$6,'batch tool'!$B2782:$W2782)+$Y$6</f>
        <v>-47.741473633885199</v>
      </c>
      <c r="G2788" s="7">
        <f>SUMPRODUCT($C$7:$X$7,'batch tool'!$B2782:$W2782)+$Y$7</f>
        <v>-19.739516238059196</v>
      </c>
      <c r="H2788" s="7">
        <f t="shared" si="88"/>
        <v>-19.739516238059196</v>
      </c>
      <c r="I2788">
        <f t="shared" si="89"/>
        <v>6</v>
      </c>
      <c r="J2788" t="str" cm="1">
        <f t="array" ref="J2788">INDEX($A$2:$A$7,I2788)</f>
        <v>Segment 6- Self-Conscious Male</v>
      </c>
    </row>
    <row r="2789" spans="1:10" x14ac:dyDescent="0.25">
      <c r="A2789" s="1">
        <f>'batch tool'!A2783</f>
        <v>0</v>
      </c>
      <c r="B2789" s="7">
        <f>SUMPRODUCT($C$2:$X$2,'batch tool'!$B2783:$W2783)+$Y$2</f>
        <v>-49.12272534143483</v>
      </c>
      <c r="C2789" s="7">
        <f>SUMPRODUCT($C$3:$X$3,'batch tool'!$B2783:$W2783)+$Y$3</f>
        <v>-36.514029388465531</v>
      </c>
      <c r="D2789" s="7">
        <f>SUMPRODUCT($C$4:$X$4,'batch tool'!$B2783:$W2783)+$Y$4</f>
        <v>-44.639843068043824</v>
      </c>
      <c r="E2789" s="7">
        <f>SUMPRODUCT($C$5:$X$5,'batch tool'!$B2783:$W2783)+$Y$5</f>
        <v>-51.578889182477603</v>
      </c>
      <c r="F2789" s="7">
        <f>SUMPRODUCT($C$6:$X$6,'batch tool'!$B2783:$W2783)+$Y$6</f>
        <v>-47.741473633885199</v>
      </c>
      <c r="G2789" s="7">
        <f>SUMPRODUCT($C$7:$X$7,'batch tool'!$B2783:$W2783)+$Y$7</f>
        <v>-19.739516238059196</v>
      </c>
      <c r="H2789" s="7">
        <f t="shared" si="88"/>
        <v>-19.739516238059196</v>
      </c>
      <c r="I2789">
        <f t="shared" si="89"/>
        <v>6</v>
      </c>
      <c r="J2789" t="str" cm="1">
        <f t="array" ref="J2789">INDEX($A$2:$A$7,I2789)</f>
        <v>Segment 6- Self-Conscious Male</v>
      </c>
    </row>
    <row r="2790" spans="1:10" x14ac:dyDescent="0.25">
      <c r="A2790" s="1">
        <f>'batch tool'!A2784</f>
        <v>0</v>
      </c>
      <c r="B2790" s="7">
        <f>SUMPRODUCT($C$2:$X$2,'batch tool'!$B2784:$W2784)+$Y$2</f>
        <v>-49.12272534143483</v>
      </c>
      <c r="C2790" s="7">
        <f>SUMPRODUCT($C$3:$X$3,'batch tool'!$B2784:$W2784)+$Y$3</f>
        <v>-36.514029388465531</v>
      </c>
      <c r="D2790" s="7">
        <f>SUMPRODUCT($C$4:$X$4,'batch tool'!$B2784:$W2784)+$Y$4</f>
        <v>-44.639843068043824</v>
      </c>
      <c r="E2790" s="7">
        <f>SUMPRODUCT($C$5:$X$5,'batch tool'!$B2784:$W2784)+$Y$5</f>
        <v>-51.578889182477603</v>
      </c>
      <c r="F2790" s="7">
        <f>SUMPRODUCT($C$6:$X$6,'batch tool'!$B2784:$W2784)+$Y$6</f>
        <v>-47.741473633885199</v>
      </c>
      <c r="G2790" s="7">
        <f>SUMPRODUCT($C$7:$X$7,'batch tool'!$B2784:$W2784)+$Y$7</f>
        <v>-19.739516238059196</v>
      </c>
      <c r="H2790" s="7">
        <f t="shared" si="88"/>
        <v>-19.739516238059196</v>
      </c>
      <c r="I2790">
        <f t="shared" si="89"/>
        <v>6</v>
      </c>
      <c r="J2790" t="str" cm="1">
        <f t="array" ref="J2790">INDEX($A$2:$A$7,I2790)</f>
        <v>Segment 6- Self-Conscious Male</v>
      </c>
    </row>
    <row r="2791" spans="1:10" x14ac:dyDescent="0.25">
      <c r="A2791" s="1">
        <f>'batch tool'!A2785</f>
        <v>0</v>
      </c>
      <c r="B2791" s="7">
        <f>SUMPRODUCT($C$2:$X$2,'batch tool'!$B2785:$W2785)+$Y$2</f>
        <v>-49.12272534143483</v>
      </c>
      <c r="C2791" s="7">
        <f>SUMPRODUCT($C$3:$X$3,'batch tool'!$B2785:$W2785)+$Y$3</f>
        <v>-36.514029388465531</v>
      </c>
      <c r="D2791" s="7">
        <f>SUMPRODUCT($C$4:$X$4,'batch tool'!$B2785:$W2785)+$Y$4</f>
        <v>-44.639843068043824</v>
      </c>
      <c r="E2791" s="7">
        <f>SUMPRODUCT($C$5:$X$5,'batch tool'!$B2785:$W2785)+$Y$5</f>
        <v>-51.578889182477603</v>
      </c>
      <c r="F2791" s="7">
        <f>SUMPRODUCT($C$6:$X$6,'batch tool'!$B2785:$W2785)+$Y$6</f>
        <v>-47.741473633885199</v>
      </c>
      <c r="G2791" s="7">
        <f>SUMPRODUCT($C$7:$X$7,'batch tool'!$B2785:$W2785)+$Y$7</f>
        <v>-19.739516238059196</v>
      </c>
      <c r="H2791" s="7">
        <f t="shared" si="88"/>
        <v>-19.739516238059196</v>
      </c>
      <c r="I2791">
        <f t="shared" si="89"/>
        <v>6</v>
      </c>
      <c r="J2791" t="str" cm="1">
        <f t="array" ref="J2791">INDEX($A$2:$A$7,I2791)</f>
        <v>Segment 6- Self-Conscious Male</v>
      </c>
    </row>
    <row r="2792" spans="1:10" x14ac:dyDescent="0.25">
      <c r="A2792" s="1">
        <f>'batch tool'!A2786</f>
        <v>0</v>
      </c>
      <c r="B2792" s="7">
        <f>SUMPRODUCT($C$2:$X$2,'batch tool'!$B2786:$W2786)+$Y$2</f>
        <v>-49.12272534143483</v>
      </c>
      <c r="C2792" s="7">
        <f>SUMPRODUCT($C$3:$X$3,'batch tool'!$B2786:$W2786)+$Y$3</f>
        <v>-36.514029388465531</v>
      </c>
      <c r="D2792" s="7">
        <f>SUMPRODUCT($C$4:$X$4,'batch tool'!$B2786:$W2786)+$Y$4</f>
        <v>-44.639843068043824</v>
      </c>
      <c r="E2792" s="7">
        <f>SUMPRODUCT($C$5:$X$5,'batch tool'!$B2786:$W2786)+$Y$5</f>
        <v>-51.578889182477603</v>
      </c>
      <c r="F2792" s="7">
        <f>SUMPRODUCT($C$6:$X$6,'batch tool'!$B2786:$W2786)+$Y$6</f>
        <v>-47.741473633885199</v>
      </c>
      <c r="G2792" s="7">
        <f>SUMPRODUCT($C$7:$X$7,'batch tool'!$B2786:$W2786)+$Y$7</f>
        <v>-19.739516238059196</v>
      </c>
      <c r="H2792" s="7">
        <f t="shared" si="88"/>
        <v>-19.739516238059196</v>
      </c>
      <c r="I2792">
        <f t="shared" si="89"/>
        <v>6</v>
      </c>
      <c r="J2792" t="str" cm="1">
        <f t="array" ref="J2792">INDEX($A$2:$A$7,I2792)</f>
        <v>Segment 6- Self-Conscious Male</v>
      </c>
    </row>
    <row r="2793" spans="1:10" x14ac:dyDescent="0.25">
      <c r="A2793" s="1">
        <f>'batch tool'!A2787</f>
        <v>0</v>
      </c>
      <c r="B2793" s="7">
        <f>SUMPRODUCT($C$2:$X$2,'batch tool'!$B2787:$W2787)+$Y$2</f>
        <v>-49.12272534143483</v>
      </c>
      <c r="C2793" s="7">
        <f>SUMPRODUCT($C$3:$X$3,'batch tool'!$B2787:$W2787)+$Y$3</f>
        <v>-36.514029388465531</v>
      </c>
      <c r="D2793" s="7">
        <f>SUMPRODUCT($C$4:$X$4,'batch tool'!$B2787:$W2787)+$Y$4</f>
        <v>-44.639843068043824</v>
      </c>
      <c r="E2793" s="7">
        <f>SUMPRODUCT($C$5:$X$5,'batch tool'!$B2787:$W2787)+$Y$5</f>
        <v>-51.578889182477603</v>
      </c>
      <c r="F2793" s="7">
        <f>SUMPRODUCT($C$6:$X$6,'batch tool'!$B2787:$W2787)+$Y$6</f>
        <v>-47.741473633885199</v>
      </c>
      <c r="G2793" s="7">
        <f>SUMPRODUCT($C$7:$X$7,'batch tool'!$B2787:$W2787)+$Y$7</f>
        <v>-19.739516238059196</v>
      </c>
      <c r="H2793" s="7">
        <f t="shared" si="88"/>
        <v>-19.739516238059196</v>
      </c>
      <c r="I2793">
        <f t="shared" si="89"/>
        <v>6</v>
      </c>
      <c r="J2793" t="str" cm="1">
        <f t="array" ref="J2793">INDEX($A$2:$A$7,I2793)</f>
        <v>Segment 6- Self-Conscious Male</v>
      </c>
    </row>
    <row r="2794" spans="1:10" x14ac:dyDescent="0.25">
      <c r="A2794" s="1">
        <f>'batch tool'!A2788</f>
        <v>0</v>
      </c>
      <c r="B2794" s="7">
        <f>SUMPRODUCT($C$2:$X$2,'batch tool'!$B2788:$W2788)+$Y$2</f>
        <v>-49.12272534143483</v>
      </c>
      <c r="C2794" s="7">
        <f>SUMPRODUCT($C$3:$X$3,'batch tool'!$B2788:$W2788)+$Y$3</f>
        <v>-36.514029388465531</v>
      </c>
      <c r="D2794" s="7">
        <f>SUMPRODUCT($C$4:$X$4,'batch tool'!$B2788:$W2788)+$Y$4</f>
        <v>-44.639843068043824</v>
      </c>
      <c r="E2794" s="7">
        <f>SUMPRODUCT($C$5:$X$5,'batch tool'!$B2788:$W2788)+$Y$5</f>
        <v>-51.578889182477603</v>
      </c>
      <c r="F2794" s="7">
        <f>SUMPRODUCT($C$6:$X$6,'batch tool'!$B2788:$W2788)+$Y$6</f>
        <v>-47.741473633885199</v>
      </c>
      <c r="G2794" s="7">
        <f>SUMPRODUCT($C$7:$X$7,'batch tool'!$B2788:$W2788)+$Y$7</f>
        <v>-19.739516238059196</v>
      </c>
      <c r="H2794" s="7">
        <f t="shared" si="88"/>
        <v>-19.739516238059196</v>
      </c>
      <c r="I2794">
        <f t="shared" si="89"/>
        <v>6</v>
      </c>
      <c r="J2794" t="str" cm="1">
        <f t="array" ref="J2794">INDEX($A$2:$A$7,I2794)</f>
        <v>Segment 6- Self-Conscious Male</v>
      </c>
    </row>
    <row r="2795" spans="1:10" x14ac:dyDescent="0.25">
      <c r="A2795" s="1">
        <f>'batch tool'!A2789</f>
        <v>0</v>
      </c>
      <c r="B2795" s="7">
        <f>SUMPRODUCT($C$2:$X$2,'batch tool'!$B2789:$W2789)+$Y$2</f>
        <v>-49.12272534143483</v>
      </c>
      <c r="C2795" s="7">
        <f>SUMPRODUCT($C$3:$X$3,'batch tool'!$B2789:$W2789)+$Y$3</f>
        <v>-36.514029388465531</v>
      </c>
      <c r="D2795" s="7">
        <f>SUMPRODUCT($C$4:$X$4,'batch tool'!$B2789:$W2789)+$Y$4</f>
        <v>-44.639843068043824</v>
      </c>
      <c r="E2795" s="7">
        <f>SUMPRODUCT($C$5:$X$5,'batch tool'!$B2789:$W2789)+$Y$5</f>
        <v>-51.578889182477603</v>
      </c>
      <c r="F2795" s="7">
        <f>SUMPRODUCT($C$6:$X$6,'batch tool'!$B2789:$W2789)+$Y$6</f>
        <v>-47.741473633885199</v>
      </c>
      <c r="G2795" s="7">
        <f>SUMPRODUCT($C$7:$X$7,'batch tool'!$B2789:$W2789)+$Y$7</f>
        <v>-19.739516238059196</v>
      </c>
      <c r="H2795" s="7">
        <f t="shared" si="88"/>
        <v>-19.739516238059196</v>
      </c>
      <c r="I2795">
        <f t="shared" si="89"/>
        <v>6</v>
      </c>
      <c r="J2795" t="str" cm="1">
        <f t="array" ref="J2795">INDEX($A$2:$A$7,I2795)</f>
        <v>Segment 6- Self-Conscious Male</v>
      </c>
    </row>
    <row r="2796" spans="1:10" x14ac:dyDescent="0.25">
      <c r="A2796" s="1">
        <f>'batch tool'!A2790</f>
        <v>0</v>
      </c>
      <c r="B2796" s="7">
        <f>SUMPRODUCT($C$2:$X$2,'batch tool'!$B2790:$W2790)+$Y$2</f>
        <v>-49.12272534143483</v>
      </c>
      <c r="C2796" s="7">
        <f>SUMPRODUCT($C$3:$X$3,'batch tool'!$B2790:$W2790)+$Y$3</f>
        <v>-36.514029388465531</v>
      </c>
      <c r="D2796" s="7">
        <f>SUMPRODUCT($C$4:$X$4,'batch tool'!$B2790:$W2790)+$Y$4</f>
        <v>-44.639843068043824</v>
      </c>
      <c r="E2796" s="7">
        <f>SUMPRODUCT($C$5:$X$5,'batch tool'!$B2790:$W2790)+$Y$5</f>
        <v>-51.578889182477603</v>
      </c>
      <c r="F2796" s="7">
        <f>SUMPRODUCT($C$6:$X$6,'batch tool'!$B2790:$W2790)+$Y$6</f>
        <v>-47.741473633885199</v>
      </c>
      <c r="G2796" s="7">
        <f>SUMPRODUCT($C$7:$X$7,'batch tool'!$B2790:$W2790)+$Y$7</f>
        <v>-19.739516238059196</v>
      </c>
      <c r="H2796" s="7">
        <f t="shared" si="88"/>
        <v>-19.739516238059196</v>
      </c>
      <c r="I2796">
        <f t="shared" si="89"/>
        <v>6</v>
      </c>
      <c r="J2796" t="str" cm="1">
        <f t="array" ref="J2796">INDEX($A$2:$A$7,I2796)</f>
        <v>Segment 6- Self-Conscious Male</v>
      </c>
    </row>
    <row r="2797" spans="1:10" x14ac:dyDescent="0.25">
      <c r="A2797" s="1">
        <f>'batch tool'!A2791</f>
        <v>0</v>
      </c>
      <c r="B2797" s="7">
        <f>SUMPRODUCT($C$2:$X$2,'batch tool'!$B2791:$W2791)+$Y$2</f>
        <v>-49.12272534143483</v>
      </c>
      <c r="C2797" s="7">
        <f>SUMPRODUCT($C$3:$X$3,'batch tool'!$B2791:$W2791)+$Y$3</f>
        <v>-36.514029388465531</v>
      </c>
      <c r="D2797" s="7">
        <f>SUMPRODUCT($C$4:$X$4,'batch tool'!$B2791:$W2791)+$Y$4</f>
        <v>-44.639843068043824</v>
      </c>
      <c r="E2797" s="7">
        <f>SUMPRODUCT($C$5:$X$5,'batch tool'!$B2791:$W2791)+$Y$5</f>
        <v>-51.578889182477603</v>
      </c>
      <c r="F2797" s="7">
        <f>SUMPRODUCT($C$6:$X$6,'batch tool'!$B2791:$W2791)+$Y$6</f>
        <v>-47.741473633885199</v>
      </c>
      <c r="G2797" s="7">
        <f>SUMPRODUCT($C$7:$X$7,'batch tool'!$B2791:$W2791)+$Y$7</f>
        <v>-19.739516238059196</v>
      </c>
      <c r="H2797" s="7">
        <f t="shared" si="88"/>
        <v>-19.739516238059196</v>
      </c>
      <c r="I2797">
        <f t="shared" si="89"/>
        <v>6</v>
      </c>
      <c r="J2797" t="str" cm="1">
        <f t="array" ref="J2797">INDEX($A$2:$A$7,I2797)</f>
        <v>Segment 6- Self-Conscious Male</v>
      </c>
    </row>
    <row r="2798" spans="1:10" x14ac:dyDescent="0.25">
      <c r="A2798" s="1">
        <f>'batch tool'!A2792</f>
        <v>0</v>
      </c>
      <c r="B2798" s="7">
        <f>SUMPRODUCT($C$2:$X$2,'batch tool'!$B2792:$W2792)+$Y$2</f>
        <v>-49.12272534143483</v>
      </c>
      <c r="C2798" s="7">
        <f>SUMPRODUCT($C$3:$X$3,'batch tool'!$B2792:$W2792)+$Y$3</f>
        <v>-36.514029388465531</v>
      </c>
      <c r="D2798" s="7">
        <f>SUMPRODUCT($C$4:$X$4,'batch tool'!$B2792:$W2792)+$Y$4</f>
        <v>-44.639843068043824</v>
      </c>
      <c r="E2798" s="7">
        <f>SUMPRODUCT($C$5:$X$5,'batch tool'!$B2792:$W2792)+$Y$5</f>
        <v>-51.578889182477603</v>
      </c>
      <c r="F2798" s="7">
        <f>SUMPRODUCT($C$6:$X$6,'batch tool'!$B2792:$W2792)+$Y$6</f>
        <v>-47.741473633885199</v>
      </c>
      <c r="G2798" s="7">
        <f>SUMPRODUCT($C$7:$X$7,'batch tool'!$B2792:$W2792)+$Y$7</f>
        <v>-19.739516238059196</v>
      </c>
      <c r="H2798" s="7">
        <f t="shared" si="88"/>
        <v>-19.739516238059196</v>
      </c>
      <c r="I2798">
        <f t="shared" si="89"/>
        <v>6</v>
      </c>
      <c r="J2798" t="str" cm="1">
        <f t="array" ref="J2798">INDEX($A$2:$A$7,I2798)</f>
        <v>Segment 6- Self-Conscious Male</v>
      </c>
    </row>
    <row r="2799" spans="1:10" x14ac:dyDescent="0.25">
      <c r="A2799" s="1">
        <f>'batch tool'!A2793</f>
        <v>0</v>
      </c>
      <c r="B2799" s="7">
        <f>SUMPRODUCT($C$2:$X$2,'batch tool'!$B2793:$W2793)+$Y$2</f>
        <v>-49.12272534143483</v>
      </c>
      <c r="C2799" s="7">
        <f>SUMPRODUCT($C$3:$X$3,'batch tool'!$B2793:$W2793)+$Y$3</f>
        <v>-36.514029388465531</v>
      </c>
      <c r="D2799" s="7">
        <f>SUMPRODUCT($C$4:$X$4,'batch tool'!$B2793:$W2793)+$Y$4</f>
        <v>-44.639843068043824</v>
      </c>
      <c r="E2799" s="7">
        <f>SUMPRODUCT($C$5:$X$5,'batch tool'!$B2793:$W2793)+$Y$5</f>
        <v>-51.578889182477603</v>
      </c>
      <c r="F2799" s="7">
        <f>SUMPRODUCT($C$6:$X$6,'batch tool'!$B2793:$W2793)+$Y$6</f>
        <v>-47.741473633885199</v>
      </c>
      <c r="G2799" s="7">
        <f>SUMPRODUCT($C$7:$X$7,'batch tool'!$B2793:$W2793)+$Y$7</f>
        <v>-19.739516238059196</v>
      </c>
      <c r="H2799" s="7">
        <f t="shared" si="88"/>
        <v>-19.739516238059196</v>
      </c>
      <c r="I2799">
        <f t="shared" si="89"/>
        <v>6</v>
      </c>
      <c r="J2799" t="str" cm="1">
        <f t="array" ref="J2799">INDEX($A$2:$A$7,I2799)</f>
        <v>Segment 6- Self-Conscious Male</v>
      </c>
    </row>
    <row r="2800" spans="1:10" x14ac:dyDescent="0.25">
      <c r="A2800" s="1">
        <f>'batch tool'!A2794</f>
        <v>0</v>
      </c>
      <c r="B2800" s="7">
        <f>SUMPRODUCT($C$2:$X$2,'batch tool'!$B2794:$W2794)+$Y$2</f>
        <v>-49.12272534143483</v>
      </c>
      <c r="C2800" s="7">
        <f>SUMPRODUCT($C$3:$X$3,'batch tool'!$B2794:$W2794)+$Y$3</f>
        <v>-36.514029388465531</v>
      </c>
      <c r="D2800" s="7">
        <f>SUMPRODUCT($C$4:$X$4,'batch tool'!$B2794:$W2794)+$Y$4</f>
        <v>-44.639843068043824</v>
      </c>
      <c r="E2800" s="7">
        <f>SUMPRODUCT($C$5:$X$5,'batch tool'!$B2794:$W2794)+$Y$5</f>
        <v>-51.578889182477603</v>
      </c>
      <c r="F2800" s="7">
        <f>SUMPRODUCT($C$6:$X$6,'batch tool'!$B2794:$W2794)+$Y$6</f>
        <v>-47.741473633885199</v>
      </c>
      <c r="G2800" s="7">
        <f>SUMPRODUCT($C$7:$X$7,'batch tool'!$B2794:$W2794)+$Y$7</f>
        <v>-19.739516238059196</v>
      </c>
      <c r="H2800" s="7">
        <f t="shared" si="88"/>
        <v>-19.739516238059196</v>
      </c>
      <c r="I2800">
        <f t="shared" si="89"/>
        <v>6</v>
      </c>
      <c r="J2800" t="str" cm="1">
        <f t="array" ref="J2800">INDEX($A$2:$A$7,I2800)</f>
        <v>Segment 6- Self-Conscious Male</v>
      </c>
    </row>
    <row r="2801" spans="1:10" x14ac:dyDescent="0.25">
      <c r="A2801" s="1">
        <f>'batch tool'!A2795</f>
        <v>0</v>
      </c>
      <c r="B2801" s="7">
        <f>SUMPRODUCT($C$2:$X$2,'batch tool'!$B2795:$W2795)+$Y$2</f>
        <v>-49.12272534143483</v>
      </c>
      <c r="C2801" s="7">
        <f>SUMPRODUCT($C$3:$X$3,'batch tool'!$B2795:$W2795)+$Y$3</f>
        <v>-36.514029388465531</v>
      </c>
      <c r="D2801" s="7">
        <f>SUMPRODUCT($C$4:$X$4,'batch tool'!$B2795:$W2795)+$Y$4</f>
        <v>-44.639843068043824</v>
      </c>
      <c r="E2801" s="7">
        <f>SUMPRODUCT($C$5:$X$5,'batch tool'!$B2795:$W2795)+$Y$5</f>
        <v>-51.578889182477603</v>
      </c>
      <c r="F2801" s="7">
        <f>SUMPRODUCT($C$6:$X$6,'batch tool'!$B2795:$W2795)+$Y$6</f>
        <v>-47.741473633885199</v>
      </c>
      <c r="G2801" s="7">
        <f>SUMPRODUCT($C$7:$X$7,'batch tool'!$B2795:$W2795)+$Y$7</f>
        <v>-19.739516238059196</v>
      </c>
      <c r="H2801" s="7">
        <f t="shared" si="88"/>
        <v>-19.739516238059196</v>
      </c>
      <c r="I2801">
        <f t="shared" si="89"/>
        <v>6</v>
      </c>
      <c r="J2801" t="str" cm="1">
        <f t="array" ref="J2801">INDEX($A$2:$A$7,I2801)</f>
        <v>Segment 6- Self-Conscious Male</v>
      </c>
    </row>
    <row r="2802" spans="1:10" x14ac:dyDescent="0.25">
      <c r="A2802" s="1">
        <f>'batch tool'!A2796</f>
        <v>0</v>
      </c>
      <c r="B2802" s="7">
        <f>SUMPRODUCT($C$2:$X$2,'batch tool'!$B2796:$W2796)+$Y$2</f>
        <v>-49.12272534143483</v>
      </c>
      <c r="C2802" s="7">
        <f>SUMPRODUCT($C$3:$X$3,'batch tool'!$B2796:$W2796)+$Y$3</f>
        <v>-36.514029388465531</v>
      </c>
      <c r="D2802" s="7">
        <f>SUMPRODUCT($C$4:$X$4,'batch tool'!$B2796:$W2796)+$Y$4</f>
        <v>-44.639843068043824</v>
      </c>
      <c r="E2802" s="7">
        <f>SUMPRODUCT($C$5:$X$5,'batch tool'!$B2796:$W2796)+$Y$5</f>
        <v>-51.578889182477603</v>
      </c>
      <c r="F2802" s="7">
        <f>SUMPRODUCT($C$6:$X$6,'batch tool'!$B2796:$W2796)+$Y$6</f>
        <v>-47.741473633885199</v>
      </c>
      <c r="G2802" s="7">
        <f>SUMPRODUCT($C$7:$X$7,'batch tool'!$B2796:$W2796)+$Y$7</f>
        <v>-19.739516238059196</v>
      </c>
      <c r="H2802" s="7">
        <f t="shared" si="88"/>
        <v>-19.739516238059196</v>
      </c>
      <c r="I2802">
        <f t="shared" si="89"/>
        <v>6</v>
      </c>
      <c r="J2802" t="str" cm="1">
        <f t="array" ref="J2802">INDEX($A$2:$A$7,I2802)</f>
        <v>Segment 6- Self-Conscious Male</v>
      </c>
    </row>
    <row r="2803" spans="1:10" x14ac:dyDescent="0.25">
      <c r="A2803" s="1">
        <f>'batch tool'!A2797</f>
        <v>0</v>
      </c>
      <c r="B2803" s="7">
        <f>SUMPRODUCT($C$2:$X$2,'batch tool'!$B2797:$W2797)+$Y$2</f>
        <v>-49.12272534143483</v>
      </c>
      <c r="C2803" s="7">
        <f>SUMPRODUCT($C$3:$X$3,'batch tool'!$B2797:$W2797)+$Y$3</f>
        <v>-36.514029388465531</v>
      </c>
      <c r="D2803" s="7">
        <f>SUMPRODUCT($C$4:$X$4,'batch tool'!$B2797:$W2797)+$Y$4</f>
        <v>-44.639843068043824</v>
      </c>
      <c r="E2803" s="7">
        <f>SUMPRODUCT($C$5:$X$5,'batch tool'!$B2797:$W2797)+$Y$5</f>
        <v>-51.578889182477603</v>
      </c>
      <c r="F2803" s="7">
        <f>SUMPRODUCT($C$6:$X$6,'batch tool'!$B2797:$W2797)+$Y$6</f>
        <v>-47.741473633885199</v>
      </c>
      <c r="G2803" s="7">
        <f>SUMPRODUCT($C$7:$X$7,'batch tool'!$B2797:$W2797)+$Y$7</f>
        <v>-19.739516238059196</v>
      </c>
      <c r="H2803" s="7">
        <f t="shared" si="88"/>
        <v>-19.739516238059196</v>
      </c>
      <c r="I2803">
        <f t="shared" si="89"/>
        <v>6</v>
      </c>
      <c r="J2803" t="str" cm="1">
        <f t="array" ref="J2803">INDEX($A$2:$A$7,I2803)</f>
        <v>Segment 6- Self-Conscious Male</v>
      </c>
    </row>
    <row r="2804" spans="1:10" x14ac:dyDescent="0.25">
      <c r="A2804" s="1">
        <f>'batch tool'!A2798</f>
        <v>0</v>
      </c>
      <c r="B2804" s="7">
        <f>SUMPRODUCT($C$2:$X$2,'batch tool'!$B2798:$W2798)+$Y$2</f>
        <v>-49.12272534143483</v>
      </c>
      <c r="C2804" s="7">
        <f>SUMPRODUCT($C$3:$X$3,'batch tool'!$B2798:$W2798)+$Y$3</f>
        <v>-36.514029388465531</v>
      </c>
      <c r="D2804" s="7">
        <f>SUMPRODUCT($C$4:$X$4,'batch tool'!$B2798:$W2798)+$Y$4</f>
        <v>-44.639843068043824</v>
      </c>
      <c r="E2804" s="7">
        <f>SUMPRODUCT($C$5:$X$5,'batch tool'!$B2798:$W2798)+$Y$5</f>
        <v>-51.578889182477603</v>
      </c>
      <c r="F2804" s="7">
        <f>SUMPRODUCT($C$6:$X$6,'batch tool'!$B2798:$W2798)+$Y$6</f>
        <v>-47.741473633885199</v>
      </c>
      <c r="G2804" s="7">
        <f>SUMPRODUCT($C$7:$X$7,'batch tool'!$B2798:$W2798)+$Y$7</f>
        <v>-19.739516238059196</v>
      </c>
      <c r="H2804" s="7">
        <f t="shared" si="88"/>
        <v>-19.739516238059196</v>
      </c>
      <c r="I2804">
        <f t="shared" si="89"/>
        <v>6</v>
      </c>
      <c r="J2804" t="str" cm="1">
        <f t="array" ref="J2804">INDEX($A$2:$A$7,I2804)</f>
        <v>Segment 6- Self-Conscious Male</v>
      </c>
    </row>
    <row r="2805" spans="1:10" x14ac:dyDescent="0.25">
      <c r="A2805" s="1">
        <f>'batch tool'!A2799</f>
        <v>0</v>
      </c>
      <c r="B2805" s="7">
        <f>SUMPRODUCT($C$2:$X$2,'batch tool'!$B2799:$W2799)+$Y$2</f>
        <v>-49.12272534143483</v>
      </c>
      <c r="C2805" s="7">
        <f>SUMPRODUCT($C$3:$X$3,'batch tool'!$B2799:$W2799)+$Y$3</f>
        <v>-36.514029388465531</v>
      </c>
      <c r="D2805" s="7">
        <f>SUMPRODUCT($C$4:$X$4,'batch tool'!$B2799:$W2799)+$Y$4</f>
        <v>-44.639843068043824</v>
      </c>
      <c r="E2805" s="7">
        <f>SUMPRODUCT($C$5:$X$5,'batch tool'!$B2799:$W2799)+$Y$5</f>
        <v>-51.578889182477603</v>
      </c>
      <c r="F2805" s="7">
        <f>SUMPRODUCT($C$6:$X$6,'batch tool'!$B2799:$W2799)+$Y$6</f>
        <v>-47.741473633885199</v>
      </c>
      <c r="G2805" s="7">
        <f>SUMPRODUCT($C$7:$X$7,'batch tool'!$B2799:$W2799)+$Y$7</f>
        <v>-19.739516238059196</v>
      </c>
      <c r="H2805" s="7">
        <f t="shared" si="88"/>
        <v>-19.739516238059196</v>
      </c>
      <c r="I2805">
        <f t="shared" si="89"/>
        <v>6</v>
      </c>
      <c r="J2805" t="str" cm="1">
        <f t="array" ref="J2805">INDEX($A$2:$A$7,I2805)</f>
        <v>Segment 6- Self-Conscious Male</v>
      </c>
    </row>
    <row r="2806" spans="1:10" x14ac:dyDescent="0.25">
      <c r="A2806" s="1">
        <f>'batch tool'!A2800</f>
        <v>0</v>
      </c>
      <c r="B2806" s="7">
        <f>SUMPRODUCT($C$2:$X$2,'batch tool'!$B2800:$W2800)+$Y$2</f>
        <v>-49.12272534143483</v>
      </c>
      <c r="C2806" s="7">
        <f>SUMPRODUCT($C$3:$X$3,'batch tool'!$B2800:$W2800)+$Y$3</f>
        <v>-36.514029388465531</v>
      </c>
      <c r="D2806" s="7">
        <f>SUMPRODUCT($C$4:$X$4,'batch tool'!$B2800:$W2800)+$Y$4</f>
        <v>-44.639843068043824</v>
      </c>
      <c r="E2806" s="7">
        <f>SUMPRODUCT($C$5:$X$5,'batch tool'!$B2800:$W2800)+$Y$5</f>
        <v>-51.578889182477603</v>
      </c>
      <c r="F2806" s="7">
        <f>SUMPRODUCT($C$6:$X$6,'batch tool'!$B2800:$W2800)+$Y$6</f>
        <v>-47.741473633885199</v>
      </c>
      <c r="G2806" s="7">
        <f>SUMPRODUCT($C$7:$X$7,'batch tool'!$B2800:$W2800)+$Y$7</f>
        <v>-19.739516238059196</v>
      </c>
      <c r="H2806" s="7">
        <f t="shared" si="88"/>
        <v>-19.739516238059196</v>
      </c>
      <c r="I2806">
        <f t="shared" si="89"/>
        <v>6</v>
      </c>
      <c r="J2806" t="str" cm="1">
        <f t="array" ref="J2806">INDEX($A$2:$A$7,I2806)</f>
        <v>Segment 6- Self-Conscious Male</v>
      </c>
    </row>
    <row r="2807" spans="1:10" x14ac:dyDescent="0.25">
      <c r="A2807" s="1">
        <f>'batch tool'!A2801</f>
        <v>0</v>
      </c>
      <c r="B2807" s="7">
        <f>SUMPRODUCT($C$2:$X$2,'batch tool'!$B2801:$W2801)+$Y$2</f>
        <v>-49.12272534143483</v>
      </c>
      <c r="C2807" s="7">
        <f>SUMPRODUCT($C$3:$X$3,'batch tool'!$B2801:$W2801)+$Y$3</f>
        <v>-36.514029388465531</v>
      </c>
      <c r="D2807" s="7">
        <f>SUMPRODUCT($C$4:$X$4,'batch tool'!$B2801:$W2801)+$Y$4</f>
        <v>-44.639843068043824</v>
      </c>
      <c r="E2807" s="7">
        <f>SUMPRODUCT($C$5:$X$5,'batch tool'!$B2801:$W2801)+$Y$5</f>
        <v>-51.578889182477603</v>
      </c>
      <c r="F2807" s="7">
        <f>SUMPRODUCT($C$6:$X$6,'batch tool'!$B2801:$W2801)+$Y$6</f>
        <v>-47.741473633885199</v>
      </c>
      <c r="G2807" s="7">
        <f>SUMPRODUCT($C$7:$X$7,'batch tool'!$B2801:$W2801)+$Y$7</f>
        <v>-19.739516238059196</v>
      </c>
      <c r="H2807" s="7">
        <f t="shared" si="88"/>
        <v>-19.739516238059196</v>
      </c>
      <c r="I2807">
        <f t="shared" si="89"/>
        <v>6</v>
      </c>
      <c r="J2807" t="str" cm="1">
        <f t="array" ref="J2807">INDEX($A$2:$A$7,I2807)</f>
        <v>Segment 6- Self-Conscious Male</v>
      </c>
    </row>
    <row r="2808" spans="1:10" x14ac:dyDescent="0.25">
      <c r="A2808" s="1">
        <f>'batch tool'!A2802</f>
        <v>0</v>
      </c>
      <c r="B2808" s="7">
        <f>SUMPRODUCT($C$2:$X$2,'batch tool'!$B2802:$W2802)+$Y$2</f>
        <v>-49.12272534143483</v>
      </c>
      <c r="C2808" s="7">
        <f>SUMPRODUCT($C$3:$X$3,'batch tool'!$B2802:$W2802)+$Y$3</f>
        <v>-36.514029388465531</v>
      </c>
      <c r="D2808" s="7">
        <f>SUMPRODUCT($C$4:$X$4,'batch tool'!$B2802:$W2802)+$Y$4</f>
        <v>-44.639843068043824</v>
      </c>
      <c r="E2808" s="7">
        <f>SUMPRODUCT($C$5:$X$5,'batch tool'!$B2802:$W2802)+$Y$5</f>
        <v>-51.578889182477603</v>
      </c>
      <c r="F2808" s="7">
        <f>SUMPRODUCT($C$6:$X$6,'batch tool'!$B2802:$W2802)+$Y$6</f>
        <v>-47.741473633885199</v>
      </c>
      <c r="G2808" s="7">
        <f>SUMPRODUCT($C$7:$X$7,'batch tool'!$B2802:$W2802)+$Y$7</f>
        <v>-19.739516238059196</v>
      </c>
      <c r="H2808" s="7">
        <f t="shared" si="88"/>
        <v>-19.739516238059196</v>
      </c>
      <c r="I2808">
        <f t="shared" si="89"/>
        <v>6</v>
      </c>
      <c r="J2808" t="str" cm="1">
        <f t="array" ref="J2808">INDEX($A$2:$A$7,I2808)</f>
        <v>Segment 6- Self-Conscious Male</v>
      </c>
    </row>
    <row r="2809" spans="1:10" x14ac:dyDescent="0.25">
      <c r="A2809" s="1">
        <f>'batch tool'!A2803</f>
        <v>0</v>
      </c>
      <c r="B2809" s="7">
        <f>SUMPRODUCT($C$2:$X$2,'batch tool'!$B2803:$W2803)+$Y$2</f>
        <v>-49.12272534143483</v>
      </c>
      <c r="C2809" s="7">
        <f>SUMPRODUCT($C$3:$X$3,'batch tool'!$B2803:$W2803)+$Y$3</f>
        <v>-36.514029388465531</v>
      </c>
      <c r="D2809" s="7">
        <f>SUMPRODUCT($C$4:$X$4,'batch tool'!$B2803:$W2803)+$Y$4</f>
        <v>-44.639843068043824</v>
      </c>
      <c r="E2809" s="7">
        <f>SUMPRODUCT($C$5:$X$5,'batch tool'!$B2803:$W2803)+$Y$5</f>
        <v>-51.578889182477603</v>
      </c>
      <c r="F2809" s="7">
        <f>SUMPRODUCT($C$6:$X$6,'batch tool'!$B2803:$W2803)+$Y$6</f>
        <v>-47.741473633885199</v>
      </c>
      <c r="G2809" s="7">
        <f>SUMPRODUCT($C$7:$X$7,'batch tool'!$B2803:$W2803)+$Y$7</f>
        <v>-19.739516238059196</v>
      </c>
      <c r="H2809" s="7">
        <f t="shared" si="88"/>
        <v>-19.739516238059196</v>
      </c>
      <c r="I2809">
        <f t="shared" si="89"/>
        <v>6</v>
      </c>
      <c r="J2809" t="str" cm="1">
        <f t="array" ref="J2809">INDEX($A$2:$A$7,I2809)</f>
        <v>Segment 6- Self-Conscious Male</v>
      </c>
    </row>
    <row r="2810" spans="1:10" x14ac:dyDescent="0.25">
      <c r="A2810" s="1">
        <f>'batch tool'!A2804</f>
        <v>0</v>
      </c>
      <c r="B2810" s="7">
        <f>SUMPRODUCT($C$2:$X$2,'batch tool'!$B2804:$W2804)+$Y$2</f>
        <v>-49.12272534143483</v>
      </c>
      <c r="C2810" s="7">
        <f>SUMPRODUCT($C$3:$X$3,'batch tool'!$B2804:$W2804)+$Y$3</f>
        <v>-36.514029388465531</v>
      </c>
      <c r="D2810" s="7">
        <f>SUMPRODUCT($C$4:$X$4,'batch tool'!$B2804:$W2804)+$Y$4</f>
        <v>-44.639843068043824</v>
      </c>
      <c r="E2810" s="7">
        <f>SUMPRODUCT($C$5:$X$5,'batch tool'!$B2804:$W2804)+$Y$5</f>
        <v>-51.578889182477603</v>
      </c>
      <c r="F2810" s="7">
        <f>SUMPRODUCT($C$6:$X$6,'batch tool'!$B2804:$W2804)+$Y$6</f>
        <v>-47.741473633885199</v>
      </c>
      <c r="G2810" s="7">
        <f>SUMPRODUCT($C$7:$X$7,'batch tool'!$B2804:$W2804)+$Y$7</f>
        <v>-19.739516238059196</v>
      </c>
      <c r="H2810" s="7">
        <f t="shared" si="88"/>
        <v>-19.739516238059196</v>
      </c>
      <c r="I2810">
        <f t="shared" si="89"/>
        <v>6</v>
      </c>
      <c r="J2810" t="str" cm="1">
        <f t="array" ref="J2810">INDEX($A$2:$A$7,I2810)</f>
        <v>Segment 6- Self-Conscious Male</v>
      </c>
    </row>
    <row r="2811" spans="1:10" x14ac:dyDescent="0.25">
      <c r="A2811" s="1">
        <f>'batch tool'!A2805</f>
        <v>0</v>
      </c>
      <c r="B2811" s="7">
        <f>SUMPRODUCT($C$2:$X$2,'batch tool'!$B2805:$W2805)+$Y$2</f>
        <v>-49.12272534143483</v>
      </c>
      <c r="C2811" s="7">
        <f>SUMPRODUCT($C$3:$X$3,'batch tool'!$B2805:$W2805)+$Y$3</f>
        <v>-36.514029388465531</v>
      </c>
      <c r="D2811" s="7">
        <f>SUMPRODUCT($C$4:$X$4,'batch tool'!$B2805:$W2805)+$Y$4</f>
        <v>-44.639843068043824</v>
      </c>
      <c r="E2811" s="7">
        <f>SUMPRODUCT($C$5:$X$5,'batch tool'!$B2805:$W2805)+$Y$5</f>
        <v>-51.578889182477603</v>
      </c>
      <c r="F2811" s="7">
        <f>SUMPRODUCT($C$6:$X$6,'batch tool'!$B2805:$W2805)+$Y$6</f>
        <v>-47.741473633885199</v>
      </c>
      <c r="G2811" s="7">
        <f>SUMPRODUCT($C$7:$X$7,'batch tool'!$B2805:$W2805)+$Y$7</f>
        <v>-19.739516238059196</v>
      </c>
      <c r="H2811" s="7">
        <f t="shared" si="88"/>
        <v>-19.739516238059196</v>
      </c>
      <c r="I2811">
        <f t="shared" si="89"/>
        <v>6</v>
      </c>
      <c r="J2811" t="str" cm="1">
        <f t="array" ref="J2811">INDEX($A$2:$A$7,I2811)</f>
        <v>Segment 6- Self-Conscious Male</v>
      </c>
    </row>
    <row r="2812" spans="1:10" x14ac:dyDescent="0.25">
      <c r="A2812" s="1">
        <f>'batch tool'!A2806</f>
        <v>0</v>
      </c>
      <c r="B2812" s="7">
        <f>SUMPRODUCT($C$2:$X$2,'batch tool'!$B2806:$W2806)+$Y$2</f>
        <v>-49.12272534143483</v>
      </c>
      <c r="C2812" s="7">
        <f>SUMPRODUCT($C$3:$X$3,'batch tool'!$B2806:$W2806)+$Y$3</f>
        <v>-36.514029388465531</v>
      </c>
      <c r="D2812" s="7">
        <f>SUMPRODUCT($C$4:$X$4,'batch tool'!$B2806:$W2806)+$Y$4</f>
        <v>-44.639843068043824</v>
      </c>
      <c r="E2812" s="7">
        <f>SUMPRODUCT($C$5:$X$5,'batch tool'!$B2806:$W2806)+$Y$5</f>
        <v>-51.578889182477603</v>
      </c>
      <c r="F2812" s="7">
        <f>SUMPRODUCT($C$6:$X$6,'batch tool'!$B2806:$W2806)+$Y$6</f>
        <v>-47.741473633885199</v>
      </c>
      <c r="G2812" s="7">
        <f>SUMPRODUCT($C$7:$X$7,'batch tool'!$B2806:$W2806)+$Y$7</f>
        <v>-19.739516238059196</v>
      </c>
      <c r="H2812" s="7">
        <f t="shared" si="88"/>
        <v>-19.739516238059196</v>
      </c>
      <c r="I2812">
        <f t="shared" si="89"/>
        <v>6</v>
      </c>
      <c r="J2812" t="str" cm="1">
        <f t="array" ref="J2812">INDEX($A$2:$A$7,I2812)</f>
        <v>Segment 6- Self-Conscious Male</v>
      </c>
    </row>
    <row r="2813" spans="1:10" x14ac:dyDescent="0.25">
      <c r="A2813" s="1">
        <f>'batch tool'!A2807</f>
        <v>0</v>
      </c>
      <c r="B2813" s="7">
        <f>SUMPRODUCT($C$2:$X$2,'batch tool'!$B2807:$W2807)+$Y$2</f>
        <v>-49.12272534143483</v>
      </c>
      <c r="C2813" s="7">
        <f>SUMPRODUCT($C$3:$X$3,'batch tool'!$B2807:$W2807)+$Y$3</f>
        <v>-36.514029388465531</v>
      </c>
      <c r="D2813" s="7">
        <f>SUMPRODUCT($C$4:$X$4,'batch tool'!$B2807:$W2807)+$Y$4</f>
        <v>-44.639843068043824</v>
      </c>
      <c r="E2813" s="7">
        <f>SUMPRODUCT($C$5:$X$5,'batch tool'!$B2807:$W2807)+$Y$5</f>
        <v>-51.578889182477603</v>
      </c>
      <c r="F2813" s="7">
        <f>SUMPRODUCT($C$6:$X$6,'batch tool'!$B2807:$W2807)+$Y$6</f>
        <v>-47.741473633885199</v>
      </c>
      <c r="G2813" s="7">
        <f>SUMPRODUCT($C$7:$X$7,'batch tool'!$B2807:$W2807)+$Y$7</f>
        <v>-19.739516238059196</v>
      </c>
      <c r="H2813" s="7">
        <f t="shared" si="88"/>
        <v>-19.739516238059196</v>
      </c>
      <c r="I2813">
        <f t="shared" si="89"/>
        <v>6</v>
      </c>
      <c r="J2813" t="str" cm="1">
        <f t="array" ref="J2813">INDEX($A$2:$A$7,I2813)</f>
        <v>Segment 6- Self-Conscious Male</v>
      </c>
    </row>
    <row r="2814" spans="1:10" x14ac:dyDescent="0.25">
      <c r="A2814" s="1">
        <f>'batch tool'!A2808</f>
        <v>0</v>
      </c>
      <c r="B2814" s="7">
        <f>SUMPRODUCT($C$2:$X$2,'batch tool'!$B2808:$W2808)+$Y$2</f>
        <v>-49.12272534143483</v>
      </c>
      <c r="C2814" s="7">
        <f>SUMPRODUCT($C$3:$X$3,'batch tool'!$B2808:$W2808)+$Y$3</f>
        <v>-36.514029388465531</v>
      </c>
      <c r="D2814" s="7">
        <f>SUMPRODUCT($C$4:$X$4,'batch tool'!$B2808:$W2808)+$Y$4</f>
        <v>-44.639843068043824</v>
      </c>
      <c r="E2814" s="7">
        <f>SUMPRODUCT($C$5:$X$5,'batch tool'!$B2808:$W2808)+$Y$5</f>
        <v>-51.578889182477603</v>
      </c>
      <c r="F2814" s="7">
        <f>SUMPRODUCT($C$6:$X$6,'batch tool'!$B2808:$W2808)+$Y$6</f>
        <v>-47.741473633885199</v>
      </c>
      <c r="G2814" s="7">
        <f>SUMPRODUCT($C$7:$X$7,'batch tool'!$B2808:$W2808)+$Y$7</f>
        <v>-19.739516238059196</v>
      </c>
      <c r="H2814" s="7">
        <f t="shared" si="88"/>
        <v>-19.739516238059196</v>
      </c>
      <c r="I2814">
        <f t="shared" si="89"/>
        <v>6</v>
      </c>
      <c r="J2814" t="str" cm="1">
        <f t="array" ref="J2814">INDEX($A$2:$A$7,I2814)</f>
        <v>Segment 6- Self-Conscious Male</v>
      </c>
    </row>
    <row r="2815" spans="1:10" x14ac:dyDescent="0.25">
      <c r="A2815" s="1">
        <f>'batch tool'!A2809</f>
        <v>0</v>
      </c>
      <c r="B2815" s="7">
        <f>SUMPRODUCT($C$2:$X$2,'batch tool'!$B2809:$W2809)+$Y$2</f>
        <v>-49.12272534143483</v>
      </c>
      <c r="C2815" s="7">
        <f>SUMPRODUCT($C$3:$X$3,'batch tool'!$B2809:$W2809)+$Y$3</f>
        <v>-36.514029388465531</v>
      </c>
      <c r="D2815" s="7">
        <f>SUMPRODUCT($C$4:$X$4,'batch tool'!$B2809:$W2809)+$Y$4</f>
        <v>-44.639843068043824</v>
      </c>
      <c r="E2815" s="7">
        <f>SUMPRODUCT($C$5:$X$5,'batch tool'!$B2809:$W2809)+$Y$5</f>
        <v>-51.578889182477603</v>
      </c>
      <c r="F2815" s="7">
        <f>SUMPRODUCT($C$6:$X$6,'batch tool'!$B2809:$W2809)+$Y$6</f>
        <v>-47.741473633885199</v>
      </c>
      <c r="G2815" s="7">
        <f>SUMPRODUCT($C$7:$X$7,'batch tool'!$B2809:$W2809)+$Y$7</f>
        <v>-19.739516238059196</v>
      </c>
      <c r="H2815" s="7">
        <f t="shared" si="88"/>
        <v>-19.739516238059196</v>
      </c>
      <c r="I2815">
        <f t="shared" si="89"/>
        <v>6</v>
      </c>
      <c r="J2815" t="str" cm="1">
        <f t="array" ref="J2815">INDEX($A$2:$A$7,I2815)</f>
        <v>Segment 6- Self-Conscious Male</v>
      </c>
    </row>
    <row r="2816" spans="1:10" x14ac:dyDescent="0.25">
      <c r="A2816" s="1">
        <f>'batch tool'!A2810</f>
        <v>0</v>
      </c>
      <c r="B2816" s="7">
        <f>SUMPRODUCT($C$2:$X$2,'batch tool'!$B2810:$W2810)+$Y$2</f>
        <v>-49.12272534143483</v>
      </c>
      <c r="C2816" s="7">
        <f>SUMPRODUCT($C$3:$X$3,'batch tool'!$B2810:$W2810)+$Y$3</f>
        <v>-36.514029388465531</v>
      </c>
      <c r="D2816" s="7">
        <f>SUMPRODUCT($C$4:$X$4,'batch tool'!$B2810:$W2810)+$Y$4</f>
        <v>-44.639843068043824</v>
      </c>
      <c r="E2816" s="7">
        <f>SUMPRODUCT($C$5:$X$5,'batch tool'!$B2810:$W2810)+$Y$5</f>
        <v>-51.578889182477603</v>
      </c>
      <c r="F2816" s="7">
        <f>SUMPRODUCT($C$6:$X$6,'batch tool'!$B2810:$W2810)+$Y$6</f>
        <v>-47.741473633885199</v>
      </c>
      <c r="G2816" s="7">
        <f>SUMPRODUCT($C$7:$X$7,'batch tool'!$B2810:$W2810)+$Y$7</f>
        <v>-19.739516238059196</v>
      </c>
      <c r="H2816" s="7">
        <f t="shared" si="88"/>
        <v>-19.739516238059196</v>
      </c>
      <c r="I2816">
        <f t="shared" si="89"/>
        <v>6</v>
      </c>
      <c r="J2816" t="str" cm="1">
        <f t="array" ref="J2816">INDEX($A$2:$A$7,I2816)</f>
        <v>Segment 6- Self-Conscious Male</v>
      </c>
    </row>
    <row r="2817" spans="1:10" x14ac:dyDescent="0.25">
      <c r="A2817" s="1">
        <f>'batch tool'!A2811</f>
        <v>0</v>
      </c>
      <c r="B2817" s="7">
        <f>SUMPRODUCT($C$2:$X$2,'batch tool'!$B2811:$W2811)+$Y$2</f>
        <v>-49.12272534143483</v>
      </c>
      <c r="C2817" s="7">
        <f>SUMPRODUCT($C$3:$X$3,'batch tool'!$B2811:$W2811)+$Y$3</f>
        <v>-36.514029388465531</v>
      </c>
      <c r="D2817" s="7">
        <f>SUMPRODUCT($C$4:$X$4,'batch tool'!$B2811:$W2811)+$Y$4</f>
        <v>-44.639843068043824</v>
      </c>
      <c r="E2817" s="7">
        <f>SUMPRODUCT($C$5:$X$5,'batch tool'!$B2811:$W2811)+$Y$5</f>
        <v>-51.578889182477603</v>
      </c>
      <c r="F2817" s="7">
        <f>SUMPRODUCT($C$6:$X$6,'batch tool'!$B2811:$W2811)+$Y$6</f>
        <v>-47.741473633885199</v>
      </c>
      <c r="G2817" s="7">
        <f>SUMPRODUCT($C$7:$X$7,'batch tool'!$B2811:$W2811)+$Y$7</f>
        <v>-19.739516238059196</v>
      </c>
      <c r="H2817" s="7">
        <f t="shared" si="88"/>
        <v>-19.739516238059196</v>
      </c>
      <c r="I2817">
        <f t="shared" si="89"/>
        <v>6</v>
      </c>
      <c r="J2817" t="str" cm="1">
        <f t="array" ref="J2817">INDEX($A$2:$A$7,I2817)</f>
        <v>Segment 6- Self-Conscious Male</v>
      </c>
    </row>
    <row r="2818" spans="1:10" x14ac:dyDescent="0.25">
      <c r="A2818" s="1">
        <f>'batch tool'!A2812</f>
        <v>0</v>
      </c>
      <c r="B2818" s="7">
        <f>SUMPRODUCT($C$2:$X$2,'batch tool'!$B2812:$W2812)+$Y$2</f>
        <v>-49.12272534143483</v>
      </c>
      <c r="C2818" s="7">
        <f>SUMPRODUCT($C$3:$X$3,'batch tool'!$B2812:$W2812)+$Y$3</f>
        <v>-36.514029388465531</v>
      </c>
      <c r="D2818" s="7">
        <f>SUMPRODUCT($C$4:$X$4,'batch tool'!$B2812:$W2812)+$Y$4</f>
        <v>-44.639843068043824</v>
      </c>
      <c r="E2818" s="7">
        <f>SUMPRODUCT($C$5:$X$5,'batch tool'!$B2812:$W2812)+$Y$5</f>
        <v>-51.578889182477603</v>
      </c>
      <c r="F2818" s="7">
        <f>SUMPRODUCT($C$6:$X$6,'batch tool'!$B2812:$W2812)+$Y$6</f>
        <v>-47.741473633885199</v>
      </c>
      <c r="G2818" s="7">
        <f>SUMPRODUCT($C$7:$X$7,'batch tool'!$B2812:$W2812)+$Y$7</f>
        <v>-19.739516238059196</v>
      </c>
      <c r="H2818" s="7">
        <f t="shared" si="88"/>
        <v>-19.739516238059196</v>
      </c>
      <c r="I2818">
        <f t="shared" si="89"/>
        <v>6</v>
      </c>
      <c r="J2818" t="str" cm="1">
        <f t="array" ref="J2818">INDEX($A$2:$A$7,I2818)</f>
        <v>Segment 6- Self-Conscious Male</v>
      </c>
    </row>
    <row r="2819" spans="1:10" x14ac:dyDescent="0.25">
      <c r="A2819" s="1">
        <f>'batch tool'!A2813</f>
        <v>0</v>
      </c>
      <c r="B2819" s="7">
        <f>SUMPRODUCT($C$2:$X$2,'batch tool'!$B2813:$W2813)+$Y$2</f>
        <v>-49.12272534143483</v>
      </c>
      <c r="C2819" s="7">
        <f>SUMPRODUCT($C$3:$X$3,'batch tool'!$B2813:$W2813)+$Y$3</f>
        <v>-36.514029388465531</v>
      </c>
      <c r="D2819" s="7">
        <f>SUMPRODUCT($C$4:$X$4,'batch tool'!$B2813:$W2813)+$Y$4</f>
        <v>-44.639843068043824</v>
      </c>
      <c r="E2819" s="7">
        <f>SUMPRODUCT($C$5:$X$5,'batch tool'!$B2813:$W2813)+$Y$5</f>
        <v>-51.578889182477603</v>
      </c>
      <c r="F2819" s="7">
        <f>SUMPRODUCT($C$6:$X$6,'batch tool'!$B2813:$W2813)+$Y$6</f>
        <v>-47.741473633885199</v>
      </c>
      <c r="G2819" s="7">
        <f>SUMPRODUCT($C$7:$X$7,'batch tool'!$B2813:$W2813)+$Y$7</f>
        <v>-19.739516238059196</v>
      </c>
      <c r="H2819" s="7">
        <f t="shared" si="88"/>
        <v>-19.739516238059196</v>
      </c>
      <c r="I2819">
        <f t="shared" si="89"/>
        <v>6</v>
      </c>
      <c r="J2819" t="str" cm="1">
        <f t="array" ref="J2819">INDEX($A$2:$A$7,I2819)</f>
        <v>Segment 6- Self-Conscious Male</v>
      </c>
    </row>
    <row r="2820" spans="1:10" x14ac:dyDescent="0.25">
      <c r="A2820" s="1">
        <f>'batch tool'!A2814</f>
        <v>0</v>
      </c>
      <c r="B2820" s="7">
        <f>SUMPRODUCT($C$2:$X$2,'batch tool'!$B2814:$W2814)+$Y$2</f>
        <v>-49.12272534143483</v>
      </c>
      <c r="C2820" s="7">
        <f>SUMPRODUCT($C$3:$X$3,'batch tool'!$B2814:$W2814)+$Y$3</f>
        <v>-36.514029388465531</v>
      </c>
      <c r="D2820" s="7">
        <f>SUMPRODUCT($C$4:$X$4,'batch tool'!$B2814:$W2814)+$Y$4</f>
        <v>-44.639843068043824</v>
      </c>
      <c r="E2820" s="7">
        <f>SUMPRODUCT($C$5:$X$5,'batch tool'!$B2814:$W2814)+$Y$5</f>
        <v>-51.578889182477603</v>
      </c>
      <c r="F2820" s="7">
        <f>SUMPRODUCT($C$6:$X$6,'batch tool'!$B2814:$W2814)+$Y$6</f>
        <v>-47.741473633885199</v>
      </c>
      <c r="G2820" s="7">
        <f>SUMPRODUCT($C$7:$X$7,'batch tool'!$B2814:$W2814)+$Y$7</f>
        <v>-19.739516238059196</v>
      </c>
      <c r="H2820" s="7">
        <f t="shared" si="88"/>
        <v>-19.739516238059196</v>
      </c>
      <c r="I2820">
        <f t="shared" si="89"/>
        <v>6</v>
      </c>
      <c r="J2820" t="str" cm="1">
        <f t="array" ref="J2820">INDEX($A$2:$A$7,I2820)</f>
        <v>Segment 6- Self-Conscious Male</v>
      </c>
    </row>
    <row r="2821" spans="1:10" x14ac:dyDescent="0.25">
      <c r="A2821" s="1">
        <f>'batch tool'!A2815</f>
        <v>0</v>
      </c>
      <c r="B2821" s="7">
        <f>SUMPRODUCT($C$2:$X$2,'batch tool'!$B2815:$W2815)+$Y$2</f>
        <v>-49.12272534143483</v>
      </c>
      <c r="C2821" s="7">
        <f>SUMPRODUCT($C$3:$X$3,'batch tool'!$B2815:$W2815)+$Y$3</f>
        <v>-36.514029388465531</v>
      </c>
      <c r="D2821" s="7">
        <f>SUMPRODUCT($C$4:$X$4,'batch tool'!$B2815:$W2815)+$Y$4</f>
        <v>-44.639843068043824</v>
      </c>
      <c r="E2821" s="7">
        <f>SUMPRODUCT($C$5:$X$5,'batch tool'!$B2815:$W2815)+$Y$5</f>
        <v>-51.578889182477603</v>
      </c>
      <c r="F2821" s="7">
        <f>SUMPRODUCT($C$6:$X$6,'batch tool'!$B2815:$W2815)+$Y$6</f>
        <v>-47.741473633885199</v>
      </c>
      <c r="G2821" s="7">
        <f>SUMPRODUCT($C$7:$X$7,'batch tool'!$B2815:$W2815)+$Y$7</f>
        <v>-19.739516238059196</v>
      </c>
      <c r="H2821" s="7">
        <f t="shared" si="88"/>
        <v>-19.739516238059196</v>
      </c>
      <c r="I2821">
        <f t="shared" si="89"/>
        <v>6</v>
      </c>
      <c r="J2821" t="str" cm="1">
        <f t="array" ref="J2821">INDEX($A$2:$A$7,I2821)</f>
        <v>Segment 6- Self-Conscious Male</v>
      </c>
    </row>
    <row r="2822" spans="1:10" x14ac:dyDescent="0.25">
      <c r="A2822" s="1">
        <f>'batch tool'!A2816</f>
        <v>0</v>
      </c>
      <c r="B2822" s="7">
        <f>SUMPRODUCT($C$2:$X$2,'batch tool'!$B2816:$W2816)+$Y$2</f>
        <v>-49.12272534143483</v>
      </c>
      <c r="C2822" s="7">
        <f>SUMPRODUCT($C$3:$X$3,'batch tool'!$B2816:$W2816)+$Y$3</f>
        <v>-36.514029388465531</v>
      </c>
      <c r="D2822" s="7">
        <f>SUMPRODUCT($C$4:$X$4,'batch tool'!$B2816:$W2816)+$Y$4</f>
        <v>-44.639843068043824</v>
      </c>
      <c r="E2822" s="7">
        <f>SUMPRODUCT($C$5:$X$5,'batch tool'!$B2816:$W2816)+$Y$5</f>
        <v>-51.578889182477603</v>
      </c>
      <c r="F2822" s="7">
        <f>SUMPRODUCT($C$6:$X$6,'batch tool'!$B2816:$W2816)+$Y$6</f>
        <v>-47.741473633885199</v>
      </c>
      <c r="G2822" s="7">
        <f>SUMPRODUCT($C$7:$X$7,'batch tool'!$B2816:$W2816)+$Y$7</f>
        <v>-19.739516238059196</v>
      </c>
      <c r="H2822" s="7">
        <f t="shared" si="88"/>
        <v>-19.739516238059196</v>
      </c>
      <c r="I2822">
        <f t="shared" si="89"/>
        <v>6</v>
      </c>
      <c r="J2822" t="str" cm="1">
        <f t="array" ref="J2822">INDEX($A$2:$A$7,I2822)</f>
        <v>Segment 6- Self-Conscious Male</v>
      </c>
    </row>
    <row r="2823" spans="1:10" x14ac:dyDescent="0.25">
      <c r="A2823" s="1">
        <f>'batch tool'!A2817</f>
        <v>0</v>
      </c>
      <c r="B2823" s="7">
        <f>SUMPRODUCT($C$2:$X$2,'batch tool'!$B2817:$W2817)+$Y$2</f>
        <v>-49.12272534143483</v>
      </c>
      <c r="C2823" s="7">
        <f>SUMPRODUCT($C$3:$X$3,'batch tool'!$B2817:$W2817)+$Y$3</f>
        <v>-36.514029388465531</v>
      </c>
      <c r="D2823" s="7">
        <f>SUMPRODUCT($C$4:$X$4,'batch tool'!$B2817:$W2817)+$Y$4</f>
        <v>-44.639843068043824</v>
      </c>
      <c r="E2823" s="7">
        <f>SUMPRODUCT($C$5:$X$5,'batch tool'!$B2817:$W2817)+$Y$5</f>
        <v>-51.578889182477603</v>
      </c>
      <c r="F2823" s="7">
        <f>SUMPRODUCT($C$6:$X$6,'batch tool'!$B2817:$W2817)+$Y$6</f>
        <v>-47.741473633885199</v>
      </c>
      <c r="G2823" s="7">
        <f>SUMPRODUCT($C$7:$X$7,'batch tool'!$B2817:$W2817)+$Y$7</f>
        <v>-19.739516238059196</v>
      </c>
      <c r="H2823" s="7">
        <f t="shared" si="88"/>
        <v>-19.739516238059196</v>
      </c>
      <c r="I2823">
        <f t="shared" si="89"/>
        <v>6</v>
      </c>
      <c r="J2823" t="str" cm="1">
        <f t="array" ref="J2823">INDEX($A$2:$A$7,I2823)</f>
        <v>Segment 6- Self-Conscious Male</v>
      </c>
    </row>
    <row r="2824" spans="1:10" x14ac:dyDescent="0.25">
      <c r="A2824" s="1">
        <f>'batch tool'!A2818</f>
        <v>0</v>
      </c>
      <c r="B2824" s="7">
        <f>SUMPRODUCT($C$2:$X$2,'batch tool'!$B2818:$W2818)+$Y$2</f>
        <v>-49.12272534143483</v>
      </c>
      <c r="C2824" s="7">
        <f>SUMPRODUCT($C$3:$X$3,'batch tool'!$B2818:$W2818)+$Y$3</f>
        <v>-36.514029388465531</v>
      </c>
      <c r="D2824" s="7">
        <f>SUMPRODUCT($C$4:$X$4,'batch tool'!$B2818:$W2818)+$Y$4</f>
        <v>-44.639843068043824</v>
      </c>
      <c r="E2824" s="7">
        <f>SUMPRODUCT($C$5:$X$5,'batch tool'!$B2818:$W2818)+$Y$5</f>
        <v>-51.578889182477603</v>
      </c>
      <c r="F2824" s="7">
        <f>SUMPRODUCT($C$6:$X$6,'batch tool'!$B2818:$W2818)+$Y$6</f>
        <v>-47.741473633885199</v>
      </c>
      <c r="G2824" s="7">
        <f>SUMPRODUCT($C$7:$X$7,'batch tool'!$B2818:$W2818)+$Y$7</f>
        <v>-19.739516238059196</v>
      </c>
      <c r="H2824" s="7">
        <f t="shared" si="88"/>
        <v>-19.739516238059196</v>
      </c>
      <c r="I2824">
        <f t="shared" si="89"/>
        <v>6</v>
      </c>
      <c r="J2824" t="str" cm="1">
        <f t="array" ref="J2824">INDEX($A$2:$A$7,I2824)</f>
        <v>Segment 6- Self-Conscious Male</v>
      </c>
    </row>
    <row r="2825" spans="1:10" x14ac:dyDescent="0.25">
      <c r="A2825" s="1">
        <f>'batch tool'!A2819</f>
        <v>0</v>
      </c>
      <c r="B2825" s="7">
        <f>SUMPRODUCT($C$2:$X$2,'batch tool'!$B2819:$W2819)+$Y$2</f>
        <v>-49.12272534143483</v>
      </c>
      <c r="C2825" s="7">
        <f>SUMPRODUCT($C$3:$X$3,'batch tool'!$B2819:$W2819)+$Y$3</f>
        <v>-36.514029388465531</v>
      </c>
      <c r="D2825" s="7">
        <f>SUMPRODUCT($C$4:$X$4,'batch tool'!$B2819:$W2819)+$Y$4</f>
        <v>-44.639843068043824</v>
      </c>
      <c r="E2825" s="7">
        <f>SUMPRODUCT($C$5:$X$5,'batch tool'!$B2819:$W2819)+$Y$5</f>
        <v>-51.578889182477603</v>
      </c>
      <c r="F2825" s="7">
        <f>SUMPRODUCT($C$6:$X$6,'batch tool'!$B2819:$W2819)+$Y$6</f>
        <v>-47.741473633885199</v>
      </c>
      <c r="G2825" s="7">
        <f>SUMPRODUCT($C$7:$X$7,'batch tool'!$B2819:$W2819)+$Y$7</f>
        <v>-19.739516238059196</v>
      </c>
      <c r="H2825" s="7">
        <f t="shared" si="88"/>
        <v>-19.739516238059196</v>
      </c>
      <c r="I2825">
        <f t="shared" si="89"/>
        <v>6</v>
      </c>
      <c r="J2825" t="str" cm="1">
        <f t="array" ref="J2825">INDEX($A$2:$A$7,I2825)</f>
        <v>Segment 6- Self-Conscious Male</v>
      </c>
    </row>
    <row r="2826" spans="1:10" x14ac:dyDescent="0.25">
      <c r="A2826" s="1">
        <f>'batch tool'!A2820</f>
        <v>0</v>
      </c>
      <c r="B2826" s="7">
        <f>SUMPRODUCT($C$2:$X$2,'batch tool'!$B2820:$W2820)+$Y$2</f>
        <v>-49.12272534143483</v>
      </c>
      <c r="C2826" s="7">
        <f>SUMPRODUCT($C$3:$X$3,'batch tool'!$B2820:$W2820)+$Y$3</f>
        <v>-36.514029388465531</v>
      </c>
      <c r="D2826" s="7">
        <f>SUMPRODUCT($C$4:$X$4,'batch tool'!$B2820:$W2820)+$Y$4</f>
        <v>-44.639843068043824</v>
      </c>
      <c r="E2826" s="7">
        <f>SUMPRODUCT($C$5:$X$5,'batch tool'!$B2820:$W2820)+$Y$5</f>
        <v>-51.578889182477603</v>
      </c>
      <c r="F2826" s="7">
        <f>SUMPRODUCT($C$6:$X$6,'batch tool'!$B2820:$W2820)+$Y$6</f>
        <v>-47.741473633885199</v>
      </c>
      <c r="G2826" s="7">
        <f>SUMPRODUCT($C$7:$X$7,'batch tool'!$B2820:$W2820)+$Y$7</f>
        <v>-19.739516238059196</v>
      </c>
      <c r="H2826" s="7">
        <f t="shared" si="88"/>
        <v>-19.739516238059196</v>
      </c>
      <c r="I2826">
        <f t="shared" si="89"/>
        <v>6</v>
      </c>
      <c r="J2826" t="str" cm="1">
        <f t="array" ref="J2826">INDEX($A$2:$A$7,I2826)</f>
        <v>Segment 6- Self-Conscious Male</v>
      </c>
    </row>
    <row r="2827" spans="1:10" x14ac:dyDescent="0.25">
      <c r="A2827" s="1">
        <f>'batch tool'!A2821</f>
        <v>0</v>
      </c>
      <c r="B2827" s="7">
        <f>SUMPRODUCT($C$2:$X$2,'batch tool'!$B2821:$W2821)+$Y$2</f>
        <v>-49.12272534143483</v>
      </c>
      <c r="C2827" s="7">
        <f>SUMPRODUCT($C$3:$X$3,'batch tool'!$B2821:$W2821)+$Y$3</f>
        <v>-36.514029388465531</v>
      </c>
      <c r="D2827" s="7">
        <f>SUMPRODUCT($C$4:$X$4,'batch tool'!$B2821:$W2821)+$Y$4</f>
        <v>-44.639843068043824</v>
      </c>
      <c r="E2827" s="7">
        <f>SUMPRODUCT($C$5:$X$5,'batch tool'!$B2821:$W2821)+$Y$5</f>
        <v>-51.578889182477603</v>
      </c>
      <c r="F2827" s="7">
        <f>SUMPRODUCT($C$6:$X$6,'batch tool'!$B2821:$W2821)+$Y$6</f>
        <v>-47.741473633885199</v>
      </c>
      <c r="G2827" s="7">
        <f>SUMPRODUCT($C$7:$X$7,'batch tool'!$B2821:$W2821)+$Y$7</f>
        <v>-19.739516238059196</v>
      </c>
      <c r="H2827" s="7">
        <f t="shared" si="88"/>
        <v>-19.739516238059196</v>
      </c>
      <c r="I2827">
        <f t="shared" si="89"/>
        <v>6</v>
      </c>
      <c r="J2827" t="str" cm="1">
        <f t="array" ref="J2827">INDEX($A$2:$A$7,I2827)</f>
        <v>Segment 6- Self-Conscious Male</v>
      </c>
    </row>
    <row r="2828" spans="1:10" x14ac:dyDescent="0.25">
      <c r="A2828" s="1">
        <f>'batch tool'!A2822</f>
        <v>0</v>
      </c>
      <c r="B2828" s="7">
        <f>SUMPRODUCT($C$2:$X$2,'batch tool'!$B2822:$W2822)+$Y$2</f>
        <v>-49.12272534143483</v>
      </c>
      <c r="C2828" s="7">
        <f>SUMPRODUCT($C$3:$X$3,'batch tool'!$B2822:$W2822)+$Y$3</f>
        <v>-36.514029388465531</v>
      </c>
      <c r="D2828" s="7">
        <f>SUMPRODUCT($C$4:$X$4,'batch tool'!$B2822:$W2822)+$Y$4</f>
        <v>-44.639843068043824</v>
      </c>
      <c r="E2828" s="7">
        <f>SUMPRODUCT($C$5:$X$5,'batch tool'!$B2822:$W2822)+$Y$5</f>
        <v>-51.578889182477603</v>
      </c>
      <c r="F2828" s="7">
        <f>SUMPRODUCT($C$6:$X$6,'batch tool'!$B2822:$W2822)+$Y$6</f>
        <v>-47.741473633885199</v>
      </c>
      <c r="G2828" s="7">
        <f>SUMPRODUCT($C$7:$X$7,'batch tool'!$B2822:$W2822)+$Y$7</f>
        <v>-19.739516238059196</v>
      </c>
      <c r="H2828" s="7">
        <f t="shared" si="88"/>
        <v>-19.739516238059196</v>
      </c>
      <c r="I2828">
        <f t="shared" si="89"/>
        <v>6</v>
      </c>
      <c r="J2828" t="str" cm="1">
        <f t="array" ref="J2828">INDEX($A$2:$A$7,I2828)</f>
        <v>Segment 6- Self-Conscious Male</v>
      </c>
    </row>
    <row r="2829" spans="1:10" x14ac:dyDescent="0.25">
      <c r="A2829" s="1">
        <f>'batch tool'!A2823</f>
        <v>0</v>
      </c>
      <c r="B2829" s="7">
        <f>SUMPRODUCT($C$2:$X$2,'batch tool'!$B2823:$W2823)+$Y$2</f>
        <v>-49.12272534143483</v>
      </c>
      <c r="C2829" s="7">
        <f>SUMPRODUCT($C$3:$X$3,'batch tool'!$B2823:$W2823)+$Y$3</f>
        <v>-36.514029388465531</v>
      </c>
      <c r="D2829" s="7">
        <f>SUMPRODUCT($C$4:$X$4,'batch tool'!$B2823:$W2823)+$Y$4</f>
        <v>-44.639843068043824</v>
      </c>
      <c r="E2829" s="7">
        <f>SUMPRODUCT($C$5:$X$5,'batch tool'!$B2823:$W2823)+$Y$5</f>
        <v>-51.578889182477603</v>
      </c>
      <c r="F2829" s="7">
        <f>SUMPRODUCT($C$6:$X$6,'batch tool'!$B2823:$W2823)+$Y$6</f>
        <v>-47.741473633885199</v>
      </c>
      <c r="G2829" s="7">
        <f>SUMPRODUCT($C$7:$X$7,'batch tool'!$B2823:$W2823)+$Y$7</f>
        <v>-19.739516238059196</v>
      </c>
      <c r="H2829" s="7">
        <f t="shared" si="88"/>
        <v>-19.739516238059196</v>
      </c>
      <c r="I2829">
        <f t="shared" si="89"/>
        <v>6</v>
      </c>
      <c r="J2829" t="str" cm="1">
        <f t="array" ref="J2829">INDEX($A$2:$A$7,I2829)</f>
        <v>Segment 6- Self-Conscious Male</v>
      </c>
    </row>
    <row r="2830" spans="1:10" x14ac:dyDescent="0.25">
      <c r="A2830" s="1">
        <f>'batch tool'!A2824</f>
        <v>0</v>
      </c>
      <c r="B2830" s="7">
        <f>SUMPRODUCT($C$2:$X$2,'batch tool'!$B2824:$W2824)+$Y$2</f>
        <v>-49.12272534143483</v>
      </c>
      <c r="C2830" s="7">
        <f>SUMPRODUCT($C$3:$X$3,'batch tool'!$B2824:$W2824)+$Y$3</f>
        <v>-36.514029388465531</v>
      </c>
      <c r="D2830" s="7">
        <f>SUMPRODUCT($C$4:$X$4,'batch tool'!$B2824:$W2824)+$Y$4</f>
        <v>-44.639843068043824</v>
      </c>
      <c r="E2830" s="7">
        <f>SUMPRODUCT($C$5:$X$5,'batch tool'!$B2824:$W2824)+$Y$5</f>
        <v>-51.578889182477603</v>
      </c>
      <c r="F2830" s="7">
        <f>SUMPRODUCT($C$6:$X$6,'batch tool'!$B2824:$W2824)+$Y$6</f>
        <v>-47.741473633885199</v>
      </c>
      <c r="G2830" s="7">
        <f>SUMPRODUCT($C$7:$X$7,'batch tool'!$B2824:$W2824)+$Y$7</f>
        <v>-19.739516238059196</v>
      </c>
      <c r="H2830" s="7">
        <f t="shared" si="88"/>
        <v>-19.739516238059196</v>
      </c>
      <c r="I2830">
        <f t="shared" si="89"/>
        <v>6</v>
      </c>
      <c r="J2830" t="str" cm="1">
        <f t="array" ref="J2830">INDEX($A$2:$A$7,I2830)</f>
        <v>Segment 6- Self-Conscious Male</v>
      </c>
    </row>
    <row r="2831" spans="1:10" x14ac:dyDescent="0.25">
      <c r="A2831" s="1">
        <f>'batch tool'!A2825</f>
        <v>0</v>
      </c>
      <c r="B2831" s="7">
        <f>SUMPRODUCT($C$2:$X$2,'batch tool'!$B2825:$W2825)+$Y$2</f>
        <v>-49.12272534143483</v>
      </c>
      <c r="C2831" s="7">
        <f>SUMPRODUCT($C$3:$X$3,'batch tool'!$B2825:$W2825)+$Y$3</f>
        <v>-36.514029388465531</v>
      </c>
      <c r="D2831" s="7">
        <f>SUMPRODUCT($C$4:$X$4,'batch tool'!$B2825:$W2825)+$Y$4</f>
        <v>-44.639843068043824</v>
      </c>
      <c r="E2831" s="7">
        <f>SUMPRODUCT($C$5:$X$5,'batch tool'!$B2825:$W2825)+$Y$5</f>
        <v>-51.578889182477603</v>
      </c>
      <c r="F2831" s="7">
        <f>SUMPRODUCT($C$6:$X$6,'batch tool'!$B2825:$W2825)+$Y$6</f>
        <v>-47.741473633885199</v>
      </c>
      <c r="G2831" s="7">
        <f>SUMPRODUCT($C$7:$X$7,'batch tool'!$B2825:$W2825)+$Y$7</f>
        <v>-19.739516238059196</v>
      </c>
      <c r="H2831" s="7">
        <f t="shared" si="88"/>
        <v>-19.739516238059196</v>
      </c>
      <c r="I2831">
        <f t="shared" si="89"/>
        <v>6</v>
      </c>
      <c r="J2831" t="str" cm="1">
        <f t="array" ref="J2831">INDEX($A$2:$A$7,I2831)</f>
        <v>Segment 6- Self-Conscious Male</v>
      </c>
    </row>
    <row r="2832" spans="1:10" x14ac:dyDescent="0.25">
      <c r="A2832" s="1">
        <f>'batch tool'!A2826</f>
        <v>0</v>
      </c>
      <c r="B2832" s="7">
        <f>SUMPRODUCT($C$2:$X$2,'batch tool'!$B2826:$W2826)+$Y$2</f>
        <v>-49.12272534143483</v>
      </c>
      <c r="C2832" s="7">
        <f>SUMPRODUCT($C$3:$X$3,'batch tool'!$B2826:$W2826)+$Y$3</f>
        <v>-36.514029388465531</v>
      </c>
      <c r="D2832" s="7">
        <f>SUMPRODUCT($C$4:$X$4,'batch tool'!$B2826:$W2826)+$Y$4</f>
        <v>-44.639843068043824</v>
      </c>
      <c r="E2832" s="7">
        <f>SUMPRODUCT($C$5:$X$5,'batch tool'!$B2826:$W2826)+$Y$5</f>
        <v>-51.578889182477603</v>
      </c>
      <c r="F2832" s="7">
        <f>SUMPRODUCT($C$6:$X$6,'batch tool'!$B2826:$W2826)+$Y$6</f>
        <v>-47.741473633885199</v>
      </c>
      <c r="G2832" s="7">
        <f>SUMPRODUCT($C$7:$X$7,'batch tool'!$B2826:$W2826)+$Y$7</f>
        <v>-19.739516238059196</v>
      </c>
      <c r="H2832" s="7">
        <f t="shared" si="88"/>
        <v>-19.739516238059196</v>
      </c>
      <c r="I2832">
        <f t="shared" si="89"/>
        <v>6</v>
      </c>
      <c r="J2832" t="str" cm="1">
        <f t="array" ref="J2832">INDEX($A$2:$A$7,I2832)</f>
        <v>Segment 6- Self-Conscious Male</v>
      </c>
    </row>
    <row r="2833" spans="1:10" x14ac:dyDescent="0.25">
      <c r="A2833" s="1">
        <f>'batch tool'!A2827</f>
        <v>0</v>
      </c>
      <c r="B2833" s="7">
        <f>SUMPRODUCT($C$2:$X$2,'batch tool'!$B2827:$W2827)+$Y$2</f>
        <v>-49.12272534143483</v>
      </c>
      <c r="C2833" s="7">
        <f>SUMPRODUCT($C$3:$X$3,'batch tool'!$B2827:$W2827)+$Y$3</f>
        <v>-36.514029388465531</v>
      </c>
      <c r="D2833" s="7">
        <f>SUMPRODUCT($C$4:$X$4,'batch tool'!$B2827:$W2827)+$Y$4</f>
        <v>-44.639843068043824</v>
      </c>
      <c r="E2833" s="7">
        <f>SUMPRODUCT($C$5:$X$5,'batch tool'!$B2827:$W2827)+$Y$5</f>
        <v>-51.578889182477603</v>
      </c>
      <c r="F2833" s="7">
        <f>SUMPRODUCT($C$6:$X$6,'batch tool'!$B2827:$W2827)+$Y$6</f>
        <v>-47.741473633885199</v>
      </c>
      <c r="G2833" s="7">
        <f>SUMPRODUCT($C$7:$X$7,'batch tool'!$B2827:$W2827)+$Y$7</f>
        <v>-19.739516238059196</v>
      </c>
      <c r="H2833" s="7">
        <f t="shared" si="88"/>
        <v>-19.739516238059196</v>
      </c>
      <c r="I2833">
        <f t="shared" si="89"/>
        <v>6</v>
      </c>
      <c r="J2833" t="str" cm="1">
        <f t="array" ref="J2833">INDEX($A$2:$A$7,I2833)</f>
        <v>Segment 6- Self-Conscious Male</v>
      </c>
    </row>
    <row r="2834" spans="1:10" x14ac:dyDescent="0.25">
      <c r="A2834" s="1">
        <f>'batch tool'!A2828</f>
        <v>0</v>
      </c>
      <c r="B2834" s="7">
        <f>SUMPRODUCT($C$2:$X$2,'batch tool'!$B2828:$W2828)+$Y$2</f>
        <v>-49.12272534143483</v>
      </c>
      <c r="C2834" s="7">
        <f>SUMPRODUCT($C$3:$X$3,'batch tool'!$B2828:$W2828)+$Y$3</f>
        <v>-36.514029388465531</v>
      </c>
      <c r="D2834" s="7">
        <f>SUMPRODUCT($C$4:$X$4,'batch tool'!$B2828:$W2828)+$Y$4</f>
        <v>-44.639843068043824</v>
      </c>
      <c r="E2834" s="7">
        <f>SUMPRODUCT($C$5:$X$5,'batch tool'!$B2828:$W2828)+$Y$5</f>
        <v>-51.578889182477603</v>
      </c>
      <c r="F2834" s="7">
        <f>SUMPRODUCT($C$6:$X$6,'batch tool'!$B2828:$W2828)+$Y$6</f>
        <v>-47.741473633885199</v>
      </c>
      <c r="G2834" s="7">
        <f>SUMPRODUCT($C$7:$X$7,'batch tool'!$B2828:$W2828)+$Y$7</f>
        <v>-19.739516238059196</v>
      </c>
      <c r="H2834" s="7">
        <f t="shared" si="88"/>
        <v>-19.739516238059196</v>
      </c>
      <c r="I2834">
        <f t="shared" si="89"/>
        <v>6</v>
      </c>
      <c r="J2834" t="str" cm="1">
        <f t="array" ref="J2834">INDEX($A$2:$A$7,I2834)</f>
        <v>Segment 6- Self-Conscious Male</v>
      </c>
    </row>
    <row r="2835" spans="1:10" x14ac:dyDescent="0.25">
      <c r="A2835" s="1">
        <f>'batch tool'!A2829</f>
        <v>0</v>
      </c>
      <c r="B2835" s="7">
        <f>SUMPRODUCT($C$2:$X$2,'batch tool'!$B2829:$W2829)+$Y$2</f>
        <v>-49.12272534143483</v>
      </c>
      <c r="C2835" s="7">
        <f>SUMPRODUCT($C$3:$X$3,'batch tool'!$B2829:$W2829)+$Y$3</f>
        <v>-36.514029388465531</v>
      </c>
      <c r="D2835" s="7">
        <f>SUMPRODUCT($C$4:$X$4,'batch tool'!$B2829:$W2829)+$Y$4</f>
        <v>-44.639843068043824</v>
      </c>
      <c r="E2835" s="7">
        <f>SUMPRODUCT($C$5:$X$5,'batch tool'!$B2829:$W2829)+$Y$5</f>
        <v>-51.578889182477603</v>
      </c>
      <c r="F2835" s="7">
        <f>SUMPRODUCT($C$6:$X$6,'batch tool'!$B2829:$W2829)+$Y$6</f>
        <v>-47.741473633885199</v>
      </c>
      <c r="G2835" s="7">
        <f>SUMPRODUCT($C$7:$X$7,'batch tool'!$B2829:$W2829)+$Y$7</f>
        <v>-19.739516238059196</v>
      </c>
      <c r="H2835" s="7">
        <f t="shared" si="88"/>
        <v>-19.739516238059196</v>
      </c>
      <c r="I2835">
        <f t="shared" si="89"/>
        <v>6</v>
      </c>
      <c r="J2835" t="str" cm="1">
        <f t="array" ref="J2835">INDEX($A$2:$A$7,I2835)</f>
        <v>Segment 6- Self-Conscious Male</v>
      </c>
    </row>
    <row r="2836" spans="1:10" x14ac:dyDescent="0.25">
      <c r="A2836" s="1">
        <f>'batch tool'!A2830</f>
        <v>0</v>
      </c>
      <c r="B2836" s="7">
        <f>SUMPRODUCT($C$2:$X$2,'batch tool'!$B2830:$W2830)+$Y$2</f>
        <v>-49.12272534143483</v>
      </c>
      <c r="C2836" s="7">
        <f>SUMPRODUCT($C$3:$X$3,'batch tool'!$B2830:$W2830)+$Y$3</f>
        <v>-36.514029388465531</v>
      </c>
      <c r="D2836" s="7">
        <f>SUMPRODUCT($C$4:$X$4,'batch tool'!$B2830:$W2830)+$Y$4</f>
        <v>-44.639843068043824</v>
      </c>
      <c r="E2836" s="7">
        <f>SUMPRODUCT($C$5:$X$5,'batch tool'!$B2830:$W2830)+$Y$5</f>
        <v>-51.578889182477603</v>
      </c>
      <c r="F2836" s="7">
        <f>SUMPRODUCT($C$6:$X$6,'batch tool'!$B2830:$W2830)+$Y$6</f>
        <v>-47.741473633885199</v>
      </c>
      <c r="G2836" s="7">
        <f>SUMPRODUCT($C$7:$X$7,'batch tool'!$B2830:$W2830)+$Y$7</f>
        <v>-19.739516238059196</v>
      </c>
      <c r="H2836" s="7">
        <f t="shared" si="88"/>
        <v>-19.739516238059196</v>
      </c>
      <c r="I2836">
        <f t="shared" si="89"/>
        <v>6</v>
      </c>
      <c r="J2836" t="str" cm="1">
        <f t="array" ref="J2836">INDEX($A$2:$A$7,I2836)</f>
        <v>Segment 6- Self-Conscious Male</v>
      </c>
    </row>
    <row r="2837" spans="1:10" x14ac:dyDescent="0.25">
      <c r="A2837" s="1">
        <f>'batch tool'!A2831</f>
        <v>0</v>
      </c>
      <c r="B2837" s="7">
        <f>SUMPRODUCT($C$2:$X$2,'batch tool'!$B2831:$W2831)+$Y$2</f>
        <v>-49.12272534143483</v>
      </c>
      <c r="C2837" s="7">
        <f>SUMPRODUCT($C$3:$X$3,'batch tool'!$B2831:$W2831)+$Y$3</f>
        <v>-36.514029388465531</v>
      </c>
      <c r="D2837" s="7">
        <f>SUMPRODUCT($C$4:$X$4,'batch tool'!$B2831:$W2831)+$Y$4</f>
        <v>-44.639843068043824</v>
      </c>
      <c r="E2837" s="7">
        <f>SUMPRODUCT($C$5:$X$5,'batch tool'!$B2831:$W2831)+$Y$5</f>
        <v>-51.578889182477603</v>
      </c>
      <c r="F2837" s="7">
        <f>SUMPRODUCT($C$6:$X$6,'batch tool'!$B2831:$W2831)+$Y$6</f>
        <v>-47.741473633885199</v>
      </c>
      <c r="G2837" s="7">
        <f>SUMPRODUCT($C$7:$X$7,'batch tool'!$B2831:$W2831)+$Y$7</f>
        <v>-19.739516238059196</v>
      </c>
      <c r="H2837" s="7">
        <f t="shared" si="88"/>
        <v>-19.739516238059196</v>
      </c>
      <c r="I2837">
        <f t="shared" si="89"/>
        <v>6</v>
      </c>
      <c r="J2837" t="str" cm="1">
        <f t="array" ref="J2837">INDEX($A$2:$A$7,I2837)</f>
        <v>Segment 6- Self-Conscious Male</v>
      </c>
    </row>
    <row r="2838" spans="1:10" x14ac:dyDescent="0.25">
      <c r="A2838" s="1">
        <f>'batch tool'!A2832</f>
        <v>0</v>
      </c>
      <c r="B2838" s="7">
        <f>SUMPRODUCT($C$2:$X$2,'batch tool'!$B2832:$W2832)+$Y$2</f>
        <v>-49.12272534143483</v>
      </c>
      <c r="C2838" s="7">
        <f>SUMPRODUCT($C$3:$X$3,'batch tool'!$B2832:$W2832)+$Y$3</f>
        <v>-36.514029388465531</v>
      </c>
      <c r="D2838" s="7">
        <f>SUMPRODUCT($C$4:$X$4,'batch tool'!$B2832:$W2832)+$Y$4</f>
        <v>-44.639843068043824</v>
      </c>
      <c r="E2838" s="7">
        <f>SUMPRODUCT($C$5:$X$5,'batch tool'!$B2832:$W2832)+$Y$5</f>
        <v>-51.578889182477603</v>
      </c>
      <c r="F2838" s="7">
        <f>SUMPRODUCT($C$6:$X$6,'batch tool'!$B2832:$W2832)+$Y$6</f>
        <v>-47.741473633885199</v>
      </c>
      <c r="G2838" s="7">
        <f>SUMPRODUCT($C$7:$X$7,'batch tool'!$B2832:$W2832)+$Y$7</f>
        <v>-19.739516238059196</v>
      </c>
      <c r="H2838" s="7">
        <f t="shared" si="88"/>
        <v>-19.739516238059196</v>
      </c>
      <c r="I2838">
        <f t="shared" si="89"/>
        <v>6</v>
      </c>
      <c r="J2838" t="str" cm="1">
        <f t="array" ref="J2838">INDEX($A$2:$A$7,I2838)</f>
        <v>Segment 6- Self-Conscious Male</v>
      </c>
    </row>
    <row r="2839" spans="1:10" x14ac:dyDescent="0.25">
      <c r="A2839" s="1">
        <f>'batch tool'!A2833</f>
        <v>0</v>
      </c>
      <c r="B2839" s="7">
        <f>SUMPRODUCT($C$2:$X$2,'batch tool'!$B2833:$W2833)+$Y$2</f>
        <v>-49.12272534143483</v>
      </c>
      <c r="C2839" s="7">
        <f>SUMPRODUCT($C$3:$X$3,'batch tool'!$B2833:$W2833)+$Y$3</f>
        <v>-36.514029388465531</v>
      </c>
      <c r="D2839" s="7">
        <f>SUMPRODUCT($C$4:$X$4,'batch tool'!$B2833:$W2833)+$Y$4</f>
        <v>-44.639843068043824</v>
      </c>
      <c r="E2839" s="7">
        <f>SUMPRODUCT($C$5:$X$5,'batch tool'!$B2833:$W2833)+$Y$5</f>
        <v>-51.578889182477603</v>
      </c>
      <c r="F2839" s="7">
        <f>SUMPRODUCT($C$6:$X$6,'batch tool'!$B2833:$W2833)+$Y$6</f>
        <v>-47.741473633885199</v>
      </c>
      <c r="G2839" s="7">
        <f>SUMPRODUCT($C$7:$X$7,'batch tool'!$B2833:$W2833)+$Y$7</f>
        <v>-19.739516238059196</v>
      </c>
      <c r="H2839" s="7">
        <f t="shared" si="88"/>
        <v>-19.739516238059196</v>
      </c>
      <c r="I2839">
        <f t="shared" si="89"/>
        <v>6</v>
      </c>
      <c r="J2839" t="str" cm="1">
        <f t="array" ref="J2839">INDEX($A$2:$A$7,I2839)</f>
        <v>Segment 6- Self-Conscious Male</v>
      </c>
    </row>
    <row r="2840" spans="1:10" x14ac:dyDescent="0.25">
      <c r="A2840" s="1">
        <f>'batch tool'!A2834</f>
        <v>0</v>
      </c>
      <c r="B2840" s="7">
        <f>SUMPRODUCT($C$2:$X$2,'batch tool'!$B2834:$W2834)+$Y$2</f>
        <v>-49.12272534143483</v>
      </c>
      <c r="C2840" s="7">
        <f>SUMPRODUCT($C$3:$X$3,'batch tool'!$B2834:$W2834)+$Y$3</f>
        <v>-36.514029388465531</v>
      </c>
      <c r="D2840" s="7">
        <f>SUMPRODUCT($C$4:$X$4,'batch tool'!$B2834:$W2834)+$Y$4</f>
        <v>-44.639843068043824</v>
      </c>
      <c r="E2840" s="7">
        <f>SUMPRODUCT($C$5:$X$5,'batch tool'!$B2834:$W2834)+$Y$5</f>
        <v>-51.578889182477603</v>
      </c>
      <c r="F2840" s="7">
        <f>SUMPRODUCT($C$6:$X$6,'batch tool'!$B2834:$W2834)+$Y$6</f>
        <v>-47.741473633885199</v>
      </c>
      <c r="G2840" s="7">
        <f>SUMPRODUCT($C$7:$X$7,'batch tool'!$B2834:$W2834)+$Y$7</f>
        <v>-19.739516238059196</v>
      </c>
      <c r="H2840" s="7">
        <f t="shared" si="88"/>
        <v>-19.739516238059196</v>
      </c>
      <c r="I2840">
        <f t="shared" si="89"/>
        <v>6</v>
      </c>
      <c r="J2840" t="str" cm="1">
        <f t="array" ref="J2840">INDEX($A$2:$A$7,I2840)</f>
        <v>Segment 6- Self-Conscious Male</v>
      </c>
    </row>
    <row r="2841" spans="1:10" x14ac:dyDescent="0.25">
      <c r="A2841" s="1">
        <f>'batch tool'!A2835</f>
        <v>0</v>
      </c>
      <c r="B2841" s="7">
        <f>SUMPRODUCT($C$2:$X$2,'batch tool'!$B2835:$W2835)+$Y$2</f>
        <v>-49.12272534143483</v>
      </c>
      <c r="C2841" s="7">
        <f>SUMPRODUCT($C$3:$X$3,'batch tool'!$B2835:$W2835)+$Y$3</f>
        <v>-36.514029388465531</v>
      </c>
      <c r="D2841" s="7">
        <f>SUMPRODUCT($C$4:$X$4,'batch tool'!$B2835:$W2835)+$Y$4</f>
        <v>-44.639843068043824</v>
      </c>
      <c r="E2841" s="7">
        <f>SUMPRODUCT($C$5:$X$5,'batch tool'!$B2835:$W2835)+$Y$5</f>
        <v>-51.578889182477603</v>
      </c>
      <c r="F2841" s="7">
        <f>SUMPRODUCT($C$6:$X$6,'batch tool'!$B2835:$W2835)+$Y$6</f>
        <v>-47.741473633885199</v>
      </c>
      <c r="G2841" s="7">
        <f>SUMPRODUCT($C$7:$X$7,'batch tool'!$B2835:$W2835)+$Y$7</f>
        <v>-19.739516238059196</v>
      </c>
      <c r="H2841" s="7">
        <f t="shared" si="88"/>
        <v>-19.739516238059196</v>
      </c>
      <c r="I2841">
        <f t="shared" si="89"/>
        <v>6</v>
      </c>
      <c r="J2841" t="str" cm="1">
        <f t="array" ref="J2841">INDEX($A$2:$A$7,I2841)</f>
        <v>Segment 6- Self-Conscious Male</v>
      </c>
    </row>
    <row r="2842" spans="1:10" x14ac:dyDescent="0.25">
      <c r="A2842" s="1">
        <f>'batch tool'!A2836</f>
        <v>0</v>
      </c>
      <c r="B2842" s="7">
        <f>SUMPRODUCT($C$2:$X$2,'batch tool'!$B2836:$W2836)+$Y$2</f>
        <v>-49.12272534143483</v>
      </c>
      <c r="C2842" s="7">
        <f>SUMPRODUCT($C$3:$X$3,'batch tool'!$B2836:$W2836)+$Y$3</f>
        <v>-36.514029388465531</v>
      </c>
      <c r="D2842" s="7">
        <f>SUMPRODUCT($C$4:$X$4,'batch tool'!$B2836:$W2836)+$Y$4</f>
        <v>-44.639843068043824</v>
      </c>
      <c r="E2842" s="7">
        <f>SUMPRODUCT($C$5:$X$5,'batch tool'!$B2836:$W2836)+$Y$5</f>
        <v>-51.578889182477603</v>
      </c>
      <c r="F2842" s="7">
        <f>SUMPRODUCT($C$6:$X$6,'batch tool'!$B2836:$W2836)+$Y$6</f>
        <v>-47.741473633885199</v>
      </c>
      <c r="G2842" s="7">
        <f>SUMPRODUCT($C$7:$X$7,'batch tool'!$B2836:$W2836)+$Y$7</f>
        <v>-19.739516238059196</v>
      </c>
      <c r="H2842" s="7">
        <f t="shared" si="88"/>
        <v>-19.739516238059196</v>
      </c>
      <c r="I2842">
        <f t="shared" si="89"/>
        <v>6</v>
      </c>
      <c r="J2842" t="str" cm="1">
        <f t="array" ref="J2842">INDEX($A$2:$A$7,I2842)</f>
        <v>Segment 6- Self-Conscious Male</v>
      </c>
    </row>
    <row r="2843" spans="1:10" x14ac:dyDescent="0.25">
      <c r="A2843" s="1">
        <f>'batch tool'!A2837</f>
        <v>0</v>
      </c>
      <c r="B2843" s="7">
        <f>SUMPRODUCT($C$2:$X$2,'batch tool'!$B2837:$W2837)+$Y$2</f>
        <v>-49.12272534143483</v>
      </c>
      <c r="C2843" s="7">
        <f>SUMPRODUCT($C$3:$X$3,'batch tool'!$B2837:$W2837)+$Y$3</f>
        <v>-36.514029388465531</v>
      </c>
      <c r="D2843" s="7">
        <f>SUMPRODUCT($C$4:$X$4,'batch tool'!$B2837:$W2837)+$Y$4</f>
        <v>-44.639843068043824</v>
      </c>
      <c r="E2843" s="7">
        <f>SUMPRODUCT($C$5:$X$5,'batch tool'!$B2837:$W2837)+$Y$5</f>
        <v>-51.578889182477603</v>
      </c>
      <c r="F2843" s="7">
        <f>SUMPRODUCT($C$6:$X$6,'batch tool'!$B2837:$W2837)+$Y$6</f>
        <v>-47.741473633885199</v>
      </c>
      <c r="G2843" s="7">
        <f>SUMPRODUCT($C$7:$X$7,'batch tool'!$B2837:$W2837)+$Y$7</f>
        <v>-19.739516238059196</v>
      </c>
      <c r="H2843" s="7">
        <f t="shared" ref="H2843:H2906" si="90">MAX(B2843:G2843)</f>
        <v>-19.739516238059196</v>
      </c>
      <c r="I2843">
        <f t="shared" ref="I2843:I2906" si="91">MATCH(H2843,B2843:G2843,0)</f>
        <v>6</v>
      </c>
      <c r="J2843" t="str" cm="1">
        <f t="array" ref="J2843">INDEX($A$2:$A$7,I2843)</f>
        <v>Segment 6- Self-Conscious Male</v>
      </c>
    </row>
    <row r="2844" spans="1:10" x14ac:dyDescent="0.25">
      <c r="A2844" s="1">
        <f>'batch tool'!A2838</f>
        <v>0</v>
      </c>
      <c r="B2844" s="7">
        <f>SUMPRODUCT($C$2:$X$2,'batch tool'!$B2838:$W2838)+$Y$2</f>
        <v>-49.12272534143483</v>
      </c>
      <c r="C2844" s="7">
        <f>SUMPRODUCT($C$3:$X$3,'batch tool'!$B2838:$W2838)+$Y$3</f>
        <v>-36.514029388465531</v>
      </c>
      <c r="D2844" s="7">
        <f>SUMPRODUCT($C$4:$X$4,'batch tool'!$B2838:$W2838)+$Y$4</f>
        <v>-44.639843068043824</v>
      </c>
      <c r="E2844" s="7">
        <f>SUMPRODUCT($C$5:$X$5,'batch tool'!$B2838:$W2838)+$Y$5</f>
        <v>-51.578889182477603</v>
      </c>
      <c r="F2844" s="7">
        <f>SUMPRODUCT($C$6:$X$6,'batch tool'!$B2838:$W2838)+$Y$6</f>
        <v>-47.741473633885199</v>
      </c>
      <c r="G2844" s="7">
        <f>SUMPRODUCT($C$7:$X$7,'batch tool'!$B2838:$W2838)+$Y$7</f>
        <v>-19.739516238059196</v>
      </c>
      <c r="H2844" s="7">
        <f t="shared" si="90"/>
        <v>-19.739516238059196</v>
      </c>
      <c r="I2844">
        <f t="shared" si="91"/>
        <v>6</v>
      </c>
      <c r="J2844" t="str" cm="1">
        <f t="array" ref="J2844">INDEX($A$2:$A$7,I2844)</f>
        <v>Segment 6- Self-Conscious Male</v>
      </c>
    </row>
    <row r="2845" spans="1:10" x14ac:dyDescent="0.25">
      <c r="A2845" s="1">
        <f>'batch tool'!A2839</f>
        <v>0</v>
      </c>
      <c r="B2845" s="7">
        <f>SUMPRODUCT($C$2:$X$2,'batch tool'!$B2839:$W2839)+$Y$2</f>
        <v>-49.12272534143483</v>
      </c>
      <c r="C2845" s="7">
        <f>SUMPRODUCT($C$3:$X$3,'batch tool'!$B2839:$W2839)+$Y$3</f>
        <v>-36.514029388465531</v>
      </c>
      <c r="D2845" s="7">
        <f>SUMPRODUCT($C$4:$X$4,'batch tool'!$B2839:$W2839)+$Y$4</f>
        <v>-44.639843068043824</v>
      </c>
      <c r="E2845" s="7">
        <f>SUMPRODUCT($C$5:$X$5,'batch tool'!$B2839:$W2839)+$Y$5</f>
        <v>-51.578889182477603</v>
      </c>
      <c r="F2845" s="7">
        <f>SUMPRODUCT($C$6:$X$6,'batch tool'!$B2839:$W2839)+$Y$6</f>
        <v>-47.741473633885199</v>
      </c>
      <c r="G2845" s="7">
        <f>SUMPRODUCT($C$7:$X$7,'batch tool'!$B2839:$W2839)+$Y$7</f>
        <v>-19.739516238059196</v>
      </c>
      <c r="H2845" s="7">
        <f t="shared" si="90"/>
        <v>-19.739516238059196</v>
      </c>
      <c r="I2845">
        <f t="shared" si="91"/>
        <v>6</v>
      </c>
      <c r="J2845" t="str" cm="1">
        <f t="array" ref="J2845">INDEX($A$2:$A$7,I2845)</f>
        <v>Segment 6- Self-Conscious Male</v>
      </c>
    </row>
    <row r="2846" spans="1:10" x14ac:dyDescent="0.25">
      <c r="A2846" s="1">
        <f>'batch tool'!A2840</f>
        <v>0</v>
      </c>
      <c r="B2846" s="7">
        <f>SUMPRODUCT($C$2:$X$2,'batch tool'!$B2840:$W2840)+$Y$2</f>
        <v>-49.12272534143483</v>
      </c>
      <c r="C2846" s="7">
        <f>SUMPRODUCT($C$3:$X$3,'batch tool'!$B2840:$W2840)+$Y$3</f>
        <v>-36.514029388465531</v>
      </c>
      <c r="D2846" s="7">
        <f>SUMPRODUCT($C$4:$X$4,'batch tool'!$B2840:$W2840)+$Y$4</f>
        <v>-44.639843068043824</v>
      </c>
      <c r="E2846" s="7">
        <f>SUMPRODUCT($C$5:$X$5,'batch tool'!$B2840:$W2840)+$Y$5</f>
        <v>-51.578889182477603</v>
      </c>
      <c r="F2846" s="7">
        <f>SUMPRODUCT($C$6:$X$6,'batch tool'!$B2840:$W2840)+$Y$6</f>
        <v>-47.741473633885199</v>
      </c>
      <c r="G2846" s="7">
        <f>SUMPRODUCT($C$7:$X$7,'batch tool'!$B2840:$W2840)+$Y$7</f>
        <v>-19.739516238059196</v>
      </c>
      <c r="H2846" s="7">
        <f t="shared" si="90"/>
        <v>-19.739516238059196</v>
      </c>
      <c r="I2846">
        <f t="shared" si="91"/>
        <v>6</v>
      </c>
      <c r="J2846" t="str" cm="1">
        <f t="array" ref="J2846">INDEX($A$2:$A$7,I2846)</f>
        <v>Segment 6- Self-Conscious Male</v>
      </c>
    </row>
    <row r="2847" spans="1:10" x14ac:dyDescent="0.25">
      <c r="A2847" s="1">
        <f>'batch tool'!A2841</f>
        <v>0</v>
      </c>
      <c r="B2847" s="7">
        <f>SUMPRODUCT($C$2:$X$2,'batch tool'!$B2841:$W2841)+$Y$2</f>
        <v>-49.12272534143483</v>
      </c>
      <c r="C2847" s="7">
        <f>SUMPRODUCT($C$3:$X$3,'batch tool'!$B2841:$W2841)+$Y$3</f>
        <v>-36.514029388465531</v>
      </c>
      <c r="D2847" s="7">
        <f>SUMPRODUCT($C$4:$X$4,'batch tool'!$B2841:$W2841)+$Y$4</f>
        <v>-44.639843068043824</v>
      </c>
      <c r="E2847" s="7">
        <f>SUMPRODUCT($C$5:$X$5,'batch tool'!$B2841:$W2841)+$Y$5</f>
        <v>-51.578889182477603</v>
      </c>
      <c r="F2847" s="7">
        <f>SUMPRODUCT($C$6:$X$6,'batch tool'!$B2841:$W2841)+$Y$6</f>
        <v>-47.741473633885199</v>
      </c>
      <c r="G2847" s="7">
        <f>SUMPRODUCT($C$7:$X$7,'batch tool'!$B2841:$W2841)+$Y$7</f>
        <v>-19.739516238059196</v>
      </c>
      <c r="H2847" s="7">
        <f t="shared" si="90"/>
        <v>-19.739516238059196</v>
      </c>
      <c r="I2847">
        <f t="shared" si="91"/>
        <v>6</v>
      </c>
      <c r="J2847" t="str" cm="1">
        <f t="array" ref="J2847">INDEX($A$2:$A$7,I2847)</f>
        <v>Segment 6- Self-Conscious Male</v>
      </c>
    </row>
    <row r="2848" spans="1:10" x14ac:dyDescent="0.25">
      <c r="A2848" s="1">
        <f>'batch tool'!A2842</f>
        <v>0</v>
      </c>
      <c r="B2848" s="7">
        <f>SUMPRODUCT($C$2:$X$2,'batch tool'!$B2842:$W2842)+$Y$2</f>
        <v>-49.12272534143483</v>
      </c>
      <c r="C2848" s="7">
        <f>SUMPRODUCT($C$3:$X$3,'batch tool'!$B2842:$W2842)+$Y$3</f>
        <v>-36.514029388465531</v>
      </c>
      <c r="D2848" s="7">
        <f>SUMPRODUCT($C$4:$X$4,'batch tool'!$B2842:$W2842)+$Y$4</f>
        <v>-44.639843068043824</v>
      </c>
      <c r="E2848" s="7">
        <f>SUMPRODUCT($C$5:$X$5,'batch tool'!$B2842:$W2842)+$Y$5</f>
        <v>-51.578889182477603</v>
      </c>
      <c r="F2848" s="7">
        <f>SUMPRODUCT($C$6:$X$6,'batch tool'!$B2842:$W2842)+$Y$6</f>
        <v>-47.741473633885199</v>
      </c>
      <c r="G2848" s="7">
        <f>SUMPRODUCT($C$7:$X$7,'batch tool'!$B2842:$W2842)+$Y$7</f>
        <v>-19.739516238059196</v>
      </c>
      <c r="H2848" s="7">
        <f t="shared" si="90"/>
        <v>-19.739516238059196</v>
      </c>
      <c r="I2848">
        <f t="shared" si="91"/>
        <v>6</v>
      </c>
      <c r="J2848" t="str" cm="1">
        <f t="array" ref="J2848">INDEX($A$2:$A$7,I2848)</f>
        <v>Segment 6- Self-Conscious Male</v>
      </c>
    </row>
    <row r="2849" spans="1:10" x14ac:dyDescent="0.25">
      <c r="A2849" s="1">
        <f>'batch tool'!A2843</f>
        <v>0</v>
      </c>
      <c r="B2849" s="7">
        <f>SUMPRODUCT($C$2:$X$2,'batch tool'!$B2843:$W2843)+$Y$2</f>
        <v>-49.12272534143483</v>
      </c>
      <c r="C2849" s="7">
        <f>SUMPRODUCT($C$3:$X$3,'batch tool'!$B2843:$W2843)+$Y$3</f>
        <v>-36.514029388465531</v>
      </c>
      <c r="D2849" s="7">
        <f>SUMPRODUCT($C$4:$X$4,'batch tool'!$B2843:$W2843)+$Y$4</f>
        <v>-44.639843068043824</v>
      </c>
      <c r="E2849" s="7">
        <f>SUMPRODUCT($C$5:$X$5,'batch tool'!$B2843:$W2843)+$Y$5</f>
        <v>-51.578889182477603</v>
      </c>
      <c r="F2849" s="7">
        <f>SUMPRODUCT($C$6:$X$6,'batch tool'!$B2843:$W2843)+$Y$6</f>
        <v>-47.741473633885199</v>
      </c>
      <c r="G2849" s="7">
        <f>SUMPRODUCT($C$7:$X$7,'batch tool'!$B2843:$W2843)+$Y$7</f>
        <v>-19.739516238059196</v>
      </c>
      <c r="H2849" s="7">
        <f t="shared" si="90"/>
        <v>-19.739516238059196</v>
      </c>
      <c r="I2849">
        <f t="shared" si="91"/>
        <v>6</v>
      </c>
      <c r="J2849" t="str" cm="1">
        <f t="array" ref="J2849">INDEX($A$2:$A$7,I2849)</f>
        <v>Segment 6- Self-Conscious Male</v>
      </c>
    </row>
    <row r="2850" spans="1:10" x14ac:dyDescent="0.25">
      <c r="A2850" s="1">
        <f>'batch tool'!A2844</f>
        <v>0</v>
      </c>
      <c r="B2850" s="7">
        <f>SUMPRODUCT($C$2:$X$2,'batch tool'!$B2844:$W2844)+$Y$2</f>
        <v>-49.12272534143483</v>
      </c>
      <c r="C2850" s="7">
        <f>SUMPRODUCT($C$3:$X$3,'batch tool'!$B2844:$W2844)+$Y$3</f>
        <v>-36.514029388465531</v>
      </c>
      <c r="D2850" s="7">
        <f>SUMPRODUCT($C$4:$X$4,'batch tool'!$B2844:$W2844)+$Y$4</f>
        <v>-44.639843068043824</v>
      </c>
      <c r="E2850" s="7">
        <f>SUMPRODUCT($C$5:$X$5,'batch tool'!$B2844:$W2844)+$Y$5</f>
        <v>-51.578889182477603</v>
      </c>
      <c r="F2850" s="7">
        <f>SUMPRODUCT($C$6:$X$6,'batch tool'!$B2844:$W2844)+$Y$6</f>
        <v>-47.741473633885199</v>
      </c>
      <c r="G2850" s="7">
        <f>SUMPRODUCT($C$7:$X$7,'batch tool'!$B2844:$W2844)+$Y$7</f>
        <v>-19.739516238059196</v>
      </c>
      <c r="H2850" s="7">
        <f t="shared" si="90"/>
        <v>-19.739516238059196</v>
      </c>
      <c r="I2850">
        <f t="shared" si="91"/>
        <v>6</v>
      </c>
      <c r="J2850" t="str" cm="1">
        <f t="array" ref="J2850">INDEX($A$2:$A$7,I2850)</f>
        <v>Segment 6- Self-Conscious Male</v>
      </c>
    </row>
    <row r="2851" spans="1:10" x14ac:dyDescent="0.25">
      <c r="A2851" s="1">
        <f>'batch tool'!A2845</f>
        <v>0</v>
      </c>
      <c r="B2851" s="7">
        <f>SUMPRODUCT($C$2:$X$2,'batch tool'!$B2845:$W2845)+$Y$2</f>
        <v>-49.12272534143483</v>
      </c>
      <c r="C2851" s="7">
        <f>SUMPRODUCT($C$3:$X$3,'batch tool'!$B2845:$W2845)+$Y$3</f>
        <v>-36.514029388465531</v>
      </c>
      <c r="D2851" s="7">
        <f>SUMPRODUCT($C$4:$X$4,'batch tool'!$B2845:$W2845)+$Y$4</f>
        <v>-44.639843068043824</v>
      </c>
      <c r="E2851" s="7">
        <f>SUMPRODUCT($C$5:$X$5,'batch tool'!$B2845:$W2845)+$Y$5</f>
        <v>-51.578889182477603</v>
      </c>
      <c r="F2851" s="7">
        <f>SUMPRODUCT($C$6:$X$6,'batch tool'!$B2845:$W2845)+$Y$6</f>
        <v>-47.741473633885199</v>
      </c>
      <c r="G2851" s="7">
        <f>SUMPRODUCT($C$7:$X$7,'batch tool'!$B2845:$W2845)+$Y$7</f>
        <v>-19.739516238059196</v>
      </c>
      <c r="H2851" s="7">
        <f t="shared" si="90"/>
        <v>-19.739516238059196</v>
      </c>
      <c r="I2851">
        <f t="shared" si="91"/>
        <v>6</v>
      </c>
      <c r="J2851" t="str" cm="1">
        <f t="array" ref="J2851">INDEX($A$2:$A$7,I2851)</f>
        <v>Segment 6- Self-Conscious Male</v>
      </c>
    </row>
    <row r="2852" spans="1:10" x14ac:dyDescent="0.25">
      <c r="A2852" s="1">
        <f>'batch tool'!A2846</f>
        <v>0</v>
      </c>
      <c r="B2852" s="7">
        <f>SUMPRODUCT($C$2:$X$2,'batch tool'!$B2846:$W2846)+$Y$2</f>
        <v>-49.12272534143483</v>
      </c>
      <c r="C2852" s="7">
        <f>SUMPRODUCT($C$3:$X$3,'batch tool'!$B2846:$W2846)+$Y$3</f>
        <v>-36.514029388465531</v>
      </c>
      <c r="D2852" s="7">
        <f>SUMPRODUCT($C$4:$X$4,'batch tool'!$B2846:$W2846)+$Y$4</f>
        <v>-44.639843068043824</v>
      </c>
      <c r="E2852" s="7">
        <f>SUMPRODUCT($C$5:$X$5,'batch tool'!$B2846:$W2846)+$Y$5</f>
        <v>-51.578889182477603</v>
      </c>
      <c r="F2852" s="7">
        <f>SUMPRODUCT($C$6:$X$6,'batch tool'!$B2846:$W2846)+$Y$6</f>
        <v>-47.741473633885199</v>
      </c>
      <c r="G2852" s="7">
        <f>SUMPRODUCT($C$7:$X$7,'batch tool'!$B2846:$W2846)+$Y$7</f>
        <v>-19.739516238059196</v>
      </c>
      <c r="H2852" s="7">
        <f t="shared" si="90"/>
        <v>-19.739516238059196</v>
      </c>
      <c r="I2852">
        <f t="shared" si="91"/>
        <v>6</v>
      </c>
      <c r="J2852" t="str" cm="1">
        <f t="array" ref="J2852">INDEX($A$2:$A$7,I2852)</f>
        <v>Segment 6- Self-Conscious Male</v>
      </c>
    </row>
    <row r="2853" spans="1:10" x14ac:dyDescent="0.25">
      <c r="A2853" s="1">
        <f>'batch tool'!A2847</f>
        <v>0</v>
      </c>
      <c r="B2853" s="7">
        <f>SUMPRODUCT($C$2:$X$2,'batch tool'!$B2847:$W2847)+$Y$2</f>
        <v>-49.12272534143483</v>
      </c>
      <c r="C2853" s="7">
        <f>SUMPRODUCT($C$3:$X$3,'batch tool'!$B2847:$W2847)+$Y$3</f>
        <v>-36.514029388465531</v>
      </c>
      <c r="D2853" s="7">
        <f>SUMPRODUCT($C$4:$X$4,'batch tool'!$B2847:$W2847)+$Y$4</f>
        <v>-44.639843068043824</v>
      </c>
      <c r="E2853" s="7">
        <f>SUMPRODUCT($C$5:$X$5,'batch tool'!$B2847:$W2847)+$Y$5</f>
        <v>-51.578889182477603</v>
      </c>
      <c r="F2853" s="7">
        <f>SUMPRODUCT($C$6:$X$6,'batch tool'!$B2847:$W2847)+$Y$6</f>
        <v>-47.741473633885199</v>
      </c>
      <c r="G2853" s="7">
        <f>SUMPRODUCT($C$7:$X$7,'batch tool'!$B2847:$W2847)+$Y$7</f>
        <v>-19.739516238059196</v>
      </c>
      <c r="H2853" s="7">
        <f t="shared" si="90"/>
        <v>-19.739516238059196</v>
      </c>
      <c r="I2853">
        <f t="shared" si="91"/>
        <v>6</v>
      </c>
      <c r="J2853" t="str" cm="1">
        <f t="array" ref="J2853">INDEX($A$2:$A$7,I2853)</f>
        <v>Segment 6- Self-Conscious Male</v>
      </c>
    </row>
    <row r="2854" spans="1:10" x14ac:dyDescent="0.25">
      <c r="A2854" s="1">
        <f>'batch tool'!A2848</f>
        <v>0</v>
      </c>
      <c r="B2854" s="7">
        <f>SUMPRODUCT($C$2:$X$2,'batch tool'!$B2848:$W2848)+$Y$2</f>
        <v>-49.12272534143483</v>
      </c>
      <c r="C2854" s="7">
        <f>SUMPRODUCT($C$3:$X$3,'batch tool'!$B2848:$W2848)+$Y$3</f>
        <v>-36.514029388465531</v>
      </c>
      <c r="D2854" s="7">
        <f>SUMPRODUCT($C$4:$X$4,'batch tool'!$B2848:$W2848)+$Y$4</f>
        <v>-44.639843068043824</v>
      </c>
      <c r="E2854" s="7">
        <f>SUMPRODUCT($C$5:$X$5,'batch tool'!$B2848:$W2848)+$Y$5</f>
        <v>-51.578889182477603</v>
      </c>
      <c r="F2854" s="7">
        <f>SUMPRODUCT($C$6:$X$6,'batch tool'!$B2848:$W2848)+$Y$6</f>
        <v>-47.741473633885199</v>
      </c>
      <c r="G2854" s="7">
        <f>SUMPRODUCT($C$7:$X$7,'batch tool'!$B2848:$W2848)+$Y$7</f>
        <v>-19.739516238059196</v>
      </c>
      <c r="H2854" s="7">
        <f t="shared" si="90"/>
        <v>-19.739516238059196</v>
      </c>
      <c r="I2854">
        <f t="shared" si="91"/>
        <v>6</v>
      </c>
      <c r="J2854" t="str" cm="1">
        <f t="array" ref="J2854">INDEX($A$2:$A$7,I2854)</f>
        <v>Segment 6- Self-Conscious Male</v>
      </c>
    </row>
    <row r="2855" spans="1:10" x14ac:dyDescent="0.25">
      <c r="A2855" s="1">
        <f>'batch tool'!A2849</f>
        <v>0</v>
      </c>
      <c r="B2855" s="7">
        <f>SUMPRODUCT($C$2:$X$2,'batch tool'!$B2849:$W2849)+$Y$2</f>
        <v>-49.12272534143483</v>
      </c>
      <c r="C2855" s="7">
        <f>SUMPRODUCT($C$3:$X$3,'batch tool'!$B2849:$W2849)+$Y$3</f>
        <v>-36.514029388465531</v>
      </c>
      <c r="D2855" s="7">
        <f>SUMPRODUCT($C$4:$X$4,'batch tool'!$B2849:$W2849)+$Y$4</f>
        <v>-44.639843068043824</v>
      </c>
      <c r="E2855" s="7">
        <f>SUMPRODUCT($C$5:$X$5,'batch tool'!$B2849:$W2849)+$Y$5</f>
        <v>-51.578889182477603</v>
      </c>
      <c r="F2855" s="7">
        <f>SUMPRODUCT($C$6:$X$6,'batch tool'!$B2849:$W2849)+$Y$6</f>
        <v>-47.741473633885199</v>
      </c>
      <c r="G2855" s="7">
        <f>SUMPRODUCT($C$7:$X$7,'batch tool'!$B2849:$W2849)+$Y$7</f>
        <v>-19.739516238059196</v>
      </c>
      <c r="H2855" s="7">
        <f t="shared" si="90"/>
        <v>-19.739516238059196</v>
      </c>
      <c r="I2855">
        <f t="shared" si="91"/>
        <v>6</v>
      </c>
      <c r="J2855" t="str" cm="1">
        <f t="array" ref="J2855">INDEX($A$2:$A$7,I2855)</f>
        <v>Segment 6- Self-Conscious Male</v>
      </c>
    </row>
    <row r="2856" spans="1:10" x14ac:dyDescent="0.25">
      <c r="A2856" s="1">
        <f>'batch tool'!A2850</f>
        <v>0</v>
      </c>
      <c r="B2856" s="7">
        <f>SUMPRODUCT($C$2:$X$2,'batch tool'!$B2850:$W2850)+$Y$2</f>
        <v>-49.12272534143483</v>
      </c>
      <c r="C2856" s="7">
        <f>SUMPRODUCT($C$3:$X$3,'batch tool'!$B2850:$W2850)+$Y$3</f>
        <v>-36.514029388465531</v>
      </c>
      <c r="D2856" s="7">
        <f>SUMPRODUCT($C$4:$X$4,'batch tool'!$B2850:$W2850)+$Y$4</f>
        <v>-44.639843068043824</v>
      </c>
      <c r="E2856" s="7">
        <f>SUMPRODUCT($C$5:$X$5,'batch tool'!$B2850:$W2850)+$Y$5</f>
        <v>-51.578889182477603</v>
      </c>
      <c r="F2856" s="7">
        <f>SUMPRODUCT($C$6:$X$6,'batch tool'!$B2850:$W2850)+$Y$6</f>
        <v>-47.741473633885199</v>
      </c>
      <c r="G2856" s="7">
        <f>SUMPRODUCT($C$7:$X$7,'batch tool'!$B2850:$W2850)+$Y$7</f>
        <v>-19.739516238059196</v>
      </c>
      <c r="H2856" s="7">
        <f t="shared" si="90"/>
        <v>-19.739516238059196</v>
      </c>
      <c r="I2856">
        <f t="shared" si="91"/>
        <v>6</v>
      </c>
      <c r="J2856" t="str" cm="1">
        <f t="array" ref="J2856">INDEX($A$2:$A$7,I2856)</f>
        <v>Segment 6- Self-Conscious Male</v>
      </c>
    </row>
    <row r="2857" spans="1:10" x14ac:dyDescent="0.25">
      <c r="A2857" s="1">
        <f>'batch tool'!A2851</f>
        <v>0</v>
      </c>
      <c r="B2857" s="7">
        <f>SUMPRODUCT($C$2:$X$2,'batch tool'!$B2851:$W2851)+$Y$2</f>
        <v>-49.12272534143483</v>
      </c>
      <c r="C2857" s="7">
        <f>SUMPRODUCT($C$3:$X$3,'batch tool'!$B2851:$W2851)+$Y$3</f>
        <v>-36.514029388465531</v>
      </c>
      <c r="D2857" s="7">
        <f>SUMPRODUCT($C$4:$X$4,'batch tool'!$B2851:$W2851)+$Y$4</f>
        <v>-44.639843068043824</v>
      </c>
      <c r="E2857" s="7">
        <f>SUMPRODUCT($C$5:$X$5,'batch tool'!$B2851:$W2851)+$Y$5</f>
        <v>-51.578889182477603</v>
      </c>
      <c r="F2857" s="7">
        <f>SUMPRODUCT($C$6:$X$6,'batch tool'!$B2851:$W2851)+$Y$6</f>
        <v>-47.741473633885199</v>
      </c>
      <c r="G2857" s="7">
        <f>SUMPRODUCT($C$7:$X$7,'batch tool'!$B2851:$W2851)+$Y$7</f>
        <v>-19.739516238059196</v>
      </c>
      <c r="H2857" s="7">
        <f t="shared" si="90"/>
        <v>-19.739516238059196</v>
      </c>
      <c r="I2857">
        <f t="shared" si="91"/>
        <v>6</v>
      </c>
      <c r="J2857" t="str" cm="1">
        <f t="array" ref="J2857">INDEX($A$2:$A$7,I2857)</f>
        <v>Segment 6- Self-Conscious Male</v>
      </c>
    </row>
    <row r="2858" spans="1:10" x14ac:dyDescent="0.25">
      <c r="A2858" s="1">
        <f>'batch tool'!A2852</f>
        <v>0</v>
      </c>
      <c r="B2858" s="7">
        <f>SUMPRODUCT($C$2:$X$2,'batch tool'!$B2852:$W2852)+$Y$2</f>
        <v>-49.12272534143483</v>
      </c>
      <c r="C2858" s="7">
        <f>SUMPRODUCT($C$3:$X$3,'batch tool'!$B2852:$W2852)+$Y$3</f>
        <v>-36.514029388465531</v>
      </c>
      <c r="D2858" s="7">
        <f>SUMPRODUCT($C$4:$X$4,'batch tool'!$B2852:$W2852)+$Y$4</f>
        <v>-44.639843068043824</v>
      </c>
      <c r="E2858" s="7">
        <f>SUMPRODUCT($C$5:$X$5,'batch tool'!$B2852:$W2852)+$Y$5</f>
        <v>-51.578889182477603</v>
      </c>
      <c r="F2858" s="7">
        <f>SUMPRODUCT($C$6:$X$6,'batch tool'!$B2852:$W2852)+$Y$6</f>
        <v>-47.741473633885199</v>
      </c>
      <c r="G2858" s="7">
        <f>SUMPRODUCT($C$7:$X$7,'batch tool'!$B2852:$W2852)+$Y$7</f>
        <v>-19.739516238059196</v>
      </c>
      <c r="H2858" s="7">
        <f t="shared" si="90"/>
        <v>-19.739516238059196</v>
      </c>
      <c r="I2858">
        <f t="shared" si="91"/>
        <v>6</v>
      </c>
      <c r="J2858" t="str" cm="1">
        <f t="array" ref="J2858">INDEX($A$2:$A$7,I2858)</f>
        <v>Segment 6- Self-Conscious Male</v>
      </c>
    </row>
    <row r="2859" spans="1:10" x14ac:dyDescent="0.25">
      <c r="A2859" s="1">
        <f>'batch tool'!A2853</f>
        <v>0</v>
      </c>
      <c r="B2859" s="7">
        <f>SUMPRODUCT($C$2:$X$2,'batch tool'!$B2853:$W2853)+$Y$2</f>
        <v>-49.12272534143483</v>
      </c>
      <c r="C2859" s="7">
        <f>SUMPRODUCT($C$3:$X$3,'batch tool'!$B2853:$W2853)+$Y$3</f>
        <v>-36.514029388465531</v>
      </c>
      <c r="D2859" s="7">
        <f>SUMPRODUCT($C$4:$X$4,'batch tool'!$B2853:$W2853)+$Y$4</f>
        <v>-44.639843068043824</v>
      </c>
      <c r="E2859" s="7">
        <f>SUMPRODUCT($C$5:$X$5,'batch tool'!$B2853:$W2853)+$Y$5</f>
        <v>-51.578889182477603</v>
      </c>
      <c r="F2859" s="7">
        <f>SUMPRODUCT($C$6:$X$6,'batch tool'!$B2853:$W2853)+$Y$6</f>
        <v>-47.741473633885199</v>
      </c>
      <c r="G2859" s="7">
        <f>SUMPRODUCT($C$7:$X$7,'batch tool'!$B2853:$W2853)+$Y$7</f>
        <v>-19.739516238059196</v>
      </c>
      <c r="H2859" s="7">
        <f t="shared" si="90"/>
        <v>-19.739516238059196</v>
      </c>
      <c r="I2859">
        <f t="shared" si="91"/>
        <v>6</v>
      </c>
      <c r="J2859" t="str" cm="1">
        <f t="array" ref="J2859">INDEX($A$2:$A$7,I2859)</f>
        <v>Segment 6- Self-Conscious Male</v>
      </c>
    </row>
    <row r="2860" spans="1:10" x14ac:dyDescent="0.25">
      <c r="A2860" s="1">
        <f>'batch tool'!A2854</f>
        <v>0</v>
      </c>
      <c r="B2860" s="7">
        <f>SUMPRODUCT($C$2:$X$2,'batch tool'!$B2854:$W2854)+$Y$2</f>
        <v>-49.12272534143483</v>
      </c>
      <c r="C2860" s="7">
        <f>SUMPRODUCT($C$3:$X$3,'batch tool'!$B2854:$W2854)+$Y$3</f>
        <v>-36.514029388465531</v>
      </c>
      <c r="D2860" s="7">
        <f>SUMPRODUCT($C$4:$X$4,'batch tool'!$B2854:$W2854)+$Y$4</f>
        <v>-44.639843068043824</v>
      </c>
      <c r="E2860" s="7">
        <f>SUMPRODUCT($C$5:$X$5,'batch tool'!$B2854:$W2854)+$Y$5</f>
        <v>-51.578889182477603</v>
      </c>
      <c r="F2860" s="7">
        <f>SUMPRODUCT($C$6:$X$6,'batch tool'!$B2854:$W2854)+$Y$6</f>
        <v>-47.741473633885199</v>
      </c>
      <c r="G2860" s="7">
        <f>SUMPRODUCT($C$7:$X$7,'batch tool'!$B2854:$W2854)+$Y$7</f>
        <v>-19.739516238059196</v>
      </c>
      <c r="H2860" s="7">
        <f t="shared" si="90"/>
        <v>-19.739516238059196</v>
      </c>
      <c r="I2860">
        <f t="shared" si="91"/>
        <v>6</v>
      </c>
      <c r="J2860" t="str" cm="1">
        <f t="array" ref="J2860">INDEX($A$2:$A$7,I2860)</f>
        <v>Segment 6- Self-Conscious Male</v>
      </c>
    </row>
    <row r="2861" spans="1:10" x14ac:dyDescent="0.25">
      <c r="A2861" s="1">
        <f>'batch tool'!A2855</f>
        <v>0</v>
      </c>
      <c r="B2861" s="7">
        <f>SUMPRODUCT($C$2:$X$2,'batch tool'!$B2855:$W2855)+$Y$2</f>
        <v>-49.12272534143483</v>
      </c>
      <c r="C2861" s="7">
        <f>SUMPRODUCT($C$3:$X$3,'batch tool'!$B2855:$W2855)+$Y$3</f>
        <v>-36.514029388465531</v>
      </c>
      <c r="D2861" s="7">
        <f>SUMPRODUCT($C$4:$X$4,'batch tool'!$B2855:$W2855)+$Y$4</f>
        <v>-44.639843068043824</v>
      </c>
      <c r="E2861" s="7">
        <f>SUMPRODUCT($C$5:$X$5,'batch tool'!$B2855:$W2855)+$Y$5</f>
        <v>-51.578889182477603</v>
      </c>
      <c r="F2861" s="7">
        <f>SUMPRODUCT($C$6:$X$6,'batch tool'!$B2855:$W2855)+$Y$6</f>
        <v>-47.741473633885199</v>
      </c>
      <c r="G2861" s="7">
        <f>SUMPRODUCT($C$7:$X$7,'batch tool'!$B2855:$W2855)+$Y$7</f>
        <v>-19.739516238059196</v>
      </c>
      <c r="H2861" s="7">
        <f t="shared" si="90"/>
        <v>-19.739516238059196</v>
      </c>
      <c r="I2861">
        <f t="shared" si="91"/>
        <v>6</v>
      </c>
      <c r="J2861" t="str" cm="1">
        <f t="array" ref="J2861">INDEX($A$2:$A$7,I2861)</f>
        <v>Segment 6- Self-Conscious Male</v>
      </c>
    </row>
    <row r="2862" spans="1:10" x14ac:dyDescent="0.25">
      <c r="A2862" s="1">
        <f>'batch tool'!A2856</f>
        <v>0</v>
      </c>
      <c r="B2862" s="7">
        <f>SUMPRODUCT($C$2:$X$2,'batch tool'!$B2856:$W2856)+$Y$2</f>
        <v>-49.12272534143483</v>
      </c>
      <c r="C2862" s="7">
        <f>SUMPRODUCT($C$3:$X$3,'batch tool'!$B2856:$W2856)+$Y$3</f>
        <v>-36.514029388465531</v>
      </c>
      <c r="D2862" s="7">
        <f>SUMPRODUCT($C$4:$X$4,'batch tool'!$B2856:$W2856)+$Y$4</f>
        <v>-44.639843068043824</v>
      </c>
      <c r="E2862" s="7">
        <f>SUMPRODUCT($C$5:$X$5,'batch tool'!$B2856:$W2856)+$Y$5</f>
        <v>-51.578889182477603</v>
      </c>
      <c r="F2862" s="7">
        <f>SUMPRODUCT($C$6:$X$6,'batch tool'!$B2856:$W2856)+$Y$6</f>
        <v>-47.741473633885199</v>
      </c>
      <c r="G2862" s="7">
        <f>SUMPRODUCT($C$7:$X$7,'batch tool'!$B2856:$W2856)+$Y$7</f>
        <v>-19.739516238059196</v>
      </c>
      <c r="H2862" s="7">
        <f t="shared" si="90"/>
        <v>-19.739516238059196</v>
      </c>
      <c r="I2862">
        <f t="shared" si="91"/>
        <v>6</v>
      </c>
      <c r="J2862" t="str" cm="1">
        <f t="array" ref="J2862">INDEX($A$2:$A$7,I2862)</f>
        <v>Segment 6- Self-Conscious Male</v>
      </c>
    </row>
    <row r="2863" spans="1:10" x14ac:dyDescent="0.25">
      <c r="A2863" s="1">
        <f>'batch tool'!A2857</f>
        <v>0</v>
      </c>
      <c r="B2863" s="7">
        <f>SUMPRODUCT($C$2:$X$2,'batch tool'!$B2857:$W2857)+$Y$2</f>
        <v>-49.12272534143483</v>
      </c>
      <c r="C2863" s="7">
        <f>SUMPRODUCT($C$3:$X$3,'batch tool'!$B2857:$W2857)+$Y$3</f>
        <v>-36.514029388465531</v>
      </c>
      <c r="D2863" s="7">
        <f>SUMPRODUCT($C$4:$X$4,'batch tool'!$B2857:$W2857)+$Y$4</f>
        <v>-44.639843068043824</v>
      </c>
      <c r="E2863" s="7">
        <f>SUMPRODUCT($C$5:$X$5,'batch tool'!$B2857:$W2857)+$Y$5</f>
        <v>-51.578889182477603</v>
      </c>
      <c r="F2863" s="7">
        <f>SUMPRODUCT($C$6:$X$6,'batch tool'!$B2857:$W2857)+$Y$6</f>
        <v>-47.741473633885199</v>
      </c>
      <c r="G2863" s="7">
        <f>SUMPRODUCT($C$7:$X$7,'batch tool'!$B2857:$W2857)+$Y$7</f>
        <v>-19.739516238059196</v>
      </c>
      <c r="H2863" s="7">
        <f t="shared" si="90"/>
        <v>-19.739516238059196</v>
      </c>
      <c r="I2863">
        <f t="shared" si="91"/>
        <v>6</v>
      </c>
      <c r="J2863" t="str" cm="1">
        <f t="array" ref="J2863">INDEX($A$2:$A$7,I2863)</f>
        <v>Segment 6- Self-Conscious Male</v>
      </c>
    </row>
    <row r="2864" spans="1:10" x14ac:dyDescent="0.25">
      <c r="A2864" s="1">
        <f>'batch tool'!A2858</f>
        <v>0</v>
      </c>
      <c r="B2864" s="7">
        <f>SUMPRODUCT($C$2:$X$2,'batch tool'!$B2858:$W2858)+$Y$2</f>
        <v>-49.12272534143483</v>
      </c>
      <c r="C2864" s="7">
        <f>SUMPRODUCT($C$3:$X$3,'batch tool'!$B2858:$W2858)+$Y$3</f>
        <v>-36.514029388465531</v>
      </c>
      <c r="D2864" s="7">
        <f>SUMPRODUCT($C$4:$X$4,'batch tool'!$B2858:$W2858)+$Y$4</f>
        <v>-44.639843068043824</v>
      </c>
      <c r="E2864" s="7">
        <f>SUMPRODUCT($C$5:$X$5,'batch tool'!$B2858:$W2858)+$Y$5</f>
        <v>-51.578889182477603</v>
      </c>
      <c r="F2864" s="7">
        <f>SUMPRODUCT($C$6:$X$6,'batch tool'!$B2858:$W2858)+$Y$6</f>
        <v>-47.741473633885199</v>
      </c>
      <c r="G2864" s="7">
        <f>SUMPRODUCT($C$7:$X$7,'batch tool'!$B2858:$W2858)+$Y$7</f>
        <v>-19.739516238059196</v>
      </c>
      <c r="H2864" s="7">
        <f t="shared" si="90"/>
        <v>-19.739516238059196</v>
      </c>
      <c r="I2864">
        <f t="shared" si="91"/>
        <v>6</v>
      </c>
      <c r="J2864" t="str" cm="1">
        <f t="array" ref="J2864">INDEX($A$2:$A$7,I2864)</f>
        <v>Segment 6- Self-Conscious Male</v>
      </c>
    </row>
    <row r="2865" spans="1:10" x14ac:dyDescent="0.25">
      <c r="A2865" s="1">
        <f>'batch tool'!A2859</f>
        <v>0</v>
      </c>
      <c r="B2865" s="7">
        <f>SUMPRODUCT($C$2:$X$2,'batch tool'!$B2859:$W2859)+$Y$2</f>
        <v>-49.12272534143483</v>
      </c>
      <c r="C2865" s="7">
        <f>SUMPRODUCT($C$3:$X$3,'batch tool'!$B2859:$W2859)+$Y$3</f>
        <v>-36.514029388465531</v>
      </c>
      <c r="D2865" s="7">
        <f>SUMPRODUCT($C$4:$X$4,'batch tool'!$B2859:$W2859)+$Y$4</f>
        <v>-44.639843068043824</v>
      </c>
      <c r="E2865" s="7">
        <f>SUMPRODUCT($C$5:$X$5,'batch tool'!$B2859:$W2859)+$Y$5</f>
        <v>-51.578889182477603</v>
      </c>
      <c r="F2865" s="7">
        <f>SUMPRODUCT($C$6:$X$6,'batch tool'!$B2859:$W2859)+$Y$6</f>
        <v>-47.741473633885199</v>
      </c>
      <c r="G2865" s="7">
        <f>SUMPRODUCT($C$7:$X$7,'batch tool'!$B2859:$W2859)+$Y$7</f>
        <v>-19.739516238059196</v>
      </c>
      <c r="H2865" s="7">
        <f t="shared" si="90"/>
        <v>-19.739516238059196</v>
      </c>
      <c r="I2865">
        <f t="shared" si="91"/>
        <v>6</v>
      </c>
      <c r="J2865" t="str" cm="1">
        <f t="array" ref="J2865">INDEX($A$2:$A$7,I2865)</f>
        <v>Segment 6- Self-Conscious Male</v>
      </c>
    </row>
    <row r="2866" spans="1:10" x14ac:dyDescent="0.25">
      <c r="A2866" s="1">
        <f>'batch tool'!A2860</f>
        <v>0</v>
      </c>
      <c r="B2866" s="7">
        <f>SUMPRODUCT($C$2:$X$2,'batch tool'!$B2860:$W2860)+$Y$2</f>
        <v>-49.12272534143483</v>
      </c>
      <c r="C2866" s="7">
        <f>SUMPRODUCT($C$3:$X$3,'batch tool'!$B2860:$W2860)+$Y$3</f>
        <v>-36.514029388465531</v>
      </c>
      <c r="D2866" s="7">
        <f>SUMPRODUCT($C$4:$X$4,'batch tool'!$B2860:$W2860)+$Y$4</f>
        <v>-44.639843068043824</v>
      </c>
      <c r="E2866" s="7">
        <f>SUMPRODUCT($C$5:$X$5,'batch tool'!$B2860:$W2860)+$Y$5</f>
        <v>-51.578889182477603</v>
      </c>
      <c r="F2866" s="7">
        <f>SUMPRODUCT($C$6:$X$6,'batch tool'!$B2860:$W2860)+$Y$6</f>
        <v>-47.741473633885199</v>
      </c>
      <c r="G2866" s="7">
        <f>SUMPRODUCT($C$7:$X$7,'batch tool'!$B2860:$W2860)+$Y$7</f>
        <v>-19.739516238059196</v>
      </c>
      <c r="H2866" s="7">
        <f t="shared" si="90"/>
        <v>-19.739516238059196</v>
      </c>
      <c r="I2866">
        <f t="shared" si="91"/>
        <v>6</v>
      </c>
      <c r="J2866" t="str" cm="1">
        <f t="array" ref="J2866">INDEX($A$2:$A$7,I2866)</f>
        <v>Segment 6- Self-Conscious Male</v>
      </c>
    </row>
    <row r="2867" spans="1:10" x14ac:dyDescent="0.25">
      <c r="A2867" s="1">
        <f>'batch tool'!A2861</f>
        <v>0</v>
      </c>
      <c r="B2867" s="7">
        <f>SUMPRODUCT($C$2:$X$2,'batch tool'!$B2861:$W2861)+$Y$2</f>
        <v>-49.12272534143483</v>
      </c>
      <c r="C2867" s="7">
        <f>SUMPRODUCT($C$3:$X$3,'batch tool'!$B2861:$W2861)+$Y$3</f>
        <v>-36.514029388465531</v>
      </c>
      <c r="D2867" s="7">
        <f>SUMPRODUCT($C$4:$X$4,'batch tool'!$B2861:$W2861)+$Y$4</f>
        <v>-44.639843068043824</v>
      </c>
      <c r="E2867" s="7">
        <f>SUMPRODUCT($C$5:$X$5,'batch tool'!$B2861:$W2861)+$Y$5</f>
        <v>-51.578889182477603</v>
      </c>
      <c r="F2867" s="7">
        <f>SUMPRODUCT($C$6:$X$6,'batch tool'!$B2861:$W2861)+$Y$6</f>
        <v>-47.741473633885199</v>
      </c>
      <c r="G2867" s="7">
        <f>SUMPRODUCT($C$7:$X$7,'batch tool'!$B2861:$W2861)+$Y$7</f>
        <v>-19.739516238059196</v>
      </c>
      <c r="H2867" s="7">
        <f t="shared" si="90"/>
        <v>-19.739516238059196</v>
      </c>
      <c r="I2867">
        <f t="shared" si="91"/>
        <v>6</v>
      </c>
      <c r="J2867" t="str" cm="1">
        <f t="array" ref="J2867">INDEX($A$2:$A$7,I2867)</f>
        <v>Segment 6- Self-Conscious Male</v>
      </c>
    </row>
    <row r="2868" spans="1:10" x14ac:dyDescent="0.25">
      <c r="A2868" s="1">
        <f>'batch tool'!A2862</f>
        <v>0</v>
      </c>
      <c r="B2868" s="7">
        <f>SUMPRODUCT($C$2:$X$2,'batch tool'!$B2862:$W2862)+$Y$2</f>
        <v>-49.12272534143483</v>
      </c>
      <c r="C2868" s="7">
        <f>SUMPRODUCT($C$3:$X$3,'batch tool'!$B2862:$W2862)+$Y$3</f>
        <v>-36.514029388465531</v>
      </c>
      <c r="D2868" s="7">
        <f>SUMPRODUCT($C$4:$X$4,'batch tool'!$B2862:$W2862)+$Y$4</f>
        <v>-44.639843068043824</v>
      </c>
      <c r="E2868" s="7">
        <f>SUMPRODUCT($C$5:$X$5,'batch tool'!$B2862:$W2862)+$Y$5</f>
        <v>-51.578889182477603</v>
      </c>
      <c r="F2868" s="7">
        <f>SUMPRODUCT($C$6:$X$6,'batch tool'!$B2862:$W2862)+$Y$6</f>
        <v>-47.741473633885199</v>
      </c>
      <c r="G2868" s="7">
        <f>SUMPRODUCT($C$7:$X$7,'batch tool'!$B2862:$W2862)+$Y$7</f>
        <v>-19.739516238059196</v>
      </c>
      <c r="H2868" s="7">
        <f t="shared" si="90"/>
        <v>-19.739516238059196</v>
      </c>
      <c r="I2868">
        <f t="shared" si="91"/>
        <v>6</v>
      </c>
      <c r="J2868" t="str" cm="1">
        <f t="array" ref="J2868">INDEX($A$2:$A$7,I2868)</f>
        <v>Segment 6- Self-Conscious Male</v>
      </c>
    </row>
    <row r="2869" spans="1:10" x14ac:dyDescent="0.25">
      <c r="A2869" s="1">
        <f>'batch tool'!A2863</f>
        <v>0</v>
      </c>
      <c r="B2869" s="7">
        <f>SUMPRODUCT($C$2:$X$2,'batch tool'!$B2863:$W2863)+$Y$2</f>
        <v>-49.12272534143483</v>
      </c>
      <c r="C2869" s="7">
        <f>SUMPRODUCT($C$3:$X$3,'batch tool'!$B2863:$W2863)+$Y$3</f>
        <v>-36.514029388465531</v>
      </c>
      <c r="D2869" s="7">
        <f>SUMPRODUCT($C$4:$X$4,'batch tool'!$B2863:$W2863)+$Y$4</f>
        <v>-44.639843068043824</v>
      </c>
      <c r="E2869" s="7">
        <f>SUMPRODUCT($C$5:$X$5,'batch tool'!$B2863:$W2863)+$Y$5</f>
        <v>-51.578889182477603</v>
      </c>
      <c r="F2869" s="7">
        <f>SUMPRODUCT($C$6:$X$6,'batch tool'!$B2863:$W2863)+$Y$6</f>
        <v>-47.741473633885199</v>
      </c>
      <c r="G2869" s="7">
        <f>SUMPRODUCT($C$7:$X$7,'batch tool'!$B2863:$W2863)+$Y$7</f>
        <v>-19.739516238059196</v>
      </c>
      <c r="H2869" s="7">
        <f t="shared" si="90"/>
        <v>-19.739516238059196</v>
      </c>
      <c r="I2869">
        <f t="shared" si="91"/>
        <v>6</v>
      </c>
      <c r="J2869" t="str" cm="1">
        <f t="array" ref="J2869">INDEX($A$2:$A$7,I2869)</f>
        <v>Segment 6- Self-Conscious Male</v>
      </c>
    </row>
    <row r="2870" spans="1:10" x14ac:dyDescent="0.25">
      <c r="A2870" s="1">
        <f>'batch tool'!A2864</f>
        <v>0</v>
      </c>
      <c r="B2870" s="7">
        <f>SUMPRODUCT($C$2:$X$2,'batch tool'!$B2864:$W2864)+$Y$2</f>
        <v>-49.12272534143483</v>
      </c>
      <c r="C2870" s="7">
        <f>SUMPRODUCT($C$3:$X$3,'batch tool'!$B2864:$W2864)+$Y$3</f>
        <v>-36.514029388465531</v>
      </c>
      <c r="D2870" s="7">
        <f>SUMPRODUCT($C$4:$X$4,'batch tool'!$B2864:$W2864)+$Y$4</f>
        <v>-44.639843068043824</v>
      </c>
      <c r="E2870" s="7">
        <f>SUMPRODUCT($C$5:$X$5,'batch tool'!$B2864:$W2864)+$Y$5</f>
        <v>-51.578889182477603</v>
      </c>
      <c r="F2870" s="7">
        <f>SUMPRODUCT($C$6:$X$6,'batch tool'!$B2864:$W2864)+$Y$6</f>
        <v>-47.741473633885199</v>
      </c>
      <c r="G2870" s="7">
        <f>SUMPRODUCT($C$7:$X$7,'batch tool'!$B2864:$W2864)+$Y$7</f>
        <v>-19.739516238059196</v>
      </c>
      <c r="H2870" s="7">
        <f t="shared" si="90"/>
        <v>-19.739516238059196</v>
      </c>
      <c r="I2870">
        <f t="shared" si="91"/>
        <v>6</v>
      </c>
      <c r="J2870" t="str" cm="1">
        <f t="array" ref="J2870">INDEX($A$2:$A$7,I2870)</f>
        <v>Segment 6- Self-Conscious Male</v>
      </c>
    </row>
    <row r="2871" spans="1:10" x14ac:dyDescent="0.25">
      <c r="A2871" s="1">
        <f>'batch tool'!A2865</f>
        <v>0</v>
      </c>
      <c r="B2871" s="7">
        <f>SUMPRODUCT($C$2:$X$2,'batch tool'!$B2865:$W2865)+$Y$2</f>
        <v>-49.12272534143483</v>
      </c>
      <c r="C2871" s="7">
        <f>SUMPRODUCT($C$3:$X$3,'batch tool'!$B2865:$W2865)+$Y$3</f>
        <v>-36.514029388465531</v>
      </c>
      <c r="D2871" s="7">
        <f>SUMPRODUCT($C$4:$X$4,'batch tool'!$B2865:$W2865)+$Y$4</f>
        <v>-44.639843068043824</v>
      </c>
      <c r="E2871" s="7">
        <f>SUMPRODUCT($C$5:$X$5,'batch tool'!$B2865:$W2865)+$Y$5</f>
        <v>-51.578889182477603</v>
      </c>
      <c r="F2871" s="7">
        <f>SUMPRODUCT($C$6:$X$6,'batch tool'!$B2865:$W2865)+$Y$6</f>
        <v>-47.741473633885199</v>
      </c>
      <c r="G2871" s="7">
        <f>SUMPRODUCT($C$7:$X$7,'batch tool'!$B2865:$W2865)+$Y$7</f>
        <v>-19.739516238059196</v>
      </c>
      <c r="H2871" s="7">
        <f t="shared" si="90"/>
        <v>-19.739516238059196</v>
      </c>
      <c r="I2871">
        <f t="shared" si="91"/>
        <v>6</v>
      </c>
      <c r="J2871" t="str" cm="1">
        <f t="array" ref="J2871">INDEX($A$2:$A$7,I2871)</f>
        <v>Segment 6- Self-Conscious Male</v>
      </c>
    </row>
    <row r="2872" spans="1:10" x14ac:dyDescent="0.25">
      <c r="A2872" s="1">
        <f>'batch tool'!A2866</f>
        <v>0</v>
      </c>
      <c r="B2872" s="7">
        <f>SUMPRODUCT($C$2:$X$2,'batch tool'!$B2866:$W2866)+$Y$2</f>
        <v>-49.12272534143483</v>
      </c>
      <c r="C2872" s="7">
        <f>SUMPRODUCT($C$3:$X$3,'batch tool'!$B2866:$W2866)+$Y$3</f>
        <v>-36.514029388465531</v>
      </c>
      <c r="D2872" s="7">
        <f>SUMPRODUCT($C$4:$X$4,'batch tool'!$B2866:$W2866)+$Y$4</f>
        <v>-44.639843068043824</v>
      </c>
      <c r="E2872" s="7">
        <f>SUMPRODUCT($C$5:$X$5,'batch tool'!$B2866:$W2866)+$Y$5</f>
        <v>-51.578889182477603</v>
      </c>
      <c r="F2872" s="7">
        <f>SUMPRODUCT($C$6:$X$6,'batch tool'!$B2866:$W2866)+$Y$6</f>
        <v>-47.741473633885199</v>
      </c>
      <c r="G2872" s="7">
        <f>SUMPRODUCT($C$7:$X$7,'batch tool'!$B2866:$W2866)+$Y$7</f>
        <v>-19.739516238059196</v>
      </c>
      <c r="H2872" s="7">
        <f t="shared" si="90"/>
        <v>-19.739516238059196</v>
      </c>
      <c r="I2872">
        <f t="shared" si="91"/>
        <v>6</v>
      </c>
      <c r="J2872" t="str" cm="1">
        <f t="array" ref="J2872">INDEX($A$2:$A$7,I2872)</f>
        <v>Segment 6- Self-Conscious Male</v>
      </c>
    </row>
    <row r="2873" spans="1:10" x14ac:dyDescent="0.25">
      <c r="A2873" s="1">
        <f>'batch tool'!A2867</f>
        <v>0</v>
      </c>
      <c r="B2873" s="7">
        <f>SUMPRODUCT($C$2:$X$2,'batch tool'!$B2867:$W2867)+$Y$2</f>
        <v>-49.12272534143483</v>
      </c>
      <c r="C2873" s="7">
        <f>SUMPRODUCT($C$3:$X$3,'batch tool'!$B2867:$W2867)+$Y$3</f>
        <v>-36.514029388465531</v>
      </c>
      <c r="D2873" s="7">
        <f>SUMPRODUCT($C$4:$X$4,'batch tool'!$B2867:$W2867)+$Y$4</f>
        <v>-44.639843068043824</v>
      </c>
      <c r="E2873" s="7">
        <f>SUMPRODUCT($C$5:$X$5,'batch tool'!$B2867:$W2867)+$Y$5</f>
        <v>-51.578889182477603</v>
      </c>
      <c r="F2873" s="7">
        <f>SUMPRODUCT($C$6:$X$6,'batch tool'!$B2867:$W2867)+$Y$6</f>
        <v>-47.741473633885199</v>
      </c>
      <c r="G2873" s="7">
        <f>SUMPRODUCT($C$7:$X$7,'batch tool'!$B2867:$W2867)+$Y$7</f>
        <v>-19.739516238059196</v>
      </c>
      <c r="H2873" s="7">
        <f t="shared" si="90"/>
        <v>-19.739516238059196</v>
      </c>
      <c r="I2873">
        <f t="shared" si="91"/>
        <v>6</v>
      </c>
      <c r="J2873" t="str" cm="1">
        <f t="array" ref="J2873">INDEX($A$2:$A$7,I2873)</f>
        <v>Segment 6- Self-Conscious Male</v>
      </c>
    </row>
    <row r="2874" spans="1:10" x14ac:dyDescent="0.25">
      <c r="A2874" s="1">
        <f>'batch tool'!A2868</f>
        <v>0</v>
      </c>
      <c r="B2874" s="7">
        <f>SUMPRODUCT($C$2:$X$2,'batch tool'!$B2868:$W2868)+$Y$2</f>
        <v>-49.12272534143483</v>
      </c>
      <c r="C2874" s="7">
        <f>SUMPRODUCT($C$3:$X$3,'batch tool'!$B2868:$W2868)+$Y$3</f>
        <v>-36.514029388465531</v>
      </c>
      <c r="D2874" s="7">
        <f>SUMPRODUCT($C$4:$X$4,'batch tool'!$B2868:$W2868)+$Y$4</f>
        <v>-44.639843068043824</v>
      </c>
      <c r="E2874" s="7">
        <f>SUMPRODUCT($C$5:$X$5,'batch tool'!$B2868:$W2868)+$Y$5</f>
        <v>-51.578889182477603</v>
      </c>
      <c r="F2874" s="7">
        <f>SUMPRODUCT($C$6:$X$6,'batch tool'!$B2868:$W2868)+$Y$6</f>
        <v>-47.741473633885199</v>
      </c>
      <c r="G2874" s="7">
        <f>SUMPRODUCT($C$7:$X$7,'batch tool'!$B2868:$W2868)+$Y$7</f>
        <v>-19.739516238059196</v>
      </c>
      <c r="H2874" s="7">
        <f t="shared" si="90"/>
        <v>-19.739516238059196</v>
      </c>
      <c r="I2874">
        <f t="shared" si="91"/>
        <v>6</v>
      </c>
      <c r="J2874" t="str" cm="1">
        <f t="array" ref="J2874">INDEX($A$2:$A$7,I2874)</f>
        <v>Segment 6- Self-Conscious Male</v>
      </c>
    </row>
    <row r="2875" spans="1:10" x14ac:dyDescent="0.25">
      <c r="A2875" s="1">
        <f>'batch tool'!A2869</f>
        <v>0</v>
      </c>
      <c r="B2875" s="7">
        <f>SUMPRODUCT($C$2:$X$2,'batch tool'!$B2869:$W2869)+$Y$2</f>
        <v>-49.12272534143483</v>
      </c>
      <c r="C2875" s="7">
        <f>SUMPRODUCT($C$3:$X$3,'batch tool'!$B2869:$W2869)+$Y$3</f>
        <v>-36.514029388465531</v>
      </c>
      <c r="D2875" s="7">
        <f>SUMPRODUCT($C$4:$X$4,'batch tool'!$B2869:$W2869)+$Y$4</f>
        <v>-44.639843068043824</v>
      </c>
      <c r="E2875" s="7">
        <f>SUMPRODUCT($C$5:$X$5,'batch tool'!$B2869:$W2869)+$Y$5</f>
        <v>-51.578889182477603</v>
      </c>
      <c r="F2875" s="7">
        <f>SUMPRODUCT($C$6:$X$6,'batch tool'!$B2869:$W2869)+$Y$6</f>
        <v>-47.741473633885199</v>
      </c>
      <c r="G2875" s="7">
        <f>SUMPRODUCT($C$7:$X$7,'batch tool'!$B2869:$W2869)+$Y$7</f>
        <v>-19.739516238059196</v>
      </c>
      <c r="H2875" s="7">
        <f t="shared" si="90"/>
        <v>-19.739516238059196</v>
      </c>
      <c r="I2875">
        <f t="shared" si="91"/>
        <v>6</v>
      </c>
      <c r="J2875" t="str" cm="1">
        <f t="array" ref="J2875">INDEX($A$2:$A$7,I2875)</f>
        <v>Segment 6- Self-Conscious Male</v>
      </c>
    </row>
    <row r="2876" spans="1:10" x14ac:dyDescent="0.25">
      <c r="A2876" s="1">
        <f>'batch tool'!A2870</f>
        <v>0</v>
      </c>
      <c r="B2876" s="7">
        <f>SUMPRODUCT($C$2:$X$2,'batch tool'!$B2870:$W2870)+$Y$2</f>
        <v>-49.12272534143483</v>
      </c>
      <c r="C2876" s="7">
        <f>SUMPRODUCT($C$3:$X$3,'batch tool'!$B2870:$W2870)+$Y$3</f>
        <v>-36.514029388465531</v>
      </c>
      <c r="D2876" s="7">
        <f>SUMPRODUCT($C$4:$X$4,'batch tool'!$B2870:$W2870)+$Y$4</f>
        <v>-44.639843068043824</v>
      </c>
      <c r="E2876" s="7">
        <f>SUMPRODUCT($C$5:$X$5,'batch tool'!$B2870:$W2870)+$Y$5</f>
        <v>-51.578889182477603</v>
      </c>
      <c r="F2876" s="7">
        <f>SUMPRODUCT($C$6:$X$6,'batch tool'!$B2870:$W2870)+$Y$6</f>
        <v>-47.741473633885199</v>
      </c>
      <c r="G2876" s="7">
        <f>SUMPRODUCT($C$7:$X$7,'batch tool'!$B2870:$W2870)+$Y$7</f>
        <v>-19.739516238059196</v>
      </c>
      <c r="H2876" s="7">
        <f t="shared" si="90"/>
        <v>-19.739516238059196</v>
      </c>
      <c r="I2876">
        <f t="shared" si="91"/>
        <v>6</v>
      </c>
      <c r="J2876" t="str" cm="1">
        <f t="array" ref="J2876">INDEX($A$2:$A$7,I2876)</f>
        <v>Segment 6- Self-Conscious Male</v>
      </c>
    </row>
    <row r="2877" spans="1:10" x14ac:dyDescent="0.25">
      <c r="A2877" s="1">
        <f>'batch tool'!A2871</f>
        <v>0</v>
      </c>
      <c r="B2877" s="7">
        <f>SUMPRODUCT($C$2:$X$2,'batch tool'!$B2871:$W2871)+$Y$2</f>
        <v>-49.12272534143483</v>
      </c>
      <c r="C2877" s="7">
        <f>SUMPRODUCT($C$3:$X$3,'batch tool'!$B2871:$W2871)+$Y$3</f>
        <v>-36.514029388465531</v>
      </c>
      <c r="D2877" s="7">
        <f>SUMPRODUCT($C$4:$X$4,'batch tool'!$B2871:$W2871)+$Y$4</f>
        <v>-44.639843068043824</v>
      </c>
      <c r="E2877" s="7">
        <f>SUMPRODUCT($C$5:$X$5,'batch tool'!$B2871:$W2871)+$Y$5</f>
        <v>-51.578889182477603</v>
      </c>
      <c r="F2877" s="7">
        <f>SUMPRODUCT($C$6:$X$6,'batch tool'!$B2871:$W2871)+$Y$6</f>
        <v>-47.741473633885199</v>
      </c>
      <c r="G2877" s="7">
        <f>SUMPRODUCT($C$7:$X$7,'batch tool'!$B2871:$W2871)+$Y$7</f>
        <v>-19.739516238059196</v>
      </c>
      <c r="H2877" s="7">
        <f t="shared" si="90"/>
        <v>-19.739516238059196</v>
      </c>
      <c r="I2877">
        <f t="shared" si="91"/>
        <v>6</v>
      </c>
      <c r="J2877" t="str" cm="1">
        <f t="array" ref="J2877">INDEX($A$2:$A$7,I2877)</f>
        <v>Segment 6- Self-Conscious Male</v>
      </c>
    </row>
    <row r="2878" spans="1:10" x14ac:dyDescent="0.25">
      <c r="A2878" s="1">
        <f>'batch tool'!A2872</f>
        <v>0</v>
      </c>
      <c r="B2878" s="7">
        <f>SUMPRODUCT($C$2:$X$2,'batch tool'!$B2872:$W2872)+$Y$2</f>
        <v>-49.12272534143483</v>
      </c>
      <c r="C2878" s="7">
        <f>SUMPRODUCT($C$3:$X$3,'batch tool'!$B2872:$W2872)+$Y$3</f>
        <v>-36.514029388465531</v>
      </c>
      <c r="D2878" s="7">
        <f>SUMPRODUCT($C$4:$X$4,'batch tool'!$B2872:$W2872)+$Y$4</f>
        <v>-44.639843068043824</v>
      </c>
      <c r="E2878" s="7">
        <f>SUMPRODUCT($C$5:$X$5,'batch tool'!$B2872:$W2872)+$Y$5</f>
        <v>-51.578889182477603</v>
      </c>
      <c r="F2878" s="7">
        <f>SUMPRODUCT($C$6:$X$6,'batch tool'!$B2872:$W2872)+$Y$6</f>
        <v>-47.741473633885199</v>
      </c>
      <c r="G2878" s="7">
        <f>SUMPRODUCT($C$7:$X$7,'batch tool'!$B2872:$W2872)+$Y$7</f>
        <v>-19.739516238059196</v>
      </c>
      <c r="H2878" s="7">
        <f t="shared" si="90"/>
        <v>-19.739516238059196</v>
      </c>
      <c r="I2878">
        <f t="shared" si="91"/>
        <v>6</v>
      </c>
      <c r="J2878" t="str" cm="1">
        <f t="array" ref="J2878">INDEX($A$2:$A$7,I2878)</f>
        <v>Segment 6- Self-Conscious Male</v>
      </c>
    </row>
    <row r="2879" spans="1:10" x14ac:dyDescent="0.25">
      <c r="A2879" s="1">
        <f>'batch tool'!A2873</f>
        <v>0</v>
      </c>
      <c r="B2879" s="7">
        <f>SUMPRODUCT($C$2:$X$2,'batch tool'!$B2873:$W2873)+$Y$2</f>
        <v>-49.12272534143483</v>
      </c>
      <c r="C2879" s="7">
        <f>SUMPRODUCT($C$3:$X$3,'batch tool'!$B2873:$W2873)+$Y$3</f>
        <v>-36.514029388465531</v>
      </c>
      <c r="D2879" s="7">
        <f>SUMPRODUCT($C$4:$X$4,'batch tool'!$B2873:$W2873)+$Y$4</f>
        <v>-44.639843068043824</v>
      </c>
      <c r="E2879" s="7">
        <f>SUMPRODUCT($C$5:$X$5,'batch tool'!$B2873:$W2873)+$Y$5</f>
        <v>-51.578889182477603</v>
      </c>
      <c r="F2879" s="7">
        <f>SUMPRODUCT($C$6:$X$6,'batch tool'!$B2873:$W2873)+$Y$6</f>
        <v>-47.741473633885199</v>
      </c>
      <c r="G2879" s="7">
        <f>SUMPRODUCT($C$7:$X$7,'batch tool'!$B2873:$W2873)+$Y$7</f>
        <v>-19.739516238059196</v>
      </c>
      <c r="H2879" s="7">
        <f t="shared" si="90"/>
        <v>-19.739516238059196</v>
      </c>
      <c r="I2879">
        <f t="shared" si="91"/>
        <v>6</v>
      </c>
      <c r="J2879" t="str" cm="1">
        <f t="array" ref="J2879">INDEX($A$2:$A$7,I2879)</f>
        <v>Segment 6- Self-Conscious Male</v>
      </c>
    </row>
    <row r="2880" spans="1:10" x14ac:dyDescent="0.25">
      <c r="A2880" s="1">
        <f>'batch tool'!A2874</f>
        <v>0</v>
      </c>
      <c r="B2880" s="7">
        <f>SUMPRODUCT($C$2:$X$2,'batch tool'!$B2874:$W2874)+$Y$2</f>
        <v>-49.12272534143483</v>
      </c>
      <c r="C2880" s="7">
        <f>SUMPRODUCT($C$3:$X$3,'batch tool'!$B2874:$W2874)+$Y$3</f>
        <v>-36.514029388465531</v>
      </c>
      <c r="D2880" s="7">
        <f>SUMPRODUCT($C$4:$X$4,'batch tool'!$B2874:$W2874)+$Y$4</f>
        <v>-44.639843068043824</v>
      </c>
      <c r="E2880" s="7">
        <f>SUMPRODUCT($C$5:$X$5,'batch tool'!$B2874:$W2874)+$Y$5</f>
        <v>-51.578889182477603</v>
      </c>
      <c r="F2880" s="7">
        <f>SUMPRODUCT($C$6:$X$6,'batch tool'!$B2874:$W2874)+$Y$6</f>
        <v>-47.741473633885199</v>
      </c>
      <c r="G2880" s="7">
        <f>SUMPRODUCT($C$7:$X$7,'batch tool'!$B2874:$W2874)+$Y$7</f>
        <v>-19.739516238059196</v>
      </c>
      <c r="H2880" s="7">
        <f t="shared" si="90"/>
        <v>-19.739516238059196</v>
      </c>
      <c r="I2880">
        <f t="shared" si="91"/>
        <v>6</v>
      </c>
      <c r="J2880" t="str" cm="1">
        <f t="array" ref="J2880">INDEX($A$2:$A$7,I2880)</f>
        <v>Segment 6- Self-Conscious Male</v>
      </c>
    </row>
    <row r="2881" spans="1:10" x14ac:dyDescent="0.25">
      <c r="A2881" s="1">
        <f>'batch tool'!A2875</f>
        <v>0</v>
      </c>
      <c r="B2881" s="7">
        <f>SUMPRODUCT($C$2:$X$2,'batch tool'!$B2875:$W2875)+$Y$2</f>
        <v>-49.12272534143483</v>
      </c>
      <c r="C2881" s="7">
        <f>SUMPRODUCT($C$3:$X$3,'batch tool'!$B2875:$W2875)+$Y$3</f>
        <v>-36.514029388465531</v>
      </c>
      <c r="D2881" s="7">
        <f>SUMPRODUCT($C$4:$X$4,'batch tool'!$B2875:$W2875)+$Y$4</f>
        <v>-44.639843068043824</v>
      </c>
      <c r="E2881" s="7">
        <f>SUMPRODUCT($C$5:$X$5,'batch tool'!$B2875:$W2875)+$Y$5</f>
        <v>-51.578889182477603</v>
      </c>
      <c r="F2881" s="7">
        <f>SUMPRODUCT($C$6:$X$6,'batch tool'!$B2875:$W2875)+$Y$6</f>
        <v>-47.741473633885199</v>
      </c>
      <c r="G2881" s="7">
        <f>SUMPRODUCT($C$7:$X$7,'batch tool'!$B2875:$W2875)+$Y$7</f>
        <v>-19.739516238059196</v>
      </c>
      <c r="H2881" s="7">
        <f t="shared" si="90"/>
        <v>-19.739516238059196</v>
      </c>
      <c r="I2881">
        <f t="shared" si="91"/>
        <v>6</v>
      </c>
      <c r="J2881" t="str" cm="1">
        <f t="array" ref="J2881">INDEX($A$2:$A$7,I2881)</f>
        <v>Segment 6- Self-Conscious Male</v>
      </c>
    </row>
    <row r="2882" spans="1:10" x14ac:dyDescent="0.25">
      <c r="A2882" s="1">
        <f>'batch tool'!A2876</f>
        <v>0</v>
      </c>
      <c r="B2882" s="7">
        <f>SUMPRODUCT($C$2:$X$2,'batch tool'!$B2876:$W2876)+$Y$2</f>
        <v>-49.12272534143483</v>
      </c>
      <c r="C2882" s="7">
        <f>SUMPRODUCT($C$3:$X$3,'batch tool'!$B2876:$W2876)+$Y$3</f>
        <v>-36.514029388465531</v>
      </c>
      <c r="D2882" s="7">
        <f>SUMPRODUCT($C$4:$X$4,'batch tool'!$B2876:$W2876)+$Y$4</f>
        <v>-44.639843068043824</v>
      </c>
      <c r="E2882" s="7">
        <f>SUMPRODUCT($C$5:$X$5,'batch tool'!$B2876:$W2876)+$Y$5</f>
        <v>-51.578889182477603</v>
      </c>
      <c r="F2882" s="7">
        <f>SUMPRODUCT($C$6:$X$6,'batch tool'!$B2876:$W2876)+$Y$6</f>
        <v>-47.741473633885199</v>
      </c>
      <c r="G2882" s="7">
        <f>SUMPRODUCT($C$7:$X$7,'batch tool'!$B2876:$W2876)+$Y$7</f>
        <v>-19.739516238059196</v>
      </c>
      <c r="H2882" s="7">
        <f t="shared" si="90"/>
        <v>-19.739516238059196</v>
      </c>
      <c r="I2882">
        <f t="shared" si="91"/>
        <v>6</v>
      </c>
      <c r="J2882" t="str" cm="1">
        <f t="array" ref="J2882">INDEX($A$2:$A$7,I2882)</f>
        <v>Segment 6- Self-Conscious Male</v>
      </c>
    </row>
    <row r="2883" spans="1:10" x14ac:dyDescent="0.25">
      <c r="A2883" s="1">
        <f>'batch tool'!A2877</f>
        <v>0</v>
      </c>
      <c r="B2883" s="7">
        <f>SUMPRODUCT($C$2:$X$2,'batch tool'!$B2877:$W2877)+$Y$2</f>
        <v>-49.12272534143483</v>
      </c>
      <c r="C2883" s="7">
        <f>SUMPRODUCT($C$3:$X$3,'batch tool'!$B2877:$W2877)+$Y$3</f>
        <v>-36.514029388465531</v>
      </c>
      <c r="D2883" s="7">
        <f>SUMPRODUCT($C$4:$X$4,'batch tool'!$B2877:$W2877)+$Y$4</f>
        <v>-44.639843068043824</v>
      </c>
      <c r="E2883" s="7">
        <f>SUMPRODUCT($C$5:$X$5,'batch tool'!$B2877:$W2877)+$Y$5</f>
        <v>-51.578889182477603</v>
      </c>
      <c r="F2883" s="7">
        <f>SUMPRODUCT($C$6:$X$6,'batch tool'!$B2877:$W2877)+$Y$6</f>
        <v>-47.741473633885199</v>
      </c>
      <c r="G2883" s="7">
        <f>SUMPRODUCT($C$7:$X$7,'batch tool'!$B2877:$W2877)+$Y$7</f>
        <v>-19.739516238059196</v>
      </c>
      <c r="H2883" s="7">
        <f t="shared" si="90"/>
        <v>-19.739516238059196</v>
      </c>
      <c r="I2883">
        <f t="shared" si="91"/>
        <v>6</v>
      </c>
      <c r="J2883" t="str" cm="1">
        <f t="array" ref="J2883">INDEX($A$2:$A$7,I2883)</f>
        <v>Segment 6- Self-Conscious Male</v>
      </c>
    </row>
    <row r="2884" spans="1:10" x14ac:dyDescent="0.25">
      <c r="A2884" s="1">
        <f>'batch tool'!A2878</f>
        <v>0</v>
      </c>
      <c r="B2884" s="7">
        <f>SUMPRODUCT($C$2:$X$2,'batch tool'!$B2878:$W2878)+$Y$2</f>
        <v>-49.12272534143483</v>
      </c>
      <c r="C2884" s="7">
        <f>SUMPRODUCT($C$3:$X$3,'batch tool'!$B2878:$W2878)+$Y$3</f>
        <v>-36.514029388465531</v>
      </c>
      <c r="D2884" s="7">
        <f>SUMPRODUCT($C$4:$X$4,'batch tool'!$B2878:$W2878)+$Y$4</f>
        <v>-44.639843068043824</v>
      </c>
      <c r="E2884" s="7">
        <f>SUMPRODUCT($C$5:$X$5,'batch tool'!$B2878:$W2878)+$Y$5</f>
        <v>-51.578889182477603</v>
      </c>
      <c r="F2884" s="7">
        <f>SUMPRODUCT($C$6:$X$6,'batch tool'!$B2878:$W2878)+$Y$6</f>
        <v>-47.741473633885199</v>
      </c>
      <c r="G2884" s="7">
        <f>SUMPRODUCT($C$7:$X$7,'batch tool'!$B2878:$W2878)+$Y$7</f>
        <v>-19.739516238059196</v>
      </c>
      <c r="H2884" s="7">
        <f t="shared" si="90"/>
        <v>-19.739516238059196</v>
      </c>
      <c r="I2884">
        <f t="shared" si="91"/>
        <v>6</v>
      </c>
      <c r="J2884" t="str" cm="1">
        <f t="array" ref="J2884">INDEX($A$2:$A$7,I2884)</f>
        <v>Segment 6- Self-Conscious Male</v>
      </c>
    </row>
    <row r="2885" spans="1:10" x14ac:dyDescent="0.25">
      <c r="A2885" s="1">
        <f>'batch tool'!A2879</f>
        <v>0</v>
      </c>
      <c r="B2885" s="7">
        <f>SUMPRODUCT($C$2:$X$2,'batch tool'!$B2879:$W2879)+$Y$2</f>
        <v>-49.12272534143483</v>
      </c>
      <c r="C2885" s="7">
        <f>SUMPRODUCT($C$3:$X$3,'batch tool'!$B2879:$W2879)+$Y$3</f>
        <v>-36.514029388465531</v>
      </c>
      <c r="D2885" s="7">
        <f>SUMPRODUCT($C$4:$X$4,'batch tool'!$B2879:$W2879)+$Y$4</f>
        <v>-44.639843068043824</v>
      </c>
      <c r="E2885" s="7">
        <f>SUMPRODUCT($C$5:$X$5,'batch tool'!$B2879:$W2879)+$Y$5</f>
        <v>-51.578889182477603</v>
      </c>
      <c r="F2885" s="7">
        <f>SUMPRODUCT($C$6:$X$6,'batch tool'!$B2879:$W2879)+$Y$6</f>
        <v>-47.741473633885199</v>
      </c>
      <c r="G2885" s="7">
        <f>SUMPRODUCT($C$7:$X$7,'batch tool'!$B2879:$W2879)+$Y$7</f>
        <v>-19.739516238059196</v>
      </c>
      <c r="H2885" s="7">
        <f t="shared" si="90"/>
        <v>-19.739516238059196</v>
      </c>
      <c r="I2885">
        <f t="shared" si="91"/>
        <v>6</v>
      </c>
      <c r="J2885" t="str" cm="1">
        <f t="array" ref="J2885">INDEX($A$2:$A$7,I2885)</f>
        <v>Segment 6- Self-Conscious Male</v>
      </c>
    </row>
    <row r="2886" spans="1:10" x14ac:dyDescent="0.25">
      <c r="A2886" s="1">
        <f>'batch tool'!A2880</f>
        <v>0</v>
      </c>
      <c r="B2886" s="7">
        <f>SUMPRODUCT($C$2:$X$2,'batch tool'!$B2880:$W2880)+$Y$2</f>
        <v>-49.12272534143483</v>
      </c>
      <c r="C2886" s="7">
        <f>SUMPRODUCT($C$3:$X$3,'batch tool'!$B2880:$W2880)+$Y$3</f>
        <v>-36.514029388465531</v>
      </c>
      <c r="D2886" s="7">
        <f>SUMPRODUCT($C$4:$X$4,'batch tool'!$B2880:$W2880)+$Y$4</f>
        <v>-44.639843068043824</v>
      </c>
      <c r="E2886" s="7">
        <f>SUMPRODUCT($C$5:$X$5,'batch tool'!$B2880:$W2880)+$Y$5</f>
        <v>-51.578889182477603</v>
      </c>
      <c r="F2886" s="7">
        <f>SUMPRODUCT($C$6:$X$6,'batch tool'!$B2880:$W2880)+$Y$6</f>
        <v>-47.741473633885199</v>
      </c>
      <c r="G2886" s="7">
        <f>SUMPRODUCT($C$7:$X$7,'batch tool'!$B2880:$W2880)+$Y$7</f>
        <v>-19.739516238059196</v>
      </c>
      <c r="H2886" s="7">
        <f t="shared" si="90"/>
        <v>-19.739516238059196</v>
      </c>
      <c r="I2886">
        <f t="shared" si="91"/>
        <v>6</v>
      </c>
      <c r="J2886" t="str" cm="1">
        <f t="array" ref="J2886">INDEX($A$2:$A$7,I2886)</f>
        <v>Segment 6- Self-Conscious Male</v>
      </c>
    </row>
    <row r="2887" spans="1:10" x14ac:dyDescent="0.25">
      <c r="A2887" s="1">
        <f>'batch tool'!A2881</f>
        <v>0</v>
      </c>
      <c r="B2887" s="7">
        <f>SUMPRODUCT($C$2:$X$2,'batch tool'!$B2881:$W2881)+$Y$2</f>
        <v>-49.12272534143483</v>
      </c>
      <c r="C2887" s="7">
        <f>SUMPRODUCT($C$3:$X$3,'batch tool'!$B2881:$W2881)+$Y$3</f>
        <v>-36.514029388465531</v>
      </c>
      <c r="D2887" s="7">
        <f>SUMPRODUCT($C$4:$X$4,'batch tool'!$B2881:$W2881)+$Y$4</f>
        <v>-44.639843068043824</v>
      </c>
      <c r="E2887" s="7">
        <f>SUMPRODUCT($C$5:$X$5,'batch tool'!$B2881:$W2881)+$Y$5</f>
        <v>-51.578889182477603</v>
      </c>
      <c r="F2887" s="7">
        <f>SUMPRODUCT($C$6:$X$6,'batch tool'!$B2881:$W2881)+$Y$6</f>
        <v>-47.741473633885199</v>
      </c>
      <c r="G2887" s="7">
        <f>SUMPRODUCT($C$7:$X$7,'batch tool'!$B2881:$W2881)+$Y$7</f>
        <v>-19.739516238059196</v>
      </c>
      <c r="H2887" s="7">
        <f t="shared" si="90"/>
        <v>-19.739516238059196</v>
      </c>
      <c r="I2887">
        <f t="shared" si="91"/>
        <v>6</v>
      </c>
      <c r="J2887" t="str" cm="1">
        <f t="array" ref="J2887">INDEX($A$2:$A$7,I2887)</f>
        <v>Segment 6- Self-Conscious Male</v>
      </c>
    </row>
    <row r="2888" spans="1:10" x14ac:dyDescent="0.25">
      <c r="A2888" s="1">
        <f>'batch tool'!A2882</f>
        <v>0</v>
      </c>
      <c r="B2888" s="7">
        <f>SUMPRODUCT($C$2:$X$2,'batch tool'!$B2882:$W2882)+$Y$2</f>
        <v>-49.12272534143483</v>
      </c>
      <c r="C2888" s="7">
        <f>SUMPRODUCT($C$3:$X$3,'batch tool'!$B2882:$W2882)+$Y$3</f>
        <v>-36.514029388465531</v>
      </c>
      <c r="D2888" s="7">
        <f>SUMPRODUCT($C$4:$X$4,'batch tool'!$B2882:$W2882)+$Y$4</f>
        <v>-44.639843068043824</v>
      </c>
      <c r="E2888" s="7">
        <f>SUMPRODUCT($C$5:$X$5,'batch tool'!$B2882:$W2882)+$Y$5</f>
        <v>-51.578889182477603</v>
      </c>
      <c r="F2888" s="7">
        <f>SUMPRODUCT($C$6:$X$6,'batch tool'!$B2882:$W2882)+$Y$6</f>
        <v>-47.741473633885199</v>
      </c>
      <c r="G2888" s="7">
        <f>SUMPRODUCT($C$7:$X$7,'batch tool'!$B2882:$W2882)+$Y$7</f>
        <v>-19.739516238059196</v>
      </c>
      <c r="H2888" s="7">
        <f t="shared" si="90"/>
        <v>-19.739516238059196</v>
      </c>
      <c r="I2888">
        <f t="shared" si="91"/>
        <v>6</v>
      </c>
      <c r="J2888" t="str" cm="1">
        <f t="array" ref="J2888">INDEX($A$2:$A$7,I2888)</f>
        <v>Segment 6- Self-Conscious Male</v>
      </c>
    </row>
    <row r="2889" spans="1:10" x14ac:dyDescent="0.25">
      <c r="A2889" s="1">
        <f>'batch tool'!A2883</f>
        <v>0</v>
      </c>
      <c r="B2889" s="7">
        <f>SUMPRODUCT($C$2:$X$2,'batch tool'!$B2883:$W2883)+$Y$2</f>
        <v>-49.12272534143483</v>
      </c>
      <c r="C2889" s="7">
        <f>SUMPRODUCT($C$3:$X$3,'batch tool'!$B2883:$W2883)+$Y$3</f>
        <v>-36.514029388465531</v>
      </c>
      <c r="D2889" s="7">
        <f>SUMPRODUCT($C$4:$X$4,'batch tool'!$B2883:$W2883)+$Y$4</f>
        <v>-44.639843068043824</v>
      </c>
      <c r="E2889" s="7">
        <f>SUMPRODUCT($C$5:$X$5,'batch tool'!$B2883:$W2883)+$Y$5</f>
        <v>-51.578889182477603</v>
      </c>
      <c r="F2889" s="7">
        <f>SUMPRODUCT($C$6:$X$6,'batch tool'!$B2883:$W2883)+$Y$6</f>
        <v>-47.741473633885199</v>
      </c>
      <c r="G2889" s="7">
        <f>SUMPRODUCT($C$7:$X$7,'batch tool'!$B2883:$W2883)+$Y$7</f>
        <v>-19.739516238059196</v>
      </c>
      <c r="H2889" s="7">
        <f t="shared" si="90"/>
        <v>-19.739516238059196</v>
      </c>
      <c r="I2889">
        <f t="shared" si="91"/>
        <v>6</v>
      </c>
      <c r="J2889" t="str" cm="1">
        <f t="array" ref="J2889">INDEX($A$2:$A$7,I2889)</f>
        <v>Segment 6- Self-Conscious Male</v>
      </c>
    </row>
    <row r="2890" spans="1:10" x14ac:dyDescent="0.25">
      <c r="A2890" s="1">
        <f>'batch tool'!A2884</f>
        <v>0</v>
      </c>
      <c r="B2890" s="7">
        <f>SUMPRODUCT($C$2:$X$2,'batch tool'!$B2884:$W2884)+$Y$2</f>
        <v>-49.12272534143483</v>
      </c>
      <c r="C2890" s="7">
        <f>SUMPRODUCT($C$3:$X$3,'batch tool'!$B2884:$W2884)+$Y$3</f>
        <v>-36.514029388465531</v>
      </c>
      <c r="D2890" s="7">
        <f>SUMPRODUCT($C$4:$X$4,'batch tool'!$B2884:$W2884)+$Y$4</f>
        <v>-44.639843068043824</v>
      </c>
      <c r="E2890" s="7">
        <f>SUMPRODUCT($C$5:$X$5,'batch tool'!$B2884:$W2884)+$Y$5</f>
        <v>-51.578889182477603</v>
      </c>
      <c r="F2890" s="7">
        <f>SUMPRODUCT($C$6:$X$6,'batch tool'!$B2884:$W2884)+$Y$6</f>
        <v>-47.741473633885199</v>
      </c>
      <c r="G2890" s="7">
        <f>SUMPRODUCT($C$7:$X$7,'batch tool'!$B2884:$W2884)+$Y$7</f>
        <v>-19.739516238059196</v>
      </c>
      <c r="H2890" s="7">
        <f t="shared" si="90"/>
        <v>-19.739516238059196</v>
      </c>
      <c r="I2890">
        <f t="shared" si="91"/>
        <v>6</v>
      </c>
      <c r="J2890" t="str" cm="1">
        <f t="array" ref="J2890">INDEX($A$2:$A$7,I2890)</f>
        <v>Segment 6- Self-Conscious Male</v>
      </c>
    </row>
    <row r="2891" spans="1:10" x14ac:dyDescent="0.25">
      <c r="A2891" s="1">
        <f>'batch tool'!A2885</f>
        <v>0</v>
      </c>
      <c r="B2891" s="7">
        <f>SUMPRODUCT($C$2:$X$2,'batch tool'!$B2885:$W2885)+$Y$2</f>
        <v>-49.12272534143483</v>
      </c>
      <c r="C2891" s="7">
        <f>SUMPRODUCT($C$3:$X$3,'batch tool'!$B2885:$W2885)+$Y$3</f>
        <v>-36.514029388465531</v>
      </c>
      <c r="D2891" s="7">
        <f>SUMPRODUCT($C$4:$X$4,'batch tool'!$B2885:$W2885)+$Y$4</f>
        <v>-44.639843068043824</v>
      </c>
      <c r="E2891" s="7">
        <f>SUMPRODUCT($C$5:$X$5,'batch tool'!$B2885:$W2885)+$Y$5</f>
        <v>-51.578889182477603</v>
      </c>
      <c r="F2891" s="7">
        <f>SUMPRODUCT($C$6:$X$6,'batch tool'!$B2885:$W2885)+$Y$6</f>
        <v>-47.741473633885199</v>
      </c>
      <c r="G2891" s="7">
        <f>SUMPRODUCT($C$7:$X$7,'batch tool'!$B2885:$W2885)+$Y$7</f>
        <v>-19.739516238059196</v>
      </c>
      <c r="H2891" s="7">
        <f t="shared" si="90"/>
        <v>-19.739516238059196</v>
      </c>
      <c r="I2891">
        <f t="shared" si="91"/>
        <v>6</v>
      </c>
      <c r="J2891" t="str" cm="1">
        <f t="array" ref="J2891">INDEX($A$2:$A$7,I2891)</f>
        <v>Segment 6- Self-Conscious Male</v>
      </c>
    </row>
    <row r="2892" spans="1:10" x14ac:dyDescent="0.25">
      <c r="A2892" s="1">
        <f>'batch tool'!A2886</f>
        <v>0</v>
      </c>
      <c r="B2892" s="7">
        <f>SUMPRODUCT($C$2:$X$2,'batch tool'!$B2886:$W2886)+$Y$2</f>
        <v>-49.12272534143483</v>
      </c>
      <c r="C2892" s="7">
        <f>SUMPRODUCT($C$3:$X$3,'batch tool'!$B2886:$W2886)+$Y$3</f>
        <v>-36.514029388465531</v>
      </c>
      <c r="D2892" s="7">
        <f>SUMPRODUCT($C$4:$X$4,'batch tool'!$B2886:$W2886)+$Y$4</f>
        <v>-44.639843068043824</v>
      </c>
      <c r="E2892" s="7">
        <f>SUMPRODUCT($C$5:$X$5,'batch tool'!$B2886:$W2886)+$Y$5</f>
        <v>-51.578889182477603</v>
      </c>
      <c r="F2892" s="7">
        <f>SUMPRODUCT($C$6:$X$6,'batch tool'!$B2886:$W2886)+$Y$6</f>
        <v>-47.741473633885199</v>
      </c>
      <c r="G2892" s="7">
        <f>SUMPRODUCT($C$7:$X$7,'batch tool'!$B2886:$W2886)+$Y$7</f>
        <v>-19.739516238059196</v>
      </c>
      <c r="H2892" s="7">
        <f t="shared" si="90"/>
        <v>-19.739516238059196</v>
      </c>
      <c r="I2892">
        <f t="shared" si="91"/>
        <v>6</v>
      </c>
      <c r="J2892" t="str" cm="1">
        <f t="array" ref="J2892">INDEX($A$2:$A$7,I2892)</f>
        <v>Segment 6- Self-Conscious Male</v>
      </c>
    </row>
    <row r="2893" spans="1:10" x14ac:dyDescent="0.25">
      <c r="A2893" s="1">
        <f>'batch tool'!A2887</f>
        <v>0</v>
      </c>
      <c r="B2893" s="7">
        <f>SUMPRODUCT($C$2:$X$2,'batch tool'!$B2887:$W2887)+$Y$2</f>
        <v>-49.12272534143483</v>
      </c>
      <c r="C2893" s="7">
        <f>SUMPRODUCT($C$3:$X$3,'batch tool'!$B2887:$W2887)+$Y$3</f>
        <v>-36.514029388465531</v>
      </c>
      <c r="D2893" s="7">
        <f>SUMPRODUCT($C$4:$X$4,'batch tool'!$B2887:$W2887)+$Y$4</f>
        <v>-44.639843068043824</v>
      </c>
      <c r="E2893" s="7">
        <f>SUMPRODUCT($C$5:$X$5,'batch tool'!$B2887:$W2887)+$Y$5</f>
        <v>-51.578889182477603</v>
      </c>
      <c r="F2893" s="7">
        <f>SUMPRODUCT($C$6:$X$6,'batch tool'!$B2887:$W2887)+$Y$6</f>
        <v>-47.741473633885199</v>
      </c>
      <c r="G2893" s="7">
        <f>SUMPRODUCT($C$7:$X$7,'batch tool'!$B2887:$W2887)+$Y$7</f>
        <v>-19.739516238059196</v>
      </c>
      <c r="H2893" s="7">
        <f t="shared" si="90"/>
        <v>-19.739516238059196</v>
      </c>
      <c r="I2893">
        <f t="shared" si="91"/>
        <v>6</v>
      </c>
      <c r="J2893" t="str" cm="1">
        <f t="array" ref="J2893">INDEX($A$2:$A$7,I2893)</f>
        <v>Segment 6- Self-Conscious Male</v>
      </c>
    </row>
    <row r="2894" spans="1:10" x14ac:dyDescent="0.25">
      <c r="A2894" s="1">
        <f>'batch tool'!A2888</f>
        <v>0</v>
      </c>
      <c r="B2894" s="7">
        <f>SUMPRODUCT($C$2:$X$2,'batch tool'!$B2888:$W2888)+$Y$2</f>
        <v>-49.12272534143483</v>
      </c>
      <c r="C2894" s="7">
        <f>SUMPRODUCT($C$3:$X$3,'batch tool'!$B2888:$W2888)+$Y$3</f>
        <v>-36.514029388465531</v>
      </c>
      <c r="D2894" s="7">
        <f>SUMPRODUCT($C$4:$X$4,'batch tool'!$B2888:$W2888)+$Y$4</f>
        <v>-44.639843068043824</v>
      </c>
      <c r="E2894" s="7">
        <f>SUMPRODUCT($C$5:$X$5,'batch tool'!$B2888:$W2888)+$Y$5</f>
        <v>-51.578889182477603</v>
      </c>
      <c r="F2894" s="7">
        <f>SUMPRODUCT($C$6:$X$6,'batch tool'!$B2888:$W2888)+$Y$6</f>
        <v>-47.741473633885199</v>
      </c>
      <c r="G2894" s="7">
        <f>SUMPRODUCT($C$7:$X$7,'batch tool'!$B2888:$W2888)+$Y$7</f>
        <v>-19.739516238059196</v>
      </c>
      <c r="H2894" s="7">
        <f t="shared" si="90"/>
        <v>-19.739516238059196</v>
      </c>
      <c r="I2894">
        <f t="shared" si="91"/>
        <v>6</v>
      </c>
      <c r="J2894" t="str" cm="1">
        <f t="array" ref="J2894">INDEX($A$2:$A$7,I2894)</f>
        <v>Segment 6- Self-Conscious Male</v>
      </c>
    </row>
    <row r="2895" spans="1:10" x14ac:dyDescent="0.25">
      <c r="A2895" s="1">
        <f>'batch tool'!A2889</f>
        <v>0</v>
      </c>
      <c r="B2895" s="7">
        <f>SUMPRODUCT($C$2:$X$2,'batch tool'!$B2889:$W2889)+$Y$2</f>
        <v>-49.12272534143483</v>
      </c>
      <c r="C2895" s="7">
        <f>SUMPRODUCT($C$3:$X$3,'batch tool'!$B2889:$W2889)+$Y$3</f>
        <v>-36.514029388465531</v>
      </c>
      <c r="D2895" s="7">
        <f>SUMPRODUCT($C$4:$X$4,'batch tool'!$B2889:$W2889)+$Y$4</f>
        <v>-44.639843068043824</v>
      </c>
      <c r="E2895" s="7">
        <f>SUMPRODUCT($C$5:$X$5,'batch tool'!$B2889:$W2889)+$Y$5</f>
        <v>-51.578889182477603</v>
      </c>
      <c r="F2895" s="7">
        <f>SUMPRODUCT($C$6:$X$6,'batch tool'!$B2889:$W2889)+$Y$6</f>
        <v>-47.741473633885199</v>
      </c>
      <c r="G2895" s="7">
        <f>SUMPRODUCT($C$7:$X$7,'batch tool'!$B2889:$W2889)+$Y$7</f>
        <v>-19.739516238059196</v>
      </c>
      <c r="H2895" s="7">
        <f t="shared" si="90"/>
        <v>-19.739516238059196</v>
      </c>
      <c r="I2895">
        <f t="shared" si="91"/>
        <v>6</v>
      </c>
      <c r="J2895" t="str" cm="1">
        <f t="array" ref="J2895">INDEX($A$2:$A$7,I2895)</f>
        <v>Segment 6- Self-Conscious Male</v>
      </c>
    </row>
    <row r="2896" spans="1:10" x14ac:dyDescent="0.25">
      <c r="A2896" s="1">
        <f>'batch tool'!A2890</f>
        <v>0</v>
      </c>
      <c r="B2896" s="7">
        <f>SUMPRODUCT($C$2:$X$2,'batch tool'!$B2890:$W2890)+$Y$2</f>
        <v>-49.12272534143483</v>
      </c>
      <c r="C2896" s="7">
        <f>SUMPRODUCT($C$3:$X$3,'batch tool'!$B2890:$W2890)+$Y$3</f>
        <v>-36.514029388465531</v>
      </c>
      <c r="D2896" s="7">
        <f>SUMPRODUCT($C$4:$X$4,'batch tool'!$B2890:$W2890)+$Y$4</f>
        <v>-44.639843068043824</v>
      </c>
      <c r="E2896" s="7">
        <f>SUMPRODUCT($C$5:$X$5,'batch tool'!$B2890:$W2890)+$Y$5</f>
        <v>-51.578889182477603</v>
      </c>
      <c r="F2896" s="7">
        <f>SUMPRODUCT($C$6:$X$6,'batch tool'!$B2890:$W2890)+$Y$6</f>
        <v>-47.741473633885199</v>
      </c>
      <c r="G2896" s="7">
        <f>SUMPRODUCT($C$7:$X$7,'batch tool'!$B2890:$W2890)+$Y$7</f>
        <v>-19.739516238059196</v>
      </c>
      <c r="H2896" s="7">
        <f t="shared" si="90"/>
        <v>-19.739516238059196</v>
      </c>
      <c r="I2896">
        <f t="shared" si="91"/>
        <v>6</v>
      </c>
      <c r="J2896" t="str" cm="1">
        <f t="array" ref="J2896">INDEX($A$2:$A$7,I2896)</f>
        <v>Segment 6- Self-Conscious Male</v>
      </c>
    </row>
    <row r="2897" spans="1:10" x14ac:dyDescent="0.25">
      <c r="A2897" s="1">
        <f>'batch tool'!A2891</f>
        <v>0</v>
      </c>
      <c r="B2897" s="7">
        <f>SUMPRODUCT($C$2:$X$2,'batch tool'!$B2891:$W2891)+$Y$2</f>
        <v>-49.12272534143483</v>
      </c>
      <c r="C2897" s="7">
        <f>SUMPRODUCT($C$3:$X$3,'batch tool'!$B2891:$W2891)+$Y$3</f>
        <v>-36.514029388465531</v>
      </c>
      <c r="D2897" s="7">
        <f>SUMPRODUCT($C$4:$X$4,'batch tool'!$B2891:$W2891)+$Y$4</f>
        <v>-44.639843068043824</v>
      </c>
      <c r="E2897" s="7">
        <f>SUMPRODUCT($C$5:$X$5,'batch tool'!$B2891:$W2891)+$Y$5</f>
        <v>-51.578889182477603</v>
      </c>
      <c r="F2897" s="7">
        <f>SUMPRODUCT($C$6:$X$6,'batch tool'!$B2891:$W2891)+$Y$6</f>
        <v>-47.741473633885199</v>
      </c>
      <c r="G2897" s="7">
        <f>SUMPRODUCT($C$7:$X$7,'batch tool'!$B2891:$W2891)+$Y$7</f>
        <v>-19.739516238059196</v>
      </c>
      <c r="H2897" s="7">
        <f t="shared" si="90"/>
        <v>-19.739516238059196</v>
      </c>
      <c r="I2897">
        <f t="shared" si="91"/>
        <v>6</v>
      </c>
      <c r="J2897" t="str" cm="1">
        <f t="array" ref="J2897">INDEX($A$2:$A$7,I2897)</f>
        <v>Segment 6- Self-Conscious Male</v>
      </c>
    </row>
    <row r="2898" spans="1:10" x14ac:dyDescent="0.25">
      <c r="A2898" s="1">
        <f>'batch tool'!A2892</f>
        <v>0</v>
      </c>
      <c r="B2898" s="7">
        <f>SUMPRODUCT($C$2:$X$2,'batch tool'!$B2892:$W2892)+$Y$2</f>
        <v>-49.12272534143483</v>
      </c>
      <c r="C2898" s="7">
        <f>SUMPRODUCT($C$3:$X$3,'batch tool'!$B2892:$W2892)+$Y$3</f>
        <v>-36.514029388465531</v>
      </c>
      <c r="D2898" s="7">
        <f>SUMPRODUCT($C$4:$X$4,'batch tool'!$B2892:$W2892)+$Y$4</f>
        <v>-44.639843068043824</v>
      </c>
      <c r="E2898" s="7">
        <f>SUMPRODUCT($C$5:$X$5,'batch tool'!$B2892:$W2892)+$Y$5</f>
        <v>-51.578889182477603</v>
      </c>
      <c r="F2898" s="7">
        <f>SUMPRODUCT($C$6:$X$6,'batch tool'!$B2892:$W2892)+$Y$6</f>
        <v>-47.741473633885199</v>
      </c>
      <c r="G2898" s="7">
        <f>SUMPRODUCT($C$7:$X$7,'batch tool'!$B2892:$W2892)+$Y$7</f>
        <v>-19.739516238059196</v>
      </c>
      <c r="H2898" s="7">
        <f t="shared" si="90"/>
        <v>-19.739516238059196</v>
      </c>
      <c r="I2898">
        <f t="shared" si="91"/>
        <v>6</v>
      </c>
      <c r="J2898" t="str" cm="1">
        <f t="array" ref="J2898">INDEX($A$2:$A$7,I2898)</f>
        <v>Segment 6- Self-Conscious Male</v>
      </c>
    </row>
    <row r="2899" spans="1:10" x14ac:dyDescent="0.25">
      <c r="A2899" s="1">
        <f>'batch tool'!A2893</f>
        <v>0</v>
      </c>
      <c r="B2899" s="7">
        <f>SUMPRODUCT($C$2:$X$2,'batch tool'!$B2893:$W2893)+$Y$2</f>
        <v>-49.12272534143483</v>
      </c>
      <c r="C2899" s="7">
        <f>SUMPRODUCT($C$3:$X$3,'batch tool'!$B2893:$W2893)+$Y$3</f>
        <v>-36.514029388465531</v>
      </c>
      <c r="D2899" s="7">
        <f>SUMPRODUCT($C$4:$X$4,'batch tool'!$B2893:$W2893)+$Y$4</f>
        <v>-44.639843068043824</v>
      </c>
      <c r="E2899" s="7">
        <f>SUMPRODUCT($C$5:$X$5,'batch tool'!$B2893:$W2893)+$Y$5</f>
        <v>-51.578889182477603</v>
      </c>
      <c r="F2899" s="7">
        <f>SUMPRODUCT($C$6:$X$6,'batch tool'!$B2893:$W2893)+$Y$6</f>
        <v>-47.741473633885199</v>
      </c>
      <c r="G2899" s="7">
        <f>SUMPRODUCT($C$7:$X$7,'batch tool'!$B2893:$W2893)+$Y$7</f>
        <v>-19.739516238059196</v>
      </c>
      <c r="H2899" s="7">
        <f t="shared" si="90"/>
        <v>-19.739516238059196</v>
      </c>
      <c r="I2899">
        <f t="shared" si="91"/>
        <v>6</v>
      </c>
      <c r="J2899" t="str" cm="1">
        <f t="array" ref="J2899">INDEX($A$2:$A$7,I2899)</f>
        <v>Segment 6- Self-Conscious Male</v>
      </c>
    </row>
    <row r="2900" spans="1:10" x14ac:dyDescent="0.25">
      <c r="A2900" s="1">
        <f>'batch tool'!A2894</f>
        <v>0</v>
      </c>
      <c r="B2900" s="7">
        <f>SUMPRODUCT($C$2:$X$2,'batch tool'!$B2894:$W2894)+$Y$2</f>
        <v>-49.12272534143483</v>
      </c>
      <c r="C2900" s="7">
        <f>SUMPRODUCT($C$3:$X$3,'batch tool'!$B2894:$W2894)+$Y$3</f>
        <v>-36.514029388465531</v>
      </c>
      <c r="D2900" s="7">
        <f>SUMPRODUCT($C$4:$X$4,'batch tool'!$B2894:$W2894)+$Y$4</f>
        <v>-44.639843068043824</v>
      </c>
      <c r="E2900" s="7">
        <f>SUMPRODUCT($C$5:$X$5,'batch tool'!$B2894:$W2894)+$Y$5</f>
        <v>-51.578889182477603</v>
      </c>
      <c r="F2900" s="7">
        <f>SUMPRODUCT($C$6:$X$6,'batch tool'!$B2894:$W2894)+$Y$6</f>
        <v>-47.741473633885199</v>
      </c>
      <c r="G2900" s="7">
        <f>SUMPRODUCT($C$7:$X$7,'batch tool'!$B2894:$W2894)+$Y$7</f>
        <v>-19.739516238059196</v>
      </c>
      <c r="H2900" s="7">
        <f t="shared" si="90"/>
        <v>-19.739516238059196</v>
      </c>
      <c r="I2900">
        <f t="shared" si="91"/>
        <v>6</v>
      </c>
      <c r="J2900" t="str" cm="1">
        <f t="array" ref="J2900">INDEX($A$2:$A$7,I2900)</f>
        <v>Segment 6- Self-Conscious Male</v>
      </c>
    </row>
    <row r="2901" spans="1:10" x14ac:dyDescent="0.25">
      <c r="A2901" s="1">
        <f>'batch tool'!A2895</f>
        <v>0</v>
      </c>
      <c r="B2901" s="7">
        <f>SUMPRODUCT($C$2:$X$2,'batch tool'!$B2895:$W2895)+$Y$2</f>
        <v>-49.12272534143483</v>
      </c>
      <c r="C2901" s="7">
        <f>SUMPRODUCT($C$3:$X$3,'batch tool'!$B2895:$W2895)+$Y$3</f>
        <v>-36.514029388465531</v>
      </c>
      <c r="D2901" s="7">
        <f>SUMPRODUCT($C$4:$X$4,'batch tool'!$B2895:$W2895)+$Y$4</f>
        <v>-44.639843068043824</v>
      </c>
      <c r="E2901" s="7">
        <f>SUMPRODUCT($C$5:$X$5,'batch tool'!$B2895:$W2895)+$Y$5</f>
        <v>-51.578889182477603</v>
      </c>
      <c r="F2901" s="7">
        <f>SUMPRODUCT($C$6:$X$6,'batch tool'!$B2895:$W2895)+$Y$6</f>
        <v>-47.741473633885199</v>
      </c>
      <c r="G2901" s="7">
        <f>SUMPRODUCT($C$7:$X$7,'batch tool'!$B2895:$W2895)+$Y$7</f>
        <v>-19.739516238059196</v>
      </c>
      <c r="H2901" s="7">
        <f t="shared" si="90"/>
        <v>-19.739516238059196</v>
      </c>
      <c r="I2901">
        <f t="shared" si="91"/>
        <v>6</v>
      </c>
      <c r="J2901" t="str" cm="1">
        <f t="array" ref="J2901">INDEX($A$2:$A$7,I2901)</f>
        <v>Segment 6- Self-Conscious Male</v>
      </c>
    </row>
    <row r="2902" spans="1:10" x14ac:dyDescent="0.25">
      <c r="A2902" s="1">
        <f>'batch tool'!A2896</f>
        <v>0</v>
      </c>
      <c r="B2902" s="7">
        <f>SUMPRODUCT($C$2:$X$2,'batch tool'!$B2896:$W2896)+$Y$2</f>
        <v>-49.12272534143483</v>
      </c>
      <c r="C2902" s="7">
        <f>SUMPRODUCT($C$3:$X$3,'batch tool'!$B2896:$W2896)+$Y$3</f>
        <v>-36.514029388465531</v>
      </c>
      <c r="D2902" s="7">
        <f>SUMPRODUCT($C$4:$X$4,'batch tool'!$B2896:$W2896)+$Y$4</f>
        <v>-44.639843068043824</v>
      </c>
      <c r="E2902" s="7">
        <f>SUMPRODUCT($C$5:$X$5,'batch tool'!$B2896:$W2896)+$Y$5</f>
        <v>-51.578889182477603</v>
      </c>
      <c r="F2902" s="7">
        <f>SUMPRODUCT($C$6:$X$6,'batch tool'!$B2896:$W2896)+$Y$6</f>
        <v>-47.741473633885199</v>
      </c>
      <c r="G2902" s="7">
        <f>SUMPRODUCT($C$7:$X$7,'batch tool'!$B2896:$W2896)+$Y$7</f>
        <v>-19.739516238059196</v>
      </c>
      <c r="H2902" s="7">
        <f t="shared" si="90"/>
        <v>-19.739516238059196</v>
      </c>
      <c r="I2902">
        <f t="shared" si="91"/>
        <v>6</v>
      </c>
      <c r="J2902" t="str" cm="1">
        <f t="array" ref="J2902">INDEX($A$2:$A$7,I2902)</f>
        <v>Segment 6- Self-Conscious Male</v>
      </c>
    </row>
    <row r="2903" spans="1:10" x14ac:dyDescent="0.25">
      <c r="A2903" s="1">
        <f>'batch tool'!A2897</f>
        <v>0</v>
      </c>
      <c r="B2903" s="7">
        <f>SUMPRODUCT($C$2:$X$2,'batch tool'!$B2897:$W2897)+$Y$2</f>
        <v>-49.12272534143483</v>
      </c>
      <c r="C2903" s="7">
        <f>SUMPRODUCT($C$3:$X$3,'batch tool'!$B2897:$W2897)+$Y$3</f>
        <v>-36.514029388465531</v>
      </c>
      <c r="D2903" s="7">
        <f>SUMPRODUCT($C$4:$X$4,'batch tool'!$B2897:$W2897)+$Y$4</f>
        <v>-44.639843068043824</v>
      </c>
      <c r="E2903" s="7">
        <f>SUMPRODUCT($C$5:$X$5,'batch tool'!$B2897:$W2897)+$Y$5</f>
        <v>-51.578889182477603</v>
      </c>
      <c r="F2903" s="7">
        <f>SUMPRODUCT($C$6:$X$6,'batch tool'!$B2897:$W2897)+$Y$6</f>
        <v>-47.741473633885199</v>
      </c>
      <c r="G2903" s="7">
        <f>SUMPRODUCT($C$7:$X$7,'batch tool'!$B2897:$W2897)+$Y$7</f>
        <v>-19.739516238059196</v>
      </c>
      <c r="H2903" s="7">
        <f t="shared" si="90"/>
        <v>-19.739516238059196</v>
      </c>
      <c r="I2903">
        <f t="shared" si="91"/>
        <v>6</v>
      </c>
      <c r="J2903" t="str" cm="1">
        <f t="array" ref="J2903">INDEX($A$2:$A$7,I2903)</f>
        <v>Segment 6- Self-Conscious Male</v>
      </c>
    </row>
    <row r="2904" spans="1:10" x14ac:dyDescent="0.25">
      <c r="A2904" s="1">
        <f>'batch tool'!A2898</f>
        <v>0</v>
      </c>
      <c r="B2904" s="7">
        <f>SUMPRODUCT($C$2:$X$2,'batch tool'!$B2898:$W2898)+$Y$2</f>
        <v>-49.12272534143483</v>
      </c>
      <c r="C2904" s="7">
        <f>SUMPRODUCT($C$3:$X$3,'batch tool'!$B2898:$W2898)+$Y$3</f>
        <v>-36.514029388465531</v>
      </c>
      <c r="D2904" s="7">
        <f>SUMPRODUCT($C$4:$X$4,'batch tool'!$B2898:$W2898)+$Y$4</f>
        <v>-44.639843068043824</v>
      </c>
      <c r="E2904" s="7">
        <f>SUMPRODUCT($C$5:$X$5,'batch tool'!$B2898:$W2898)+$Y$5</f>
        <v>-51.578889182477603</v>
      </c>
      <c r="F2904" s="7">
        <f>SUMPRODUCT($C$6:$X$6,'batch tool'!$B2898:$W2898)+$Y$6</f>
        <v>-47.741473633885199</v>
      </c>
      <c r="G2904" s="7">
        <f>SUMPRODUCT($C$7:$X$7,'batch tool'!$B2898:$W2898)+$Y$7</f>
        <v>-19.739516238059196</v>
      </c>
      <c r="H2904" s="7">
        <f t="shared" si="90"/>
        <v>-19.739516238059196</v>
      </c>
      <c r="I2904">
        <f t="shared" si="91"/>
        <v>6</v>
      </c>
      <c r="J2904" t="str" cm="1">
        <f t="array" ref="J2904">INDEX($A$2:$A$7,I2904)</f>
        <v>Segment 6- Self-Conscious Male</v>
      </c>
    </row>
    <row r="2905" spans="1:10" x14ac:dyDescent="0.25">
      <c r="A2905" s="1">
        <f>'batch tool'!A2899</f>
        <v>0</v>
      </c>
      <c r="B2905" s="7">
        <f>SUMPRODUCT($C$2:$X$2,'batch tool'!$B2899:$W2899)+$Y$2</f>
        <v>-49.12272534143483</v>
      </c>
      <c r="C2905" s="7">
        <f>SUMPRODUCT($C$3:$X$3,'batch tool'!$B2899:$W2899)+$Y$3</f>
        <v>-36.514029388465531</v>
      </c>
      <c r="D2905" s="7">
        <f>SUMPRODUCT($C$4:$X$4,'batch tool'!$B2899:$W2899)+$Y$4</f>
        <v>-44.639843068043824</v>
      </c>
      <c r="E2905" s="7">
        <f>SUMPRODUCT($C$5:$X$5,'batch tool'!$B2899:$W2899)+$Y$5</f>
        <v>-51.578889182477603</v>
      </c>
      <c r="F2905" s="7">
        <f>SUMPRODUCT($C$6:$X$6,'batch tool'!$B2899:$W2899)+$Y$6</f>
        <v>-47.741473633885199</v>
      </c>
      <c r="G2905" s="7">
        <f>SUMPRODUCT($C$7:$X$7,'batch tool'!$B2899:$W2899)+$Y$7</f>
        <v>-19.739516238059196</v>
      </c>
      <c r="H2905" s="7">
        <f t="shared" si="90"/>
        <v>-19.739516238059196</v>
      </c>
      <c r="I2905">
        <f t="shared" si="91"/>
        <v>6</v>
      </c>
      <c r="J2905" t="str" cm="1">
        <f t="array" ref="J2905">INDEX($A$2:$A$7,I2905)</f>
        <v>Segment 6- Self-Conscious Male</v>
      </c>
    </row>
    <row r="2906" spans="1:10" x14ac:dyDescent="0.25">
      <c r="A2906" s="1">
        <f>'batch tool'!A2900</f>
        <v>0</v>
      </c>
      <c r="B2906" s="7">
        <f>SUMPRODUCT($C$2:$X$2,'batch tool'!$B2900:$W2900)+$Y$2</f>
        <v>-49.12272534143483</v>
      </c>
      <c r="C2906" s="7">
        <f>SUMPRODUCT($C$3:$X$3,'batch tool'!$B2900:$W2900)+$Y$3</f>
        <v>-36.514029388465531</v>
      </c>
      <c r="D2906" s="7">
        <f>SUMPRODUCT($C$4:$X$4,'batch tool'!$B2900:$W2900)+$Y$4</f>
        <v>-44.639843068043824</v>
      </c>
      <c r="E2906" s="7">
        <f>SUMPRODUCT($C$5:$X$5,'batch tool'!$B2900:$W2900)+$Y$5</f>
        <v>-51.578889182477603</v>
      </c>
      <c r="F2906" s="7">
        <f>SUMPRODUCT($C$6:$X$6,'batch tool'!$B2900:$W2900)+$Y$6</f>
        <v>-47.741473633885199</v>
      </c>
      <c r="G2906" s="7">
        <f>SUMPRODUCT($C$7:$X$7,'batch tool'!$B2900:$W2900)+$Y$7</f>
        <v>-19.739516238059196</v>
      </c>
      <c r="H2906" s="7">
        <f t="shared" si="90"/>
        <v>-19.739516238059196</v>
      </c>
      <c r="I2906">
        <f t="shared" si="91"/>
        <v>6</v>
      </c>
      <c r="J2906" t="str" cm="1">
        <f t="array" ref="J2906">INDEX($A$2:$A$7,I2906)</f>
        <v>Segment 6- Self-Conscious Male</v>
      </c>
    </row>
    <row r="2907" spans="1:10" x14ac:dyDescent="0.25">
      <c r="A2907" s="1">
        <f>'batch tool'!A2901</f>
        <v>0</v>
      </c>
      <c r="B2907" s="7">
        <f>SUMPRODUCT($C$2:$X$2,'batch tool'!$B2901:$W2901)+$Y$2</f>
        <v>-49.12272534143483</v>
      </c>
      <c r="C2907" s="7">
        <f>SUMPRODUCT($C$3:$X$3,'batch tool'!$B2901:$W2901)+$Y$3</f>
        <v>-36.514029388465531</v>
      </c>
      <c r="D2907" s="7">
        <f>SUMPRODUCT($C$4:$X$4,'batch tool'!$B2901:$W2901)+$Y$4</f>
        <v>-44.639843068043824</v>
      </c>
      <c r="E2907" s="7">
        <f>SUMPRODUCT($C$5:$X$5,'batch tool'!$B2901:$W2901)+$Y$5</f>
        <v>-51.578889182477603</v>
      </c>
      <c r="F2907" s="7">
        <f>SUMPRODUCT($C$6:$X$6,'batch tool'!$B2901:$W2901)+$Y$6</f>
        <v>-47.741473633885199</v>
      </c>
      <c r="G2907" s="7">
        <f>SUMPRODUCT($C$7:$X$7,'batch tool'!$B2901:$W2901)+$Y$7</f>
        <v>-19.739516238059196</v>
      </c>
      <c r="H2907" s="7">
        <f t="shared" ref="H2907:H2970" si="92">MAX(B2907:G2907)</f>
        <v>-19.739516238059196</v>
      </c>
      <c r="I2907">
        <f t="shared" ref="I2907:I2970" si="93">MATCH(H2907,B2907:G2907,0)</f>
        <v>6</v>
      </c>
      <c r="J2907" t="str" cm="1">
        <f t="array" ref="J2907">INDEX($A$2:$A$7,I2907)</f>
        <v>Segment 6- Self-Conscious Male</v>
      </c>
    </row>
    <row r="2908" spans="1:10" x14ac:dyDescent="0.25">
      <c r="A2908" s="1">
        <f>'batch tool'!A2902</f>
        <v>0</v>
      </c>
      <c r="B2908" s="7">
        <f>SUMPRODUCT($C$2:$X$2,'batch tool'!$B2902:$W2902)+$Y$2</f>
        <v>-49.12272534143483</v>
      </c>
      <c r="C2908" s="7">
        <f>SUMPRODUCT($C$3:$X$3,'batch tool'!$B2902:$W2902)+$Y$3</f>
        <v>-36.514029388465531</v>
      </c>
      <c r="D2908" s="7">
        <f>SUMPRODUCT($C$4:$X$4,'batch tool'!$B2902:$W2902)+$Y$4</f>
        <v>-44.639843068043824</v>
      </c>
      <c r="E2908" s="7">
        <f>SUMPRODUCT($C$5:$X$5,'batch tool'!$B2902:$W2902)+$Y$5</f>
        <v>-51.578889182477603</v>
      </c>
      <c r="F2908" s="7">
        <f>SUMPRODUCT($C$6:$X$6,'batch tool'!$B2902:$W2902)+$Y$6</f>
        <v>-47.741473633885199</v>
      </c>
      <c r="G2908" s="7">
        <f>SUMPRODUCT($C$7:$X$7,'batch tool'!$B2902:$W2902)+$Y$7</f>
        <v>-19.739516238059196</v>
      </c>
      <c r="H2908" s="7">
        <f t="shared" si="92"/>
        <v>-19.739516238059196</v>
      </c>
      <c r="I2908">
        <f t="shared" si="93"/>
        <v>6</v>
      </c>
      <c r="J2908" t="str" cm="1">
        <f t="array" ref="J2908">INDEX($A$2:$A$7,I2908)</f>
        <v>Segment 6- Self-Conscious Male</v>
      </c>
    </row>
    <row r="2909" spans="1:10" x14ac:dyDescent="0.25">
      <c r="A2909" s="1">
        <f>'batch tool'!A2903</f>
        <v>0</v>
      </c>
      <c r="B2909" s="7">
        <f>SUMPRODUCT($C$2:$X$2,'batch tool'!$B2903:$W2903)+$Y$2</f>
        <v>-49.12272534143483</v>
      </c>
      <c r="C2909" s="7">
        <f>SUMPRODUCT($C$3:$X$3,'batch tool'!$B2903:$W2903)+$Y$3</f>
        <v>-36.514029388465531</v>
      </c>
      <c r="D2909" s="7">
        <f>SUMPRODUCT($C$4:$X$4,'batch tool'!$B2903:$W2903)+$Y$4</f>
        <v>-44.639843068043824</v>
      </c>
      <c r="E2909" s="7">
        <f>SUMPRODUCT($C$5:$X$5,'batch tool'!$B2903:$W2903)+$Y$5</f>
        <v>-51.578889182477603</v>
      </c>
      <c r="F2909" s="7">
        <f>SUMPRODUCT($C$6:$X$6,'batch tool'!$B2903:$W2903)+$Y$6</f>
        <v>-47.741473633885199</v>
      </c>
      <c r="G2909" s="7">
        <f>SUMPRODUCT($C$7:$X$7,'batch tool'!$B2903:$W2903)+$Y$7</f>
        <v>-19.739516238059196</v>
      </c>
      <c r="H2909" s="7">
        <f t="shared" si="92"/>
        <v>-19.739516238059196</v>
      </c>
      <c r="I2909">
        <f t="shared" si="93"/>
        <v>6</v>
      </c>
      <c r="J2909" t="str" cm="1">
        <f t="array" ref="J2909">INDEX($A$2:$A$7,I2909)</f>
        <v>Segment 6- Self-Conscious Male</v>
      </c>
    </row>
    <row r="2910" spans="1:10" x14ac:dyDescent="0.25">
      <c r="A2910" s="1">
        <f>'batch tool'!A2904</f>
        <v>0</v>
      </c>
      <c r="B2910" s="7">
        <f>SUMPRODUCT($C$2:$X$2,'batch tool'!$B2904:$W2904)+$Y$2</f>
        <v>-49.12272534143483</v>
      </c>
      <c r="C2910" s="7">
        <f>SUMPRODUCT($C$3:$X$3,'batch tool'!$B2904:$W2904)+$Y$3</f>
        <v>-36.514029388465531</v>
      </c>
      <c r="D2910" s="7">
        <f>SUMPRODUCT($C$4:$X$4,'batch tool'!$B2904:$W2904)+$Y$4</f>
        <v>-44.639843068043824</v>
      </c>
      <c r="E2910" s="7">
        <f>SUMPRODUCT($C$5:$X$5,'batch tool'!$B2904:$W2904)+$Y$5</f>
        <v>-51.578889182477603</v>
      </c>
      <c r="F2910" s="7">
        <f>SUMPRODUCT($C$6:$X$6,'batch tool'!$B2904:$W2904)+$Y$6</f>
        <v>-47.741473633885199</v>
      </c>
      <c r="G2910" s="7">
        <f>SUMPRODUCT($C$7:$X$7,'batch tool'!$B2904:$W2904)+$Y$7</f>
        <v>-19.739516238059196</v>
      </c>
      <c r="H2910" s="7">
        <f t="shared" si="92"/>
        <v>-19.739516238059196</v>
      </c>
      <c r="I2910">
        <f t="shared" si="93"/>
        <v>6</v>
      </c>
      <c r="J2910" t="str" cm="1">
        <f t="array" ref="J2910">INDEX($A$2:$A$7,I2910)</f>
        <v>Segment 6- Self-Conscious Male</v>
      </c>
    </row>
    <row r="2911" spans="1:10" x14ac:dyDescent="0.25">
      <c r="A2911" s="1">
        <f>'batch tool'!A2905</f>
        <v>0</v>
      </c>
      <c r="B2911" s="7">
        <f>SUMPRODUCT($C$2:$X$2,'batch tool'!$B2905:$W2905)+$Y$2</f>
        <v>-49.12272534143483</v>
      </c>
      <c r="C2911" s="7">
        <f>SUMPRODUCT($C$3:$X$3,'batch tool'!$B2905:$W2905)+$Y$3</f>
        <v>-36.514029388465531</v>
      </c>
      <c r="D2911" s="7">
        <f>SUMPRODUCT($C$4:$X$4,'batch tool'!$B2905:$W2905)+$Y$4</f>
        <v>-44.639843068043824</v>
      </c>
      <c r="E2911" s="7">
        <f>SUMPRODUCT($C$5:$X$5,'batch tool'!$B2905:$W2905)+$Y$5</f>
        <v>-51.578889182477603</v>
      </c>
      <c r="F2911" s="7">
        <f>SUMPRODUCT($C$6:$X$6,'batch tool'!$B2905:$W2905)+$Y$6</f>
        <v>-47.741473633885199</v>
      </c>
      <c r="G2911" s="7">
        <f>SUMPRODUCT($C$7:$X$7,'batch tool'!$B2905:$W2905)+$Y$7</f>
        <v>-19.739516238059196</v>
      </c>
      <c r="H2911" s="7">
        <f t="shared" si="92"/>
        <v>-19.739516238059196</v>
      </c>
      <c r="I2911">
        <f t="shared" si="93"/>
        <v>6</v>
      </c>
      <c r="J2911" t="str" cm="1">
        <f t="array" ref="J2911">INDEX($A$2:$A$7,I2911)</f>
        <v>Segment 6- Self-Conscious Male</v>
      </c>
    </row>
    <row r="2912" spans="1:10" x14ac:dyDescent="0.25">
      <c r="A2912" s="1">
        <f>'batch tool'!A2906</f>
        <v>0</v>
      </c>
      <c r="B2912" s="7">
        <f>SUMPRODUCT($C$2:$X$2,'batch tool'!$B2906:$W2906)+$Y$2</f>
        <v>-49.12272534143483</v>
      </c>
      <c r="C2912" s="7">
        <f>SUMPRODUCT($C$3:$X$3,'batch tool'!$B2906:$W2906)+$Y$3</f>
        <v>-36.514029388465531</v>
      </c>
      <c r="D2912" s="7">
        <f>SUMPRODUCT($C$4:$X$4,'batch tool'!$B2906:$W2906)+$Y$4</f>
        <v>-44.639843068043824</v>
      </c>
      <c r="E2912" s="7">
        <f>SUMPRODUCT($C$5:$X$5,'batch tool'!$B2906:$W2906)+$Y$5</f>
        <v>-51.578889182477603</v>
      </c>
      <c r="F2912" s="7">
        <f>SUMPRODUCT($C$6:$X$6,'batch tool'!$B2906:$W2906)+$Y$6</f>
        <v>-47.741473633885199</v>
      </c>
      <c r="G2912" s="7">
        <f>SUMPRODUCT($C$7:$X$7,'batch tool'!$B2906:$W2906)+$Y$7</f>
        <v>-19.739516238059196</v>
      </c>
      <c r="H2912" s="7">
        <f t="shared" si="92"/>
        <v>-19.739516238059196</v>
      </c>
      <c r="I2912">
        <f t="shared" si="93"/>
        <v>6</v>
      </c>
      <c r="J2912" t="str" cm="1">
        <f t="array" ref="J2912">INDEX($A$2:$A$7,I2912)</f>
        <v>Segment 6- Self-Conscious Male</v>
      </c>
    </row>
    <row r="2913" spans="1:10" x14ac:dyDescent="0.25">
      <c r="A2913" s="1">
        <f>'batch tool'!A2907</f>
        <v>0</v>
      </c>
      <c r="B2913" s="7">
        <f>SUMPRODUCT($C$2:$X$2,'batch tool'!$B2907:$W2907)+$Y$2</f>
        <v>-49.12272534143483</v>
      </c>
      <c r="C2913" s="7">
        <f>SUMPRODUCT($C$3:$X$3,'batch tool'!$B2907:$W2907)+$Y$3</f>
        <v>-36.514029388465531</v>
      </c>
      <c r="D2913" s="7">
        <f>SUMPRODUCT($C$4:$X$4,'batch tool'!$B2907:$W2907)+$Y$4</f>
        <v>-44.639843068043824</v>
      </c>
      <c r="E2913" s="7">
        <f>SUMPRODUCT($C$5:$X$5,'batch tool'!$B2907:$W2907)+$Y$5</f>
        <v>-51.578889182477603</v>
      </c>
      <c r="F2913" s="7">
        <f>SUMPRODUCT($C$6:$X$6,'batch tool'!$B2907:$W2907)+$Y$6</f>
        <v>-47.741473633885199</v>
      </c>
      <c r="G2913" s="7">
        <f>SUMPRODUCT($C$7:$X$7,'batch tool'!$B2907:$W2907)+$Y$7</f>
        <v>-19.739516238059196</v>
      </c>
      <c r="H2913" s="7">
        <f t="shared" si="92"/>
        <v>-19.739516238059196</v>
      </c>
      <c r="I2913">
        <f t="shared" si="93"/>
        <v>6</v>
      </c>
      <c r="J2913" t="str" cm="1">
        <f t="array" ref="J2913">INDEX($A$2:$A$7,I2913)</f>
        <v>Segment 6- Self-Conscious Male</v>
      </c>
    </row>
    <row r="2914" spans="1:10" x14ac:dyDescent="0.25">
      <c r="A2914" s="1">
        <f>'batch tool'!A2908</f>
        <v>0</v>
      </c>
      <c r="B2914" s="7">
        <f>SUMPRODUCT($C$2:$X$2,'batch tool'!$B2908:$W2908)+$Y$2</f>
        <v>-49.12272534143483</v>
      </c>
      <c r="C2914" s="7">
        <f>SUMPRODUCT($C$3:$X$3,'batch tool'!$B2908:$W2908)+$Y$3</f>
        <v>-36.514029388465531</v>
      </c>
      <c r="D2914" s="7">
        <f>SUMPRODUCT($C$4:$X$4,'batch tool'!$B2908:$W2908)+$Y$4</f>
        <v>-44.639843068043824</v>
      </c>
      <c r="E2914" s="7">
        <f>SUMPRODUCT($C$5:$X$5,'batch tool'!$B2908:$W2908)+$Y$5</f>
        <v>-51.578889182477603</v>
      </c>
      <c r="F2914" s="7">
        <f>SUMPRODUCT($C$6:$X$6,'batch tool'!$B2908:$W2908)+$Y$6</f>
        <v>-47.741473633885199</v>
      </c>
      <c r="G2914" s="7">
        <f>SUMPRODUCT($C$7:$X$7,'batch tool'!$B2908:$W2908)+$Y$7</f>
        <v>-19.739516238059196</v>
      </c>
      <c r="H2914" s="7">
        <f t="shared" si="92"/>
        <v>-19.739516238059196</v>
      </c>
      <c r="I2914">
        <f t="shared" si="93"/>
        <v>6</v>
      </c>
      <c r="J2914" t="str" cm="1">
        <f t="array" ref="J2914">INDEX($A$2:$A$7,I2914)</f>
        <v>Segment 6- Self-Conscious Male</v>
      </c>
    </row>
    <row r="2915" spans="1:10" x14ac:dyDescent="0.25">
      <c r="A2915" s="1">
        <f>'batch tool'!A2909</f>
        <v>0</v>
      </c>
      <c r="B2915" s="7">
        <f>SUMPRODUCT($C$2:$X$2,'batch tool'!$B2909:$W2909)+$Y$2</f>
        <v>-49.12272534143483</v>
      </c>
      <c r="C2915" s="7">
        <f>SUMPRODUCT($C$3:$X$3,'batch tool'!$B2909:$W2909)+$Y$3</f>
        <v>-36.514029388465531</v>
      </c>
      <c r="D2915" s="7">
        <f>SUMPRODUCT($C$4:$X$4,'batch tool'!$B2909:$W2909)+$Y$4</f>
        <v>-44.639843068043824</v>
      </c>
      <c r="E2915" s="7">
        <f>SUMPRODUCT($C$5:$X$5,'batch tool'!$B2909:$W2909)+$Y$5</f>
        <v>-51.578889182477603</v>
      </c>
      <c r="F2915" s="7">
        <f>SUMPRODUCT($C$6:$X$6,'batch tool'!$B2909:$W2909)+$Y$6</f>
        <v>-47.741473633885199</v>
      </c>
      <c r="G2915" s="7">
        <f>SUMPRODUCT($C$7:$X$7,'batch tool'!$B2909:$W2909)+$Y$7</f>
        <v>-19.739516238059196</v>
      </c>
      <c r="H2915" s="7">
        <f t="shared" si="92"/>
        <v>-19.739516238059196</v>
      </c>
      <c r="I2915">
        <f t="shared" si="93"/>
        <v>6</v>
      </c>
      <c r="J2915" t="str" cm="1">
        <f t="array" ref="J2915">INDEX($A$2:$A$7,I2915)</f>
        <v>Segment 6- Self-Conscious Male</v>
      </c>
    </row>
    <row r="2916" spans="1:10" x14ac:dyDescent="0.25">
      <c r="A2916" s="1">
        <f>'batch tool'!A2910</f>
        <v>0</v>
      </c>
      <c r="B2916" s="7">
        <f>SUMPRODUCT($C$2:$X$2,'batch tool'!$B2910:$W2910)+$Y$2</f>
        <v>-49.12272534143483</v>
      </c>
      <c r="C2916" s="7">
        <f>SUMPRODUCT($C$3:$X$3,'batch tool'!$B2910:$W2910)+$Y$3</f>
        <v>-36.514029388465531</v>
      </c>
      <c r="D2916" s="7">
        <f>SUMPRODUCT($C$4:$X$4,'batch tool'!$B2910:$W2910)+$Y$4</f>
        <v>-44.639843068043824</v>
      </c>
      <c r="E2916" s="7">
        <f>SUMPRODUCT($C$5:$X$5,'batch tool'!$B2910:$W2910)+$Y$5</f>
        <v>-51.578889182477603</v>
      </c>
      <c r="F2916" s="7">
        <f>SUMPRODUCT($C$6:$X$6,'batch tool'!$B2910:$W2910)+$Y$6</f>
        <v>-47.741473633885199</v>
      </c>
      <c r="G2916" s="7">
        <f>SUMPRODUCT($C$7:$X$7,'batch tool'!$B2910:$W2910)+$Y$7</f>
        <v>-19.739516238059196</v>
      </c>
      <c r="H2916" s="7">
        <f t="shared" si="92"/>
        <v>-19.739516238059196</v>
      </c>
      <c r="I2916">
        <f t="shared" si="93"/>
        <v>6</v>
      </c>
      <c r="J2916" t="str" cm="1">
        <f t="array" ref="J2916">INDEX($A$2:$A$7,I2916)</f>
        <v>Segment 6- Self-Conscious Male</v>
      </c>
    </row>
    <row r="2917" spans="1:10" x14ac:dyDescent="0.25">
      <c r="A2917" s="1">
        <f>'batch tool'!A2911</f>
        <v>0</v>
      </c>
      <c r="B2917" s="7">
        <f>SUMPRODUCT($C$2:$X$2,'batch tool'!$B2911:$W2911)+$Y$2</f>
        <v>-49.12272534143483</v>
      </c>
      <c r="C2917" s="7">
        <f>SUMPRODUCT($C$3:$X$3,'batch tool'!$B2911:$W2911)+$Y$3</f>
        <v>-36.514029388465531</v>
      </c>
      <c r="D2917" s="7">
        <f>SUMPRODUCT($C$4:$X$4,'batch tool'!$B2911:$W2911)+$Y$4</f>
        <v>-44.639843068043824</v>
      </c>
      <c r="E2917" s="7">
        <f>SUMPRODUCT($C$5:$X$5,'batch tool'!$B2911:$W2911)+$Y$5</f>
        <v>-51.578889182477603</v>
      </c>
      <c r="F2917" s="7">
        <f>SUMPRODUCT($C$6:$X$6,'batch tool'!$B2911:$W2911)+$Y$6</f>
        <v>-47.741473633885199</v>
      </c>
      <c r="G2917" s="7">
        <f>SUMPRODUCT($C$7:$X$7,'batch tool'!$B2911:$W2911)+$Y$7</f>
        <v>-19.739516238059196</v>
      </c>
      <c r="H2917" s="7">
        <f t="shared" si="92"/>
        <v>-19.739516238059196</v>
      </c>
      <c r="I2917">
        <f t="shared" si="93"/>
        <v>6</v>
      </c>
      <c r="J2917" t="str" cm="1">
        <f t="array" ref="J2917">INDEX($A$2:$A$7,I2917)</f>
        <v>Segment 6- Self-Conscious Male</v>
      </c>
    </row>
    <row r="2918" spans="1:10" x14ac:dyDescent="0.25">
      <c r="A2918" s="1">
        <f>'batch tool'!A2912</f>
        <v>0</v>
      </c>
      <c r="B2918" s="7">
        <f>SUMPRODUCT($C$2:$X$2,'batch tool'!$B2912:$W2912)+$Y$2</f>
        <v>-49.12272534143483</v>
      </c>
      <c r="C2918" s="7">
        <f>SUMPRODUCT($C$3:$X$3,'batch tool'!$B2912:$W2912)+$Y$3</f>
        <v>-36.514029388465531</v>
      </c>
      <c r="D2918" s="7">
        <f>SUMPRODUCT($C$4:$X$4,'batch tool'!$B2912:$W2912)+$Y$4</f>
        <v>-44.639843068043824</v>
      </c>
      <c r="E2918" s="7">
        <f>SUMPRODUCT($C$5:$X$5,'batch tool'!$B2912:$W2912)+$Y$5</f>
        <v>-51.578889182477603</v>
      </c>
      <c r="F2918" s="7">
        <f>SUMPRODUCT($C$6:$X$6,'batch tool'!$B2912:$W2912)+$Y$6</f>
        <v>-47.741473633885199</v>
      </c>
      <c r="G2918" s="7">
        <f>SUMPRODUCT($C$7:$X$7,'batch tool'!$B2912:$W2912)+$Y$7</f>
        <v>-19.739516238059196</v>
      </c>
      <c r="H2918" s="7">
        <f t="shared" si="92"/>
        <v>-19.739516238059196</v>
      </c>
      <c r="I2918">
        <f t="shared" si="93"/>
        <v>6</v>
      </c>
      <c r="J2918" t="str" cm="1">
        <f t="array" ref="J2918">INDEX($A$2:$A$7,I2918)</f>
        <v>Segment 6- Self-Conscious Male</v>
      </c>
    </row>
    <row r="2919" spans="1:10" x14ac:dyDescent="0.25">
      <c r="A2919" s="1">
        <f>'batch tool'!A2913</f>
        <v>0</v>
      </c>
      <c r="B2919" s="7">
        <f>SUMPRODUCT($C$2:$X$2,'batch tool'!$B2913:$W2913)+$Y$2</f>
        <v>-49.12272534143483</v>
      </c>
      <c r="C2919" s="7">
        <f>SUMPRODUCT($C$3:$X$3,'batch tool'!$B2913:$W2913)+$Y$3</f>
        <v>-36.514029388465531</v>
      </c>
      <c r="D2919" s="7">
        <f>SUMPRODUCT($C$4:$X$4,'batch tool'!$B2913:$W2913)+$Y$4</f>
        <v>-44.639843068043824</v>
      </c>
      <c r="E2919" s="7">
        <f>SUMPRODUCT($C$5:$X$5,'batch tool'!$B2913:$W2913)+$Y$5</f>
        <v>-51.578889182477603</v>
      </c>
      <c r="F2919" s="7">
        <f>SUMPRODUCT($C$6:$X$6,'batch tool'!$B2913:$W2913)+$Y$6</f>
        <v>-47.741473633885199</v>
      </c>
      <c r="G2919" s="7">
        <f>SUMPRODUCT($C$7:$X$7,'batch tool'!$B2913:$W2913)+$Y$7</f>
        <v>-19.739516238059196</v>
      </c>
      <c r="H2919" s="7">
        <f t="shared" si="92"/>
        <v>-19.739516238059196</v>
      </c>
      <c r="I2919">
        <f t="shared" si="93"/>
        <v>6</v>
      </c>
      <c r="J2919" t="str" cm="1">
        <f t="array" ref="J2919">INDEX($A$2:$A$7,I2919)</f>
        <v>Segment 6- Self-Conscious Male</v>
      </c>
    </row>
    <row r="2920" spans="1:10" x14ac:dyDescent="0.25">
      <c r="A2920" s="1">
        <f>'batch tool'!A2914</f>
        <v>0</v>
      </c>
      <c r="B2920" s="7">
        <f>SUMPRODUCT($C$2:$X$2,'batch tool'!$B2914:$W2914)+$Y$2</f>
        <v>-49.12272534143483</v>
      </c>
      <c r="C2920" s="7">
        <f>SUMPRODUCT($C$3:$X$3,'batch tool'!$B2914:$W2914)+$Y$3</f>
        <v>-36.514029388465531</v>
      </c>
      <c r="D2920" s="7">
        <f>SUMPRODUCT($C$4:$X$4,'batch tool'!$B2914:$W2914)+$Y$4</f>
        <v>-44.639843068043824</v>
      </c>
      <c r="E2920" s="7">
        <f>SUMPRODUCT($C$5:$X$5,'batch tool'!$B2914:$W2914)+$Y$5</f>
        <v>-51.578889182477603</v>
      </c>
      <c r="F2920" s="7">
        <f>SUMPRODUCT($C$6:$X$6,'batch tool'!$B2914:$W2914)+$Y$6</f>
        <v>-47.741473633885199</v>
      </c>
      <c r="G2920" s="7">
        <f>SUMPRODUCT($C$7:$X$7,'batch tool'!$B2914:$W2914)+$Y$7</f>
        <v>-19.739516238059196</v>
      </c>
      <c r="H2920" s="7">
        <f t="shared" si="92"/>
        <v>-19.739516238059196</v>
      </c>
      <c r="I2920">
        <f t="shared" si="93"/>
        <v>6</v>
      </c>
      <c r="J2920" t="str" cm="1">
        <f t="array" ref="J2920">INDEX($A$2:$A$7,I2920)</f>
        <v>Segment 6- Self-Conscious Male</v>
      </c>
    </row>
    <row r="2921" spans="1:10" x14ac:dyDescent="0.25">
      <c r="A2921" s="1">
        <f>'batch tool'!A2915</f>
        <v>0</v>
      </c>
      <c r="B2921" s="7">
        <f>SUMPRODUCT($C$2:$X$2,'batch tool'!$B2915:$W2915)+$Y$2</f>
        <v>-49.12272534143483</v>
      </c>
      <c r="C2921" s="7">
        <f>SUMPRODUCT($C$3:$X$3,'batch tool'!$B2915:$W2915)+$Y$3</f>
        <v>-36.514029388465531</v>
      </c>
      <c r="D2921" s="7">
        <f>SUMPRODUCT($C$4:$X$4,'batch tool'!$B2915:$W2915)+$Y$4</f>
        <v>-44.639843068043824</v>
      </c>
      <c r="E2921" s="7">
        <f>SUMPRODUCT($C$5:$X$5,'batch tool'!$B2915:$W2915)+$Y$5</f>
        <v>-51.578889182477603</v>
      </c>
      <c r="F2921" s="7">
        <f>SUMPRODUCT($C$6:$X$6,'batch tool'!$B2915:$W2915)+$Y$6</f>
        <v>-47.741473633885199</v>
      </c>
      <c r="G2921" s="7">
        <f>SUMPRODUCT($C$7:$X$7,'batch tool'!$B2915:$W2915)+$Y$7</f>
        <v>-19.739516238059196</v>
      </c>
      <c r="H2921" s="7">
        <f t="shared" si="92"/>
        <v>-19.739516238059196</v>
      </c>
      <c r="I2921">
        <f t="shared" si="93"/>
        <v>6</v>
      </c>
      <c r="J2921" t="str" cm="1">
        <f t="array" ref="J2921">INDEX($A$2:$A$7,I2921)</f>
        <v>Segment 6- Self-Conscious Male</v>
      </c>
    </row>
    <row r="2922" spans="1:10" x14ac:dyDescent="0.25">
      <c r="A2922" s="1">
        <f>'batch tool'!A2916</f>
        <v>0</v>
      </c>
      <c r="B2922" s="7">
        <f>SUMPRODUCT($C$2:$X$2,'batch tool'!$B2916:$W2916)+$Y$2</f>
        <v>-49.12272534143483</v>
      </c>
      <c r="C2922" s="7">
        <f>SUMPRODUCT($C$3:$X$3,'batch tool'!$B2916:$W2916)+$Y$3</f>
        <v>-36.514029388465531</v>
      </c>
      <c r="D2922" s="7">
        <f>SUMPRODUCT($C$4:$X$4,'batch tool'!$B2916:$W2916)+$Y$4</f>
        <v>-44.639843068043824</v>
      </c>
      <c r="E2922" s="7">
        <f>SUMPRODUCT($C$5:$X$5,'batch tool'!$B2916:$W2916)+$Y$5</f>
        <v>-51.578889182477603</v>
      </c>
      <c r="F2922" s="7">
        <f>SUMPRODUCT($C$6:$X$6,'batch tool'!$B2916:$W2916)+$Y$6</f>
        <v>-47.741473633885199</v>
      </c>
      <c r="G2922" s="7">
        <f>SUMPRODUCT($C$7:$X$7,'batch tool'!$B2916:$W2916)+$Y$7</f>
        <v>-19.739516238059196</v>
      </c>
      <c r="H2922" s="7">
        <f t="shared" si="92"/>
        <v>-19.739516238059196</v>
      </c>
      <c r="I2922">
        <f t="shared" si="93"/>
        <v>6</v>
      </c>
      <c r="J2922" t="str" cm="1">
        <f t="array" ref="J2922">INDEX($A$2:$A$7,I2922)</f>
        <v>Segment 6- Self-Conscious Male</v>
      </c>
    </row>
    <row r="2923" spans="1:10" x14ac:dyDescent="0.25">
      <c r="A2923" s="1">
        <f>'batch tool'!A2917</f>
        <v>0</v>
      </c>
      <c r="B2923" s="7">
        <f>SUMPRODUCT($C$2:$X$2,'batch tool'!$B2917:$W2917)+$Y$2</f>
        <v>-49.12272534143483</v>
      </c>
      <c r="C2923" s="7">
        <f>SUMPRODUCT($C$3:$X$3,'batch tool'!$B2917:$W2917)+$Y$3</f>
        <v>-36.514029388465531</v>
      </c>
      <c r="D2923" s="7">
        <f>SUMPRODUCT($C$4:$X$4,'batch tool'!$B2917:$W2917)+$Y$4</f>
        <v>-44.639843068043824</v>
      </c>
      <c r="E2923" s="7">
        <f>SUMPRODUCT($C$5:$X$5,'batch tool'!$B2917:$W2917)+$Y$5</f>
        <v>-51.578889182477603</v>
      </c>
      <c r="F2923" s="7">
        <f>SUMPRODUCT($C$6:$X$6,'batch tool'!$B2917:$W2917)+$Y$6</f>
        <v>-47.741473633885199</v>
      </c>
      <c r="G2923" s="7">
        <f>SUMPRODUCT($C$7:$X$7,'batch tool'!$B2917:$W2917)+$Y$7</f>
        <v>-19.739516238059196</v>
      </c>
      <c r="H2923" s="7">
        <f t="shared" si="92"/>
        <v>-19.739516238059196</v>
      </c>
      <c r="I2923">
        <f t="shared" si="93"/>
        <v>6</v>
      </c>
      <c r="J2923" t="str" cm="1">
        <f t="array" ref="J2923">INDEX($A$2:$A$7,I2923)</f>
        <v>Segment 6- Self-Conscious Male</v>
      </c>
    </row>
    <row r="2924" spans="1:10" x14ac:dyDescent="0.25">
      <c r="A2924" s="1">
        <f>'batch tool'!A2918</f>
        <v>0</v>
      </c>
      <c r="B2924" s="7">
        <f>SUMPRODUCT($C$2:$X$2,'batch tool'!$B2918:$W2918)+$Y$2</f>
        <v>-49.12272534143483</v>
      </c>
      <c r="C2924" s="7">
        <f>SUMPRODUCT($C$3:$X$3,'batch tool'!$B2918:$W2918)+$Y$3</f>
        <v>-36.514029388465531</v>
      </c>
      <c r="D2924" s="7">
        <f>SUMPRODUCT($C$4:$X$4,'batch tool'!$B2918:$W2918)+$Y$4</f>
        <v>-44.639843068043824</v>
      </c>
      <c r="E2924" s="7">
        <f>SUMPRODUCT($C$5:$X$5,'batch tool'!$B2918:$W2918)+$Y$5</f>
        <v>-51.578889182477603</v>
      </c>
      <c r="F2924" s="7">
        <f>SUMPRODUCT($C$6:$X$6,'batch tool'!$B2918:$W2918)+$Y$6</f>
        <v>-47.741473633885199</v>
      </c>
      <c r="G2924" s="7">
        <f>SUMPRODUCT($C$7:$X$7,'batch tool'!$B2918:$W2918)+$Y$7</f>
        <v>-19.739516238059196</v>
      </c>
      <c r="H2924" s="7">
        <f t="shared" si="92"/>
        <v>-19.739516238059196</v>
      </c>
      <c r="I2924">
        <f t="shared" si="93"/>
        <v>6</v>
      </c>
      <c r="J2924" t="str" cm="1">
        <f t="array" ref="J2924">INDEX($A$2:$A$7,I2924)</f>
        <v>Segment 6- Self-Conscious Male</v>
      </c>
    </row>
    <row r="2925" spans="1:10" x14ac:dyDescent="0.25">
      <c r="A2925" s="1">
        <f>'batch tool'!A2919</f>
        <v>0</v>
      </c>
      <c r="B2925" s="7">
        <f>SUMPRODUCT($C$2:$X$2,'batch tool'!$B2919:$W2919)+$Y$2</f>
        <v>-49.12272534143483</v>
      </c>
      <c r="C2925" s="7">
        <f>SUMPRODUCT($C$3:$X$3,'batch tool'!$B2919:$W2919)+$Y$3</f>
        <v>-36.514029388465531</v>
      </c>
      <c r="D2925" s="7">
        <f>SUMPRODUCT($C$4:$X$4,'batch tool'!$B2919:$W2919)+$Y$4</f>
        <v>-44.639843068043824</v>
      </c>
      <c r="E2925" s="7">
        <f>SUMPRODUCT($C$5:$X$5,'batch tool'!$B2919:$W2919)+$Y$5</f>
        <v>-51.578889182477603</v>
      </c>
      <c r="F2925" s="7">
        <f>SUMPRODUCT($C$6:$X$6,'batch tool'!$B2919:$W2919)+$Y$6</f>
        <v>-47.741473633885199</v>
      </c>
      <c r="G2925" s="7">
        <f>SUMPRODUCT($C$7:$X$7,'batch tool'!$B2919:$W2919)+$Y$7</f>
        <v>-19.739516238059196</v>
      </c>
      <c r="H2925" s="7">
        <f t="shared" si="92"/>
        <v>-19.739516238059196</v>
      </c>
      <c r="I2925">
        <f t="shared" si="93"/>
        <v>6</v>
      </c>
      <c r="J2925" t="str" cm="1">
        <f t="array" ref="J2925">INDEX($A$2:$A$7,I2925)</f>
        <v>Segment 6- Self-Conscious Male</v>
      </c>
    </row>
    <row r="2926" spans="1:10" x14ac:dyDescent="0.25">
      <c r="A2926" s="1">
        <f>'batch tool'!A2920</f>
        <v>0</v>
      </c>
      <c r="B2926" s="7">
        <f>SUMPRODUCT($C$2:$X$2,'batch tool'!$B2920:$W2920)+$Y$2</f>
        <v>-49.12272534143483</v>
      </c>
      <c r="C2926" s="7">
        <f>SUMPRODUCT($C$3:$X$3,'batch tool'!$B2920:$W2920)+$Y$3</f>
        <v>-36.514029388465531</v>
      </c>
      <c r="D2926" s="7">
        <f>SUMPRODUCT($C$4:$X$4,'batch tool'!$B2920:$W2920)+$Y$4</f>
        <v>-44.639843068043824</v>
      </c>
      <c r="E2926" s="7">
        <f>SUMPRODUCT($C$5:$X$5,'batch tool'!$B2920:$W2920)+$Y$5</f>
        <v>-51.578889182477603</v>
      </c>
      <c r="F2926" s="7">
        <f>SUMPRODUCT($C$6:$X$6,'batch tool'!$B2920:$W2920)+$Y$6</f>
        <v>-47.741473633885199</v>
      </c>
      <c r="G2926" s="7">
        <f>SUMPRODUCT($C$7:$X$7,'batch tool'!$B2920:$W2920)+$Y$7</f>
        <v>-19.739516238059196</v>
      </c>
      <c r="H2926" s="7">
        <f t="shared" si="92"/>
        <v>-19.739516238059196</v>
      </c>
      <c r="I2926">
        <f t="shared" si="93"/>
        <v>6</v>
      </c>
      <c r="J2926" t="str" cm="1">
        <f t="array" ref="J2926">INDEX($A$2:$A$7,I2926)</f>
        <v>Segment 6- Self-Conscious Male</v>
      </c>
    </row>
    <row r="2927" spans="1:10" x14ac:dyDescent="0.25">
      <c r="A2927" s="1">
        <f>'batch tool'!A2921</f>
        <v>0</v>
      </c>
      <c r="B2927" s="7">
        <f>SUMPRODUCT($C$2:$X$2,'batch tool'!$B2921:$W2921)+$Y$2</f>
        <v>-49.12272534143483</v>
      </c>
      <c r="C2927" s="7">
        <f>SUMPRODUCT($C$3:$X$3,'batch tool'!$B2921:$W2921)+$Y$3</f>
        <v>-36.514029388465531</v>
      </c>
      <c r="D2927" s="7">
        <f>SUMPRODUCT($C$4:$X$4,'batch tool'!$B2921:$W2921)+$Y$4</f>
        <v>-44.639843068043824</v>
      </c>
      <c r="E2927" s="7">
        <f>SUMPRODUCT($C$5:$X$5,'batch tool'!$B2921:$W2921)+$Y$5</f>
        <v>-51.578889182477603</v>
      </c>
      <c r="F2927" s="7">
        <f>SUMPRODUCT($C$6:$X$6,'batch tool'!$B2921:$W2921)+$Y$6</f>
        <v>-47.741473633885199</v>
      </c>
      <c r="G2927" s="7">
        <f>SUMPRODUCT($C$7:$X$7,'batch tool'!$B2921:$W2921)+$Y$7</f>
        <v>-19.739516238059196</v>
      </c>
      <c r="H2927" s="7">
        <f t="shared" si="92"/>
        <v>-19.739516238059196</v>
      </c>
      <c r="I2927">
        <f t="shared" si="93"/>
        <v>6</v>
      </c>
      <c r="J2927" t="str" cm="1">
        <f t="array" ref="J2927">INDEX($A$2:$A$7,I2927)</f>
        <v>Segment 6- Self-Conscious Male</v>
      </c>
    </row>
    <row r="2928" spans="1:10" x14ac:dyDescent="0.25">
      <c r="A2928" s="1">
        <f>'batch tool'!A2922</f>
        <v>0</v>
      </c>
      <c r="B2928" s="7">
        <f>SUMPRODUCT($C$2:$X$2,'batch tool'!$B2922:$W2922)+$Y$2</f>
        <v>-49.12272534143483</v>
      </c>
      <c r="C2928" s="7">
        <f>SUMPRODUCT($C$3:$X$3,'batch tool'!$B2922:$W2922)+$Y$3</f>
        <v>-36.514029388465531</v>
      </c>
      <c r="D2928" s="7">
        <f>SUMPRODUCT($C$4:$X$4,'batch tool'!$B2922:$W2922)+$Y$4</f>
        <v>-44.639843068043824</v>
      </c>
      <c r="E2928" s="7">
        <f>SUMPRODUCT($C$5:$X$5,'batch tool'!$B2922:$W2922)+$Y$5</f>
        <v>-51.578889182477603</v>
      </c>
      <c r="F2928" s="7">
        <f>SUMPRODUCT($C$6:$X$6,'batch tool'!$B2922:$W2922)+$Y$6</f>
        <v>-47.741473633885199</v>
      </c>
      <c r="G2928" s="7">
        <f>SUMPRODUCT($C$7:$X$7,'batch tool'!$B2922:$W2922)+$Y$7</f>
        <v>-19.739516238059196</v>
      </c>
      <c r="H2928" s="7">
        <f t="shared" si="92"/>
        <v>-19.739516238059196</v>
      </c>
      <c r="I2928">
        <f t="shared" si="93"/>
        <v>6</v>
      </c>
      <c r="J2928" t="str" cm="1">
        <f t="array" ref="J2928">INDEX($A$2:$A$7,I2928)</f>
        <v>Segment 6- Self-Conscious Male</v>
      </c>
    </row>
    <row r="2929" spans="1:10" x14ac:dyDescent="0.25">
      <c r="A2929" s="1">
        <f>'batch tool'!A2923</f>
        <v>0</v>
      </c>
      <c r="B2929" s="7">
        <f>SUMPRODUCT($C$2:$X$2,'batch tool'!$B2923:$W2923)+$Y$2</f>
        <v>-49.12272534143483</v>
      </c>
      <c r="C2929" s="7">
        <f>SUMPRODUCT($C$3:$X$3,'batch tool'!$B2923:$W2923)+$Y$3</f>
        <v>-36.514029388465531</v>
      </c>
      <c r="D2929" s="7">
        <f>SUMPRODUCT($C$4:$X$4,'batch tool'!$B2923:$W2923)+$Y$4</f>
        <v>-44.639843068043824</v>
      </c>
      <c r="E2929" s="7">
        <f>SUMPRODUCT($C$5:$X$5,'batch tool'!$B2923:$W2923)+$Y$5</f>
        <v>-51.578889182477603</v>
      </c>
      <c r="F2929" s="7">
        <f>SUMPRODUCT($C$6:$X$6,'batch tool'!$B2923:$W2923)+$Y$6</f>
        <v>-47.741473633885199</v>
      </c>
      <c r="G2929" s="7">
        <f>SUMPRODUCT($C$7:$X$7,'batch tool'!$B2923:$W2923)+$Y$7</f>
        <v>-19.739516238059196</v>
      </c>
      <c r="H2929" s="7">
        <f t="shared" si="92"/>
        <v>-19.739516238059196</v>
      </c>
      <c r="I2929">
        <f t="shared" si="93"/>
        <v>6</v>
      </c>
      <c r="J2929" t="str" cm="1">
        <f t="array" ref="J2929">INDEX($A$2:$A$7,I2929)</f>
        <v>Segment 6- Self-Conscious Male</v>
      </c>
    </row>
    <row r="2930" spans="1:10" x14ac:dyDescent="0.25">
      <c r="A2930" s="1">
        <f>'batch tool'!A2924</f>
        <v>0</v>
      </c>
      <c r="B2930" s="7">
        <f>SUMPRODUCT($C$2:$X$2,'batch tool'!$B2924:$W2924)+$Y$2</f>
        <v>-49.12272534143483</v>
      </c>
      <c r="C2930" s="7">
        <f>SUMPRODUCT($C$3:$X$3,'batch tool'!$B2924:$W2924)+$Y$3</f>
        <v>-36.514029388465531</v>
      </c>
      <c r="D2930" s="7">
        <f>SUMPRODUCT($C$4:$X$4,'batch tool'!$B2924:$W2924)+$Y$4</f>
        <v>-44.639843068043824</v>
      </c>
      <c r="E2930" s="7">
        <f>SUMPRODUCT($C$5:$X$5,'batch tool'!$B2924:$W2924)+$Y$5</f>
        <v>-51.578889182477603</v>
      </c>
      <c r="F2930" s="7">
        <f>SUMPRODUCT($C$6:$X$6,'batch tool'!$B2924:$W2924)+$Y$6</f>
        <v>-47.741473633885199</v>
      </c>
      <c r="G2930" s="7">
        <f>SUMPRODUCT($C$7:$X$7,'batch tool'!$B2924:$W2924)+$Y$7</f>
        <v>-19.739516238059196</v>
      </c>
      <c r="H2930" s="7">
        <f t="shared" si="92"/>
        <v>-19.739516238059196</v>
      </c>
      <c r="I2930">
        <f t="shared" si="93"/>
        <v>6</v>
      </c>
      <c r="J2930" t="str" cm="1">
        <f t="array" ref="J2930">INDEX($A$2:$A$7,I2930)</f>
        <v>Segment 6- Self-Conscious Male</v>
      </c>
    </row>
    <row r="2931" spans="1:10" x14ac:dyDescent="0.25">
      <c r="A2931" s="1">
        <f>'batch tool'!A2925</f>
        <v>0</v>
      </c>
      <c r="B2931" s="7">
        <f>SUMPRODUCT($C$2:$X$2,'batch tool'!$B2925:$W2925)+$Y$2</f>
        <v>-49.12272534143483</v>
      </c>
      <c r="C2931" s="7">
        <f>SUMPRODUCT($C$3:$X$3,'batch tool'!$B2925:$W2925)+$Y$3</f>
        <v>-36.514029388465531</v>
      </c>
      <c r="D2931" s="7">
        <f>SUMPRODUCT($C$4:$X$4,'batch tool'!$B2925:$W2925)+$Y$4</f>
        <v>-44.639843068043824</v>
      </c>
      <c r="E2931" s="7">
        <f>SUMPRODUCT($C$5:$X$5,'batch tool'!$B2925:$W2925)+$Y$5</f>
        <v>-51.578889182477603</v>
      </c>
      <c r="F2931" s="7">
        <f>SUMPRODUCT($C$6:$X$6,'batch tool'!$B2925:$W2925)+$Y$6</f>
        <v>-47.741473633885199</v>
      </c>
      <c r="G2931" s="7">
        <f>SUMPRODUCT($C$7:$X$7,'batch tool'!$B2925:$W2925)+$Y$7</f>
        <v>-19.739516238059196</v>
      </c>
      <c r="H2931" s="7">
        <f t="shared" si="92"/>
        <v>-19.739516238059196</v>
      </c>
      <c r="I2931">
        <f t="shared" si="93"/>
        <v>6</v>
      </c>
      <c r="J2931" t="str" cm="1">
        <f t="array" ref="J2931">INDEX($A$2:$A$7,I2931)</f>
        <v>Segment 6- Self-Conscious Male</v>
      </c>
    </row>
    <row r="2932" spans="1:10" x14ac:dyDescent="0.25">
      <c r="A2932" s="1">
        <f>'batch tool'!A2926</f>
        <v>0</v>
      </c>
      <c r="B2932" s="7">
        <f>SUMPRODUCT($C$2:$X$2,'batch tool'!$B2926:$W2926)+$Y$2</f>
        <v>-49.12272534143483</v>
      </c>
      <c r="C2932" s="7">
        <f>SUMPRODUCT($C$3:$X$3,'batch tool'!$B2926:$W2926)+$Y$3</f>
        <v>-36.514029388465531</v>
      </c>
      <c r="D2932" s="7">
        <f>SUMPRODUCT($C$4:$X$4,'batch tool'!$B2926:$W2926)+$Y$4</f>
        <v>-44.639843068043824</v>
      </c>
      <c r="E2932" s="7">
        <f>SUMPRODUCT($C$5:$X$5,'batch tool'!$B2926:$W2926)+$Y$5</f>
        <v>-51.578889182477603</v>
      </c>
      <c r="F2932" s="7">
        <f>SUMPRODUCT($C$6:$X$6,'batch tool'!$B2926:$W2926)+$Y$6</f>
        <v>-47.741473633885199</v>
      </c>
      <c r="G2932" s="7">
        <f>SUMPRODUCT($C$7:$X$7,'batch tool'!$B2926:$W2926)+$Y$7</f>
        <v>-19.739516238059196</v>
      </c>
      <c r="H2932" s="7">
        <f t="shared" si="92"/>
        <v>-19.739516238059196</v>
      </c>
      <c r="I2932">
        <f t="shared" si="93"/>
        <v>6</v>
      </c>
      <c r="J2932" t="str" cm="1">
        <f t="array" ref="J2932">INDEX($A$2:$A$7,I2932)</f>
        <v>Segment 6- Self-Conscious Male</v>
      </c>
    </row>
    <row r="2933" spans="1:10" x14ac:dyDescent="0.25">
      <c r="A2933" s="1">
        <f>'batch tool'!A2927</f>
        <v>0</v>
      </c>
      <c r="B2933" s="7">
        <f>SUMPRODUCT($C$2:$X$2,'batch tool'!$B2927:$W2927)+$Y$2</f>
        <v>-49.12272534143483</v>
      </c>
      <c r="C2933" s="7">
        <f>SUMPRODUCT($C$3:$X$3,'batch tool'!$B2927:$W2927)+$Y$3</f>
        <v>-36.514029388465531</v>
      </c>
      <c r="D2933" s="7">
        <f>SUMPRODUCT($C$4:$X$4,'batch tool'!$B2927:$W2927)+$Y$4</f>
        <v>-44.639843068043824</v>
      </c>
      <c r="E2933" s="7">
        <f>SUMPRODUCT($C$5:$X$5,'batch tool'!$B2927:$W2927)+$Y$5</f>
        <v>-51.578889182477603</v>
      </c>
      <c r="F2933" s="7">
        <f>SUMPRODUCT($C$6:$X$6,'batch tool'!$B2927:$W2927)+$Y$6</f>
        <v>-47.741473633885199</v>
      </c>
      <c r="G2933" s="7">
        <f>SUMPRODUCT($C$7:$X$7,'batch tool'!$B2927:$W2927)+$Y$7</f>
        <v>-19.739516238059196</v>
      </c>
      <c r="H2933" s="7">
        <f t="shared" si="92"/>
        <v>-19.739516238059196</v>
      </c>
      <c r="I2933">
        <f t="shared" si="93"/>
        <v>6</v>
      </c>
      <c r="J2933" t="str" cm="1">
        <f t="array" ref="J2933">INDEX($A$2:$A$7,I2933)</f>
        <v>Segment 6- Self-Conscious Male</v>
      </c>
    </row>
    <row r="2934" spans="1:10" x14ac:dyDescent="0.25">
      <c r="A2934" s="1">
        <f>'batch tool'!A2928</f>
        <v>0</v>
      </c>
      <c r="B2934" s="7">
        <f>SUMPRODUCT($C$2:$X$2,'batch tool'!$B2928:$W2928)+$Y$2</f>
        <v>-49.12272534143483</v>
      </c>
      <c r="C2934" s="7">
        <f>SUMPRODUCT($C$3:$X$3,'batch tool'!$B2928:$W2928)+$Y$3</f>
        <v>-36.514029388465531</v>
      </c>
      <c r="D2934" s="7">
        <f>SUMPRODUCT($C$4:$X$4,'batch tool'!$B2928:$W2928)+$Y$4</f>
        <v>-44.639843068043824</v>
      </c>
      <c r="E2934" s="7">
        <f>SUMPRODUCT($C$5:$X$5,'batch tool'!$B2928:$W2928)+$Y$5</f>
        <v>-51.578889182477603</v>
      </c>
      <c r="F2934" s="7">
        <f>SUMPRODUCT($C$6:$X$6,'batch tool'!$B2928:$W2928)+$Y$6</f>
        <v>-47.741473633885199</v>
      </c>
      <c r="G2934" s="7">
        <f>SUMPRODUCT($C$7:$X$7,'batch tool'!$B2928:$W2928)+$Y$7</f>
        <v>-19.739516238059196</v>
      </c>
      <c r="H2934" s="7">
        <f t="shared" si="92"/>
        <v>-19.739516238059196</v>
      </c>
      <c r="I2934">
        <f t="shared" si="93"/>
        <v>6</v>
      </c>
      <c r="J2934" t="str" cm="1">
        <f t="array" ref="J2934">INDEX($A$2:$A$7,I2934)</f>
        <v>Segment 6- Self-Conscious Male</v>
      </c>
    </row>
    <row r="2935" spans="1:10" x14ac:dyDescent="0.25">
      <c r="A2935" s="1">
        <f>'batch tool'!A2929</f>
        <v>0</v>
      </c>
      <c r="B2935" s="7">
        <f>SUMPRODUCT($C$2:$X$2,'batch tool'!$B2929:$W2929)+$Y$2</f>
        <v>-49.12272534143483</v>
      </c>
      <c r="C2935" s="7">
        <f>SUMPRODUCT($C$3:$X$3,'batch tool'!$B2929:$W2929)+$Y$3</f>
        <v>-36.514029388465531</v>
      </c>
      <c r="D2935" s="7">
        <f>SUMPRODUCT($C$4:$X$4,'batch tool'!$B2929:$W2929)+$Y$4</f>
        <v>-44.639843068043824</v>
      </c>
      <c r="E2935" s="7">
        <f>SUMPRODUCT($C$5:$X$5,'batch tool'!$B2929:$W2929)+$Y$5</f>
        <v>-51.578889182477603</v>
      </c>
      <c r="F2935" s="7">
        <f>SUMPRODUCT($C$6:$X$6,'batch tool'!$B2929:$W2929)+$Y$6</f>
        <v>-47.741473633885199</v>
      </c>
      <c r="G2935" s="7">
        <f>SUMPRODUCT($C$7:$X$7,'batch tool'!$B2929:$W2929)+$Y$7</f>
        <v>-19.739516238059196</v>
      </c>
      <c r="H2935" s="7">
        <f t="shared" si="92"/>
        <v>-19.739516238059196</v>
      </c>
      <c r="I2935">
        <f t="shared" si="93"/>
        <v>6</v>
      </c>
      <c r="J2935" t="str" cm="1">
        <f t="array" ref="J2935">INDEX($A$2:$A$7,I2935)</f>
        <v>Segment 6- Self-Conscious Male</v>
      </c>
    </row>
    <row r="2936" spans="1:10" x14ac:dyDescent="0.25">
      <c r="A2936" s="1">
        <f>'batch tool'!A2930</f>
        <v>0</v>
      </c>
      <c r="B2936" s="7">
        <f>SUMPRODUCT($C$2:$X$2,'batch tool'!$B2930:$W2930)+$Y$2</f>
        <v>-49.12272534143483</v>
      </c>
      <c r="C2936" s="7">
        <f>SUMPRODUCT($C$3:$X$3,'batch tool'!$B2930:$W2930)+$Y$3</f>
        <v>-36.514029388465531</v>
      </c>
      <c r="D2936" s="7">
        <f>SUMPRODUCT($C$4:$X$4,'batch tool'!$B2930:$W2930)+$Y$4</f>
        <v>-44.639843068043824</v>
      </c>
      <c r="E2936" s="7">
        <f>SUMPRODUCT($C$5:$X$5,'batch tool'!$B2930:$W2930)+$Y$5</f>
        <v>-51.578889182477603</v>
      </c>
      <c r="F2936" s="7">
        <f>SUMPRODUCT($C$6:$X$6,'batch tool'!$B2930:$W2930)+$Y$6</f>
        <v>-47.741473633885199</v>
      </c>
      <c r="G2936" s="7">
        <f>SUMPRODUCT($C$7:$X$7,'batch tool'!$B2930:$W2930)+$Y$7</f>
        <v>-19.739516238059196</v>
      </c>
      <c r="H2936" s="7">
        <f t="shared" si="92"/>
        <v>-19.739516238059196</v>
      </c>
      <c r="I2936">
        <f t="shared" si="93"/>
        <v>6</v>
      </c>
      <c r="J2936" t="str" cm="1">
        <f t="array" ref="J2936">INDEX($A$2:$A$7,I2936)</f>
        <v>Segment 6- Self-Conscious Male</v>
      </c>
    </row>
    <row r="2937" spans="1:10" x14ac:dyDescent="0.25">
      <c r="A2937" s="1">
        <f>'batch tool'!A2931</f>
        <v>0</v>
      </c>
      <c r="B2937" s="7">
        <f>SUMPRODUCT($C$2:$X$2,'batch tool'!$B2931:$W2931)+$Y$2</f>
        <v>-49.12272534143483</v>
      </c>
      <c r="C2937" s="7">
        <f>SUMPRODUCT($C$3:$X$3,'batch tool'!$B2931:$W2931)+$Y$3</f>
        <v>-36.514029388465531</v>
      </c>
      <c r="D2937" s="7">
        <f>SUMPRODUCT($C$4:$X$4,'batch tool'!$B2931:$W2931)+$Y$4</f>
        <v>-44.639843068043824</v>
      </c>
      <c r="E2937" s="7">
        <f>SUMPRODUCT($C$5:$X$5,'batch tool'!$B2931:$W2931)+$Y$5</f>
        <v>-51.578889182477603</v>
      </c>
      <c r="F2937" s="7">
        <f>SUMPRODUCT($C$6:$X$6,'batch tool'!$B2931:$W2931)+$Y$6</f>
        <v>-47.741473633885199</v>
      </c>
      <c r="G2937" s="7">
        <f>SUMPRODUCT($C$7:$X$7,'batch tool'!$B2931:$W2931)+$Y$7</f>
        <v>-19.739516238059196</v>
      </c>
      <c r="H2937" s="7">
        <f t="shared" si="92"/>
        <v>-19.739516238059196</v>
      </c>
      <c r="I2937">
        <f t="shared" si="93"/>
        <v>6</v>
      </c>
      <c r="J2937" t="str" cm="1">
        <f t="array" ref="J2937">INDEX($A$2:$A$7,I2937)</f>
        <v>Segment 6- Self-Conscious Male</v>
      </c>
    </row>
    <row r="2938" spans="1:10" x14ac:dyDescent="0.25">
      <c r="A2938" s="1">
        <f>'batch tool'!A2932</f>
        <v>0</v>
      </c>
      <c r="B2938" s="7">
        <f>SUMPRODUCT($C$2:$X$2,'batch tool'!$B2932:$W2932)+$Y$2</f>
        <v>-49.12272534143483</v>
      </c>
      <c r="C2938" s="7">
        <f>SUMPRODUCT($C$3:$X$3,'batch tool'!$B2932:$W2932)+$Y$3</f>
        <v>-36.514029388465531</v>
      </c>
      <c r="D2938" s="7">
        <f>SUMPRODUCT($C$4:$X$4,'batch tool'!$B2932:$W2932)+$Y$4</f>
        <v>-44.639843068043824</v>
      </c>
      <c r="E2938" s="7">
        <f>SUMPRODUCT($C$5:$X$5,'batch tool'!$B2932:$W2932)+$Y$5</f>
        <v>-51.578889182477603</v>
      </c>
      <c r="F2938" s="7">
        <f>SUMPRODUCT($C$6:$X$6,'batch tool'!$B2932:$W2932)+$Y$6</f>
        <v>-47.741473633885199</v>
      </c>
      <c r="G2938" s="7">
        <f>SUMPRODUCT($C$7:$X$7,'batch tool'!$B2932:$W2932)+$Y$7</f>
        <v>-19.739516238059196</v>
      </c>
      <c r="H2938" s="7">
        <f t="shared" si="92"/>
        <v>-19.739516238059196</v>
      </c>
      <c r="I2938">
        <f t="shared" si="93"/>
        <v>6</v>
      </c>
      <c r="J2938" t="str" cm="1">
        <f t="array" ref="J2938">INDEX($A$2:$A$7,I2938)</f>
        <v>Segment 6- Self-Conscious Male</v>
      </c>
    </row>
    <row r="2939" spans="1:10" x14ac:dyDescent="0.25">
      <c r="A2939" s="1">
        <f>'batch tool'!A2933</f>
        <v>0</v>
      </c>
      <c r="B2939" s="7">
        <f>SUMPRODUCT($C$2:$X$2,'batch tool'!$B2933:$W2933)+$Y$2</f>
        <v>-49.12272534143483</v>
      </c>
      <c r="C2939" s="7">
        <f>SUMPRODUCT($C$3:$X$3,'batch tool'!$B2933:$W2933)+$Y$3</f>
        <v>-36.514029388465531</v>
      </c>
      <c r="D2939" s="7">
        <f>SUMPRODUCT($C$4:$X$4,'batch tool'!$B2933:$W2933)+$Y$4</f>
        <v>-44.639843068043824</v>
      </c>
      <c r="E2939" s="7">
        <f>SUMPRODUCT($C$5:$X$5,'batch tool'!$B2933:$W2933)+$Y$5</f>
        <v>-51.578889182477603</v>
      </c>
      <c r="F2939" s="7">
        <f>SUMPRODUCT($C$6:$X$6,'batch tool'!$B2933:$W2933)+$Y$6</f>
        <v>-47.741473633885199</v>
      </c>
      <c r="G2939" s="7">
        <f>SUMPRODUCT($C$7:$X$7,'batch tool'!$B2933:$W2933)+$Y$7</f>
        <v>-19.739516238059196</v>
      </c>
      <c r="H2939" s="7">
        <f t="shared" si="92"/>
        <v>-19.739516238059196</v>
      </c>
      <c r="I2939">
        <f t="shared" si="93"/>
        <v>6</v>
      </c>
      <c r="J2939" t="str" cm="1">
        <f t="array" ref="J2939">INDEX($A$2:$A$7,I2939)</f>
        <v>Segment 6- Self-Conscious Male</v>
      </c>
    </row>
    <row r="2940" spans="1:10" x14ac:dyDescent="0.25">
      <c r="A2940" s="1">
        <f>'batch tool'!A2934</f>
        <v>0</v>
      </c>
      <c r="B2940" s="7">
        <f>SUMPRODUCT($C$2:$X$2,'batch tool'!$B2934:$W2934)+$Y$2</f>
        <v>-49.12272534143483</v>
      </c>
      <c r="C2940" s="7">
        <f>SUMPRODUCT($C$3:$X$3,'batch tool'!$B2934:$W2934)+$Y$3</f>
        <v>-36.514029388465531</v>
      </c>
      <c r="D2940" s="7">
        <f>SUMPRODUCT($C$4:$X$4,'batch tool'!$B2934:$W2934)+$Y$4</f>
        <v>-44.639843068043824</v>
      </c>
      <c r="E2940" s="7">
        <f>SUMPRODUCT($C$5:$X$5,'batch tool'!$B2934:$W2934)+$Y$5</f>
        <v>-51.578889182477603</v>
      </c>
      <c r="F2940" s="7">
        <f>SUMPRODUCT($C$6:$X$6,'batch tool'!$B2934:$W2934)+$Y$6</f>
        <v>-47.741473633885199</v>
      </c>
      <c r="G2940" s="7">
        <f>SUMPRODUCT($C$7:$X$7,'batch tool'!$B2934:$W2934)+$Y$7</f>
        <v>-19.739516238059196</v>
      </c>
      <c r="H2940" s="7">
        <f t="shared" si="92"/>
        <v>-19.739516238059196</v>
      </c>
      <c r="I2940">
        <f t="shared" si="93"/>
        <v>6</v>
      </c>
      <c r="J2940" t="str" cm="1">
        <f t="array" ref="J2940">INDEX($A$2:$A$7,I2940)</f>
        <v>Segment 6- Self-Conscious Male</v>
      </c>
    </row>
    <row r="2941" spans="1:10" x14ac:dyDescent="0.25">
      <c r="A2941" s="1">
        <f>'batch tool'!A2935</f>
        <v>0</v>
      </c>
      <c r="B2941" s="7">
        <f>SUMPRODUCT($C$2:$X$2,'batch tool'!$B2935:$W2935)+$Y$2</f>
        <v>-49.12272534143483</v>
      </c>
      <c r="C2941" s="7">
        <f>SUMPRODUCT($C$3:$X$3,'batch tool'!$B2935:$W2935)+$Y$3</f>
        <v>-36.514029388465531</v>
      </c>
      <c r="D2941" s="7">
        <f>SUMPRODUCT($C$4:$X$4,'batch tool'!$B2935:$W2935)+$Y$4</f>
        <v>-44.639843068043824</v>
      </c>
      <c r="E2941" s="7">
        <f>SUMPRODUCT($C$5:$X$5,'batch tool'!$B2935:$W2935)+$Y$5</f>
        <v>-51.578889182477603</v>
      </c>
      <c r="F2941" s="7">
        <f>SUMPRODUCT($C$6:$X$6,'batch tool'!$B2935:$W2935)+$Y$6</f>
        <v>-47.741473633885199</v>
      </c>
      <c r="G2941" s="7">
        <f>SUMPRODUCT($C$7:$X$7,'batch tool'!$B2935:$W2935)+$Y$7</f>
        <v>-19.739516238059196</v>
      </c>
      <c r="H2941" s="7">
        <f t="shared" si="92"/>
        <v>-19.739516238059196</v>
      </c>
      <c r="I2941">
        <f t="shared" si="93"/>
        <v>6</v>
      </c>
      <c r="J2941" t="str" cm="1">
        <f t="array" ref="J2941">INDEX($A$2:$A$7,I2941)</f>
        <v>Segment 6- Self-Conscious Male</v>
      </c>
    </row>
    <row r="2942" spans="1:10" x14ac:dyDescent="0.25">
      <c r="A2942" s="1">
        <f>'batch tool'!A2936</f>
        <v>0</v>
      </c>
      <c r="B2942" s="7">
        <f>SUMPRODUCT($C$2:$X$2,'batch tool'!$B2936:$W2936)+$Y$2</f>
        <v>-49.12272534143483</v>
      </c>
      <c r="C2942" s="7">
        <f>SUMPRODUCT($C$3:$X$3,'batch tool'!$B2936:$W2936)+$Y$3</f>
        <v>-36.514029388465531</v>
      </c>
      <c r="D2942" s="7">
        <f>SUMPRODUCT($C$4:$X$4,'batch tool'!$B2936:$W2936)+$Y$4</f>
        <v>-44.639843068043824</v>
      </c>
      <c r="E2942" s="7">
        <f>SUMPRODUCT($C$5:$X$5,'batch tool'!$B2936:$W2936)+$Y$5</f>
        <v>-51.578889182477603</v>
      </c>
      <c r="F2942" s="7">
        <f>SUMPRODUCT($C$6:$X$6,'batch tool'!$B2936:$W2936)+$Y$6</f>
        <v>-47.741473633885199</v>
      </c>
      <c r="G2942" s="7">
        <f>SUMPRODUCT($C$7:$X$7,'batch tool'!$B2936:$W2936)+$Y$7</f>
        <v>-19.739516238059196</v>
      </c>
      <c r="H2942" s="7">
        <f t="shared" si="92"/>
        <v>-19.739516238059196</v>
      </c>
      <c r="I2942">
        <f t="shared" si="93"/>
        <v>6</v>
      </c>
      <c r="J2942" t="str" cm="1">
        <f t="array" ref="J2942">INDEX($A$2:$A$7,I2942)</f>
        <v>Segment 6- Self-Conscious Male</v>
      </c>
    </row>
    <row r="2943" spans="1:10" x14ac:dyDescent="0.25">
      <c r="A2943" s="1">
        <f>'batch tool'!A2937</f>
        <v>0</v>
      </c>
      <c r="B2943" s="7">
        <f>SUMPRODUCT($C$2:$X$2,'batch tool'!$B2937:$W2937)+$Y$2</f>
        <v>-49.12272534143483</v>
      </c>
      <c r="C2943" s="7">
        <f>SUMPRODUCT($C$3:$X$3,'batch tool'!$B2937:$W2937)+$Y$3</f>
        <v>-36.514029388465531</v>
      </c>
      <c r="D2943" s="7">
        <f>SUMPRODUCT($C$4:$X$4,'batch tool'!$B2937:$W2937)+$Y$4</f>
        <v>-44.639843068043824</v>
      </c>
      <c r="E2943" s="7">
        <f>SUMPRODUCT($C$5:$X$5,'batch tool'!$B2937:$W2937)+$Y$5</f>
        <v>-51.578889182477603</v>
      </c>
      <c r="F2943" s="7">
        <f>SUMPRODUCT($C$6:$X$6,'batch tool'!$B2937:$W2937)+$Y$6</f>
        <v>-47.741473633885199</v>
      </c>
      <c r="G2943" s="7">
        <f>SUMPRODUCT($C$7:$X$7,'batch tool'!$B2937:$W2937)+$Y$7</f>
        <v>-19.739516238059196</v>
      </c>
      <c r="H2943" s="7">
        <f t="shared" si="92"/>
        <v>-19.739516238059196</v>
      </c>
      <c r="I2943">
        <f t="shared" si="93"/>
        <v>6</v>
      </c>
      <c r="J2943" t="str" cm="1">
        <f t="array" ref="J2943">INDEX($A$2:$A$7,I2943)</f>
        <v>Segment 6- Self-Conscious Male</v>
      </c>
    </row>
    <row r="2944" spans="1:10" x14ac:dyDescent="0.25">
      <c r="A2944" s="1">
        <f>'batch tool'!A2938</f>
        <v>0</v>
      </c>
      <c r="B2944" s="7">
        <f>SUMPRODUCT($C$2:$X$2,'batch tool'!$B2938:$W2938)+$Y$2</f>
        <v>-49.12272534143483</v>
      </c>
      <c r="C2944" s="7">
        <f>SUMPRODUCT($C$3:$X$3,'batch tool'!$B2938:$W2938)+$Y$3</f>
        <v>-36.514029388465531</v>
      </c>
      <c r="D2944" s="7">
        <f>SUMPRODUCT($C$4:$X$4,'batch tool'!$B2938:$W2938)+$Y$4</f>
        <v>-44.639843068043824</v>
      </c>
      <c r="E2944" s="7">
        <f>SUMPRODUCT($C$5:$X$5,'batch tool'!$B2938:$W2938)+$Y$5</f>
        <v>-51.578889182477603</v>
      </c>
      <c r="F2944" s="7">
        <f>SUMPRODUCT($C$6:$X$6,'batch tool'!$B2938:$W2938)+$Y$6</f>
        <v>-47.741473633885199</v>
      </c>
      <c r="G2944" s="7">
        <f>SUMPRODUCT($C$7:$X$7,'batch tool'!$B2938:$W2938)+$Y$7</f>
        <v>-19.739516238059196</v>
      </c>
      <c r="H2944" s="7">
        <f t="shared" si="92"/>
        <v>-19.739516238059196</v>
      </c>
      <c r="I2944">
        <f t="shared" si="93"/>
        <v>6</v>
      </c>
      <c r="J2944" t="str" cm="1">
        <f t="array" ref="J2944">INDEX($A$2:$A$7,I2944)</f>
        <v>Segment 6- Self-Conscious Male</v>
      </c>
    </row>
    <row r="2945" spans="1:10" x14ac:dyDescent="0.25">
      <c r="A2945" s="1">
        <f>'batch tool'!A2939</f>
        <v>0</v>
      </c>
      <c r="B2945" s="7">
        <f>SUMPRODUCT($C$2:$X$2,'batch tool'!$B2939:$W2939)+$Y$2</f>
        <v>-49.12272534143483</v>
      </c>
      <c r="C2945" s="7">
        <f>SUMPRODUCT($C$3:$X$3,'batch tool'!$B2939:$W2939)+$Y$3</f>
        <v>-36.514029388465531</v>
      </c>
      <c r="D2945" s="7">
        <f>SUMPRODUCT($C$4:$X$4,'batch tool'!$B2939:$W2939)+$Y$4</f>
        <v>-44.639843068043824</v>
      </c>
      <c r="E2945" s="7">
        <f>SUMPRODUCT($C$5:$X$5,'batch tool'!$B2939:$W2939)+$Y$5</f>
        <v>-51.578889182477603</v>
      </c>
      <c r="F2945" s="7">
        <f>SUMPRODUCT($C$6:$X$6,'batch tool'!$B2939:$W2939)+$Y$6</f>
        <v>-47.741473633885199</v>
      </c>
      <c r="G2945" s="7">
        <f>SUMPRODUCT($C$7:$X$7,'batch tool'!$B2939:$W2939)+$Y$7</f>
        <v>-19.739516238059196</v>
      </c>
      <c r="H2945" s="7">
        <f t="shared" si="92"/>
        <v>-19.739516238059196</v>
      </c>
      <c r="I2945">
        <f t="shared" si="93"/>
        <v>6</v>
      </c>
      <c r="J2945" t="str" cm="1">
        <f t="array" ref="J2945">INDEX($A$2:$A$7,I2945)</f>
        <v>Segment 6- Self-Conscious Male</v>
      </c>
    </row>
    <row r="2946" spans="1:10" x14ac:dyDescent="0.25">
      <c r="A2946" s="1">
        <f>'batch tool'!A2940</f>
        <v>0</v>
      </c>
      <c r="B2946" s="7">
        <f>SUMPRODUCT($C$2:$X$2,'batch tool'!$B2940:$W2940)+$Y$2</f>
        <v>-49.12272534143483</v>
      </c>
      <c r="C2946" s="7">
        <f>SUMPRODUCT($C$3:$X$3,'batch tool'!$B2940:$W2940)+$Y$3</f>
        <v>-36.514029388465531</v>
      </c>
      <c r="D2946" s="7">
        <f>SUMPRODUCT($C$4:$X$4,'batch tool'!$B2940:$W2940)+$Y$4</f>
        <v>-44.639843068043824</v>
      </c>
      <c r="E2946" s="7">
        <f>SUMPRODUCT($C$5:$X$5,'batch tool'!$B2940:$W2940)+$Y$5</f>
        <v>-51.578889182477603</v>
      </c>
      <c r="F2946" s="7">
        <f>SUMPRODUCT($C$6:$X$6,'batch tool'!$B2940:$W2940)+$Y$6</f>
        <v>-47.741473633885199</v>
      </c>
      <c r="G2946" s="7">
        <f>SUMPRODUCT($C$7:$X$7,'batch tool'!$B2940:$W2940)+$Y$7</f>
        <v>-19.739516238059196</v>
      </c>
      <c r="H2946" s="7">
        <f t="shared" si="92"/>
        <v>-19.739516238059196</v>
      </c>
      <c r="I2946">
        <f t="shared" si="93"/>
        <v>6</v>
      </c>
      <c r="J2946" t="str" cm="1">
        <f t="array" ref="J2946">INDEX($A$2:$A$7,I2946)</f>
        <v>Segment 6- Self-Conscious Male</v>
      </c>
    </row>
    <row r="2947" spans="1:10" x14ac:dyDescent="0.25">
      <c r="A2947" s="1">
        <f>'batch tool'!A2941</f>
        <v>0</v>
      </c>
      <c r="B2947" s="7">
        <f>SUMPRODUCT($C$2:$X$2,'batch tool'!$B2941:$W2941)+$Y$2</f>
        <v>-49.12272534143483</v>
      </c>
      <c r="C2947" s="7">
        <f>SUMPRODUCT($C$3:$X$3,'batch tool'!$B2941:$W2941)+$Y$3</f>
        <v>-36.514029388465531</v>
      </c>
      <c r="D2947" s="7">
        <f>SUMPRODUCT($C$4:$X$4,'batch tool'!$B2941:$W2941)+$Y$4</f>
        <v>-44.639843068043824</v>
      </c>
      <c r="E2947" s="7">
        <f>SUMPRODUCT($C$5:$X$5,'batch tool'!$B2941:$W2941)+$Y$5</f>
        <v>-51.578889182477603</v>
      </c>
      <c r="F2947" s="7">
        <f>SUMPRODUCT($C$6:$X$6,'batch tool'!$B2941:$W2941)+$Y$6</f>
        <v>-47.741473633885199</v>
      </c>
      <c r="G2947" s="7">
        <f>SUMPRODUCT($C$7:$X$7,'batch tool'!$B2941:$W2941)+$Y$7</f>
        <v>-19.739516238059196</v>
      </c>
      <c r="H2947" s="7">
        <f t="shared" si="92"/>
        <v>-19.739516238059196</v>
      </c>
      <c r="I2947">
        <f t="shared" si="93"/>
        <v>6</v>
      </c>
      <c r="J2947" t="str" cm="1">
        <f t="array" ref="J2947">INDEX($A$2:$A$7,I2947)</f>
        <v>Segment 6- Self-Conscious Male</v>
      </c>
    </row>
    <row r="2948" spans="1:10" x14ac:dyDescent="0.25">
      <c r="A2948" s="1">
        <f>'batch tool'!A2942</f>
        <v>0</v>
      </c>
      <c r="B2948" s="7">
        <f>SUMPRODUCT($C$2:$X$2,'batch tool'!$B2942:$W2942)+$Y$2</f>
        <v>-49.12272534143483</v>
      </c>
      <c r="C2948" s="7">
        <f>SUMPRODUCT($C$3:$X$3,'batch tool'!$B2942:$W2942)+$Y$3</f>
        <v>-36.514029388465531</v>
      </c>
      <c r="D2948" s="7">
        <f>SUMPRODUCT($C$4:$X$4,'batch tool'!$B2942:$W2942)+$Y$4</f>
        <v>-44.639843068043824</v>
      </c>
      <c r="E2948" s="7">
        <f>SUMPRODUCT($C$5:$X$5,'batch tool'!$B2942:$W2942)+$Y$5</f>
        <v>-51.578889182477603</v>
      </c>
      <c r="F2948" s="7">
        <f>SUMPRODUCT($C$6:$X$6,'batch tool'!$B2942:$W2942)+$Y$6</f>
        <v>-47.741473633885199</v>
      </c>
      <c r="G2948" s="7">
        <f>SUMPRODUCT($C$7:$X$7,'batch tool'!$B2942:$W2942)+$Y$7</f>
        <v>-19.739516238059196</v>
      </c>
      <c r="H2948" s="7">
        <f t="shared" si="92"/>
        <v>-19.739516238059196</v>
      </c>
      <c r="I2948">
        <f t="shared" si="93"/>
        <v>6</v>
      </c>
      <c r="J2948" t="str" cm="1">
        <f t="array" ref="J2948">INDEX($A$2:$A$7,I2948)</f>
        <v>Segment 6- Self-Conscious Male</v>
      </c>
    </row>
    <row r="2949" spans="1:10" x14ac:dyDescent="0.25">
      <c r="A2949" s="1">
        <f>'batch tool'!A2943</f>
        <v>0</v>
      </c>
      <c r="B2949" s="7">
        <f>SUMPRODUCT($C$2:$X$2,'batch tool'!$B2943:$W2943)+$Y$2</f>
        <v>-49.12272534143483</v>
      </c>
      <c r="C2949" s="7">
        <f>SUMPRODUCT($C$3:$X$3,'batch tool'!$B2943:$W2943)+$Y$3</f>
        <v>-36.514029388465531</v>
      </c>
      <c r="D2949" s="7">
        <f>SUMPRODUCT($C$4:$X$4,'batch tool'!$B2943:$W2943)+$Y$4</f>
        <v>-44.639843068043824</v>
      </c>
      <c r="E2949" s="7">
        <f>SUMPRODUCT($C$5:$X$5,'batch tool'!$B2943:$W2943)+$Y$5</f>
        <v>-51.578889182477603</v>
      </c>
      <c r="F2949" s="7">
        <f>SUMPRODUCT($C$6:$X$6,'batch tool'!$B2943:$W2943)+$Y$6</f>
        <v>-47.741473633885199</v>
      </c>
      <c r="G2949" s="7">
        <f>SUMPRODUCT($C$7:$X$7,'batch tool'!$B2943:$W2943)+$Y$7</f>
        <v>-19.739516238059196</v>
      </c>
      <c r="H2949" s="7">
        <f t="shared" si="92"/>
        <v>-19.739516238059196</v>
      </c>
      <c r="I2949">
        <f t="shared" si="93"/>
        <v>6</v>
      </c>
      <c r="J2949" t="str" cm="1">
        <f t="array" ref="J2949">INDEX($A$2:$A$7,I2949)</f>
        <v>Segment 6- Self-Conscious Male</v>
      </c>
    </row>
    <row r="2950" spans="1:10" x14ac:dyDescent="0.25">
      <c r="A2950" s="1">
        <f>'batch tool'!A2944</f>
        <v>0</v>
      </c>
      <c r="B2950" s="7">
        <f>SUMPRODUCT($C$2:$X$2,'batch tool'!$B2944:$W2944)+$Y$2</f>
        <v>-49.12272534143483</v>
      </c>
      <c r="C2950" s="7">
        <f>SUMPRODUCT($C$3:$X$3,'batch tool'!$B2944:$W2944)+$Y$3</f>
        <v>-36.514029388465531</v>
      </c>
      <c r="D2950" s="7">
        <f>SUMPRODUCT($C$4:$X$4,'batch tool'!$B2944:$W2944)+$Y$4</f>
        <v>-44.639843068043824</v>
      </c>
      <c r="E2950" s="7">
        <f>SUMPRODUCT($C$5:$X$5,'batch tool'!$B2944:$W2944)+$Y$5</f>
        <v>-51.578889182477603</v>
      </c>
      <c r="F2950" s="7">
        <f>SUMPRODUCT($C$6:$X$6,'batch tool'!$B2944:$W2944)+$Y$6</f>
        <v>-47.741473633885199</v>
      </c>
      <c r="G2950" s="7">
        <f>SUMPRODUCT($C$7:$X$7,'batch tool'!$B2944:$W2944)+$Y$7</f>
        <v>-19.739516238059196</v>
      </c>
      <c r="H2950" s="7">
        <f t="shared" si="92"/>
        <v>-19.739516238059196</v>
      </c>
      <c r="I2950">
        <f t="shared" si="93"/>
        <v>6</v>
      </c>
      <c r="J2950" t="str" cm="1">
        <f t="array" ref="J2950">INDEX($A$2:$A$7,I2950)</f>
        <v>Segment 6- Self-Conscious Male</v>
      </c>
    </row>
    <row r="2951" spans="1:10" x14ac:dyDescent="0.25">
      <c r="A2951" s="1">
        <f>'batch tool'!A2945</f>
        <v>0</v>
      </c>
      <c r="B2951" s="7">
        <f>SUMPRODUCT($C$2:$X$2,'batch tool'!$B2945:$W2945)+$Y$2</f>
        <v>-49.12272534143483</v>
      </c>
      <c r="C2951" s="7">
        <f>SUMPRODUCT($C$3:$X$3,'batch tool'!$B2945:$W2945)+$Y$3</f>
        <v>-36.514029388465531</v>
      </c>
      <c r="D2951" s="7">
        <f>SUMPRODUCT($C$4:$X$4,'batch tool'!$B2945:$W2945)+$Y$4</f>
        <v>-44.639843068043824</v>
      </c>
      <c r="E2951" s="7">
        <f>SUMPRODUCT($C$5:$X$5,'batch tool'!$B2945:$W2945)+$Y$5</f>
        <v>-51.578889182477603</v>
      </c>
      <c r="F2951" s="7">
        <f>SUMPRODUCT($C$6:$X$6,'batch tool'!$B2945:$W2945)+$Y$6</f>
        <v>-47.741473633885199</v>
      </c>
      <c r="G2951" s="7">
        <f>SUMPRODUCT($C$7:$X$7,'batch tool'!$B2945:$W2945)+$Y$7</f>
        <v>-19.739516238059196</v>
      </c>
      <c r="H2951" s="7">
        <f t="shared" si="92"/>
        <v>-19.739516238059196</v>
      </c>
      <c r="I2951">
        <f t="shared" si="93"/>
        <v>6</v>
      </c>
      <c r="J2951" t="str" cm="1">
        <f t="array" ref="J2951">INDEX($A$2:$A$7,I2951)</f>
        <v>Segment 6- Self-Conscious Male</v>
      </c>
    </row>
    <row r="2952" spans="1:10" x14ac:dyDescent="0.25">
      <c r="A2952" s="1">
        <f>'batch tool'!A2946</f>
        <v>0</v>
      </c>
      <c r="B2952" s="7">
        <f>SUMPRODUCT($C$2:$X$2,'batch tool'!$B2946:$W2946)+$Y$2</f>
        <v>-49.12272534143483</v>
      </c>
      <c r="C2952" s="7">
        <f>SUMPRODUCT($C$3:$X$3,'batch tool'!$B2946:$W2946)+$Y$3</f>
        <v>-36.514029388465531</v>
      </c>
      <c r="D2952" s="7">
        <f>SUMPRODUCT($C$4:$X$4,'batch tool'!$B2946:$W2946)+$Y$4</f>
        <v>-44.639843068043824</v>
      </c>
      <c r="E2952" s="7">
        <f>SUMPRODUCT($C$5:$X$5,'batch tool'!$B2946:$W2946)+$Y$5</f>
        <v>-51.578889182477603</v>
      </c>
      <c r="F2952" s="7">
        <f>SUMPRODUCT($C$6:$X$6,'batch tool'!$B2946:$W2946)+$Y$6</f>
        <v>-47.741473633885199</v>
      </c>
      <c r="G2952" s="7">
        <f>SUMPRODUCT($C$7:$X$7,'batch tool'!$B2946:$W2946)+$Y$7</f>
        <v>-19.739516238059196</v>
      </c>
      <c r="H2952" s="7">
        <f t="shared" si="92"/>
        <v>-19.739516238059196</v>
      </c>
      <c r="I2952">
        <f t="shared" si="93"/>
        <v>6</v>
      </c>
      <c r="J2952" t="str" cm="1">
        <f t="array" ref="J2952">INDEX($A$2:$A$7,I2952)</f>
        <v>Segment 6- Self-Conscious Male</v>
      </c>
    </row>
    <row r="2953" spans="1:10" x14ac:dyDescent="0.25">
      <c r="A2953" s="1">
        <f>'batch tool'!A2947</f>
        <v>0</v>
      </c>
      <c r="B2953" s="7">
        <f>SUMPRODUCT($C$2:$X$2,'batch tool'!$B2947:$W2947)+$Y$2</f>
        <v>-49.12272534143483</v>
      </c>
      <c r="C2953" s="7">
        <f>SUMPRODUCT($C$3:$X$3,'batch tool'!$B2947:$W2947)+$Y$3</f>
        <v>-36.514029388465531</v>
      </c>
      <c r="D2953" s="7">
        <f>SUMPRODUCT($C$4:$X$4,'batch tool'!$B2947:$W2947)+$Y$4</f>
        <v>-44.639843068043824</v>
      </c>
      <c r="E2953" s="7">
        <f>SUMPRODUCT($C$5:$X$5,'batch tool'!$B2947:$W2947)+$Y$5</f>
        <v>-51.578889182477603</v>
      </c>
      <c r="F2953" s="7">
        <f>SUMPRODUCT($C$6:$X$6,'batch tool'!$B2947:$W2947)+$Y$6</f>
        <v>-47.741473633885199</v>
      </c>
      <c r="G2953" s="7">
        <f>SUMPRODUCT($C$7:$X$7,'batch tool'!$B2947:$W2947)+$Y$7</f>
        <v>-19.739516238059196</v>
      </c>
      <c r="H2953" s="7">
        <f t="shared" si="92"/>
        <v>-19.739516238059196</v>
      </c>
      <c r="I2953">
        <f t="shared" si="93"/>
        <v>6</v>
      </c>
      <c r="J2953" t="str" cm="1">
        <f t="array" ref="J2953">INDEX($A$2:$A$7,I2953)</f>
        <v>Segment 6- Self-Conscious Male</v>
      </c>
    </row>
    <row r="2954" spans="1:10" x14ac:dyDescent="0.25">
      <c r="A2954" s="1">
        <f>'batch tool'!A2948</f>
        <v>0</v>
      </c>
      <c r="B2954" s="7">
        <f>SUMPRODUCT($C$2:$X$2,'batch tool'!$B2948:$W2948)+$Y$2</f>
        <v>-49.12272534143483</v>
      </c>
      <c r="C2954" s="7">
        <f>SUMPRODUCT($C$3:$X$3,'batch tool'!$B2948:$W2948)+$Y$3</f>
        <v>-36.514029388465531</v>
      </c>
      <c r="D2954" s="7">
        <f>SUMPRODUCT($C$4:$X$4,'batch tool'!$B2948:$W2948)+$Y$4</f>
        <v>-44.639843068043824</v>
      </c>
      <c r="E2954" s="7">
        <f>SUMPRODUCT($C$5:$X$5,'batch tool'!$B2948:$W2948)+$Y$5</f>
        <v>-51.578889182477603</v>
      </c>
      <c r="F2954" s="7">
        <f>SUMPRODUCT($C$6:$X$6,'batch tool'!$B2948:$W2948)+$Y$6</f>
        <v>-47.741473633885199</v>
      </c>
      <c r="G2954" s="7">
        <f>SUMPRODUCT($C$7:$X$7,'batch tool'!$B2948:$W2948)+$Y$7</f>
        <v>-19.739516238059196</v>
      </c>
      <c r="H2954" s="7">
        <f t="shared" si="92"/>
        <v>-19.739516238059196</v>
      </c>
      <c r="I2954">
        <f t="shared" si="93"/>
        <v>6</v>
      </c>
      <c r="J2954" t="str" cm="1">
        <f t="array" ref="J2954">INDEX($A$2:$A$7,I2954)</f>
        <v>Segment 6- Self-Conscious Male</v>
      </c>
    </row>
    <row r="2955" spans="1:10" x14ac:dyDescent="0.25">
      <c r="A2955" s="1">
        <f>'batch tool'!A2949</f>
        <v>0</v>
      </c>
      <c r="B2955" s="7">
        <f>SUMPRODUCT($C$2:$X$2,'batch tool'!$B2949:$W2949)+$Y$2</f>
        <v>-49.12272534143483</v>
      </c>
      <c r="C2955" s="7">
        <f>SUMPRODUCT($C$3:$X$3,'batch tool'!$B2949:$W2949)+$Y$3</f>
        <v>-36.514029388465531</v>
      </c>
      <c r="D2955" s="7">
        <f>SUMPRODUCT($C$4:$X$4,'batch tool'!$B2949:$W2949)+$Y$4</f>
        <v>-44.639843068043824</v>
      </c>
      <c r="E2955" s="7">
        <f>SUMPRODUCT($C$5:$X$5,'batch tool'!$B2949:$W2949)+$Y$5</f>
        <v>-51.578889182477603</v>
      </c>
      <c r="F2955" s="7">
        <f>SUMPRODUCT($C$6:$X$6,'batch tool'!$B2949:$W2949)+$Y$6</f>
        <v>-47.741473633885199</v>
      </c>
      <c r="G2955" s="7">
        <f>SUMPRODUCT($C$7:$X$7,'batch tool'!$B2949:$W2949)+$Y$7</f>
        <v>-19.739516238059196</v>
      </c>
      <c r="H2955" s="7">
        <f t="shared" si="92"/>
        <v>-19.739516238059196</v>
      </c>
      <c r="I2955">
        <f t="shared" si="93"/>
        <v>6</v>
      </c>
      <c r="J2955" t="str" cm="1">
        <f t="array" ref="J2955">INDEX($A$2:$A$7,I2955)</f>
        <v>Segment 6- Self-Conscious Male</v>
      </c>
    </row>
    <row r="2956" spans="1:10" x14ac:dyDescent="0.25">
      <c r="A2956" s="1">
        <f>'batch tool'!A2950</f>
        <v>0</v>
      </c>
      <c r="B2956" s="7">
        <f>SUMPRODUCT($C$2:$X$2,'batch tool'!$B2950:$W2950)+$Y$2</f>
        <v>-49.12272534143483</v>
      </c>
      <c r="C2956" s="7">
        <f>SUMPRODUCT($C$3:$X$3,'batch tool'!$B2950:$W2950)+$Y$3</f>
        <v>-36.514029388465531</v>
      </c>
      <c r="D2956" s="7">
        <f>SUMPRODUCT($C$4:$X$4,'batch tool'!$B2950:$W2950)+$Y$4</f>
        <v>-44.639843068043824</v>
      </c>
      <c r="E2956" s="7">
        <f>SUMPRODUCT($C$5:$X$5,'batch tool'!$B2950:$W2950)+$Y$5</f>
        <v>-51.578889182477603</v>
      </c>
      <c r="F2956" s="7">
        <f>SUMPRODUCT($C$6:$X$6,'batch tool'!$B2950:$W2950)+$Y$6</f>
        <v>-47.741473633885199</v>
      </c>
      <c r="G2956" s="7">
        <f>SUMPRODUCT($C$7:$X$7,'batch tool'!$B2950:$W2950)+$Y$7</f>
        <v>-19.739516238059196</v>
      </c>
      <c r="H2956" s="7">
        <f t="shared" si="92"/>
        <v>-19.739516238059196</v>
      </c>
      <c r="I2956">
        <f t="shared" si="93"/>
        <v>6</v>
      </c>
      <c r="J2956" t="str" cm="1">
        <f t="array" ref="J2956">INDEX($A$2:$A$7,I2956)</f>
        <v>Segment 6- Self-Conscious Male</v>
      </c>
    </row>
    <row r="2957" spans="1:10" x14ac:dyDescent="0.25">
      <c r="A2957" s="1">
        <f>'batch tool'!A2951</f>
        <v>0</v>
      </c>
      <c r="B2957" s="7">
        <f>SUMPRODUCT($C$2:$X$2,'batch tool'!$B2951:$W2951)+$Y$2</f>
        <v>-49.12272534143483</v>
      </c>
      <c r="C2957" s="7">
        <f>SUMPRODUCT($C$3:$X$3,'batch tool'!$B2951:$W2951)+$Y$3</f>
        <v>-36.514029388465531</v>
      </c>
      <c r="D2957" s="7">
        <f>SUMPRODUCT($C$4:$X$4,'batch tool'!$B2951:$W2951)+$Y$4</f>
        <v>-44.639843068043824</v>
      </c>
      <c r="E2957" s="7">
        <f>SUMPRODUCT($C$5:$X$5,'batch tool'!$B2951:$W2951)+$Y$5</f>
        <v>-51.578889182477603</v>
      </c>
      <c r="F2957" s="7">
        <f>SUMPRODUCT($C$6:$X$6,'batch tool'!$B2951:$W2951)+$Y$6</f>
        <v>-47.741473633885199</v>
      </c>
      <c r="G2957" s="7">
        <f>SUMPRODUCT($C$7:$X$7,'batch tool'!$B2951:$W2951)+$Y$7</f>
        <v>-19.739516238059196</v>
      </c>
      <c r="H2957" s="7">
        <f t="shared" si="92"/>
        <v>-19.739516238059196</v>
      </c>
      <c r="I2957">
        <f t="shared" si="93"/>
        <v>6</v>
      </c>
      <c r="J2957" t="str" cm="1">
        <f t="array" ref="J2957">INDEX($A$2:$A$7,I2957)</f>
        <v>Segment 6- Self-Conscious Male</v>
      </c>
    </row>
    <row r="2958" spans="1:10" x14ac:dyDescent="0.25">
      <c r="A2958" s="1">
        <f>'batch tool'!A2952</f>
        <v>0</v>
      </c>
      <c r="B2958" s="7">
        <f>SUMPRODUCT($C$2:$X$2,'batch tool'!$B2952:$W2952)+$Y$2</f>
        <v>-49.12272534143483</v>
      </c>
      <c r="C2958" s="7">
        <f>SUMPRODUCT($C$3:$X$3,'batch tool'!$B2952:$W2952)+$Y$3</f>
        <v>-36.514029388465531</v>
      </c>
      <c r="D2958" s="7">
        <f>SUMPRODUCT($C$4:$X$4,'batch tool'!$B2952:$W2952)+$Y$4</f>
        <v>-44.639843068043824</v>
      </c>
      <c r="E2958" s="7">
        <f>SUMPRODUCT($C$5:$X$5,'batch tool'!$B2952:$W2952)+$Y$5</f>
        <v>-51.578889182477603</v>
      </c>
      <c r="F2958" s="7">
        <f>SUMPRODUCT($C$6:$X$6,'batch tool'!$B2952:$W2952)+$Y$6</f>
        <v>-47.741473633885199</v>
      </c>
      <c r="G2958" s="7">
        <f>SUMPRODUCT($C$7:$X$7,'batch tool'!$B2952:$W2952)+$Y$7</f>
        <v>-19.739516238059196</v>
      </c>
      <c r="H2958" s="7">
        <f t="shared" si="92"/>
        <v>-19.739516238059196</v>
      </c>
      <c r="I2958">
        <f t="shared" si="93"/>
        <v>6</v>
      </c>
      <c r="J2958" t="str" cm="1">
        <f t="array" ref="J2958">INDEX($A$2:$A$7,I2958)</f>
        <v>Segment 6- Self-Conscious Male</v>
      </c>
    </row>
    <row r="2959" spans="1:10" x14ac:dyDescent="0.25">
      <c r="A2959" s="1">
        <f>'batch tool'!A2953</f>
        <v>0</v>
      </c>
      <c r="B2959" s="7">
        <f>SUMPRODUCT($C$2:$X$2,'batch tool'!$B2953:$W2953)+$Y$2</f>
        <v>-49.12272534143483</v>
      </c>
      <c r="C2959" s="7">
        <f>SUMPRODUCT($C$3:$X$3,'batch tool'!$B2953:$W2953)+$Y$3</f>
        <v>-36.514029388465531</v>
      </c>
      <c r="D2959" s="7">
        <f>SUMPRODUCT($C$4:$X$4,'batch tool'!$B2953:$W2953)+$Y$4</f>
        <v>-44.639843068043824</v>
      </c>
      <c r="E2959" s="7">
        <f>SUMPRODUCT($C$5:$X$5,'batch tool'!$B2953:$W2953)+$Y$5</f>
        <v>-51.578889182477603</v>
      </c>
      <c r="F2959" s="7">
        <f>SUMPRODUCT($C$6:$X$6,'batch tool'!$B2953:$W2953)+$Y$6</f>
        <v>-47.741473633885199</v>
      </c>
      <c r="G2959" s="7">
        <f>SUMPRODUCT($C$7:$X$7,'batch tool'!$B2953:$W2953)+$Y$7</f>
        <v>-19.739516238059196</v>
      </c>
      <c r="H2959" s="7">
        <f t="shared" si="92"/>
        <v>-19.739516238059196</v>
      </c>
      <c r="I2959">
        <f t="shared" si="93"/>
        <v>6</v>
      </c>
      <c r="J2959" t="str" cm="1">
        <f t="array" ref="J2959">INDEX($A$2:$A$7,I2959)</f>
        <v>Segment 6- Self-Conscious Male</v>
      </c>
    </row>
    <row r="2960" spans="1:10" x14ac:dyDescent="0.25">
      <c r="A2960" s="1">
        <f>'batch tool'!A2954</f>
        <v>0</v>
      </c>
      <c r="B2960" s="7">
        <f>SUMPRODUCT($C$2:$X$2,'batch tool'!$B2954:$W2954)+$Y$2</f>
        <v>-49.12272534143483</v>
      </c>
      <c r="C2960" s="7">
        <f>SUMPRODUCT($C$3:$X$3,'batch tool'!$B2954:$W2954)+$Y$3</f>
        <v>-36.514029388465531</v>
      </c>
      <c r="D2960" s="7">
        <f>SUMPRODUCT($C$4:$X$4,'batch tool'!$B2954:$W2954)+$Y$4</f>
        <v>-44.639843068043824</v>
      </c>
      <c r="E2960" s="7">
        <f>SUMPRODUCT($C$5:$X$5,'batch tool'!$B2954:$W2954)+$Y$5</f>
        <v>-51.578889182477603</v>
      </c>
      <c r="F2960" s="7">
        <f>SUMPRODUCT($C$6:$X$6,'batch tool'!$B2954:$W2954)+$Y$6</f>
        <v>-47.741473633885199</v>
      </c>
      <c r="G2960" s="7">
        <f>SUMPRODUCT($C$7:$X$7,'batch tool'!$B2954:$W2954)+$Y$7</f>
        <v>-19.739516238059196</v>
      </c>
      <c r="H2960" s="7">
        <f t="shared" si="92"/>
        <v>-19.739516238059196</v>
      </c>
      <c r="I2960">
        <f t="shared" si="93"/>
        <v>6</v>
      </c>
      <c r="J2960" t="str" cm="1">
        <f t="array" ref="J2960">INDEX($A$2:$A$7,I2960)</f>
        <v>Segment 6- Self-Conscious Male</v>
      </c>
    </row>
    <row r="2961" spans="1:10" x14ac:dyDescent="0.25">
      <c r="A2961" s="1">
        <f>'batch tool'!A2955</f>
        <v>0</v>
      </c>
      <c r="B2961" s="7">
        <f>SUMPRODUCT($C$2:$X$2,'batch tool'!$B2955:$W2955)+$Y$2</f>
        <v>-49.12272534143483</v>
      </c>
      <c r="C2961" s="7">
        <f>SUMPRODUCT($C$3:$X$3,'batch tool'!$B2955:$W2955)+$Y$3</f>
        <v>-36.514029388465531</v>
      </c>
      <c r="D2961" s="7">
        <f>SUMPRODUCT($C$4:$X$4,'batch tool'!$B2955:$W2955)+$Y$4</f>
        <v>-44.639843068043824</v>
      </c>
      <c r="E2961" s="7">
        <f>SUMPRODUCT($C$5:$X$5,'batch tool'!$B2955:$W2955)+$Y$5</f>
        <v>-51.578889182477603</v>
      </c>
      <c r="F2961" s="7">
        <f>SUMPRODUCT($C$6:$X$6,'batch tool'!$B2955:$W2955)+$Y$6</f>
        <v>-47.741473633885199</v>
      </c>
      <c r="G2961" s="7">
        <f>SUMPRODUCT($C$7:$X$7,'batch tool'!$B2955:$W2955)+$Y$7</f>
        <v>-19.739516238059196</v>
      </c>
      <c r="H2961" s="7">
        <f t="shared" si="92"/>
        <v>-19.739516238059196</v>
      </c>
      <c r="I2961">
        <f t="shared" si="93"/>
        <v>6</v>
      </c>
      <c r="J2961" t="str" cm="1">
        <f t="array" ref="J2961">INDEX($A$2:$A$7,I2961)</f>
        <v>Segment 6- Self-Conscious Male</v>
      </c>
    </row>
    <row r="2962" spans="1:10" x14ac:dyDescent="0.25">
      <c r="A2962" s="1">
        <f>'batch tool'!A2956</f>
        <v>0</v>
      </c>
      <c r="B2962" s="7">
        <f>SUMPRODUCT($C$2:$X$2,'batch tool'!$B2956:$W2956)+$Y$2</f>
        <v>-49.12272534143483</v>
      </c>
      <c r="C2962" s="7">
        <f>SUMPRODUCT($C$3:$X$3,'batch tool'!$B2956:$W2956)+$Y$3</f>
        <v>-36.514029388465531</v>
      </c>
      <c r="D2962" s="7">
        <f>SUMPRODUCT($C$4:$X$4,'batch tool'!$B2956:$W2956)+$Y$4</f>
        <v>-44.639843068043824</v>
      </c>
      <c r="E2962" s="7">
        <f>SUMPRODUCT($C$5:$X$5,'batch tool'!$B2956:$W2956)+$Y$5</f>
        <v>-51.578889182477603</v>
      </c>
      <c r="F2962" s="7">
        <f>SUMPRODUCT($C$6:$X$6,'batch tool'!$B2956:$W2956)+$Y$6</f>
        <v>-47.741473633885199</v>
      </c>
      <c r="G2962" s="7">
        <f>SUMPRODUCT($C$7:$X$7,'batch tool'!$B2956:$W2956)+$Y$7</f>
        <v>-19.739516238059196</v>
      </c>
      <c r="H2962" s="7">
        <f t="shared" si="92"/>
        <v>-19.739516238059196</v>
      </c>
      <c r="I2962">
        <f t="shared" si="93"/>
        <v>6</v>
      </c>
      <c r="J2962" t="str" cm="1">
        <f t="array" ref="J2962">INDEX($A$2:$A$7,I2962)</f>
        <v>Segment 6- Self-Conscious Male</v>
      </c>
    </row>
    <row r="2963" spans="1:10" x14ac:dyDescent="0.25">
      <c r="A2963" s="1">
        <f>'batch tool'!A2957</f>
        <v>0</v>
      </c>
      <c r="B2963" s="7">
        <f>SUMPRODUCT($C$2:$X$2,'batch tool'!$B2957:$W2957)+$Y$2</f>
        <v>-49.12272534143483</v>
      </c>
      <c r="C2963" s="7">
        <f>SUMPRODUCT($C$3:$X$3,'batch tool'!$B2957:$W2957)+$Y$3</f>
        <v>-36.514029388465531</v>
      </c>
      <c r="D2963" s="7">
        <f>SUMPRODUCT($C$4:$X$4,'batch tool'!$B2957:$W2957)+$Y$4</f>
        <v>-44.639843068043824</v>
      </c>
      <c r="E2963" s="7">
        <f>SUMPRODUCT($C$5:$X$5,'batch tool'!$B2957:$W2957)+$Y$5</f>
        <v>-51.578889182477603</v>
      </c>
      <c r="F2963" s="7">
        <f>SUMPRODUCT($C$6:$X$6,'batch tool'!$B2957:$W2957)+$Y$6</f>
        <v>-47.741473633885199</v>
      </c>
      <c r="G2963" s="7">
        <f>SUMPRODUCT($C$7:$X$7,'batch tool'!$B2957:$W2957)+$Y$7</f>
        <v>-19.739516238059196</v>
      </c>
      <c r="H2963" s="7">
        <f t="shared" si="92"/>
        <v>-19.739516238059196</v>
      </c>
      <c r="I2963">
        <f t="shared" si="93"/>
        <v>6</v>
      </c>
      <c r="J2963" t="str" cm="1">
        <f t="array" ref="J2963">INDEX($A$2:$A$7,I2963)</f>
        <v>Segment 6- Self-Conscious Male</v>
      </c>
    </row>
    <row r="2964" spans="1:10" x14ac:dyDescent="0.25">
      <c r="A2964" s="1">
        <f>'batch tool'!A2958</f>
        <v>0</v>
      </c>
      <c r="B2964" s="7">
        <f>SUMPRODUCT($C$2:$X$2,'batch tool'!$B2958:$W2958)+$Y$2</f>
        <v>-49.12272534143483</v>
      </c>
      <c r="C2964" s="7">
        <f>SUMPRODUCT($C$3:$X$3,'batch tool'!$B2958:$W2958)+$Y$3</f>
        <v>-36.514029388465531</v>
      </c>
      <c r="D2964" s="7">
        <f>SUMPRODUCT($C$4:$X$4,'batch tool'!$B2958:$W2958)+$Y$4</f>
        <v>-44.639843068043824</v>
      </c>
      <c r="E2964" s="7">
        <f>SUMPRODUCT($C$5:$X$5,'batch tool'!$B2958:$W2958)+$Y$5</f>
        <v>-51.578889182477603</v>
      </c>
      <c r="F2964" s="7">
        <f>SUMPRODUCT($C$6:$X$6,'batch tool'!$B2958:$W2958)+$Y$6</f>
        <v>-47.741473633885199</v>
      </c>
      <c r="G2964" s="7">
        <f>SUMPRODUCT($C$7:$X$7,'batch tool'!$B2958:$W2958)+$Y$7</f>
        <v>-19.739516238059196</v>
      </c>
      <c r="H2964" s="7">
        <f t="shared" si="92"/>
        <v>-19.739516238059196</v>
      </c>
      <c r="I2964">
        <f t="shared" si="93"/>
        <v>6</v>
      </c>
      <c r="J2964" t="str" cm="1">
        <f t="array" ref="J2964">INDEX($A$2:$A$7,I2964)</f>
        <v>Segment 6- Self-Conscious Male</v>
      </c>
    </row>
    <row r="2965" spans="1:10" x14ac:dyDescent="0.25">
      <c r="A2965" s="1">
        <f>'batch tool'!A2959</f>
        <v>0</v>
      </c>
      <c r="B2965" s="7">
        <f>SUMPRODUCT($C$2:$X$2,'batch tool'!$B2959:$W2959)+$Y$2</f>
        <v>-49.12272534143483</v>
      </c>
      <c r="C2965" s="7">
        <f>SUMPRODUCT($C$3:$X$3,'batch tool'!$B2959:$W2959)+$Y$3</f>
        <v>-36.514029388465531</v>
      </c>
      <c r="D2965" s="7">
        <f>SUMPRODUCT($C$4:$X$4,'batch tool'!$B2959:$W2959)+$Y$4</f>
        <v>-44.639843068043824</v>
      </c>
      <c r="E2965" s="7">
        <f>SUMPRODUCT($C$5:$X$5,'batch tool'!$B2959:$W2959)+$Y$5</f>
        <v>-51.578889182477603</v>
      </c>
      <c r="F2965" s="7">
        <f>SUMPRODUCT($C$6:$X$6,'batch tool'!$B2959:$W2959)+$Y$6</f>
        <v>-47.741473633885199</v>
      </c>
      <c r="G2965" s="7">
        <f>SUMPRODUCT($C$7:$X$7,'batch tool'!$B2959:$W2959)+$Y$7</f>
        <v>-19.739516238059196</v>
      </c>
      <c r="H2965" s="7">
        <f t="shared" si="92"/>
        <v>-19.739516238059196</v>
      </c>
      <c r="I2965">
        <f t="shared" si="93"/>
        <v>6</v>
      </c>
      <c r="J2965" t="str" cm="1">
        <f t="array" ref="J2965">INDEX($A$2:$A$7,I2965)</f>
        <v>Segment 6- Self-Conscious Male</v>
      </c>
    </row>
    <row r="2966" spans="1:10" x14ac:dyDescent="0.25">
      <c r="A2966" s="1">
        <f>'batch tool'!A2960</f>
        <v>0</v>
      </c>
      <c r="B2966" s="7">
        <f>SUMPRODUCT($C$2:$X$2,'batch tool'!$B2960:$W2960)+$Y$2</f>
        <v>-49.12272534143483</v>
      </c>
      <c r="C2966" s="7">
        <f>SUMPRODUCT($C$3:$X$3,'batch tool'!$B2960:$W2960)+$Y$3</f>
        <v>-36.514029388465531</v>
      </c>
      <c r="D2966" s="7">
        <f>SUMPRODUCT($C$4:$X$4,'batch tool'!$B2960:$W2960)+$Y$4</f>
        <v>-44.639843068043824</v>
      </c>
      <c r="E2966" s="7">
        <f>SUMPRODUCT($C$5:$X$5,'batch tool'!$B2960:$W2960)+$Y$5</f>
        <v>-51.578889182477603</v>
      </c>
      <c r="F2966" s="7">
        <f>SUMPRODUCT($C$6:$X$6,'batch tool'!$B2960:$W2960)+$Y$6</f>
        <v>-47.741473633885199</v>
      </c>
      <c r="G2966" s="7">
        <f>SUMPRODUCT($C$7:$X$7,'batch tool'!$B2960:$W2960)+$Y$7</f>
        <v>-19.739516238059196</v>
      </c>
      <c r="H2966" s="7">
        <f t="shared" si="92"/>
        <v>-19.739516238059196</v>
      </c>
      <c r="I2966">
        <f t="shared" si="93"/>
        <v>6</v>
      </c>
      <c r="J2966" t="str" cm="1">
        <f t="array" ref="J2966">INDEX($A$2:$A$7,I2966)</f>
        <v>Segment 6- Self-Conscious Male</v>
      </c>
    </row>
    <row r="2967" spans="1:10" x14ac:dyDescent="0.25">
      <c r="A2967" s="1">
        <f>'batch tool'!A2961</f>
        <v>0</v>
      </c>
      <c r="B2967" s="7">
        <f>SUMPRODUCT($C$2:$X$2,'batch tool'!$B2961:$W2961)+$Y$2</f>
        <v>-49.12272534143483</v>
      </c>
      <c r="C2967" s="7">
        <f>SUMPRODUCT($C$3:$X$3,'batch tool'!$B2961:$W2961)+$Y$3</f>
        <v>-36.514029388465531</v>
      </c>
      <c r="D2967" s="7">
        <f>SUMPRODUCT($C$4:$X$4,'batch tool'!$B2961:$W2961)+$Y$4</f>
        <v>-44.639843068043824</v>
      </c>
      <c r="E2967" s="7">
        <f>SUMPRODUCT($C$5:$X$5,'batch tool'!$B2961:$W2961)+$Y$5</f>
        <v>-51.578889182477603</v>
      </c>
      <c r="F2967" s="7">
        <f>SUMPRODUCT($C$6:$X$6,'batch tool'!$B2961:$W2961)+$Y$6</f>
        <v>-47.741473633885199</v>
      </c>
      <c r="G2967" s="7">
        <f>SUMPRODUCT($C$7:$X$7,'batch tool'!$B2961:$W2961)+$Y$7</f>
        <v>-19.739516238059196</v>
      </c>
      <c r="H2967" s="7">
        <f t="shared" si="92"/>
        <v>-19.739516238059196</v>
      </c>
      <c r="I2967">
        <f t="shared" si="93"/>
        <v>6</v>
      </c>
      <c r="J2967" t="str" cm="1">
        <f t="array" ref="J2967">INDEX($A$2:$A$7,I2967)</f>
        <v>Segment 6- Self-Conscious Male</v>
      </c>
    </row>
    <row r="2968" spans="1:10" x14ac:dyDescent="0.25">
      <c r="A2968" s="1">
        <f>'batch tool'!A2962</f>
        <v>0</v>
      </c>
      <c r="B2968" s="7">
        <f>SUMPRODUCT($C$2:$X$2,'batch tool'!$B2962:$W2962)+$Y$2</f>
        <v>-49.12272534143483</v>
      </c>
      <c r="C2968" s="7">
        <f>SUMPRODUCT($C$3:$X$3,'batch tool'!$B2962:$W2962)+$Y$3</f>
        <v>-36.514029388465531</v>
      </c>
      <c r="D2968" s="7">
        <f>SUMPRODUCT($C$4:$X$4,'batch tool'!$B2962:$W2962)+$Y$4</f>
        <v>-44.639843068043824</v>
      </c>
      <c r="E2968" s="7">
        <f>SUMPRODUCT($C$5:$X$5,'batch tool'!$B2962:$W2962)+$Y$5</f>
        <v>-51.578889182477603</v>
      </c>
      <c r="F2968" s="7">
        <f>SUMPRODUCT($C$6:$X$6,'batch tool'!$B2962:$W2962)+$Y$6</f>
        <v>-47.741473633885199</v>
      </c>
      <c r="G2968" s="7">
        <f>SUMPRODUCT($C$7:$X$7,'batch tool'!$B2962:$W2962)+$Y$7</f>
        <v>-19.739516238059196</v>
      </c>
      <c r="H2968" s="7">
        <f t="shared" si="92"/>
        <v>-19.739516238059196</v>
      </c>
      <c r="I2968">
        <f t="shared" si="93"/>
        <v>6</v>
      </c>
      <c r="J2968" t="str" cm="1">
        <f t="array" ref="J2968">INDEX($A$2:$A$7,I2968)</f>
        <v>Segment 6- Self-Conscious Male</v>
      </c>
    </row>
    <row r="2969" spans="1:10" x14ac:dyDescent="0.25">
      <c r="A2969" s="1">
        <f>'batch tool'!A2963</f>
        <v>0</v>
      </c>
      <c r="B2969" s="7">
        <f>SUMPRODUCT($C$2:$X$2,'batch tool'!$B2963:$W2963)+$Y$2</f>
        <v>-49.12272534143483</v>
      </c>
      <c r="C2969" s="7">
        <f>SUMPRODUCT($C$3:$X$3,'batch tool'!$B2963:$W2963)+$Y$3</f>
        <v>-36.514029388465531</v>
      </c>
      <c r="D2969" s="7">
        <f>SUMPRODUCT($C$4:$X$4,'batch tool'!$B2963:$W2963)+$Y$4</f>
        <v>-44.639843068043824</v>
      </c>
      <c r="E2969" s="7">
        <f>SUMPRODUCT($C$5:$X$5,'batch tool'!$B2963:$W2963)+$Y$5</f>
        <v>-51.578889182477603</v>
      </c>
      <c r="F2969" s="7">
        <f>SUMPRODUCT($C$6:$X$6,'batch tool'!$B2963:$W2963)+$Y$6</f>
        <v>-47.741473633885199</v>
      </c>
      <c r="G2969" s="7">
        <f>SUMPRODUCT($C$7:$X$7,'batch tool'!$B2963:$W2963)+$Y$7</f>
        <v>-19.739516238059196</v>
      </c>
      <c r="H2969" s="7">
        <f t="shared" si="92"/>
        <v>-19.739516238059196</v>
      </c>
      <c r="I2969">
        <f t="shared" si="93"/>
        <v>6</v>
      </c>
      <c r="J2969" t="str" cm="1">
        <f t="array" ref="J2969">INDEX($A$2:$A$7,I2969)</f>
        <v>Segment 6- Self-Conscious Male</v>
      </c>
    </row>
    <row r="2970" spans="1:10" x14ac:dyDescent="0.25">
      <c r="A2970" s="1">
        <f>'batch tool'!A2964</f>
        <v>0</v>
      </c>
      <c r="B2970" s="7">
        <f>SUMPRODUCT($C$2:$X$2,'batch tool'!$B2964:$W2964)+$Y$2</f>
        <v>-49.12272534143483</v>
      </c>
      <c r="C2970" s="7">
        <f>SUMPRODUCT($C$3:$X$3,'batch tool'!$B2964:$W2964)+$Y$3</f>
        <v>-36.514029388465531</v>
      </c>
      <c r="D2970" s="7">
        <f>SUMPRODUCT($C$4:$X$4,'batch tool'!$B2964:$W2964)+$Y$4</f>
        <v>-44.639843068043824</v>
      </c>
      <c r="E2970" s="7">
        <f>SUMPRODUCT($C$5:$X$5,'batch tool'!$B2964:$W2964)+$Y$5</f>
        <v>-51.578889182477603</v>
      </c>
      <c r="F2970" s="7">
        <f>SUMPRODUCT($C$6:$X$6,'batch tool'!$B2964:$W2964)+$Y$6</f>
        <v>-47.741473633885199</v>
      </c>
      <c r="G2970" s="7">
        <f>SUMPRODUCT($C$7:$X$7,'batch tool'!$B2964:$W2964)+$Y$7</f>
        <v>-19.739516238059196</v>
      </c>
      <c r="H2970" s="7">
        <f t="shared" si="92"/>
        <v>-19.739516238059196</v>
      </c>
      <c r="I2970">
        <f t="shared" si="93"/>
        <v>6</v>
      </c>
      <c r="J2970" t="str" cm="1">
        <f t="array" ref="J2970">INDEX($A$2:$A$7,I2970)</f>
        <v>Segment 6- Self-Conscious Male</v>
      </c>
    </row>
    <row r="2971" spans="1:10" x14ac:dyDescent="0.25">
      <c r="A2971" s="1">
        <f>'batch tool'!A2965</f>
        <v>0</v>
      </c>
      <c r="B2971" s="7">
        <f>SUMPRODUCT($C$2:$X$2,'batch tool'!$B2965:$W2965)+$Y$2</f>
        <v>-49.12272534143483</v>
      </c>
      <c r="C2971" s="7">
        <f>SUMPRODUCT($C$3:$X$3,'batch tool'!$B2965:$W2965)+$Y$3</f>
        <v>-36.514029388465531</v>
      </c>
      <c r="D2971" s="7">
        <f>SUMPRODUCT($C$4:$X$4,'batch tool'!$B2965:$W2965)+$Y$4</f>
        <v>-44.639843068043824</v>
      </c>
      <c r="E2971" s="7">
        <f>SUMPRODUCT($C$5:$X$5,'batch tool'!$B2965:$W2965)+$Y$5</f>
        <v>-51.578889182477603</v>
      </c>
      <c r="F2971" s="7">
        <f>SUMPRODUCT($C$6:$X$6,'batch tool'!$B2965:$W2965)+$Y$6</f>
        <v>-47.741473633885199</v>
      </c>
      <c r="G2971" s="7">
        <f>SUMPRODUCT($C$7:$X$7,'batch tool'!$B2965:$W2965)+$Y$7</f>
        <v>-19.739516238059196</v>
      </c>
      <c r="H2971" s="7">
        <f t="shared" ref="H2971:H2996" si="94">MAX(B2971:G2971)</f>
        <v>-19.739516238059196</v>
      </c>
      <c r="I2971">
        <f t="shared" ref="I2971:I2996" si="95">MATCH(H2971,B2971:G2971,0)</f>
        <v>6</v>
      </c>
      <c r="J2971" t="str" cm="1">
        <f t="array" ref="J2971">INDEX($A$2:$A$7,I2971)</f>
        <v>Segment 6- Self-Conscious Male</v>
      </c>
    </row>
    <row r="2972" spans="1:10" x14ac:dyDescent="0.25">
      <c r="A2972" s="1">
        <f>'batch tool'!A2966</f>
        <v>0</v>
      </c>
      <c r="B2972" s="7">
        <f>SUMPRODUCT($C$2:$X$2,'batch tool'!$B2966:$W2966)+$Y$2</f>
        <v>-49.12272534143483</v>
      </c>
      <c r="C2972" s="7">
        <f>SUMPRODUCT($C$3:$X$3,'batch tool'!$B2966:$W2966)+$Y$3</f>
        <v>-36.514029388465531</v>
      </c>
      <c r="D2972" s="7">
        <f>SUMPRODUCT($C$4:$X$4,'batch tool'!$B2966:$W2966)+$Y$4</f>
        <v>-44.639843068043824</v>
      </c>
      <c r="E2972" s="7">
        <f>SUMPRODUCT($C$5:$X$5,'batch tool'!$B2966:$W2966)+$Y$5</f>
        <v>-51.578889182477603</v>
      </c>
      <c r="F2972" s="7">
        <f>SUMPRODUCT($C$6:$X$6,'batch tool'!$B2966:$W2966)+$Y$6</f>
        <v>-47.741473633885199</v>
      </c>
      <c r="G2972" s="7">
        <f>SUMPRODUCT($C$7:$X$7,'batch tool'!$B2966:$W2966)+$Y$7</f>
        <v>-19.739516238059196</v>
      </c>
      <c r="H2972" s="7">
        <f t="shared" si="94"/>
        <v>-19.739516238059196</v>
      </c>
      <c r="I2972">
        <f t="shared" si="95"/>
        <v>6</v>
      </c>
      <c r="J2972" t="str" cm="1">
        <f t="array" ref="J2972">INDEX($A$2:$A$7,I2972)</f>
        <v>Segment 6- Self-Conscious Male</v>
      </c>
    </row>
    <row r="2973" spans="1:10" x14ac:dyDescent="0.25">
      <c r="A2973" s="1">
        <f>'batch tool'!A2967</f>
        <v>0</v>
      </c>
      <c r="B2973" s="7">
        <f>SUMPRODUCT($C$2:$X$2,'batch tool'!$B2967:$W2967)+$Y$2</f>
        <v>-49.12272534143483</v>
      </c>
      <c r="C2973" s="7">
        <f>SUMPRODUCT($C$3:$X$3,'batch tool'!$B2967:$W2967)+$Y$3</f>
        <v>-36.514029388465531</v>
      </c>
      <c r="D2973" s="7">
        <f>SUMPRODUCT($C$4:$X$4,'batch tool'!$B2967:$W2967)+$Y$4</f>
        <v>-44.639843068043824</v>
      </c>
      <c r="E2973" s="7">
        <f>SUMPRODUCT($C$5:$X$5,'batch tool'!$B2967:$W2967)+$Y$5</f>
        <v>-51.578889182477603</v>
      </c>
      <c r="F2973" s="7">
        <f>SUMPRODUCT($C$6:$X$6,'batch tool'!$B2967:$W2967)+$Y$6</f>
        <v>-47.741473633885199</v>
      </c>
      <c r="G2973" s="7">
        <f>SUMPRODUCT($C$7:$X$7,'batch tool'!$B2967:$W2967)+$Y$7</f>
        <v>-19.739516238059196</v>
      </c>
      <c r="H2973" s="7">
        <f t="shared" si="94"/>
        <v>-19.739516238059196</v>
      </c>
      <c r="I2973">
        <f t="shared" si="95"/>
        <v>6</v>
      </c>
      <c r="J2973" t="str" cm="1">
        <f t="array" ref="J2973">INDEX($A$2:$A$7,I2973)</f>
        <v>Segment 6- Self-Conscious Male</v>
      </c>
    </row>
    <row r="2974" spans="1:10" x14ac:dyDescent="0.25">
      <c r="A2974" s="1">
        <f>'batch tool'!A2968</f>
        <v>0</v>
      </c>
      <c r="B2974" s="7">
        <f>SUMPRODUCT($C$2:$X$2,'batch tool'!$B2968:$W2968)+$Y$2</f>
        <v>-49.12272534143483</v>
      </c>
      <c r="C2974" s="7">
        <f>SUMPRODUCT($C$3:$X$3,'batch tool'!$B2968:$W2968)+$Y$3</f>
        <v>-36.514029388465531</v>
      </c>
      <c r="D2974" s="7">
        <f>SUMPRODUCT($C$4:$X$4,'batch tool'!$B2968:$W2968)+$Y$4</f>
        <v>-44.639843068043824</v>
      </c>
      <c r="E2974" s="7">
        <f>SUMPRODUCT($C$5:$X$5,'batch tool'!$B2968:$W2968)+$Y$5</f>
        <v>-51.578889182477603</v>
      </c>
      <c r="F2974" s="7">
        <f>SUMPRODUCT($C$6:$X$6,'batch tool'!$B2968:$W2968)+$Y$6</f>
        <v>-47.741473633885199</v>
      </c>
      <c r="G2974" s="7">
        <f>SUMPRODUCT($C$7:$X$7,'batch tool'!$B2968:$W2968)+$Y$7</f>
        <v>-19.739516238059196</v>
      </c>
      <c r="H2974" s="7">
        <f t="shared" si="94"/>
        <v>-19.739516238059196</v>
      </c>
      <c r="I2974">
        <f t="shared" si="95"/>
        <v>6</v>
      </c>
      <c r="J2974" t="str" cm="1">
        <f t="array" ref="J2974">INDEX($A$2:$A$7,I2974)</f>
        <v>Segment 6- Self-Conscious Male</v>
      </c>
    </row>
    <row r="2975" spans="1:10" x14ac:dyDescent="0.25">
      <c r="A2975" s="1">
        <f>'batch tool'!A2969</f>
        <v>0</v>
      </c>
      <c r="B2975" s="7">
        <f>SUMPRODUCT($C$2:$X$2,'batch tool'!$B2969:$W2969)+$Y$2</f>
        <v>-49.12272534143483</v>
      </c>
      <c r="C2975" s="7">
        <f>SUMPRODUCT($C$3:$X$3,'batch tool'!$B2969:$W2969)+$Y$3</f>
        <v>-36.514029388465531</v>
      </c>
      <c r="D2975" s="7">
        <f>SUMPRODUCT($C$4:$X$4,'batch tool'!$B2969:$W2969)+$Y$4</f>
        <v>-44.639843068043824</v>
      </c>
      <c r="E2975" s="7">
        <f>SUMPRODUCT($C$5:$X$5,'batch tool'!$B2969:$W2969)+$Y$5</f>
        <v>-51.578889182477603</v>
      </c>
      <c r="F2975" s="7">
        <f>SUMPRODUCT($C$6:$X$6,'batch tool'!$B2969:$W2969)+$Y$6</f>
        <v>-47.741473633885199</v>
      </c>
      <c r="G2975" s="7">
        <f>SUMPRODUCT($C$7:$X$7,'batch tool'!$B2969:$W2969)+$Y$7</f>
        <v>-19.739516238059196</v>
      </c>
      <c r="H2975" s="7">
        <f t="shared" si="94"/>
        <v>-19.739516238059196</v>
      </c>
      <c r="I2975">
        <f t="shared" si="95"/>
        <v>6</v>
      </c>
      <c r="J2975" t="str" cm="1">
        <f t="array" ref="J2975">INDEX($A$2:$A$7,I2975)</f>
        <v>Segment 6- Self-Conscious Male</v>
      </c>
    </row>
    <row r="2976" spans="1:10" x14ac:dyDescent="0.25">
      <c r="A2976" s="1">
        <f>'batch tool'!A2970</f>
        <v>0</v>
      </c>
      <c r="B2976" s="7">
        <f>SUMPRODUCT($C$2:$X$2,'batch tool'!$B2970:$W2970)+$Y$2</f>
        <v>-49.12272534143483</v>
      </c>
      <c r="C2976" s="7">
        <f>SUMPRODUCT($C$3:$X$3,'batch tool'!$B2970:$W2970)+$Y$3</f>
        <v>-36.514029388465531</v>
      </c>
      <c r="D2976" s="7">
        <f>SUMPRODUCT($C$4:$X$4,'batch tool'!$B2970:$W2970)+$Y$4</f>
        <v>-44.639843068043824</v>
      </c>
      <c r="E2976" s="7">
        <f>SUMPRODUCT($C$5:$X$5,'batch tool'!$B2970:$W2970)+$Y$5</f>
        <v>-51.578889182477603</v>
      </c>
      <c r="F2976" s="7">
        <f>SUMPRODUCT($C$6:$X$6,'batch tool'!$B2970:$W2970)+$Y$6</f>
        <v>-47.741473633885199</v>
      </c>
      <c r="G2976" s="7">
        <f>SUMPRODUCT($C$7:$X$7,'batch tool'!$B2970:$W2970)+$Y$7</f>
        <v>-19.739516238059196</v>
      </c>
      <c r="H2976" s="7">
        <f t="shared" si="94"/>
        <v>-19.739516238059196</v>
      </c>
      <c r="I2976">
        <f t="shared" si="95"/>
        <v>6</v>
      </c>
      <c r="J2976" t="str" cm="1">
        <f t="array" ref="J2976">INDEX($A$2:$A$7,I2976)</f>
        <v>Segment 6- Self-Conscious Male</v>
      </c>
    </row>
    <row r="2977" spans="1:10" x14ac:dyDescent="0.25">
      <c r="A2977" s="1">
        <f>'batch tool'!A2971</f>
        <v>0</v>
      </c>
      <c r="B2977" s="7">
        <f>SUMPRODUCT($C$2:$X$2,'batch tool'!$B2971:$W2971)+$Y$2</f>
        <v>-49.12272534143483</v>
      </c>
      <c r="C2977" s="7">
        <f>SUMPRODUCT($C$3:$X$3,'batch tool'!$B2971:$W2971)+$Y$3</f>
        <v>-36.514029388465531</v>
      </c>
      <c r="D2977" s="7">
        <f>SUMPRODUCT($C$4:$X$4,'batch tool'!$B2971:$W2971)+$Y$4</f>
        <v>-44.639843068043824</v>
      </c>
      <c r="E2977" s="7">
        <f>SUMPRODUCT($C$5:$X$5,'batch tool'!$B2971:$W2971)+$Y$5</f>
        <v>-51.578889182477603</v>
      </c>
      <c r="F2977" s="7">
        <f>SUMPRODUCT($C$6:$X$6,'batch tool'!$B2971:$W2971)+$Y$6</f>
        <v>-47.741473633885199</v>
      </c>
      <c r="G2977" s="7">
        <f>SUMPRODUCT($C$7:$X$7,'batch tool'!$B2971:$W2971)+$Y$7</f>
        <v>-19.739516238059196</v>
      </c>
      <c r="H2977" s="7">
        <f t="shared" si="94"/>
        <v>-19.739516238059196</v>
      </c>
      <c r="I2977">
        <f t="shared" si="95"/>
        <v>6</v>
      </c>
      <c r="J2977" t="str" cm="1">
        <f t="array" ref="J2977">INDEX($A$2:$A$7,I2977)</f>
        <v>Segment 6- Self-Conscious Male</v>
      </c>
    </row>
    <row r="2978" spans="1:10" x14ac:dyDescent="0.25">
      <c r="A2978" s="1">
        <f>'batch tool'!A2972</f>
        <v>0</v>
      </c>
      <c r="B2978" s="7">
        <f>SUMPRODUCT($C$2:$X$2,'batch tool'!$B2972:$W2972)+$Y$2</f>
        <v>-49.12272534143483</v>
      </c>
      <c r="C2978" s="7">
        <f>SUMPRODUCT($C$3:$X$3,'batch tool'!$B2972:$W2972)+$Y$3</f>
        <v>-36.514029388465531</v>
      </c>
      <c r="D2978" s="7">
        <f>SUMPRODUCT($C$4:$X$4,'batch tool'!$B2972:$W2972)+$Y$4</f>
        <v>-44.639843068043824</v>
      </c>
      <c r="E2978" s="7">
        <f>SUMPRODUCT($C$5:$X$5,'batch tool'!$B2972:$W2972)+$Y$5</f>
        <v>-51.578889182477603</v>
      </c>
      <c r="F2978" s="7">
        <f>SUMPRODUCT($C$6:$X$6,'batch tool'!$B2972:$W2972)+$Y$6</f>
        <v>-47.741473633885199</v>
      </c>
      <c r="G2978" s="7">
        <f>SUMPRODUCT($C$7:$X$7,'batch tool'!$B2972:$W2972)+$Y$7</f>
        <v>-19.739516238059196</v>
      </c>
      <c r="H2978" s="7">
        <f t="shared" si="94"/>
        <v>-19.739516238059196</v>
      </c>
      <c r="I2978">
        <f t="shared" si="95"/>
        <v>6</v>
      </c>
      <c r="J2978" t="str" cm="1">
        <f t="array" ref="J2978">INDEX($A$2:$A$7,I2978)</f>
        <v>Segment 6- Self-Conscious Male</v>
      </c>
    </row>
    <row r="2979" spans="1:10" x14ac:dyDescent="0.25">
      <c r="A2979" s="1">
        <f>'batch tool'!A2973</f>
        <v>0</v>
      </c>
      <c r="B2979" s="7">
        <f>SUMPRODUCT($C$2:$X$2,'batch tool'!$B2973:$W2973)+$Y$2</f>
        <v>-49.12272534143483</v>
      </c>
      <c r="C2979" s="7">
        <f>SUMPRODUCT($C$3:$X$3,'batch tool'!$B2973:$W2973)+$Y$3</f>
        <v>-36.514029388465531</v>
      </c>
      <c r="D2979" s="7">
        <f>SUMPRODUCT($C$4:$X$4,'batch tool'!$B2973:$W2973)+$Y$4</f>
        <v>-44.639843068043824</v>
      </c>
      <c r="E2979" s="7">
        <f>SUMPRODUCT($C$5:$X$5,'batch tool'!$B2973:$W2973)+$Y$5</f>
        <v>-51.578889182477603</v>
      </c>
      <c r="F2979" s="7">
        <f>SUMPRODUCT($C$6:$X$6,'batch tool'!$B2973:$W2973)+$Y$6</f>
        <v>-47.741473633885199</v>
      </c>
      <c r="G2979" s="7">
        <f>SUMPRODUCT($C$7:$X$7,'batch tool'!$B2973:$W2973)+$Y$7</f>
        <v>-19.739516238059196</v>
      </c>
      <c r="H2979" s="7">
        <f t="shared" si="94"/>
        <v>-19.739516238059196</v>
      </c>
      <c r="I2979">
        <f t="shared" si="95"/>
        <v>6</v>
      </c>
      <c r="J2979" t="str" cm="1">
        <f t="array" ref="J2979">INDEX($A$2:$A$7,I2979)</f>
        <v>Segment 6- Self-Conscious Male</v>
      </c>
    </row>
    <row r="2980" spans="1:10" x14ac:dyDescent="0.25">
      <c r="A2980" s="1">
        <f>'batch tool'!A2974</f>
        <v>0</v>
      </c>
      <c r="B2980" s="7">
        <f>SUMPRODUCT($C$2:$X$2,'batch tool'!$B2974:$W2974)+$Y$2</f>
        <v>-49.12272534143483</v>
      </c>
      <c r="C2980" s="7">
        <f>SUMPRODUCT($C$3:$X$3,'batch tool'!$B2974:$W2974)+$Y$3</f>
        <v>-36.514029388465531</v>
      </c>
      <c r="D2980" s="7">
        <f>SUMPRODUCT($C$4:$X$4,'batch tool'!$B2974:$W2974)+$Y$4</f>
        <v>-44.639843068043824</v>
      </c>
      <c r="E2980" s="7">
        <f>SUMPRODUCT($C$5:$X$5,'batch tool'!$B2974:$W2974)+$Y$5</f>
        <v>-51.578889182477603</v>
      </c>
      <c r="F2980" s="7">
        <f>SUMPRODUCT($C$6:$X$6,'batch tool'!$B2974:$W2974)+$Y$6</f>
        <v>-47.741473633885199</v>
      </c>
      <c r="G2980" s="7">
        <f>SUMPRODUCT($C$7:$X$7,'batch tool'!$B2974:$W2974)+$Y$7</f>
        <v>-19.739516238059196</v>
      </c>
      <c r="H2980" s="7">
        <f t="shared" si="94"/>
        <v>-19.739516238059196</v>
      </c>
      <c r="I2980">
        <f t="shared" si="95"/>
        <v>6</v>
      </c>
      <c r="J2980" t="str" cm="1">
        <f t="array" ref="J2980">INDEX($A$2:$A$7,I2980)</f>
        <v>Segment 6- Self-Conscious Male</v>
      </c>
    </row>
    <row r="2981" spans="1:10" x14ac:dyDescent="0.25">
      <c r="A2981" s="1">
        <f>'batch tool'!A2975</f>
        <v>0</v>
      </c>
      <c r="B2981" s="7">
        <f>SUMPRODUCT($C$2:$X$2,'batch tool'!$B2975:$W2975)+$Y$2</f>
        <v>-49.12272534143483</v>
      </c>
      <c r="C2981" s="7">
        <f>SUMPRODUCT($C$3:$X$3,'batch tool'!$B2975:$W2975)+$Y$3</f>
        <v>-36.514029388465531</v>
      </c>
      <c r="D2981" s="7">
        <f>SUMPRODUCT($C$4:$X$4,'batch tool'!$B2975:$W2975)+$Y$4</f>
        <v>-44.639843068043824</v>
      </c>
      <c r="E2981" s="7">
        <f>SUMPRODUCT($C$5:$X$5,'batch tool'!$B2975:$W2975)+$Y$5</f>
        <v>-51.578889182477603</v>
      </c>
      <c r="F2981" s="7">
        <f>SUMPRODUCT($C$6:$X$6,'batch tool'!$B2975:$W2975)+$Y$6</f>
        <v>-47.741473633885199</v>
      </c>
      <c r="G2981" s="7">
        <f>SUMPRODUCT($C$7:$X$7,'batch tool'!$B2975:$W2975)+$Y$7</f>
        <v>-19.739516238059196</v>
      </c>
      <c r="H2981" s="7">
        <f t="shared" si="94"/>
        <v>-19.739516238059196</v>
      </c>
      <c r="I2981">
        <f t="shared" si="95"/>
        <v>6</v>
      </c>
      <c r="J2981" t="str" cm="1">
        <f t="array" ref="J2981">INDEX($A$2:$A$7,I2981)</f>
        <v>Segment 6- Self-Conscious Male</v>
      </c>
    </row>
    <row r="2982" spans="1:10" x14ac:dyDescent="0.25">
      <c r="A2982" s="1">
        <f>'batch tool'!A2976</f>
        <v>0</v>
      </c>
      <c r="B2982" s="7">
        <f>SUMPRODUCT($C$2:$X$2,'batch tool'!$B2976:$W2976)+$Y$2</f>
        <v>-49.12272534143483</v>
      </c>
      <c r="C2982" s="7">
        <f>SUMPRODUCT($C$3:$X$3,'batch tool'!$B2976:$W2976)+$Y$3</f>
        <v>-36.514029388465531</v>
      </c>
      <c r="D2982" s="7">
        <f>SUMPRODUCT($C$4:$X$4,'batch tool'!$B2976:$W2976)+$Y$4</f>
        <v>-44.639843068043824</v>
      </c>
      <c r="E2982" s="7">
        <f>SUMPRODUCT($C$5:$X$5,'batch tool'!$B2976:$W2976)+$Y$5</f>
        <v>-51.578889182477603</v>
      </c>
      <c r="F2982" s="7">
        <f>SUMPRODUCT($C$6:$X$6,'batch tool'!$B2976:$W2976)+$Y$6</f>
        <v>-47.741473633885199</v>
      </c>
      <c r="G2982" s="7">
        <f>SUMPRODUCT($C$7:$X$7,'batch tool'!$B2976:$W2976)+$Y$7</f>
        <v>-19.739516238059196</v>
      </c>
      <c r="H2982" s="7">
        <f t="shared" si="94"/>
        <v>-19.739516238059196</v>
      </c>
      <c r="I2982">
        <f t="shared" si="95"/>
        <v>6</v>
      </c>
      <c r="J2982" t="str" cm="1">
        <f t="array" ref="J2982">INDEX($A$2:$A$7,I2982)</f>
        <v>Segment 6- Self-Conscious Male</v>
      </c>
    </row>
    <row r="2983" spans="1:10" x14ac:dyDescent="0.25">
      <c r="A2983" s="1">
        <f>'batch tool'!A2977</f>
        <v>0</v>
      </c>
      <c r="B2983" s="7">
        <f>SUMPRODUCT($C$2:$X$2,'batch tool'!$B2977:$W2977)+$Y$2</f>
        <v>-49.12272534143483</v>
      </c>
      <c r="C2983" s="7">
        <f>SUMPRODUCT($C$3:$X$3,'batch tool'!$B2977:$W2977)+$Y$3</f>
        <v>-36.514029388465531</v>
      </c>
      <c r="D2983" s="7">
        <f>SUMPRODUCT($C$4:$X$4,'batch tool'!$B2977:$W2977)+$Y$4</f>
        <v>-44.639843068043824</v>
      </c>
      <c r="E2983" s="7">
        <f>SUMPRODUCT($C$5:$X$5,'batch tool'!$B2977:$W2977)+$Y$5</f>
        <v>-51.578889182477603</v>
      </c>
      <c r="F2983" s="7">
        <f>SUMPRODUCT($C$6:$X$6,'batch tool'!$B2977:$W2977)+$Y$6</f>
        <v>-47.741473633885199</v>
      </c>
      <c r="G2983" s="7">
        <f>SUMPRODUCT($C$7:$X$7,'batch tool'!$B2977:$W2977)+$Y$7</f>
        <v>-19.739516238059196</v>
      </c>
      <c r="H2983" s="7">
        <f t="shared" si="94"/>
        <v>-19.739516238059196</v>
      </c>
      <c r="I2983">
        <f t="shared" si="95"/>
        <v>6</v>
      </c>
      <c r="J2983" t="str" cm="1">
        <f t="array" ref="J2983">INDEX($A$2:$A$7,I2983)</f>
        <v>Segment 6- Self-Conscious Male</v>
      </c>
    </row>
    <row r="2984" spans="1:10" x14ac:dyDescent="0.25">
      <c r="A2984" s="1">
        <f>'batch tool'!A2978</f>
        <v>0</v>
      </c>
      <c r="B2984" s="7">
        <f>SUMPRODUCT($C$2:$X$2,'batch tool'!$B2978:$W2978)+$Y$2</f>
        <v>-49.12272534143483</v>
      </c>
      <c r="C2984" s="7">
        <f>SUMPRODUCT($C$3:$X$3,'batch tool'!$B2978:$W2978)+$Y$3</f>
        <v>-36.514029388465531</v>
      </c>
      <c r="D2984" s="7">
        <f>SUMPRODUCT($C$4:$X$4,'batch tool'!$B2978:$W2978)+$Y$4</f>
        <v>-44.639843068043824</v>
      </c>
      <c r="E2984" s="7">
        <f>SUMPRODUCT($C$5:$X$5,'batch tool'!$B2978:$W2978)+$Y$5</f>
        <v>-51.578889182477603</v>
      </c>
      <c r="F2984" s="7">
        <f>SUMPRODUCT($C$6:$X$6,'batch tool'!$B2978:$W2978)+$Y$6</f>
        <v>-47.741473633885199</v>
      </c>
      <c r="G2984" s="7">
        <f>SUMPRODUCT($C$7:$X$7,'batch tool'!$B2978:$W2978)+$Y$7</f>
        <v>-19.739516238059196</v>
      </c>
      <c r="H2984" s="7">
        <f t="shared" si="94"/>
        <v>-19.739516238059196</v>
      </c>
      <c r="I2984">
        <f t="shared" si="95"/>
        <v>6</v>
      </c>
      <c r="J2984" t="str" cm="1">
        <f t="array" ref="J2984">INDEX($A$2:$A$7,I2984)</f>
        <v>Segment 6- Self-Conscious Male</v>
      </c>
    </row>
    <row r="2985" spans="1:10" x14ac:dyDescent="0.25">
      <c r="A2985" s="1">
        <f>'batch tool'!A2979</f>
        <v>0</v>
      </c>
      <c r="B2985" s="7">
        <f>SUMPRODUCT($C$2:$X$2,'batch tool'!$B2979:$W2979)+$Y$2</f>
        <v>-49.12272534143483</v>
      </c>
      <c r="C2985" s="7">
        <f>SUMPRODUCT($C$3:$X$3,'batch tool'!$B2979:$W2979)+$Y$3</f>
        <v>-36.514029388465531</v>
      </c>
      <c r="D2985" s="7">
        <f>SUMPRODUCT($C$4:$X$4,'batch tool'!$B2979:$W2979)+$Y$4</f>
        <v>-44.639843068043824</v>
      </c>
      <c r="E2985" s="7">
        <f>SUMPRODUCT($C$5:$X$5,'batch tool'!$B2979:$W2979)+$Y$5</f>
        <v>-51.578889182477603</v>
      </c>
      <c r="F2985" s="7">
        <f>SUMPRODUCT($C$6:$X$6,'batch tool'!$B2979:$W2979)+$Y$6</f>
        <v>-47.741473633885199</v>
      </c>
      <c r="G2985" s="7">
        <f>SUMPRODUCT($C$7:$X$7,'batch tool'!$B2979:$W2979)+$Y$7</f>
        <v>-19.739516238059196</v>
      </c>
      <c r="H2985" s="7">
        <f t="shared" si="94"/>
        <v>-19.739516238059196</v>
      </c>
      <c r="I2985">
        <f t="shared" si="95"/>
        <v>6</v>
      </c>
      <c r="J2985" t="str" cm="1">
        <f t="array" ref="J2985">INDEX($A$2:$A$7,I2985)</f>
        <v>Segment 6- Self-Conscious Male</v>
      </c>
    </row>
    <row r="2986" spans="1:10" x14ac:dyDescent="0.25">
      <c r="A2986" s="1">
        <f>'batch tool'!A2980</f>
        <v>0</v>
      </c>
      <c r="B2986" s="7">
        <f>SUMPRODUCT($C$2:$X$2,'batch tool'!$B2980:$W2980)+$Y$2</f>
        <v>-49.12272534143483</v>
      </c>
      <c r="C2986" s="7">
        <f>SUMPRODUCT($C$3:$X$3,'batch tool'!$B2980:$W2980)+$Y$3</f>
        <v>-36.514029388465531</v>
      </c>
      <c r="D2986" s="7">
        <f>SUMPRODUCT($C$4:$X$4,'batch tool'!$B2980:$W2980)+$Y$4</f>
        <v>-44.639843068043824</v>
      </c>
      <c r="E2986" s="7">
        <f>SUMPRODUCT($C$5:$X$5,'batch tool'!$B2980:$W2980)+$Y$5</f>
        <v>-51.578889182477603</v>
      </c>
      <c r="F2986" s="7">
        <f>SUMPRODUCT($C$6:$X$6,'batch tool'!$B2980:$W2980)+$Y$6</f>
        <v>-47.741473633885199</v>
      </c>
      <c r="G2986" s="7">
        <f>SUMPRODUCT($C$7:$X$7,'batch tool'!$B2980:$W2980)+$Y$7</f>
        <v>-19.739516238059196</v>
      </c>
      <c r="H2986" s="7">
        <f t="shared" si="94"/>
        <v>-19.739516238059196</v>
      </c>
      <c r="I2986">
        <f t="shared" si="95"/>
        <v>6</v>
      </c>
      <c r="J2986" t="str" cm="1">
        <f t="array" ref="J2986">INDEX($A$2:$A$7,I2986)</f>
        <v>Segment 6- Self-Conscious Male</v>
      </c>
    </row>
    <row r="2987" spans="1:10" x14ac:dyDescent="0.25">
      <c r="A2987" s="1">
        <f>'batch tool'!A2981</f>
        <v>0</v>
      </c>
      <c r="B2987" s="7">
        <f>SUMPRODUCT($C$2:$X$2,'batch tool'!$B2981:$W2981)+$Y$2</f>
        <v>-49.12272534143483</v>
      </c>
      <c r="C2987" s="7">
        <f>SUMPRODUCT($C$3:$X$3,'batch tool'!$B2981:$W2981)+$Y$3</f>
        <v>-36.514029388465531</v>
      </c>
      <c r="D2987" s="7">
        <f>SUMPRODUCT($C$4:$X$4,'batch tool'!$B2981:$W2981)+$Y$4</f>
        <v>-44.639843068043824</v>
      </c>
      <c r="E2987" s="7">
        <f>SUMPRODUCT($C$5:$X$5,'batch tool'!$B2981:$W2981)+$Y$5</f>
        <v>-51.578889182477603</v>
      </c>
      <c r="F2987" s="7">
        <f>SUMPRODUCT($C$6:$X$6,'batch tool'!$B2981:$W2981)+$Y$6</f>
        <v>-47.741473633885199</v>
      </c>
      <c r="G2987" s="7">
        <f>SUMPRODUCT($C$7:$X$7,'batch tool'!$B2981:$W2981)+$Y$7</f>
        <v>-19.739516238059196</v>
      </c>
      <c r="H2987" s="7">
        <f t="shared" si="94"/>
        <v>-19.739516238059196</v>
      </c>
      <c r="I2987">
        <f t="shared" si="95"/>
        <v>6</v>
      </c>
      <c r="J2987" t="str" cm="1">
        <f t="array" ref="J2987">INDEX($A$2:$A$7,I2987)</f>
        <v>Segment 6- Self-Conscious Male</v>
      </c>
    </row>
    <row r="2988" spans="1:10" x14ac:dyDescent="0.25">
      <c r="A2988" s="1">
        <f>'batch tool'!A2982</f>
        <v>0</v>
      </c>
      <c r="B2988" s="7">
        <f>SUMPRODUCT($C$2:$X$2,'batch tool'!$B2982:$W2982)+$Y$2</f>
        <v>-49.12272534143483</v>
      </c>
      <c r="C2988" s="7">
        <f>SUMPRODUCT($C$3:$X$3,'batch tool'!$B2982:$W2982)+$Y$3</f>
        <v>-36.514029388465531</v>
      </c>
      <c r="D2988" s="7">
        <f>SUMPRODUCT($C$4:$X$4,'batch tool'!$B2982:$W2982)+$Y$4</f>
        <v>-44.639843068043824</v>
      </c>
      <c r="E2988" s="7">
        <f>SUMPRODUCT($C$5:$X$5,'batch tool'!$B2982:$W2982)+$Y$5</f>
        <v>-51.578889182477603</v>
      </c>
      <c r="F2988" s="7">
        <f>SUMPRODUCT($C$6:$X$6,'batch tool'!$B2982:$W2982)+$Y$6</f>
        <v>-47.741473633885199</v>
      </c>
      <c r="G2988" s="7">
        <f>SUMPRODUCT($C$7:$X$7,'batch tool'!$B2982:$W2982)+$Y$7</f>
        <v>-19.739516238059196</v>
      </c>
      <c r="H2988" s="7">
        <f t="shared" si="94"/>
        <v>-19.739516238059196</v>
      </c>
      <c r="I2988">
        <f t="shared" si="95"/>
        <v>6</v>
      </c>
      <c r="J2988" t="str" cm="1">
        <f t="array" ref="J2988">INDEX($A$2:$A$7,I2988)</f>
        <v>Segment 6- Self-Conscious Male</v>
      </c>
    </row>
    <row r="2989" spans="1:10" x14ac:dyDescent="0.25">
      <c r="A2989" s="1">
        <f>'batch tool'!A2983</f>
        <v>0</v>
      </c>
      <c r="B2989" s="7">
        <f>SUMPRODUCT($C$2:$X$2,'batch tool'!$B2983:$W2983)+$Y$2</f>
        <v>-49.12272534143483</v>
      </c>
      <c r="C2989" s="7">
        <f>SUMPRODUCT($C$3:$X$3,'batch tool'!$B2983:$W2983)+$Y$3</f>
        <v>-36.514029388465531</v>
      </c>
      <c r="D2989" s="7">
        <f>SUMPRODUCT($C$4:$X$4,'batch tool'!$B2983:$W2983)+$Y$4</f>
        <v>-44.639843068043824</v>
      </c>
      <c r="E2989" s="7">
        <f>SUMPRODUCT($C$5:$X$5,'batch tool'!$B2983:$W2983)+$Y$5</f>
        <v>-51.578889182477603</v>
      </c>
      <c r="F2989" s="7">
        <f>SUMPRODUCT($C$6:$X$6,'batch tool'!$B2983:$W2983)+$Y$6</f>
        <v>-47.741473633885199</v>
      </c>
      <c r="G2989" s="7">
        <f>SUMPRODUCT($C$7:$X$7,'batch tool'!$B2983:$W2983)+$Y$7</f>
        <v>-19.739516238059196</v>
      </c>
      <c r="H2989" s="7">
        <f t="shared" si="94"/>
        <v>-19.739516238059196</v>
      </c>
      <c r="I2989">
        <f t="shared" si="95"/>
        <v>6</v>
      </c>
      <c r="J2989" t="str" cm="1">
        <f t="array" ref="J2989">INDEX($A$2:$A$7,I2989)</f>
        <v>Segment 6- Self-Conscious Male</v>
      </c>
    </row>
    <row r="2990" spans="1:10" x14ac:dyDescent="0.25">
      <c r="A2990" s="1">
        <f>'batch tool'!A2984</f>
        <v>0</v>
      </c>
      <c r="B2990" s="7">
        <f>SUMPRODUCT($C$2:$X$2,'batch tool'!$B2984:$W2984)+$Y$2</f>
        <v>-49.12272534143483</v>
      </c>
      <c r="C2990" s="7">
        <f>SUMPRODUCT($C$3:$X$3,'batch tool'!$B2984:$W2984)+$Y$3</f>
        <v>-36.514029388465531</v>
      </c>
      <c r="D2990" s="7">
        <f>SUMPRODUCT($C$4:$X$4,'batch tool'!$B2984:$W2984)+$Y$4</f>
        <v>-44.639843068043824</v>
      </c>
      <c r="E2990" s="7">
        <f>SUMPRODUCT($C$5:$X$5,'batch tool'!$B2984:$W2984)+$Y$5</f>
        <v>-51.578889182477603</v>
      </c>
      <c r="F2990" s="7">
        <f>SUMPRODUCT($C$6:$X$6,'batch tool'!$B2984:$W2984)+$Y$6</f>
        <v>-47.741473633885199</v>
      </c>
      <c r="G2990" s="7">
        <f>SUMPRODUCT($C$7:$X$7,'batch tool'!$B2984:$W2984)+$Y$7</f>
        <v>-19.739516238059196</v>
      </c>
      <c r="H2990" s="7">
        <f t="shared" si="94"/>
        <v>-19.739516238059196</v>
      </c>
      <c r="I2990">
        <f t="shared" si="95"/>
        <v>6</v>
      </c>
      <c r="J2990" t="str" cm="1">
        <f t="array" ref="J2990">INDEX($A$2:$A$7,I2990)</f>
        <v>Segment 6- Self-Conscious Male</v>
      </c>
    </row>
    <row r="2991" spans="1:10" x14ac:dyDescent="0.25">
      <c r="A2991" s="1">
        <f>'batch tool'!A2985</f>
        <v>0</v>
      </c>
      <c r="B2991" s="7">
        <f>SUMPRODUCT($C$2:$X$2,'batch tool'!$B2985:$W2985)+$Y$2</f>
        <v>-49.12272534143483</v>
      </c>
      <c r="C2991" s="7">
        <f>SUMPRODUCT($C$3:$X$3,'batch tool'!$B2985:$W2985)+$Y$3</f>
        <v>-36.514029388465531</v>
      </c>
      <c r="D2991" s="7">
        <f>SUMPRODUCT($C$4:$X$4,'batch tool'!$B2985:$W2985)+$Y$4</f>
        <v>-44.639843068043824</v>
      </c>
      <c r="E2991" s="7">
        <f>SUMPRODUCT($C$5:$X$5,'batch tool'!$B2985:$W2985)+$Y$5</f>
        <v>-51.578889182477603</v>
      </c>
      <c r="F2991" s="7">
        <f>SUMPRODUCT($C$6:$X$6,'batch tool'!$B2985:$W2985)+$Y$6</f>
        <v>-47.741473633885199</v>
      </c>
      <c r="G2991" s="7">
        <f>SUMPRODUCT($C$7:$X$7,'batch tool'!$B2985:$W2985)+$Y$7</f>
        <v>-19.739516238059196</v>
      </c>
      <c r="H2991" s="7">
        <f t="shared" si="94"/>
        <v>-19.739516238059196</v>
      </c>
      <c r="I2991">
        <f t="shared" si="95"/>
        <v>6</v>
      </c>
      <c r="J2991" t="str" cm="1">
        <f t="array" ref="J2991">INDEX($A$2:$A$7,I2991)</f>
        <v>Segment 6- Self-Conscious Male</v>
      </c>
    </row>
    <row r="2992" spans="1:10" x14ac:dyDescent="0.25">
      <c r="A2992" s="1">
        <f>'batch tool'!A2986</f>
        <v>0</v>
      </c>
      <c r="B2992" s="7">
        <f>SUMPRODUCT($C$2:$X$2,'batch tool'!$B2986:$W2986)+$Y$2</f>
        <v>-49.12272534143483</v>
      </c>
      <c r="C2992" s="7">
        <f>SUMPRODUCT($C$3:$X$3,'batch tool'!$B2986:$W2986)+$Y$3</f>
        <v>-36.514029388465531</v>
      </c>
      <c r="D2992" s="7">
        <f>SUMPRODUCT($C$4:$X$4,'batch tool'!$B2986:$W2986)+$Y$4</f>
        <v>-44.639843068043824</v>
      </c>
      <c r="E2992" s="7">
        <f>SUMPRODUCT($C$5:$X$5,'batch tool'!$B2986:$W2986)+$Y$5</f>
        <v>-51.578889182477603</v>
      </c>
      <c r="F2992" s="7">
        <f>SUMPRODUCT($C$6:$X$6,'batch tool'!$B2986:$W2986)+$Y$6</f>
        <v>-47.741473633885199</v>
      </c>
      <c r="G2992" s="7">
        <f>SUMPRODUCT($C$7:$X$7,'batch tool'!$B2986:$W2986)+$Y$7</f>
        <v>-19.739516238059196</v>
      </c>
      <c r="H2992" s="7">
        <f t="shared" si="94"/>
        <v>-19.739516238059196</v>
      </c>
      <c r="I2992">
        <f t="shared" si="95"/>
        <v>6</v>
      </c>
      <c r="J2992" t="str" cm="1">
        <f t="array" ref="J2992">INDEX($A$2:$A$7,I2992)</f>
        <v>Segment 6- Self-Conscious Male</v>
      </c>
    </row>
    <row r="2993" spans="1:10" x14ac:dyDescent="0.25">
      <c r="A2993" s="1">
        <f>'batch tool'!A2987</f>
        <v>0</v>
      </c>
      <c r="B2993" s="7">
        <f>SUMPRODUCT($C$2:$X$2,'batch tool'!$B2987:$W2987)+$Y$2</f>
        <v>-49.12272534143483</v>
      </c>
      <c r="C2993" s="7">
        <f>SUMPRODUCT($C$3:$X$3,'batch tool'!$B2987:$W2987)+$Y$3</f>
        <v>-36.514029388465531</v>
      </c>
      <c r="D2993" s="7">
        <f>SUMPRODUCT($C$4:$X$4,'batch tool'!$B2987:$W2987)+$Y$4</f>
        <v>-44.639843068043824</v>
      </c>
      <c r="E2993" s="7">
        <f>SUMPRODUCT($C$5:$X$5,'batch tool'!$B2987:$W2987)+$Y$5</f>
        <v>-51.578889182477603</v>
      </c>
      <c r="F2993" s="7">
        <f>SUMPRODUCT($C$6:$X$6,'batch tool'!$B2987:$W2987)+$Y$6</f>
        <v>-47.741473633885199</v>
      </c>
      <c r="G2993" s="7">
        <f>SUMPRODUCT($C$7:$X$7,'batch tool'!$B2987:$W2987)+$Y$7</f>
        <v>-19.739516238059196</v>
      </c>
      <c r="H2993" s="7">
        <f t="shared" si="94"/>
        <v>-19.739516238059196</v>
      </c>
      <c r="I2993">
        <f t="shared" si="95"/>
        <v>6</v>
      </c>
      <c r="J2993" t="str" cm="1">
        <f t="array" ref="J2993">INDEX($A$2:$A$7,I2993)</f>
        <v>Segment 6- Self-Conscious Male</v>
      </c>
    </row>
    <row r="2994" spans="1:10" x14ac:dyDescent="0.25">
      <c r="A2994" s="1">
        <f>'batch tool'!A2988</f>
        <v>0</v>
      </c>
      <c r="B2994" s="7">
        <f>SUMPRODUCT($C$2:$X$2,'batch tool'!$B2988:$W2988)+$Y$2</f>
        <v>-49.12272534143483</v>
      </c>
      <c r="C2994" s="7">
        <f>SUMPRODUCT($C$3:$X$3,'batch tool'!$B2988:$W2988)+$Y$3</f>
        <v>-36.514029388465531</v>
      </c>
      <c r="D2994" s="7">
        <f>SUMPRODUCT($C$4:$X$4,'batch tool'!$B2988:$W2988)+$Y$4</f>
        <v>-44.639843068043824</v>
      </c>
      <c r="E2994" s="7">
        <f>SUMPRODUCT($C$5:$X$5,'batch tool'!$B2988:$W2988)+$Y$5</f>
        <v>-51.578889182477603</v>
      </c>
      <c r="F2994" s="7">
        <f>SUMPRODUCT($C$6:$X$6,'batch tool'!$B2988:$W2988)+$Y$6</f>
        <v>-47.741473633885199</v>
      </c>
      <c r="G2994" s="7">
        <f>SUMPRODUCT($C$7:$X$7,'batch tool'!$B2988:$W2988)+$Y$7</f>
        <v>-19.739516238059196</v>
      </c>
      <c r="H2994" s="7">
        <f t="shared" si="94"/>
        <v>-19.739516238059196</v>
      </c>
      <c r="I2994">
        <f t="shared" si="95"/>
        <v>6</v>
      </c>
      <c r="J2994" t="str" cm="1">
        <f t="array" ref="J2994">INDEX($A$2:$A$7,I2994)</f>
        <v>Segment 6- Self-Conscious Male</v>
      </c>
    </row>
    <row r="2995" spans="1:10" x14ac:dyDescent="0.25">
      <c r="A2995" s="1">
        <f>'batch tool'!A2989</f>
        <v>0</v>
      </c>
      <c r="B2995" s="7">
        <f>SUMPRODUCT($C$2:$X$2,'batch tool'!$B2989:$W2989)+$Y$2</f>
        <v>-49.12272534143483</v>
      </c>
      <c r="C2995" s="7">
        <f>SUMPRODUCT($C$3:$X$3,'batch tool'!$B2989:$W2989)+$Y$3</f>
        <v>-36.514029388465531</v>
      </c>
      <c r="D2995" s="7">
        <f>SUMPRODUCT($C$4:$X$4,'batch tool'!$B2989:$W2989)+$Y$4</f>
        <v>-44.639843068043824</v>
      </c>
      <c r="E2995" s="7">
        <f>SUMPRODUCT($C$5:$X$5,'batch tool'!$B2989:$W2989)+$Y$5</f>
        <v>-51.578889182477603</v>
      </c>
      <c r="F2995" s="7">
        <f>SUMPRODUCT($C$6:$X$6,'batch tool'!$B2989:$W2989)+$Y$6</f>
        <v>-47.741473633885199</v>
      </c>
      <c r="G2995" s="7">
        <f>SUMPRODUCT($C$7:$X$7,'batch tool'!$B2989:$W2989)+$Y$7</f>
        <v>-19.739516238059196</v>
      </c>
      <c r="H2995" s="7">
        <f t="shared" si="94"/>
        <v>-19.739516238059196</v>
      </c>
      <c r="I2995">
        <f t="shared" si="95"/>
        <v>6</v>
      </c>
      <c r="J2995" t="str" cm="1">
        <f t="array" ref="J2995">INDEX($A$2:$A$7,I2995)</f>
        <v>Segment 6- Self-Conscious Male</v>
      </c>
    </row>
    <row r="2996" spans="1:10" x14ac:dyDescent="0.25">
      <c r="A2996" s="1">
        <f>'batch tool'!A2990</f>
        <v>0</v>
      </c>
      <c r="B2996" s="7">
        <f>SUMPRODUCT($C$2:$X$2,'batch tool'!$B2990:$W2990)+$Y$2</f>
        <v>-49.12272534143483</v>
      </c>
      <c r="C2996" s="7">
        <f>SUMPRODUCT($C$3:$X$3,'batch tool'!$B2990:$W2990)+$Y$3</f>
        <v>-36.514029388465531</v>
      </c>
      <c r="D2996" s="7">
        <f>SUMPRODUCT($C$4:$X$4,'batch tool'!$B2990:$W2990)+$Y$4</f>
        <v>-44.639843068043824</v>
      </c>
      <c r="E2996" s="7">
        <f>SUMPRODUCT($C$5:$X$5,'batch tool'!$B2990:$W2990)+$Y$5</f>
        <v>-51.578889182477603</v>
      </c>
      <c r="F2996" s="7">
        <f>SUMPRODUCT($C$6:$X$6,'batch tool'!$B2990:$W2990)+$Y$6</f>
        <v>-47.741473633885199</v>
      </c>
      <c r="G2996" s="7">
        <f>SUMPRODUCT($C$7:$X$7,'batch tool'!$B2990:$W2990)+$Y$7</f>
        <v>-19.739516238059196</v>
      </c>
      <c r="H2996" s="7">
        <f t="shared" si="94"/>
        <v>-19.739516238059196</v>
      </c>
      <c r="I2996">
        <f t="shared" si="95"/>
        <v>6</v>
      </c>
      <c r="J2996" t="str" cm="1">
        <f t="array" ref="J2996">INDEX($A$2:$A$7,I2996)</f>
        <v>Segment 6- Self-Conscious Male</v>
      </c>
    </row>
  </sheetData>
  <phoneticPr fontId="10" type="noConversion"/>
  <conditionalFormatting sqref="C2:C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:X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E7A21DA1C0E4499E8BA1C3D1BD5E6C" ma:contentTypeVersion="9" ma:contentTypeDescription="Create a new document." ma:contentTypeScope="" ma:versionID="98cb1d43ee467078295ae065c33e4e81">
  <xsd:schema xmlns:xsd="http://www.w3.org/2001/XMLSchema" xmlns:xs="http://www.w3.org/2001/XMLSchema" xmlns:p="http://schemas.microsoft.com/office/2006/metadata/properties" xmlns:ns2="b287cf52-1cc6-45e9-86bd-49c3e2f06429" targetNamespace="http://schemas.microsoft.com/office/2006/metadata/properties" ma:root="true" ma:fieldsID="86bde7c463f3652b8bd9b419b15f1b51" ns2:_="">
    <xsd:import namespace="b287cf52-1cc6-45e9-86bd-49c3e2f064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87cf52-1cc6-45e9-86bd-49c3e2f064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95D625-525B-43DC-9E01-031A7D9FB92B}">
  <ds:schemaRefs>
    <ds:schemaRef ds:uri="http://purl.org/dc/elements/1.1/"/>
    <ds:schemaRef ds:uri="http://schemas.microsoft.com/office/2006/metadata/properties"/>
    <ds:schemaRef ds:uri="b287cf52-1cc6-45e9-86bd-49c3e2f06429"/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74B4F8C-1A73-475F-9E2B-74479D30E9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87cf52-1cc6-45e9-86bd-49c3e2f064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9F595C-53AC-4F46-8204-CA6127B3BB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individual tool</vt:lpstr>
      <vt:lpstr>individual classification</vt:lpstr>
      <vt:lpstr>batch tool</vt:lpstr>
      <vt:lpstr>batch classification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Rakib Hasan</cp:lastModifiedBy>
  <dcterms:created xsi:type="dcterms:W3CDTF">2020-05-30T18:59:43Z</dcterms:created>
  <dcterms:modified xsi:type="dcterms:W3CDTF">2023-10-09T23:06:12Z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0x0101009BE7A21DA1C0E4499E8BA1C3D1BD5E6C</vt:lpwstr>
  </property>
</Properties>
</file>